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drawing4.xml" ContentType="application/vnd.openxmlformats-officedocument.drawing+xml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istOption" sheetId="1" state="visible" r:id="rId3"/>
    <sheet name="OptionBoard" sheetId="2" state="visible" r:id="rId4"/>
    <sheet name="Actives" sheetId="3" state="visible" r:id="rId5"/>
    <sheet name="Hedge_Total" sheetId="4" state="visible" r:id="rId6"/>
    <sheet name="Portfolio" sheetId="5" state="visible" r:id="rId7"/>
    <sheet name="Hedge_Far" sheetId="6" state="visible" r:id="rId8"/>
    <sheet name="Far_laeyr" sheetId="7" state="visible" r:id="rId9"/>
    <sheet name="Hedge_MID" sheetId="8" state="visible" r:id="rId10"/>
    <sheet name="MID_laeyr" sheetId="9" state="visible" r:id="rId11"/>
    <sheet name="Hedge_Midle(Test)" sheetId="10" state="visible" r:id="rId12"/>
    <sheet name="Mid_laeyr(test)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8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2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2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4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5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S16" authorId="0">
      <text>
        <r>
          <rPr>
            <sz val="10"/>
            <rFont val="Arial"/>
            <family val="2"/>
          </rPr>
          <t xml:space="preserve">Интерпретация:
маленькое значение → держать выгодно
большое значение → тета доминирует
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C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  <comment ref="D77" authorId="0">
      <text>
        <r>
          <rPr>
            <sz val="10"/>
            <rFont val="Arial"/>
            <family val="2"/>
          </rPr>
          <t xml:space="preserve">Чем больше тем лучше</t>
        </r>
      </text>
    </comment>
  </commentList>
</comments>
</file>

<file path=xl/sharedStrings.xml><?xml version="1.0" encoding="utf-8"?>
<sst xmlns="http://schemas.openxmlformats.org/spreadsheetml/2006/main" count="1274" uniqueCount="221">
  <si>
    <t xml:space="preserve">symbol</t>
  </si>
  <si>
    <t xml:space="preserve">last_price</t>
  </si>
  <si>
    <t xml:space="preserve">bid_price</t>
  </si>
  <si>
    <t xml:space="preserve">ask_price</t>
  </si>
  <si>
    <t xml:space="preserve">mark_price_live</t>
  </si>
  <si>
    <t xml:space="preserve">SOL-29MAY26-60-P-USDT</t>
  </si>
  <si>
    <t xml:space="preserve">SOL-29MAY26-70-P-USDT</t>
  </si>
  <si>
    <t xml:space="preserve">SOL-8MAY26-60-P-USDT</t>
  </si>
  <si>
    <t xml:space="preserve">SOL-1MAY26-60-P-USDT</t>
  </si>
  <si>
    <t xml:space="preserve">SOL-1MAY26-70-P-USDT</t>
  </si>
  <si>
    <t xml:space="preserve">SOL-1MAY26-72-P-USDT</t>
  </si>
  <si>
    <t xml:space="preserve">SOL-1MAY26-74-P-USDT</t>
  </si>
  <si>
    <t xml:space="preserve">strike</t>
  </si>
  <si>
    <t xml:space="preserve">delta</t>
  </si>
  <si>
    <t xml:space="preserve">gamma</t>
  </si>
  <si>
    <t xml:space="preserve">vega</t>
  </si>
  <si>
    <t xml:space="preserve">theta</t>
  </si>
  <si>
    <t xml:space="preserve">mark_price</t>
  </si>
  <si>
    <t xml:space="preserve">iv</t>
  </si>
  <si>
    <t xml:space="preserve">dte</t>
  </si>
  <si>
    <t xml:space="preserve">T</t>
  </si>
  <si>
    <t xml:space="preserve">type</t>
  </si>
  <si>
    <t xml:space="preserve">spot_price</t>
  </si>
  <si>
    <t xml:space="preserve">hedge_cost_per_day</t>
  </si>
  <si>
    <t xml:space="preserve">open_interest</t>
  </si>
  <si>
    <t xml:space="preserve">SOL-22APR26-70-P-USDT</t>
  </si>
  <si>
    <t xml:space="preserve">PUT</t>
  </si>
  <si>
    <t xml:space="preserve">0</t>
  </si>
  <si>
    <t xml:space="preserve">SOL-22APR26-75-P-USDT</t>
  </si>
  <si>
    <t xml:space="preserve">SOL-22APR26-80-P-USDT</t>
  </si>
  <si>
    <t xml:space="preserve">SOL-22APR26-84-P-USDT</t>
  </si>
  <si>
    <t xml:space="preserve">1</t>
  </si>
  <si>
    <t xml:space="preserve">SOL-22APR26-86-P-USDT</t>
  </si>
  <si>
    <t xml:space="preserve">SOL-22APR26-90-P-USDT</t>
  </si>
  <si>
    <t xml:space="preserve">SOL-22APR26-95-P-USDT</t>
  </si>
  <si>
    <t xml:space="preserve">SOL-22APR26-100-P-USDT</t>
  </si>
  <si>
    <t xml:space="preserve">SOL-24APR26-65-P-USDT</t>
  </si>
  <si>
    <t xml:space="preserve">1138</t>
  </si>
  <si>
    <t xml:space="preserve">SOL-24APR26-70-P-USDT</t>
  </si>
  <si>
    <t xml:space="preserve">2572</t>
  </si>
  <si>
    <t xml:space="preserve">SOL-24APR26-75-P-USDT</t>
  </si>
  <si>
    <t xml:space="preserve">1204</t>
  </si>
  <si>
    <t xml:space="preserve">SOL-24APR26-78-P-USDT</t>
  </si>
  <si>
    <t xml:space="preserve">438</t>
  </si>
  <si>
    <t xml:space="preserve">SOL-24APR26-80-P-USDT</t>
  </si>
  <si>
    <t xml:space="preserve">1433</t>
  </si>
  <si>
    <t xml:space="preserve">SOL-24APR26-82-P-USDT</t>
  </si>
  <si>
    <t xml:space="preserve">232</t>
  </si>
  <si>
    <t xml:space="preserve">SOL-24APR26-84-P-USDT</t>
  </si>
  <si>
    <t xml:space="preserve">4434</t>
  </si>
  <si>
    <t xml:space="preserve">SOL-24APR26-85-P-USDT</t>
  </si>
  <si>
    <t xml:space="preserve">94</t>
  </si>
  <si>
    <t xml:space="preserve">SOL-24APR26-86-P-USDT</t>
  </si>
  <si>
    <t xml:space="preserve">2220</t>
  </si>
  <si>
    <t xml:space="preserve">SOL-24APR26-88-P-USDT</t>
  </si>
  <si>
    <t xml:space="preserve">328</t>
  </si>
  <si>
    <t xml:space="preserve">SOL-24APR26-90-P-USDT</t>
  </si>
  <si>
    <t xml:space="preserve">5246</t>
  </si>
  <si>
    <t xml:space="preserve">SOL-24APR26-92-P-USDT</t>
  </si>
  <si>
    <t xml:space="preserve">37</t>
  </si>
  <si>
    <t xml:space="preserve">SOL-24APR26-94-P-USDT</t>
  </si>
  <si>
    <t xml:space="preserve">100</t>
  </si>
  <si>
    <t xml:space="preserve">SOL-24APR26-96-P-USDT</t>
  </si>
  <si>
    <t xml:space="preserve">SOL-24APR26-98-P-USDT</t>
  </si>
  <si>
    <t xml:space="preserve">7</t>
  </si>
  <si>
    <t xml:space="preserve">SOL-24APR26-100-P-USDT</t>
  </si>
  <si>
    <t xml:space="preserve">15</t>
  </si>
  <si>
    <t xml:space="preserve">SOL-24APR26-102-P-USDT</t>
  </si>
  <si>
    <t xml:space="preserve">4</t>
  </si>
  <si>
    <t xml:space="preserve">179</t>
  </si>
  <si>
    <t xml:space="preserve">10</t>
  </si>
  <si>
    <t xml:space="preserve">SOL-1MAY26-76-P-USDT</t>
  </si>
  <si>
    <t xml:space="preserve">77</t>
  </si>
  <si>
    <t xml:space="preserve">SOL-1MAY26-78-P-USDT</t>
  </si>
  <si>
    <t xml:space="preserve">31</t>
  </si>
  <si>
    <t xml:space="preserve">SOL-1MAY26-80-P-USDT</t>
  </si>
  <si>
    <t xml:space="preserve">29</t>
  </si>
  <si>
    <t xml:space="preserve">SOL-1MAY26-82-P-USDT</t>
  </si>
  <si>
    <t xml:space="preserve">59</t>
  </si>
  <si>
    <t xml:space="preserve">SOL-1MAY26-84-P-USDT</t>
  </si>
  <si>
    <t xml:space="preserve">202</t>
  </si>
  <si>
    <t xml:space="preserve">SOL-1MAY26-86-P-USDT</t>
  </si>
  <si>
    <t xml:space="preserve">158</t>
  </si>
  <si>
    <t xml:space="preserve">SOL-1MAY26-88-P-USDT</t>
  </si>
  <si>
    <t xml:space="preserve">SOL-1MAY26-90-P-USDT</t>
  </si>
  <si>
    <t xml:space="preserve">8</t>
  </si>
  <si>
    <t xml:space="preserve">SOL-1MAY26-93-P-USDT</t>
  </si>
  <si>
    <t xml:space="preserve">SOL-1MAY26-95-P-USDT</t>
  </si>
  <si>
    <t xml:space="preserve">SOL-1MAY26-100-P-USDT</t>
  </si>
  <si>
    <t xml:space="preserve">309</t>
  </si>
  <si>
    <t xml:space="preserve">SOL-8MAY26-70-P-USDT</t>
  </si>
  <si>
    <t xml:space="preserve">SOL-8MAY26-72-P-USDT</t>
  </si>
  <si>
    <t xml:space="preserve">SOL-8MAY26-74-P-USDT</t>
  </si>
  <si>
    <t xml:space="preserve">11</t>
  </si>
  <si>
    <t xml:space="preserve">SOL-8MAY26-76-P-USDT</t>
  </si>
  <si>
    <t xml:space="preserve">3</t>
  </si>
  <si>
    <t xml:space="preserve">SOL-8MAY26-78-P-USDT</t>
  </si>
  <si>
    <t xml:space="preserve">SOL-8MAY26-80-P-USDT</t>
  </si>
  <si>
    <t xml:space="preserve">SOL-8MAY26-82-P-USDT</t>
  </si>
  <si>
    <t xml:space="preserve">SOL-8MAY26-84-P-USDT</t>
  </si>
  <si>
    <t xml:space="preserve">2</t>
  </si>
  <si>
    <t xml:space="preserve">SOL-8MAY26-86-P-USDT</t>
  </si>
  <si>
    <t xml:space="preserve">SOL-8MAY26-88-P-USDT</t>
  </si>
  <si>
    <t xml:space="preserve">SOL-8MAY26-100-P-USDT</t>
  </si>
  <si>
    <t xml:space="preserve">SOL-8MAY26-102-P-USDT</t>
  </si>
  <si>
    <t xml:space="preserve">SOL-8MAY26-104-P-USDT</t>
  </si>
  <si>
    <t xml:space="preserve">SOL-8MAY26-106-P-USDT</t>
  </si>
  <si>
    <t xml:space="preserve">SOL-8MAY26-108-P-USDT</t>
  </si>
  <si>
    <t xml:space="preserve">SOL-8MAY26-110-P-USDT</t>
  </si>
  <si>
    <t xml:space="preserve">SOL-8MAY26-120-P-USDT</t>
  </si>
  <si>
    <t xml:space="preserve">627</t>
  </si>
  <si>
    <t xml:space="preserve">187</t>
  </si>
  <si>
    <t xml:space="preserve">SOL-29MAY26-76-P-USDT</t>
  </si>
  <si>
    <t xml:space="preserve">363</t>
  </si>
  <si>
    <t xml:space="preserve">SOL-29MAY26-78-P-USDT</t>
  </si>
  <si>
    <t xml:space="preserve">80</t>
  </si>
  <si>
    <t xml:space="preserve">SOL-29MAY26-80-P-USDT</t>
  </si>
  <si>
    <t xml:space="preserve">644</t>
  </si>
  <si>
    <t xml:space="preserve">SOL-29MAY26-82-P-USDT</t>
  </si>
  <si>
    <t xml:space="preserve">34</t>
  </si>
  <si>
    <t xml:space="preserve">SOL-29MAY26-84-P-USDT</t>
  </si>
  <si>
    <t xml:space="preserve">162</t>
  </si>
  <si>
    <t xml:space="preserve">SOL-29MAY26-86-P-USDT</t>
  </si>
  <si>
    <t xml:space="preserve">30</t>
  </si>
  <si>
    <t xml:space="preserve">SOL-29MAY26-90-P-USDT</t>
  </si>
  <si>
    <t xml:space="preserve">67</t>
  </si>
  <si>
    <t xml:space="preserve">SOL-29MAY26-92-P-USDT</t>
  </si>
  <si>
    <t xml:space="preserve">12</t>
  </si>
  <si>
    <t xml:space="preserve">SOL-29MAY26-94-P-USDT</t>
  </si>
  <si>
    <t xml:space="preserve">SOL-29MAY26-96-P-USDT</t>
  </si>
  <si>
    <t xml:space="preserve">105</t>
  </si>
  <si>
    <t xml:space="preserve">SOL-29MAY26-100-P-USDT</t>
  </si>
  <si>
    <t xml:space="preserve">200</t>
  </si>
  <si>
    <t xml:space="preserve">SOL-29MAY26-106-P-USDT</t>
  </si>
  <si>
    <t xml:space="preserve">SOL-29MAY26-110-P-USDT</t>
  </si>
  <si>
    <t xml:space="preserve">SOL-29MAY26-120-P-USDT</t>
  </si>
  <si>
    <t xml:space="preserve">Информация по базовому активу</t>
  </si>
  <si>
    <t xml:space="preserve">№</t>
  </si>
  <si>
    <t xml:space="preserve">Дата покупки</t>
  </si>
  <si>
    <t xml:space="preserve">Актив</t>
  </si>
  <si>
    <t xml:space="preserve">Количество</t>
  </si>
  <si>
    <t xml:space="preserve">Цена</t>
  </si>
  <si>
    <t xml:space="preserve">Нач. Стоимость</t>
  </si>
  <si>
    <t xml:space="preserve">Тек.стоимость</t>
  </si>
  <si>
    <t xml:space="preserve">Pnl</t>
  </si>
  <si>
    <t xml:space="preserve">Meteor</t>
  </si>
  <si>
    <t xml:space="preserve">Swap</t>
  </si>
  <si>
    <t xml:space="preserve">Total</t>
  </si>
  <si>
    <t xml:space="preserve">Дата операции</t>
  </si>
  <si>
    <t xml:space="preserve">Protocol</t>
  </si>
  <si>
    <t xml:space="preserve">Option</t>
  </si>
  <si>
    <t xml:space="preserve">total_price</t>
  </si>
  <si>
    <t xml:space="preserve">position</t>
  </si>
  <si>
    <t xml:space="preserve">contracts</t>
  </si>
  <si>
    <t xml:space="preserve">Start</t>
  </si>
  <si>
    <t xml:space="preserve">Current</t>
  </si>
  <si>
    <t xml:space="preserve">buy</t>
  </si>
  <si>
    <t xml:space="preserve">Now_Greeks</t>
  </si>
  <si>
    <t xml:space="preserve">d1</t>
  </si>
  <si>
    <t xml:space="preserve">d2</t>
  </si>
  <si>
    <t xml:space="preserve">Total_Greeks</t>
  </si>
  <si>
    <t xml:space="preserve">DTE</t>
  </si>
  <si>
    <t xml:space="preserve">% просадки</t>
  </si>
  <si>
    <t xml:space="preserve">Текущая дата</t>
  </si>
  <si>
    <t xml:space="preserve">Текущая цена </t>
  </si>
  <si>
    <t xml:space="preserve">Ближний слой</t>
  </si>
  <si>
    <t xml:space="preserve">5-10</t>
  </si>
  <si>
    <t xml:space="preserve">Средний слой</t>
  </si>
  <si>
    <t xml:space="preserve">10-20</t>
  </si>
  <si>
    <t xml:space="preserve">Дальный слой</t>
  </si>
  <si>
    <t xml:space="preserve">20-40</t>
  </si>
  <si>
    <t xml:space="preserve">выше</t>
  </si>
  <si>
    <t xml:space="preserve">Информация по портфелю</t>
  </si>
  <si>
    <t xml:space="preserve">Ср.Цена</t>
  </si>
  <si>
    <t xml:space="preserve">Нач. Стои</t>
  </si>
  <si>
    <t xml:space="preserve">кол</t>
  </si>
  <si>
    <t xml:space="preserve">cost</t>
  </si>
  <si>
    <t xml:space="preserve">layer</t>
  </si>
  <si>
    <t xml:space="preserve">SOL</t>
  </si>
  <si>
    <t xml:space="preserve">Лимит</t>
  </si>
  <si>
    <t xml:space="preserve">Стоимость хэджа</t>
  </si>
  <si>
    <t xml:space="preserve">Запас</t>
  </si>
  <si>
    <t xml:space="preserve">Доходный Pnl</t>
  </si>
  <si>
    <t xml:space="preserve">SOL-17APR26-72-P-USDT</t>
  </si>
  <si>
    <t xml:space="preserve">SOL-17APR26-75-P-USDT</t>
  </si>
  <si>
    <t xml:space="preserve">SOL-17APR26-78-P-USDT</t>
  </si>
  <si>
    <t xml:space="preserve">SOL-17APR26-80-P-USDT</t>
  </si>
  <si>
    <t xml:space="preserve">Activ</t>
  </si>
  <si>
    <t xml:space="preserve">Total Options</t>
  </si>
  <si>
    <t xml:space="preserve">Price</t>
  </si>
  <si>
    <t xml:space="preserve">Efficien Pnl</t>
  </si>
  <si>
    <t xml:space="preserve">Efficien Intr</t>
  </si>
  <si>
    <t xml:space="preserve">%loss</t>
  </si>
  <si>
    <t xml:space="preserve">Delta</t>
  </si>
  <si>
    <t xml:space="preserve">Intrin</t>
  </si>
  <si>
    <t xml:space="preserve">Pnl %loss</t>
  </si>
  <si>
    <t xml:space="preserve">Int %loss</t>
  </si>
  <si>
    <t xml:space="preserve">Pnl_loss</t>
  </si>
  <si>
    <t xml:space="preserve">Intrin_Loss</t>
  </si>
  <si>
    <t xml:space="preserve">Кол</t>
  </si>
  <si>
    <t xml:space="preserve">Стоимость</t>
  </si>
  <si>
    <t xml:space="preserve">total</t>
  </si>
  <si>
    <t xml:space="preserve">% cost</t>
  </si>
  <si>
    <t xml:space="preserve">Sol</t>
  </si>
  <si>
    <t xml:space="preserve">база</t>
  </si>
  <si>
    <t xml:space="preserve">усиление</t>
  </si>
  <si>
    <t xml:space="preserve">% price</t>
  </si>
  <si>
    <t xml:space="preserve">%priceCur</t>
  </si>
  <si>
    <t xml:space="preserve">priceCur</t>
  </si>
  <si>
    <t xml:space="preserve">Strike</t>
  </si>
  <si>
    <t xml:space="preserve">Effi_Pnl</t>
  </si>
  <si>
    <t xml:space="preserve">Effi_Intr</t>
  </si>
  <si>
    <t xml:space="preserve">Acclerat</t>
  </si>
  <si>
    <t xml:space="preserve">price</t>
  </si>
  <si>
    <t xml:space="preserve">SOL-24APR26-60-P-USDT</t>
  </si>
  <si>
    <t xml:space="preserve">min delta</t>
  </si>
  <si>
    <t xml:space="preserve">вклад дел</t>
  </si>
  <si>
    <t xml:space="preserve">Position Bybit</t>
  </si>
  <si>
    <t xml:space="preserve">contrr</t>
  </si>
  <si>
    <t xml:space="preserve">Loss</t>
  </si>
  <si>
    <t xml:space="preserve">% loss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</si>
</sst>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dd/mm/yy"/>
    <numFmt numFmtId="167" formatCode="[$$-409]#,##0.00;[RED]\-[$$-409]#,##0.00"/>
    <numFmt numFmtId="168" formatCode="0.00"/>
    <numFmt numFmtId="169" formatCode="0.0000"/>
    <numFmt numFmtId="170" formatCode="#,##0.00\ [$₽-419];[RED]\-#,##0.00\ [$₽-419]"/>
    <numFmt numFmtId="171" formatCode="General"/>
    <numFmt numFmtId="172" formatCode="0.000"/>
    <numFmt numFmtId="173" formatCode="#,##0.00;[RED]\-#,##0.00"/>
    <numFmt numFmtId="174" formatCode="0.00%;[RED]\-0.00%"/>
    <numFmt numFmtId="175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1"/>
      <color theme="1"/>
      <name val="Cambria"/>
      <family val="0"/>
      <charset val="1"/>
    </font>
    <font>
      <sz val="6"/>
      <color theme="1"/>
      <name val="Calibri"/>
      <family val="2"/>
      <charset val="1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0"/>
      <color rgb="FF000000"/>
      <name val="Arial"/>
      <family val="2"/>
    </font>
    <font>
      <b val="true"/>
      <sz val="7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FFD8CE"/>
        <bgColor rgb="FFFFE994"/>
      </patternFill>
    </fill>
    <fill>
      <patternFill patternType="solid">
        <fgColor rgb="FFFFFF00"/>
        <bgColor rgb="FFFFFF3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8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9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CCCCFF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BBE33D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4788788903536"/>
          <c:y val="0.129782968709143"/>
          <c:w val="0.75909898549894"/>
          <c:h val="0.81486969406432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Portfolio!$M$27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Portfolio!$M$28:$M$54</c:f>
              <c:numCache>
                <c:formatCode>0.00%;[RED]\-0.00%</c:formatCode>
                <c:ptCount val="27"/>
              </c:numCache>
            </c:numRef>
          </c:val>
        </c:ser>
        <c:ser>
          <c:idx val="1"/>
          <c:order val="1"/>
          <c:tx>
            <c:strRef>
              <c:f>Portfolio!$F$27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Portfolio!$F$28:$F$54</c:f>
              <c:numCache>
                <c:formatCode>0.00%;[RED]\-0.00%</c:formatCode>
                <c:ptCount val="27"/>
                <c:pt idx="0">
                  <c:v>-0.00514597641289576</c:v>
                </c:pt>
                <c:pt idx="1">
                  <c:v>-0.0171321694681619</c:v>
                </c:pt>
                <c:pt idx="2">
                  <c:v>-0.0291183625234283</c:v>
                </c:pt>
                <c:pt idx="3">
                  <c:v>-0.0411045555786946</c:v>
                </c:pt>
                <c:pt idx="4">
                  <c:v>-0.053090748633961</c:v>
                </c:pt>
                <c:pt idx="5">
                  <c:v>-0.0650769416892273</c:v>
                </c:pt>
                <c:pt idx="6">
                  <c:v>-0.0770631347444935</c:v>
                </c:pt>
                <c:pt idx="7">
                  <c:v>-0.0890493277997599</c:v>
                </c:pt>
                <c:pt idx="8">
                  <c:v>-0.101035520855026</c:v>
                </c:pt>
                <c:pt idx="9">
                  <c:v>-0.113021713910293</c:v>
                </c:pt>
                <c:pt idx="10">
                  <c:v>-0.125007906965559</c:v>
                </c:pt>
                <c:pt idx="11">
                  <c:v>-0.136994100020825</c:v>
                </c:pt>
                <c:pt idx="12">
                  <c:v>-0.148980293076091</c:v>
                </c:pt>
                <c:pt idx="13">
                  <c:v>-0.160966486131358</c:v>
                </c:pt>
                <c:pt idx="14">
                  <c:v>-0.172952679186624</c:v>
                </c:pt>
                <c:pt idx="15">
                  <c:v>-0.18493887224189</c:v>
                </c:pt>
                <c:pt idx="16">
                  <c:v>-0.196925065297157</c:v>
                </c:pt>
                <c:pt idx="17">
                  <c:v>-0.208911258352423</c:v>
                </c:pt>
                <c:pt idx="18">
                  <c:v>-0.220897451407689</c:v>
                </c:pt>
                <c:pt idx="19">
                  <c:v>-0.232883644462956</c:v>
                </c:pt>
                <c:pt idx="20">
                  <c:v>-0.244869837518222</c:v>
                </c:pt>
                <c:pt idx="21">
                  <c:v>-0.256856030573488</c:v>
                </c:pt>
                <c:pt idx="22">
                  <c:v>-0.268842223628755</c:v>
                </c:pt>
                <c:pt idx="23">
                  <c:v>-0.280828416684021</c:v>
                </c:pt>
                <c:pt idx="24">
                  <c:v>-0.292814609739287</c:v>
                </c:pt>
                <c:pt idx="25">
                  <c:v>-0.304800802794554</c:v>
                </c:pt>
                <c:pt idx="26">
                  <c:v>-0.31678699584982</c:v>
                </c:pt>
              </c:numCache>
            </c:numRef>
          </c:val>
        </c:ser>
        <c:ser>
          <c:idx val="2"/>
          <c:order val="2"/>
          <c:tx>
            <c:strRef>
              <c:f>Portfolio!$L$27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Portfolio!$L$28:$L$54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Portfolio!$B$28:$B$54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</c:ser>
        <c:gapWidth val="100"/>
        <c:overlap val="0"/>
        <c:axId val="27074430"/>
        <c:axId val="27092068"/>
      </c:barChart>
      <c:catAx>
        <c:axId val="27074430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7092068"/>
        <c:crosses val="max"/>
        <c:auto val="1"/>
        <c:lblAlgn val="ctr"/>
        <c:lblOffset val="100"/>
        <c:noMultiLvlLbl val="0"/>
      </c:catAx>
      <c:valAx>
        <c:axId val="270920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707443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779688339602"/>
          <c:y val="0.0599250936329588"/>
          <c:w val="0.756206340677055"/>
          <c:h val="0.78930406758993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Portfolio!$B$28:$B$54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Portfolio!$P$28:$P$54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70312799"/>
        <c:axId val="45772429"/>
      </c:barChart>
      <c:catAx>
        <c:axId val="70312799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5772429"/>
        <c:crosses val="autoZero"/>
        <c:auto val="1"/>
        <c:lblAlgn val="ctr"/>
        <c:lblOffset val="100"/>
        <c:noMultiLvlLbl val="0"/>
      </c:catAx>
      <c:valAx>
        <c:axId val="457724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03127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4895402233687"/>
          <c:y val="0.129856850715746"/>
          <c:w val="0.758943250751176"/>
          <c:h val="0.8128834355828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Far_laeyr!$R$72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Far_laeyr!$R$73:$R$99</c:f>
              <c:numCache>
                <c:formatCode>0.00%;[RED]\-0.00%</c:formatCode>
                <c:ptCount val="27"/>
                <c:pt idx="0">
                  <c:v>-0.0157987464956918</c:v>
                </c:pt>
                <c:pt idx="1">
                  <c:v>-0.027784939550958</c:v>
                </c:pt>
                <c:pt idx="2">
                  <c:v>-0.0397711326062244</c:v>
                </c:pt>
                <c:pt idx="3">
                  <c:v>-0.0517573256614907</c:v>
                </c:pt>
                <c:pt idx="4">
                  <c:v>-0.0637435187167571</c:v>
                </c:pt>
                <c:pt idx="5">
                  <c:v>-0.0757297117720234</c:v>
                </c:pt>
                <c:pt idx="6">
                  <c:v>-0.0877159048272896</c:v>
                </c:pt>
                <c:pt idx="7">
                  <c:v>-0.099702097882556</c:v>
                </c:pt>
                <c:pt idx="8">
                  <c:v>-0.111688290937822</c:v>
                </c:pt>
                <c:pt idx="9">
                  <c:v>-0.123674483993089</c:v>
                </c:pt>
                <c:pt idx="10">
                  <c:v>-0.135660677048355</c:v>
                </c:pt>
                <c:pt idx="11">
                  <c:v>-0.147646870103621</c:v>
                </c:pt>
                <c:pt idx="12">
                  <c:v>-0.159633063158888</c:v>
                </c:pt>
                <c:pt idx="13">
                  <c:v>-0.171619256214154</c:v>
                </c:pt>
                <c:pt idx="14">
                  <c:v>-0.179944703536501</c:v>
                </c:pt>
                <c:pt idx="15">
                  <c:v>-0.188270150858847</c:v>
                </c:pt>
                <c:pt idx="16">
                  <c:v>-0.196595598181194</c:v>
                </c:pt>
                <c:pt idx="17">
                  <c:v>-0.204921045503541</c:v>
                </c:pt>
                <c:pt idx="18">
                  <c:v>-0.213246492825887</c:v>
                </c:pt>
                <c:pt idx="19">
                  <c:v>-0.221571940148234</c:v>
                </c:pt>
                <c:pt idx="20">
                  <c:v>-0.229897387470581</c:v>
                </c:pt>
                <c:pt idx="21">
                  <c:v>-0.238222834792928</c:v>
                </c:pt>
                <c:pt idx="22">
                  <c:v>-0.246548282115274</c:v>
                </c:pt>
                <c:pt idx="23">
                  <c:v>-0.254873729437621</c:v>
                </c:pt>
                <c:pt idx="24">
                  <c:v>-0.257341983587296</c:v>
                </c:pt>
                <c:pt idx="25">
                  <c:v>-0.259810237736972</c:v>
                </c:pt>
                <c:pt idx="26">
                  <c:v>-0.262278491886647</c:v>
                </c:pt>
              </c:numCache>
            </c:numRef>
          </c:val>
        </c:ser>
        <c:ser>
          <c:idx val="1"/>
          <c:order val="1"/>
          <c:tx>
            <c:strRef>
              <c:f>Far_laeyr!$F$72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Far_laeyr!$F$73:$F$99</c:f>
              <c:numCache>
                <c:formatCode>0.00%;[RED]\-0.00%</c:formatCode>
                <c:ptCount val="27"/>
                <c:pt idx="0">
                  <c:v>-0.00514597641289576</c:v>
                </c:pt>
                <c:pt idx="1">
                  <c:v>-0.0171321694681619</c:v>
                </c:pt>
                <c:pt idx="2">
                  <c:v>-0.0291183625234283</c:v>
                </c:pt>
                <c:pt idx="3">
                  <c:v>-0.0411045555786946</c:v>
                </c:pt>
                <c:pt idx="4">
                  <c:v>-0.053090748633961</c:v>
                </c:pt>
                <c:pt idx="5">
                  <c:v>-0.0650769416892273</c:v>
                </c:pt>
                <c:pt idx="6">
                  <c:v>-0.0770631347444935</c:v>
                </c:pt>
                <c:pt idx="7">
                  <c:v>-0.0890493277997599</c:v>
                </c:pt>
                <c:pt idx="8">
                  <c:v>-0.101035520855026</c:v>
                </c:pt>
                <c:pt idx="9">
                  <c:v>-0.113021713910293</c:v>
                </c:pt>
                <c:pt idx="10">
                  <c:v>-0.125007906965559</c:v>
                </c:pt>
                <c:pt idx="11">
                  <c:v>-0.136994100020825</c:v>
                </c:pt>
                <c:pt idx="12">
                  <c:v>-0.148980293076091</c:v>
                </c:pt>
                <c:pt idx="13">
                  <c:v>-0.160966486131358</c:v>
                </c:pt>
                <c:pt idx="14">
                  <c:v>-0.172952679186624</c:v>
                </c:pt>
                <c:pt idx="15">
                  <c:v>-0.18493887224189</c:v>
                </c:pt>
                <c:pt idx="16">
                  <c:v>-0.196925065297157</c:v>
                </c:pt>
                <c:pt idx="17">
                  <c:v>-0.208911258352423</c:v>
                </c:pt>
                <c:pt idx="18">
                  <c:v>-0.220897451407689</c:v>
                </c:pt>
                <c:pt idx="19">
                  <c:v>-0.232883644462956</c:v>
                </c:pt>
                <c:pt idx="20">
                  <c:v>-0.244869837518222</c:v>
                </c:pt>
                <c:pt idx="21">
                  <c:v>-0.256856030573488</c:v>
                </c:pt>
                <c:pt idx="22">
                  <c:v>-0.268842223628755</c:v>
                </c:pt>
                <c:pt idx="23">
                  <c:v>-0.280828416684021</c:v>
                </c:pt>
                <c:pt idx="24">
                  <c:v>-0.292814609739287</c:v>
                </c:pt>
                <c:pt idx="25">
                  <c:v>-0.304800802794554</c:v>
                </c:pt>
                <c:pt idx="26">
                  <c:v>-0.31678699584982</c:v>
                </c:pt>
              </c:numCache>
            </c:numRef>
          </c:val>
        </c:ser>
        <c:ser>
          <c:idx val="2"/>
          <c:order val="2"/>
          <c:tx>
            <c:strRef>
              <c:f>Far_laeyr!$Q$72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Far_laeyr!$Q$73:$Q$99</c:f>
              <c:numCache>
                <c:formatCode>0.00%;[RED]\-0.00%</c:formatCode>
                <c:ptCount val="27"/>
                <c:pt idx="0">
                  <c:v>-0.00982460451281364</c:v>
                </c:pt>
                <c:pt idx="1">
                  <c:v>-0.0209543370565929</c:v>
                </c:pt>
                <c:pt idx="2">
                  <c:v>-0.0319844019276361</c:v>
                </c:pt>
                <c:pt idx="3">
                  <c:v>-0.0429045463440989</c:v>
                </c:pt>
                <c:pt idx="4">
                  <c:v>-0.0537038676853688</c:v>
                </c:pt>
                <c:pt idx="5">
                  <c:v>-0.0643708692939792</c:v>
                </c:pt>
                <c:pt idx="6">
                  <c:v>-0.074893539487177</c:v>
                </c:pt>
                <c:pt idx="7">
                  <c:v>-0.0852594550736584</c:v>
                </c:pt>
                <c:pt idx="8">
                  <c:v>-0.095455909709711</c:v>
                </c:pt>
                <c:pt idx="9">
                  <c:v>-0.105470066236737</c:v>
                </c:pt>
                <c:pt idx="10">
                  <c:v>-0.115289130758679</c:v>
                </c:pt>
                <c:pt idx="11">
                  <c:v>-0.124900544712138</c:v>
                </c:pt>
                <c:pt idx="12">
                  <c:v>-0.134292189652632</c:v>
                </c:pt>
                <c:pt idx="13">
                  <c:v>-0.143452598053278</c:v>
                </c:pt>
                <c:pt idx="14">
                  <c:v>-0.152371162232493</c:v>
                </c:pt>
                <c:pt idx="15">
                  <c:v>-0.161038332748272</c:v>
                </c:pt>
                <c:pt idx="16">
                  <c:v>-0.169445797362012</c:v>
                </c:pt>
                <c:pt idx="17">
                  <c:v>-0.177586632099647</c:v>
                </c:pt>
                <c:pt idx="18">
                  <c:v>-0.185455417085922</c:v>
                </c:pt>
                <c:pt idx="19">
                  <c:v>-0.193048311692546</c:v>
                </c:pt>
                <c:pt idx="20">
                  <c:v>-0.200363086031204</c:v>
                </c:pt>
                <c:pt idx="21">
                  <c:v>-0.207399108756035</c:v>
                </c:pt>
                <c:pt idx="22">
                  <c:v>-0.214157294252644</c:v>
                </c:pt>
                <c:pt idx="23">
                  <c:v>-0.220640015256078</c:v>
                </c:pt>
                <c:pt idx="24">
                  <c:v>-0.226850989408113</c:v>
                </c:pt>
                <c:pt idx="25">
                  <c:v>-0.232795149906497</c:v>
                </c:pt>
                <c:pt idx="26">
                  <c:v>-0.238478510962558</c:v>
                </c:pt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Far_laeyr!$B$73:$B$99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</c:ser>
        <c:gapWidth val="100"/>
        <c:overlap val="0"/>
        <c:axId val="77369883"/>
        <c:axId val="76692148"/>
      </c:barChart>
      <c:catAx>
        <c:axId val="77369883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6692148"/>
        <c:crosses val="max"/>
        <c:auto val="1"/>
        <c:lblAlgn val="ctr"/>
        <c:lblOffset val="100"/>
        <c:noMultiLvlLbl val="0"/>
      </c:catAx>
      <c:valAx>
        <c:axId val="7669214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736988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360157547206"/>
          <c:y val="0.0599308490203611"/>
          <c:w val="0.756883036645171"/>
          <c:h val="0.7886092969650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Far_laeyr!$B$73:$B$99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Far_laeyr!$U$73:$U$99</c:f>
              <c:numCache>
                <c:formatCode>#,##0.00\ [$₽-419];[RED]\-#,##0.00\ [$₽-419]</c:formatCode>
                <c:ptCount val="27"/>
                <c:pt idx="1">
                  <c:v>0.1361302860233</c:v>
                </c:pt>
                <c:pt idx="2">
                  <c:v>0.150133965317299</c:v>
                </c:pt>
                <c:pt idx="3">
                  <c:v>0.165025221646065</c:v>
                </c:pt>
                <c:pt idx="4">
                  <c:v>0.180727838415056</c:v>
                </c:pt>
                <c:pt idx="5">
                  <c:v>0.197133898312685</c:v>
                </c:pt>
                <c:pt idx="6">
                  <c:v>0.214102013842233</c:v>
                </c:pt>
                <c:pt idx="7">
                  <c:v>0.231456870802307</c:v>
                </c:pt>
                <c:pt idx="8">
                  <c:v>0.248990400217442</c:v>
                </c:pt>
                <c:pt idx="9">
                  <c:v>0.266464839839758</c:v>
                </c:pt>
                <c:pt idx="10">
                  <c:v>0.283617852253807</c:v>
                </c:pt>
                <c:pt idx="11">
                  <c:v>0.300169731795902</c:v>
                </c:pt>
                <c:pt idx="12">
                  <c:v>0.315832560794163</c:v>
                </c:pt>
                <c:pt idx="13">
                  <c:v>0.330320977027867</c:v>
                </c:pt>
                <c:pt idx="14">
                  <c:v>0.343364005284439</c:v>
                </c:pt>
                <c:pt idx="15">
                  <c:v>0.354717209261224</c:v>
                </c:pt>
                <c:pt idx="16">
                  <c:v>0.364174263329062</c:v>
                </c:pt>
                <c:pt idx="17">
                  <c:v>0.371576956184811</c:v>
                </c:pt>
                <c:pt idx="18">
                  <c:v>0.37682264732198</c:v>
                </c:pt>
                <c:pt idx="19">
                  <c:v>0.379868322273381</c:v>
                </c:pt>
                <c:pt idx="20">
                  <c:v>0.380730640917363</c:v>
                </c:pt>
                <c:pt idx="21">
                  <c:v>0.379481734724266</c:v>
                </c:pt>
                <c:pt idx="22">
                  <c:v>0.376240953718451</c:v>
                </c:pt>
                <c:pt idx="23">
                  <c:v>0.371163242717856</c:v>
                </c:pt>
                <c:pt idx="24">
                  <c:v>0.364425274408262</c:v>
                </c:pt>
                <c:pt idx="25">
                  <c:v>0.356210812426738</c:v>
                </c:pt>
              </c:numCache>
            </c:numRef>
          </c:val>
        </c:ser>
        <c:gapWidth val="100"/>
        <c:overlap val="0"/>
        <c:axId val="57531023"/>
        <c:axId val="22783153"/>
      </c:barChart>
      <c:catAx>
        <c:axId val="57531023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2783153"/>
        <c:crosses val="autoZero"/>
        <c:auto val="1"/>
        <c:lblAlgn val="ctr"/>
        <c:lblOffset val="100"/>
        <c:noMultiLvlLbl val="0"/>
      </c:catAx>
      <c:valAx>
        <c:axId val="227831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75310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5160303613912"/>
          <c:y val="0.129856850715746"/>
          <c:w val="0.758978135266795"/>
          <c:h val="0.81288343558282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MID_laeyr!$R$75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MID_laeyr!$R$76:$R$102</c:f>
              <c:numCache>
                <c:formatCode>0.00%;[RED]\-0.00%</c:formatCode>
                <c:ptCount val="27"/>
                <c:pt idx="0">
                  <c:v>-0.0153008850760148</c:v>
                </c:pt>
                <c:pt idx="1">
                  <c:v>-0.027287078131281</c:v>
                </c:pt>
                <c:pt idx="2">
                  <c:v>-0.0392732711865473</c:v>
                </c:pt>
                <c:pt idx="3">
                  <c:v>-0.0512594642418137</c:v>
                </c:pt>
                <c:pt idx="4">
                  <c:v>-0.06324565729708</c:v>
                </c:pt>
                <c:pt idx="5">
                  <c:v>-0.0752318503523464</c:v>
                </c:pt>
                <c:pt idx="6">
                  <c:v>-0.0857537451144447</c:v>
                </c:pt>
                <c:pt idx="7">
                  <c:v>-0.0962756398765432</c:v>
                </c:pt>
                <c:pt idx="8">
                  <c:v>-0.10460108719889</c:v>
                </c:pt>
                <c:pt idx="9">
                  <c:v>-0.112926534521237</c:v>
                </c:pt>
                <c:pt idx="10">
                  <c:v>-0.119055534403832</c:v>
                </c:pt>
                <c:pt idx="11">
                  <c:v>-0.125184534286427</c:v>
                </c:pt>
                <c:pt idx="12">
                  <c:v>-0.131313534169021</c:v>
                </c:pt>
                <c:pt idx="13">
                  <c:v>-0.137442534051616</c:v>
                </c:pt>
                <c:pt idx="14">
                  <c:v>-0.143571533934211</c:v>
                </c:pt>
                <c:pt idx="15">
                  <c:v>-0.149700533816806</c:v>
                </c:pt>
                <c:pt idx="16">
                  <c:v>-0.155829533699401</c:v>
                </c:pt>
                <c:pt idx="17">
                  <c:v>-0.161958533581996</c:v>
                </c:pt>
                <c:pt idx="18">
                  <c:v>-0.168087533464591</c:v>
                </c:pt>
                <c:pt idx="19">
                  <c:v>-0.174216533347186</c:v>
                </c:pt>
                <c:pt idx="20">
                  <c:v>-0.180345533229781</c:v>
                </c:pt>
                <c:pt idx="21">
                  <c:v>-0.186474533112376</c:v>
                </c:pt>
                <c:pt idx="22">
                  <c:v>-0.192603532994971</c:v>
                </c:pt>
                <c:pt idx="23">
                  <c:v>-0.198732532877566</c:v>
                </c:pt>
                <c:pt idx="24">
                  <c:v>-0.204861532760161</c:v>
                </c:pt>
                <c:pt idx="25">
                  <c:v>-0.210990532642756</c:v>
                </c:pt>
                <c:pt idx="26">
                  <c:v>-0.21711953252535</c:v>
                </c:pt>
              </c:numCache>
            </c:numRef>
          </c:val>
        </c:ser>
        <c:ser>
          <c:idx val="1"/>
          <c:order val="1"/>
          <c:tx>
            <c:strRef>
              <c:f>MID_laeyr!$F$75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MID_laeyr!$F$76:$F$102</c:f>
              <c:numCache>
                <c:formatCode>0.00%;[RED]\-0.00%</c:formatCode>
                <c:ptCount val="27"/>
                <c:pt idx="0">
                  <c:v>-0.00514597641289576</c:v>
                </c:pt>
                <c:pt idx="1">
                  <c:v>-0.0171321694681619</c:v>
                </c:pt>
                <c:pt idx="2">
                  <c:v>-0.0291183625234283</c:v>
                </c:pt>
                <c:pt idx="3">
                  <c:v>-0.0411045555786946</c:v>
                </c:pt>
                <c:pt idx="4">
                  <c:v>-0.053090748633961</c:v>
                </c:pt>
                <c:pt idx="5">
                  <c:v>-0.0650769416892273</c:v>
                </c:pt>
                <c:pt idx="6">
                  <c:v>-0.0770631347444935</c:v>
                </c:pt>
                <c:pt idx="7">
                  <c:v>-0.0890493277997599</c:v>
                </c:pt>
                <c:pt idx="8">
                  <c:v>-0.101035520855026</c:v>
                </c:pt>
                <c:pt idx="9">
                  <c:v>-0.113021713910293</c:v>
                </c:pt>
                <c:pt idx="10">
                  <c:v>-0.125007906965559</c:v>
                </c:pt>
                <c:pt idx="11">
                  <c:v>-0.136994100020825</c:v>
                </c:pt>
                <c:pt idx="12">
                  <c:v>-0.148980293076091</c:v>
                </c:pt>
                <c:pt idx="13">
                  <c:v>-0.160966486131358</c:v>
                </c:pt>
                <c:pt idx="14">
                  <c:v>-0.172952679186624</c:v>
                </c:pt>
                <c:pt idx="15">
                  <c:v>-0.18493887224189</c:v>
                </c:pt>
                <c:pt idx="16">
                  <c:v>-0.196925065297157</c:v>
                </c:pt>
                <c:pt idx="17">
                  <c:v>-0.208911258352423</c:v>
                </c:pt>
                <c:pt idx="18">
                  <c:v>-0.220897451407689</c:v>
                </c:pt>
                <c:pt idx="19">
                  <c:v>-0.232883644462956</c:v>
                </c:pt>
                <c:pt idx="20">
                  <c:v>-0.244869837518222</c:v>
                </c:pt>
                <c:pt idx="21">
                  <c:v>-0.256856030573488</c:v>
                </c:pt>
                <c:pt idx="22">
                  <c:v>-0.268842223628755</c:v>
                </c:pt>
                <c:pt idx="23">
                  <c:v>-0.280828416684021</c:v>
                </c:pt>
                <c:pt idx="24">
                  <c:v>-0.292814609739287</c:v>
                </c:pt>
                <c:pt idx="25">
                  <c:v>-0.304800802794554</c:v>
                </c:pt>
                <c:pt idx="26">
                  <c:v>-0.31678699584982</c:v>
                </c:pt>
              </c:numCache>
            </c:numRef>
          </c:val>
        </c:ser>
        <c:ser>
          <c:idx val="2"/>
          <c:order val="2"/>
          <c:tx>
            <c:strRef>
              <c:f>MID_laeyr!$Q$75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MID_laeyr!$Q$76:$Q$102</c:f>
              <c:numCache>
                <c:formatCode>0.00%;[RED]\-0.00%</c:formatCode>
                <c:ptCount val="27"/>
                <c:pt idx="0">
                  <c:v>-0.0088104918924692</c:v>
                </c:pt>
                <c:pt idx="1">
                  <c:v>-0.0195439735796161</c:v>
                </c:pt>
                <c:pt idx="2">
                  <c:v>-0.0300885944607298</c:v>
                </c:pt>
                <c:pt idx="3">
                  <c:v>-0.040427717897065</c:v>
                </c:pt>
                <c:pt idx="4">
                  <c:v>-0.0505456186445904</c:v>
                </c:pt>
                <c:pt idx="5">
                  <c:v>-0.0604279880687103</c:v>
                </c:pt>
                <c:pt idx="6">
                  <c:v>-0.070062447370871</c:v>
                </c:pt>
                <c:pt idx="7">
                  <c:v>-0.0794390427283679</c:v>
                </c:pt>
                <c:pt idx="8">
                  <c:v>-0.0885506935401756</c:v>
                </c:pt>
                <c:pt idx="9">
                  <c:v>-0.0973935641933567</c:v>
                </c:pt>
                <c:pt idx="10">
                  <c:v>-0.105967331331794</c:v>
                </c:pt>
                <c:pt idx="11">
                  <c:v>-0.114275322748541</c:v>
                </c:pt>
                <c:pt idx="12">
                  <c:v>-0.122324510706059</c:v>
                </c:pt>
                <c:pt idx="13">
                  <c:v>-0.130125351386172</c:v>
                </c:pt>
                <c:pt idx="14">
                  <c:v>-0.137691472646627</c:v>
                </c:pt>
                <c:pt idx="15">
                  <c:v>-0.145039223404631</c:v>
                </c:pt>
                <c:pt idx="16">
                  <c:v>-0.152187108682425</c:v>
                </c:pt>
                <c:pt idx="17">
                  <c:v>-0.159155143476243</c:v>
                </c:pt>
                <c:pt idx="18">
                  <c:v>-0.165964165078796</c:v>
                </c:pt>
                <c:pt idx="19">
                  <c:v>-0.172635146476503</c:v>
                </c:pt>
                <c:pt idx="20">
                  <c:v>-0.179188552520989</c:v>
                </c:pt>
                <c:pt idx="21">
                  <c:v>-0.185643775778075</c:v>
                </c:pt>
                <c:pt idx="22">
                  <c:v>-0.192018680816779</c:v>
                </c:pt>
                <c:pt idx="23">
                  <c:v>-0.198329275178918</c:v>
                </c:pt>
                <c:pt idx="24">
                  <c:v>-0.20458951362959</c:v>
                </c:pt>
                <c:pt idx="25">
                  <c:v>-0.210811230907616</c:v>
                </c:pt>
                <c:pt idx="26">
                  <c:v>-0.21700418835832</c:v>
                </c:pt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MID_laeyr!$B$76:$B$102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</c:ser>
        <c:gapWidth val="100"/>
        <c:overlap val="0"/>
        <c:axId val="81837915"/>
        <c:axId val="3331223"/>
      </c:barChart>
      <c:catAx>
        <c:axId val="81837915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331223"/>
        <c:crosses val="max"/>
        <c:auto val="1"/>
        <c:lblAlgn val="ctr"/>
        <c:lblOffset val="100"/>
        <c:noMultiLvlLbl val="0"/>
      </c:catAx>
      <c:valAx>
        <c:axId val="333122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1837915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8201722207206"/>
          <c:y val="0.0599308490203611"/>
          <c:w val="0.756883036645171"/>
          <c:h val="0.7886092969650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MID_laeyr!$B$76:$B$102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MID_laeyr!$U$76:$U$102</c:f>
              <c:numCache>
                <c:formatCode>#,##0.00\ [$₽-419];[RED]\-#,##0.00\ [$₽-419]</c:formatCode>
                <c:ptCount val="27"/>
                <c:pt idx="1">
                  <c:v>0.257954006932209</c:v>
                </c:pt>
                <c:pt idx="2">
                  <c:v>0.280677025627023</c:v>
                </c:pt>
                <c:pt idx="3">
                  <c:v>0.302155223210988</c:v>
                </c:pt>
                <c:pt idx="4">
                  <c:v>0.321698556236114</c:v>
                </c:pt>
                <c:pt idx="5">
                  <c:v>0.338606038285512</c:v>
                </c:pt>
                <c:pt idx="6">
                  <c:v>0.352201386653559</c:v>
                </c:pt>
                <c:pt idx="7">
                  <c:v>0.361872368390205</c:v>
                </c:pt>
                <c:pt idx="8">
                  <c:v>0.367111209349446</c:v>
                </c:pt>
                <c:pt idx="9">
                  <c:v>0.367552862691241</c:v>
                </c:pt>
                <c:pt idx="10">
                  <c:v>0.363007623419421</c:v>
                </c:pt>
                <c:pt idx="11">
                  <c:v>0.353484615035793</c:v>
                </c:pt>
                <c:pt idx="12">
                  <c:v>0.339203123522569</c:v>
                </c:pt>
                <c:pt idx="13">
                  <c:v>0.320589624057718</c:v>
                </c:pt>
                <c:pt idx="14">
                  <c:v>0.298259587503082</c:v>
                </c:pt>
                <c:pt idx="15">
                  <c:v>0.272984652297524</c:v>
                </c:pt>
                <c:pt idx="16">
                  <c:v>0.245647331305662</c:v>
                </c:pt>
                <c:pt idx="17">
                  <c:v>0.217186883310092</c:v>
                </c:pt>
                <c:pt idx="18">
                  <c:v>0.188541099161398</c:v>
                </c:pt>
                <c:pt idx="19">
                  <c:v>0.160589346812628</c:v>
                </c:pt>
                <c:pt idx="20">
                  <c:v>0.134102167378003</c:v>
                </c:pt>
                <c:pt idx="21">
                  <c:v>0.109701990035347</c:v>
                </c:pt>
                <c:pt idx="22">
                  <c:v>0.087838218297378</c:v>
                </c:pt>
                <c:pt idx="23">
                  <c:v>0.0687782150706795</c:v>
                </c:pt>
                <c:pt idx="24">
                  <c:v>0.052613832612181</c:v>
                </c:pt>
                <c:pt idx="25">
                  <c:v>0.0392813779213981</c:v>
                </c:pt>
              </c:numCache>
            </c:numRef>
          </c:val>
        </c:ser>
        <c:gapWidth val="100"/>
        <c:overlap val="0"/>
        <c:axId val="55036294"/>
        <c:axId val="4977791"/>
      </c:barChart>
      <c:catAx>
        <c:axId val="55036294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977791"/>
        <c:crosses val="autoZero"/>
        <c:auto val="1"/>
        <c:lblAlgn val="ctr"/>
        <c:lblOffset val="100"/>
        <c:noMultiLvlLbl val="0"/>
      </c:catAx>
      <c:valAx>
        <c:axId val="49777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50362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354829464029808"/>
          <c:y val="0.129807078063115"/>
          <c:w val="0.758956721123531"/>
          <c:h val="0.812827392359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'Mid_laeyr(test)'!$S$77</c:f>
              <c:strCache>
                <c:ptCount val="1"/>
                <c:pt idx="0">
                  <c:v>Int %loss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'Mid_laeyr(test)'!$S$78:$S$104</c:f>
              <c:numCache>
                <c:formatCode>0.00%;[RED]\-0.00%</c:formatCode>
                <c:ptCount val="27"/>
                <c:pt idx="0">
                  <c:v>-0.0149693882396456</c:v>
                </c:pt>
                <c:pt idx="1">
                  <c:v>-0.0269555812949118</c:v>
                </c:pt>
                <c:pt idx="2">
                  <c:v>-0.0389417743501782</c:v>
                </c:pt>
                <c:pt idx="3">
                  <c:v>-0.0509279674054445</c:v>
                </c:pt>
                <c:pt idx="4">
                  <c:v>-0.061449862167543</c:v>
                </c:pt>
                <c:pt idx="5">
                  <c:v>-0.0719717569296415</c:v>
                </c:pt>
                <c:pt idx="6">
                  <c:v>-0.0802972042519881</c:v>
                </c:pt>
                <c:pt idx="7">
                  <c:v>-0.0886226515743348</c:v>
                </c:pt>
                <c:pt idx="8">
                  <c:v>-0.0969480988966816</c:v>
                </c:pt>
                <c:pt idx="9">
                  <c:v>-0.103077098779277</c:v>
                </c:pt>
                <c:pt idx="10">
                  <c:v>-0.109206098661871</c:v>
                </c:pt>
                <c:pt idx="11">
                  <c:v>-0.115335098544466</c:v>
                </c:pt>
                <c:pt idx="12">
                  <c:v>-0.121464098427061</c:v>
                </c:pt>
                <c:pt idx="13">
                  <c:v>-0.127593098309656</c:v>
                </c:pt>
                <c:pt idx="14">
                  <c:v>-0.130061352459332</c:v>
                </c:pt>
                <c:pt idx="15">
                  <c:v>-0.132529606609007</c:v>
                </c:pt>
                <c:pt idx="16">
                  <c:v>-0.134997860758682</c:v>
                </c:pt>
                <c:pt idx="17">
                  <c:v>-0.137466114908357</c:v>
                </c:pt>
                <c:pt idx="18">
                  <c:v>-0.139934369058033</c:v>
                </c:pt>
                <c:pt idx="19">
                  <c:v>-0.138741877474789</c:v>
                </c:pt>
                <c:pt idx="20">
                  <c:v>-0.137549385891544</c:v>
                </c:pt>
                <c:pt idx="21">
                  <c:v>-0.1363568943083</c:v>
                </c:pt>
                <c:pt idx="22">
                  <c:v>-0.135164402725056</c:v>
                </c:pt>
                <c:pt idx="23">
                  <c:v>-0.133971911141811</c:v>
                </c:pt>
                <c:pt idx="24">
                  <c:v>-0.122529331506392</c:v>
                </c:pt>
                <c:pt idx="25">
                  <c:v>-0.111086751870973</c:v>
                </c:pt>
                <c:pt idx="26">
                  <c:v>-0.0996441722355537</c:v>
                </c:pt>
              </c:numCache>
            </c:numRef>
          </c:val>
        </c:ser>
        <c:ser>
          <c:idx val="1"/>
          <c:order val="1"/>
          <c:tx>
            <c:strRef>
              <c:f>'Mid_laeyr(test)'!$F$77</c:f>
              <c:strCache>
                <c:ptCount val="1"/>
                <c:pt idx="0">
                  <c:v>%loss</c:v>
                </c:pt>
              </c:strCache>
            </c:strRef>
          </c:tx>
          <c:spPr>
            <a:solidFill>
              <a:srgbClr val="579d1c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'Mid_laeyr(test)'!$F$78:$F$104</c:f>
              <c:numCache>
                <c:formatCode>0.00%;[RED]\-0.00%</c:formatCode>
                <c:ptCount val="27"/>
                <c:pt idx="0">
                  <c:v>-0.00514597641289576</c:v>
                </c:pt>
                <c:pt idx="1">
                  <c:v>-0.0171321694681619</c:v>
                </c:pt>
                <c:pt idx="2">
                  <c:v>-0.0291183625234283</c:v>
                </c:pt>
                <c:pt idx="3">
                  <c:v>-0.0411045555786946</c:v>
                </c:pt>
                <c:pt idx="4">
                  <c:v>-0.053090748633961</c:v>
                </c:pt>
                <c:pt idx="5">
                  <c:v>-0.0650769416892273</c:v>
                </c:pt>
                <c:pt idx="6">
                  <c:v>-0.0770631347444935</c:v>
                </c:pt>
                <c:pt idx="7">
                  <c:v>-0.0890493277997599</c:v>
                </c:pt>
                <c:pt idx="8">
                  <c:v>-0.101035520855026</c:v>
                </c:pt>
                <c:pt idx="9">
                  <c:v>-0.113021713910293</c:v>
                </c:pt>
                <c:pt idx="10">
                  <c:v>-0.125007906965559</c:v>
                </c:pt>
                <c:pt idx="11">
                  <c:v>-0.136994100020825</c:v>
                </c:pt>
                <c:pt idx="12">
                  <c:v>-0.148980293076091</c:v>
                </c:pt>
                <c:pt idx="13">
                  <c:v>-0.160966486131358</c:v>
                </c:pt>
                <c:pt idx="14">
                  <c:v>-0.172952679186624</c:v>
                </c:pt>
                <c:pt idx="15">
                  <c:v>-0.18493887224189</c:v>
                </c:pt>
                <c:pt idx="16">
                  <c:v>-0.196925065297157</c:v>
                </c:pt>
                <c:pt idx="17">
                  <c:v>-0.208911258352423</c:v>
                </c:pt>
                <c:pt idx="18">
                  <c:v>-0.220897451407689</c:v>
                </c:pt>
                <c:pt idx="19">
                  <c:v>-0.232883644462956</c:v>
                </c:pt>
                <c:pt idx="20">
                  <c:v>-0.244869837518222</c:v>
                </c:pt>
                <c:pt idx="21">
                  <c:v>-0.256856030573488</c:v>
                </c:pt>
                <c:pt idx="22">
                  <c:v>-0.268842223628755</c:v>
                </c:pt>
                <c:pt idx="23">
                  <c:v>-0.280828416684021</c:v>
                </c:pt>
                <c:pt idx="24">
                  <c:v>-0.292814609739287</c:v>
                </c:pt>
                <c:pt idx="25">
                  <c:v>-0.304800802794554</c:v>
                </c:pt>
                <c:pt idx="26">
                  <c:v>-0.31678699584982</c:v>
                </c:pt>
              </c:numCache>
            </c:numRef>
          </c:val>
        </c:ser>
        <c:ser>
          <c:idx val="2"/>
          <c:order val="2"/>
          <c:tx>
            <c:strRef>
              <c:f>'Mid_laeyr(test)'!$R$77</c:f>
              <c:strCache>
                <c:ptCount val="1"/>
                <c:pt idx="0">
                  <c:v>Pnl %loss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'Mid_laeyr(test)'!$R$78:$R$104</c:f>
              <c:numCache>
                <c:formatCode>0.00%;[RED]\-0.00%</c:formatCode>
                <c:ptCount val="27"/>
              </c:numCache>
            </c:numRef>
          </c:val>
        </c:ser>
        <c:ser>
          <c:idx val="3"/>
          <c:order val="3"/>
          <c:spPr>
            <a:solidFill>
              <a:srgbClr val="ff420e"/>
            </a:solidFill>
            <a:ln w="0">
              <a:noFill/>
            </a:ln>
          </c:spPr>
          <c:invertIfNegative val="0"/>
          <c:cat>
            <c:strRef>
              <c:f>'Mid_laeyr(test)'!$B$78:$B$104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</c:ser>
        <c:gapWidth val="100"/>
        <c:overlap val="0"/>
        <c:axId val="93047542"/>
        <c:axId val="38009377"/>
      </c:barChart>
      <c:catAx>
        <c:axId val="93047542"/>
        <c:scaling>
          <c:orientation val="maxMin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38009377"/>
        <c:crosses val="max"/>
        <c:auto val="1"/>
        <c:lblAlgn val="ctr"/>
        <c:lblOffset val="100"/>
        <c:noMultiLvlLbl val="0"/>
      </c:catAx>
      <c:valAx>
        <c:axId val="3800937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93047542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09299587992937"/>
          <c:y val="0.059859390693003"/>
          <c:w val="0.757294206676196"/>
          <c:h val="0.790291262135922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'Mid_laeyr(test)'!$B$78:$B$104</c:f>
              <c:strCache>
                <c:ptCount val="27"/>
                <c:pt idx="0">
                  <c:v>$83,00</c:v>
                </c:pt>
                <c:pt idx="1">
                  <c:v>$82,00</c:v>
                </c:pt>
                <c:pt idx="2">
                  <c:v>$81,00</c:v>
                </c:pt>
                <c:pt idx="3">
                  <c:v>$80,00</c:v>
                </c:pt>
                <c:pt idx="4">
                  <c:v>$79,00</c:v>
                </c:pt>
                <c:pt idx="5">
                  <c:v>$78,00</c:v>
                </c:pt>
                <c:pt idx="6">
                  <c:v>$77,00</c:v>
                </c:pt>
                <c:pt idx="7">
                  <c:v>$76,00</c:v>
                </c:pt>
                <c:pt idx="8">
                  <c:v>$75,00</c:v>
                </c:pt>
                <c:pt idx="9">
                  <c:v>$74,00</c:v>
                </c:pt>
                <c:pt idx="10">
                  <c:v>$73,00</c:v>
                </c:pt>
                <c:pt idx="11">
                  <c:v>$72,00</c:v>
                </c:pt>
                <c:pt idx="12">
                  <c:v>$71,00</c:v>
                </c:pt>
                <c:pt idx="13">
                  <c:v>$70,00</c:v>
                </c:pt>
                <c:pt idx="14">
                  <c:v>$69,00</c:v>
                </c:pt>
                <c:pt idx="15">
                  <c:v>$68,00</c:v>
                </c:pt>
                <c:pt idx="16">
                  <c:v>$67,00</c:v>
                </c:pt>
                <c:pt idx="17">
                  <c:v>$66,00</c:v>
                </c:pt>
                <c:pt idx="18">
                  <c:v>$65,00</c:v>
                </c:pt>
                <c:pt idx="19">
                  <c:v>$64,00</c:v>
                </c:pt>
                <c:pt idx="20">
                  <c:v>$63,00</c:v>
                </c:pt>
                <c:pt idx="21">
                  <c:v>$62,00</c:v>
                </c:pt>
                <c:pt idx="22">
                  <c:v>$61,00</c:v>
                </c:pt>
                <c:pt idx="23">
                  <c:v>$60,00</c:v>
                </c:pt>
                <c:pt idx="24">
                  <c:v>$59,00</c:v>
                </c:pt>
                <c:pt idx="25">
                  <c:v>$58,00</c:v>
                </c:pt>
                <c:pt idx="26">
                  <c:v>$57,00</c:v>
                </c:pt>
              </c:strCache>
            </c:strRef>
          </c:cat>
          <c:val>
            <c:numRef>
              <c:f>'Mid_laeyr(test)'!$V$78:$V$104</c:f>
              <c:numCache>
                <c:formatCode>#,##0.00\ [$₽-419];[RED]\-#,##0.00\ [$₽-419]</c:formatCode>
                <c:ptCount val="27"/>
              </c:numCache>
            </c:numRef>
          </c:val>
        </c:ser>
        <c:gapWidth val="100"/>
        <c:overlap val="0"/>
        <c:axId val="22102106"/>
        <c:axId val="51481895"/>
      </c:barChart>
      <c:catAx>
        <c:axId val="22102106"/>
        <c:scaling>
          <c:orientation val="minMax"/>
        </c:scaling>
        <c:delete val="0"/>
        <c:axPos val="b"/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1481895"/>
        <c:crosses val="autoZero"/>
        <c:auto val="1"/>
        <c:lblAlgn val="ctr"/>
        <c:lblOffset val="100"/>
        <c:noMultiLvlLbl val="0"/>
      </c:catAx>
      <c:valAx>
        <c:axId val="514818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210210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158040</xdr:colOff>
      <xdr:row>0</xdr:row>
      <xdr:rowOff>81000</xdr:rowOff>
    </xdr:from>
    <xdr:to>
      <xdr:col>26</xdr:col>
      <xdr:colOff>434880</xdr:colOff>
      <xdr:row>22</xdr:row>
      <xdr:rowOff>86760</xdr:rowOff>
    </xdr:to>
    <xdr:graphicFrame>
      <xdr:nvGraphicFramePr>
        <xdr:cNvPr id="0" name="Chart 1"/>
        <xdr:cNvGraphicFramePr/>
      </xdr:nvGraphicFramePr>
      <xdr:xfrm>
        <a:off x="14886360" y="81000"/>
        <a:ext cx="6280560" cy="4129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464760</xdr:colOff>
      <xdr:row>0</xdr:row>
      <xdr:rowOff>48240</xdr:rowOff>
    </xdr:from>
    <xdr:to>
      <xdr:col>34</xdr:col>
      <xdr:colOff>429120</xdr:colOff>
      <xdr:row>22</xdr:row>
      <xdr:rowOff>56880</xdr:rowOff>
    </xdr:to>
    <xdr:graphicFrame>
      <xdr:nvGraphicFramePr>
        <xdr:cNvPr id="1" name="Chart 2"/>
        <xdr:cNvGraphicFramePr/>
      </xdr:nvGraphicFramePr>
      <xdr:xfrm>
        <a:off x="19384560" y="48240"/>
        <a:ext cx="6699240" cy="41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24</xdr:col>
      <xdr:colOff>364320</xdr:colOff>
      <xdr:row>40</xdr:row>
      <xdr:rowOff>120960</xdr:rowOff>
    </xdr:from>
    <xdr:to>
      <xdr:col>35</xdr:col>
      <xdr:colOff>113760</xdr:colOff>
      <xdr:row>54</xdr:row>
      <xdr:rowOff>3600</xdr:rowOff>
    </xdr:to>
    <xdr:graphicFrame>
      <xdr:nvGraphicFramePr>
        <xdr:cNvPr id="2" name="Chart 1"/>
        <xdr:cNvGraphicFramePr/>
      </xdr:nvGraphicFramePr>
      <xdr:xfrm>
        <a:off x="19451880" y="7683840"/>
        <a:ext cx="6349680" cy="281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519840</xdr:colOff>
      <xdr:row>19</xdr:row>
      <xdr:rowOff>11160</xdr:rowOff>
    </xdr:from>
    <xdr:to>
      <xdr:col>35</xdr:col>
      <xdr:colOff>254520</xdr:colOff>
      <xdr:row>37</xdr:row>
      <xdr:rowOff>44280</xdr:rowOff>
    </xdr:to>
    <xdr:graphicFrame>
      <xdr:nvGraphicFramePr>
        <xdr:cNvPr id="3" name="Chart 2"/>
        <xdr:cNvGraphicFramePr/>
      </xdr:nvGraphicFramePr>
      <xdr:xfrm>
        <a:off x="16619760" y="3230640"/>
        <a:ext cx="9322560" cy="374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522360</xdr:colOff>
      <xdr:row>0</xdr:row>
      <xdr:rowOff>73440</xdr:rowOff>
    </xdr:from>
    <xdr:to>
      <xdr:col>30</xdr:col>
      <xdr:colOff>231480</xdr:colOff>
      <xdr:row>17</xdr:row>
      <xdr:rowOff>41760</xdr:rowOff>
    </xdr:to>
    <xdr:graphicFrame>
      <xdr:nvGraphicFramePr>
        <xdr:cNvPr id="4" name="Chart 1"/>
        <xdr:cNvGraphicFramePr/>
      </xdr:nvGraphicFramePr>
      <xdr:xfrm>
        <a:off x="16622280" y="73440"/>
        <a:ext cx="6355080" cy="281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519840</xdr:colOff>
      <xdr:row>22</xdr:row>
      <xdr:rowOff>11160</xdr:rowOff>
    </xdr:from>
    <xdr:to>
      <xdr:col>35</xdr:col>
      <xdr:colOff>254520</xdr:colOff>
      <xdr:row>40</xdr:row>
      <xdr:rowOff>44280</xdr:rowOff>
    </xdr:to>
    <xdr:graphicFrame>
      <xdr:nvGraphicFramePr>
        <xdr:cNvPr id="5" name="Chart 2"/>
        <xdr:cNvGraphicFramePr/>
      </xdr:nvGraphicFramePr>
      <xdr:xfrm>
        <a:off x="16619760" y="3716280"/>
        <a:ext cx="9322560" cy="374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458280</xdr:colOff>
      <xdr:row>0</xdr:row>
      <xdr:rowOff>120600</xdr:rowOff>
    </xdr:from>
    <xdr:to>
      <xdr:col>27</xdr:col>
      <xdr:colOff>736920</xdr:colOff>
      <xdr:row>16</xdr:row>
      <xdr:rowOff>147240</xdr:rowOff>
    </xdr:to>
    <xdr:graphicFrame>
      <xdr:nvGraphicFramePr>
        <xdr:cNvPr id="6" name="Chart 1"/>
        <xdr:cNvGraphicFramePr/>
      </xdr:nvGraphicFramePr>
      <xdr:xfrm>
        <a:off x="17826840" y="120600"/>
        <a:ext cx="6279840" cy="2817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304200</xdr:colOff>
      <xdr:row>21</xdr:row>
      <xdr:rowOff>171720</xdr:rowOff>
    </xdr:from>
    <xdr:to>
      <xdr:col>29</xdr:col>
      <xdr:colOff>377640</xdr:colOff>
      <xdr:row>47</xdr:row>
      <xdr:rowOff>99720</xdr:rowOff>
    </xdr:to>
    <xdr:graphicFrame>
      <xdr:nvGraphicFramePr>
        <xdr:cNvPr id="7" name="Chart 2"/>
        <xdr:cNvGraphicFramePr/>
      </xdr:nvGraphicFramePr>
      <xdr:xfrm>
        <a:off x="16811640" y="3934080"/>
        <a:ext cx="8562600" cy="5376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68359375" defaultRowHeight="15" zeroHeight="false" outlineLevelRow="0" outlineLevelCol="0"/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2" t="s">
        <v>5</v>
      </c>
      <c r="B2" s="2" t="n">
        <v>0.8</v>
      </c>
      <c r="C2" s="2" t="n">
        <v>0.37</v>
      </c>
      <c r="D2" s="2" t="n">
        <v>0.99</v>
      </c>
      <c r="E2" s="2" t="n">
        <v>0.64353416</v>
      </c>
    </row>
    <row r="3" customFormat="false" ht="15" hidden="false" customHeight="true" outlineLevel="0" collapsed="false">
      <c r="A3" s="2" t="s">
        <v>6</v>
      </c>
      <c r="B3" s="2" t="n">
        <v>2.37</v>
      </c>
      <c r="C3" s="2" t="n">
        <v>1.37</v>
      </c>
      <c r="D3" s="2" t="n">
        <v>2.26</v>
      </c>
      <c r="E3" s="2" t="n">
        <v>1.80674609</v>
      </c>
    </row>
    <row r="4" customFormat="false" ht="15" hidden="false" customHeight="true" outlineLevel="0" collapsed="false">
      <c r="A4" s="2" t="s">
        <v>7</v>
      </c>
      <c r="B4" s="2" t="n">
        <v>0</v>
      </c>
      <c r="C4" s="2" t="n">
        <v>0.06</v>
      </c>
      <c r="D4" s="2" t="n">
        <v>0.65</v>
      </c>
      <c r="E4" s="2" t="n">
        <v>0.21214754</v>
      </c>
    </row>
    <row r="5" customFormat="false" ht="15" hidden="false" customHeight="true" outlineLevel="0" collapsed="false">
      <c r="A5" s="2" t="s">
        <v>8</v>
      </c>
      <c r="B5" s="2" t="n">
        <v>0.12</v>
      </c>
      <c r="C5" s="2" t="n">
        <v>0.05</v>
      </c>
      <c r="D5" s="2" t="n">
        <v>2.19</v>
      </c>
      <c r="E5" s="2" t="n">
        <v>0.07997281</v>
      </c>
    </row>
    <row r="6" customFormat="false" ht="15" hidden="false" customHeight="true" outlineLevel="0" collapsed="false">
      <c r="A6" s="2" t="s">
        <v>9</v>
      </c>
      <c r="B6" s="2" t="n">
        <v>0.2</v>
      </c>
      <c r="C6" s="2" t="n">
        <v>0.22</v>
      </c>
      <c r="D6" s="2" t="n">
        <v>0.89</v>
      </c>
      <c r="E6" s="2" t="n">
        <v>0.38102552</v>
      </c>
    </row>
    <row r="7" customFormat="false" ht="15" hidden="false" customHeight="true" outlineLevel="0" collapsed="false">
      <c r="A7" s="2" t="s">
        <v>10</v>
      </c>
      <c r="B7" s="2" t="n">
        <v>0</v>
      </c>
      <c r="C7" s="2" t="n">
        <v>0.51</v>
      </c>
      <c r="D7" s="2" t="n">
        <v>1.09</v>
      </c>
      <c r="E7" s="2" t="n">
        <v>0.52817038</v>
      </c>
    </row>
    <row r="8" customFormat="false" ht="15" hidden="false" customHeight="true" outlineLevel="0" collapsed="false">
      <c r="A8" s="2" t="s">
        <v>11</v>
      </c>
      <c r="B8" s="2" t="n">
        <v>0.3</v>
      </c>
      <c r="C8" s="2" t="n">
        <v>0.36</v>
      </c>
      <c r="D8" s="2" t="n">
        <v>1.21</v>
      </c>
      <c r="E8" s="2" t="n">
        <v>0.73391824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" activeCellId="0" sqref="L3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s="1" t="s">
        <v>23</v>
      </c>
      <c r="N1" s="1" t="s">
        <v>24</v>
      </c>
    </row>
    <row r="2" customFormat="false" ht="15" hidden="false" customHeight="false" outlineLevel="0" collapsed="false">
      <c r="A2" s="0" t="s">
        <v>25</v>
      </c>
      <c r="B2" s="0" t="n">
        <v>70</v>
      </c>
      <c r="C2" s="0" t="n">
        <v>-0.01008718</v>
      </c>
      <c r="D2" s="0" t="n">
        <v>0.00356522</v>
      </c>
      <c r="E2" s="0" t="n">
        <v>0.00201379</v>
      </c>
      <c r="F2" s="0" t="n">
        <v>-0.03606924</v>
      </c>
      <c r="G2" s="0" t="n">
        <v>0.02649941</v>
      </c>
      <c r="H2" s="0" t="n">
        <v>1.0045</v>
      </c>
      <c r="I2" s="0" t="n">
        <v>2</v>
      </c>
      <c r="J2" s="0" t="n">
        <v>0.00547945205479452</v>
      </c>
      <c r="K2" s="0" t="s">
        <v>26</v>
      </c>
      <c r="L2" s="0" t="n">
        <v>96</v>
      </c>
      <c r="M2" s="0" t="n">
        <v>0.013249705</v>
      </c>
      <c r="N2" s="0" t="s">
        <v>27</v>
      </c>
    </row>
    <row r="3" customFormat="false" ht="15" hidden="false" customHeight="false" outlineLevel="0" collapsed="false">
      <c r="A3" s="0" t="s">
        <v>28</v>
      </c>
      <c r="B3" s="0" t="n">
        <v>75</v>
      </c>
      <c r="C3" s="0" t="n">
        <v>-0.03098647</v>
      </c>
      <c r="D3" s="0" t="n">
        <v>0.01135762</v>
      </c>
      <c r="E3" s="0" t="n">
        <v>0.00524092</v>
      </c>
      <c r="F3" s="0" t="n">
        <v>-0.07668744</v>
      </c>
      <c r="G3" s="0" t="n">
        <v>0.07610039</v>
      </c>
      <c r="H3" s="0" t="n">
        <v>0.8207</v>
      </c>
      <c r="I3" s="0" t="n">
        <v>2</v>
      </c>
      <c r="J3" s="0" t="n">
        <v>0.00547945205479452</v>
      </c>
      <c r="K3" s="0" t="s">
        <v>26</v>
      </c>
      <c r="L3" s="0" t="n">
        <v>85.58</v>
      </c>
      <c r="M3" s="0" t="n">
        <v>0.038050195</v>
      </c>
      <c r="N3" s="0" t="s">
        <v>27</v>
      </c>
    </row>
    <row r="4" customFormat="false" ht="15" hidden="false" customHeight="false" outlineLevel="0" collapsed="false">
      <c r="A4" s="0" t="s">
        <v>29</v>
      </c>
      <c r="B4" s="0" t="n">
        <v>80</v>
      </c>
      <c r="C4" s="0" t="n">
        <v>-0.11502033</v>
      </c>
      <c r="D4" s="0" t="n">
        <v>0.03960462</v>
      </c>
      <c r="E4" s="0" t="n">
        <v>0.01455716</v>
      </c>
      <c r="F4" s="0" t="n">
        <v>-0.16966961</v>
      </c>
      <c r="G4" s="0" t="n">
        <v>0.28170008</v>
      </c>
      <c r="H4" s="0" t="n">
        <v>0.6537</v>
      </c>
      <c r="I4" s="0" t="n">
        <v>2</v>
      </c>
      <c r="J4" s="0" t="n">
        <v>0.00547945205479452</v>
      </c>
      <c r="K4" s="0" t="s">
        <v>26</v>
      </c>
      <c r="L4" s="0" t="n">
        <v>85.58</v>
      </c>
      <c r="M4" s="0" t="n">
        <v>0.14085004</v>
      </c>
      <c r="N4" s="0" t="s">
        <v>27</v>
      </c>
    </row>
    <row r="5" customFormat="false" ht="15" hidden="false" customHeight="false" outlineLevel="0" collapsed="false">
      <c r="A5" s="0" t="s">
        <v>30</v>
      </c>
      <c r="B5" s="0" t="n">
        <v>84</v>
      </c>
      <c r="C5" s="0" t="n">
        <v>-0.34645871</v>
      </c>
      <c r="D5" s="0" t="n">
        <v>0.08707619</v>
      </c>
      <c r="E5" s="0" t="n">
        <v>0.02767184</v>
      </c>
      <c r="F5" s="0" t="n">
        <v>-0.27885171</v>
      </c>
      <c r="G5" s="0" t="n">
        <v>1.01142283</v>
      </c>
      <c r="H5" s="0" t="n">
        <v>0.5652</v>
      </c>
      <c r="I5" s="0" t="n">
        <v>2</v>
      </c>
      <c r="J5" s="0" t="n">
        <v>0.00547945205479452</v>
      </c>
      <c r="K5" s="0" t="s">
        <v>26</v>
      </c>
      <c r="L5" s="0" t="n">
        <v>85.58</v>
      </c>
      <c r="M5" s="0" t="n">
        <v>0.505711415</v>
      </c>
      <c r="N5" s="0" t="s">
        <v>31</v>
      </c>
    </row>
    <row r="6" customFormat="false" ht="15" hidden="false" customHeight="false" outlineLevel="0" collapsed="false">
      <c r="A6" s="0" t="s">
        <v>32</v>
      </c>
      <c r="B6" s="0" t="n">
        <v>86</v>
      </c>
      <c r="C6" s="0" t="n">
        <v>-0.53250089</v>
      </c>
      <c r="D6" s="0" t="n">
        <v>0.09485621</v>
      </c>
      <c r="E6" s="0" t="n">
        <v>0.0298165</v>
      </c>
      <c r="F6" s="0" t="n">
        <v>-0.29719694</v>
      </c>
      <c r="G6" s="0" t="n">
        <v>1.90875052</v>
      </c>
      <c r="H6" s="0" t="n">
        <v>0.559</v>
      </c>
      <c r="I6" s="0" t="n">
        <v>2</v>
      </c>
      <c r="J6" s="0" t="n">
        <v>0.00547945205479452</v>
      </c>
      <c r="K6" s="0" t="s">
        <v>26</v>
      </c>
      <c r="L6" s="0" t="n">
        <v>85.58</v>
      </c>
      <c r="M6" s="0" t="n">
        <v>0.95437526</v>
      </c>
      <c r="N6" s="0" t="s">
        <v>27</v>
      </c>
    </row>
    <row r="7" customFormat="false" ht="15" hidden="false" customHeight="false" outlineLevel="0" collapsed="false">
      <c r="A7" s="0" t="s">
        <v>33</v>
      </c>
      <c r="B7" s="0" t="n">
        <v>90</v>
      </c>
      <c r="C7" s="0" t="n">
        <v>-0.81533195</v>
      </c>
      <c r="D7" s="0" t="n">
        <v>0.05691203</v>
      </c>
      <c r="E7" s="0" t="n">
        <v>0.01999414</v>
      </c>
      <c r="F7" s="0" t="n">
        <v>-0.22274003</v>
      </c>
      <c r="G7" s="0" t="n">
        <v>4.90640456</v>
      </c>
      <c r="H7" s="0" t="n">
        <v>0.6248</v>
      </c>
      <c r="I7" s="0" t="n">
        <v>2</v>
      </c>
      <c r="J7" s="0" t="n">
        <v>0.00547945205479452</v>
      </c>
      <c r="K7" s="0" t="s">
        <v>26</v>
      </c>
      <c r="L7" s="0" t="n">
        <v>85.58</v>
      </c>
      <c r="M7" s="0" t="n">
        <v>2.45320228</v>
      </c>
      <c r="N7" s="0" t="s">
        <v>27</v>
      </c>
    </row>
    <row r="8" customFormat="false" ht="15" hidden="false" customHeight="false" outlineLevel="0" collapsed="false">
      <c r="A8" s="0" t="s">
        <v>34</v>
      </c>
      <c r="B8" s="0" t="n">
        <v>95</v>
      </c>
      <c r="C8" s="0" t="n">
        <v>-0.93896507</v>
      </c>
      <c r="D8" s="0" t="n">
        <v>0.02128018</v>
      </c>
      <c r="E8" s="0" t="n">
        <v>0.00905311</v>
      </c>
      <c r="F8" s="0" t="n">
        <v>-0.12212835</v>
      </c>
      <c r="G8" s="0" t="n">
        <v>9.59153319</v>
      </c>
      <c r="H8" s="0" t="n">
        <v>0.7566</v>
      </c>
      <c r="I8" s="0" t="n">
        <v>2</v>
      </c>
      <c r="J8" s="0" t="n">
        <v>0.00547945205479452</v>
      </c>
      <c r="K8" s="0" t="s">
        <v>26</v>
      </c>
      <c r="L8" s="0" t="n">
        <v>85.58</v>
      </c>
      <c r="M8" s="0" t="n">
        <v>4.795766595</v>
      </c>
      <c r="N8" s="0" t="s">
        <v>27</v>
      </c>
    </row>
    <row r="9" customFormat="false" ht="15" hidden="false" customHeight="false" outlineLevel="0" collapsed="false">
      <c r="A9" s="0" t="s">
        <v>35</v>
      </c>
      <c r="B9" s="0" t="n">
        <v>100</v>
      </c>
      <c r="C9" s="0" t="n">
        <v>-0.97518104</v>
      </c>
      <c r="D9" s="0" t="n">
        <v>0.00871271</v>
      </c>
      <c r="E9" s="0" t="n">
        <v>0.00435605</v>
      </c>
      <c r="F9" s="0" t="n">
        <v>-0.06906017</v>
      </c>
      <c r="G9" s="0" t="n">
        <v>14.50655446</v>
      </c>
      <c r="H9" s="0" t="n">
        <v>0.8892</v>
      </c>
      <c r="I9" s="0" t="n">
        <v>2</v>
      </c>
      <c r="J9" s="0" t="n">
        <v>0.00547945205479452</v>
      </c>
      <c r="K9" s="0" t="s">
        <v>26</v>
      </c>
      <c r="L9" s="0" t="n">
        <v>85.58</v>
      </c>
      <c r="M9" s="0" t="n">
        <v>7.25327723</v>
      </c>
      <c r="N9" s="0" t="s">
        <v>27</v>
      </c>
    </row>
    <row r="10" customFormat="false" ht="15" hidden="false" customHeight="false" outlineLevel="0" collapsed="false">
      <c r="A10" s="0" t="s">
        <v>36</v>
      </c>
      <c r="B10" s="0" t="n">
        <v>65</v>
      </c>
      <c r="C10" s="0" t="n">
        <v>-0.0119375</v>
      </c>
      <c r="D10" s="0" t="n">
        <v>0.00290932</v>
      </c>
      <c r="E10" s="0" t="n">
        <v>0.00305095</v>
      </c>
      <c r="F10" s="0" t="n">
        <v>-0.03458466</v>
      </c>
      <c r="G10" s="0" t="n">
        <v>0.04589346</v>
      </c>
      <c r="H10" s="0" t="n">
        <v>1.0892</v>
      </c>
      <c r="I10" s="0" t="n">
        <v>4</v>
      </c>
      <c r="J10" s="0" t="n">
        <v>0.010958904109589</v>
      </c>
      <c r="K10" s="0" t="s">
        <v>26</v>
      </c>
      <c r="L10" s="0" t="n">
        <v>85.58</v>
      </c>
      <c r="M10" s="0" t="n">
        <v>0.011473365</v>
      </c>
      <c r="N10" s="0" t="s">
        <v>37</v>
      </c>
    </row>
    <row r="11" customFormat="false" ht="15" hidden="false" customHeight="false" outlineLevel="0" collapsed="false">
      <c r="A11" s="0" t="s">
        <v>38</v>
      </c>
      <c r="B11" s="0" t="n">
        <v>70</v>
      </c>
      <c r="C11" s="0" t="n">
        <v>-0.02778847</v>
      </c>
      <c r="D11" s="0" t="n">
        <v>0.00693114</v>
      </c>
      <c r="E11" s="0" t="n">
        <v>0.00626484</v>
      </c>
      <c r="F11" s="0" t="n">
        <v>-0.06120967</v>
      </c>
      <c r="G11" s="0" t="n">
        <v>0.1018983</v>
      </c>
      <c r="H11" s="0" t="n">
        <v>0.9388</v>
      </c>
      <c r="I11" s="0" t="n">
        <v>4</v>
      </c>
      <c r="J11" s="0" t="n">
        <v>0.010958904109589</v>
      </c>
      <c r="K11" s="0" t="s">
        <v>26</v>
      </c>
      <c r="L11" s="0" t="n">
        <v>85.58</v>
      </c>
      <c r="M11" s="0" t="n">
        <v>0.025474575</v>
      </c>
      <c r="N11" s="0" t="s">
        <v>39</v>
      </c>
    </row>
    <row r="12" customFormat="false" ht="15" hidden="false" customHeight="false" outlineLevel="0" collapsed="false">
      <c r="A12" s="0" t="s">
        <v>40</v>
      </c>
      <c r="B12" s="0" t="n">
        <v>75</v>
      </c>
      <c r="C12" s="0" t="n">
        <v>-0.06935478</v>
      </c>
      <c r="D12" s="0" t="n">
        <v>0.01702286</v>
      </c>
      <c r="E12" s="0" t="n">
        <v>0.01308139</v>
      </c>
      <c r="F12" s="0" t="n">
        <v>-0.10866239</v>
      </c>
      <c r="G12" s="0" t="n">
        <v>0.24874906</v>
      </c>
      <c r="H12" s="0" t="n">
        <v>0.7982</v>
      </c>
      <c r="I12" s="0" t="n">
        <v>4</v>
      </c>
      <c r="J12" s="0" t="n">
        <v>0.010958904109589</v>
      </c>
      <c r="K12" s="0" t="s">
        <v>26</v>
      </c>
      <c r="L12" s="0" t="n">
        <v>85.58</v>
      </c>
      <c r="M12" s="0" t="n">
        <v>0.062187265</v>
      </c>
      <c r="N12" s="0" t="s">
        <v>41</v>
      </c>
    </row>
    <row r="13" customFormat="false" ht="15" hidden="false" customHeight="false" outlineLevel="0" collapsed="false">
      <c r="A13" s="0" t="s">
        <v>42</v>
      </c>
      <c r="B13" s="0" t="n">
        <v>78</v>
      </c>
      <c r="C13" s="0" t="n">
        <v>-0.12393151</v>
      </c>
      <c r="D13" s="0" t="n">
        <v>0.02892419</v>
      </c>
      <c r="E13" s="0" t="n">
        <v>0.02007839</v>
      </c>
      <c r="F13" s="0" t="n">
        <v>-0.15066111</v>
      </c>
      <c r="G13" s="0" t="n">
        <v>0.45046156</v>
      </c>
      <c r="H13" s="0" t="n">
        <v>0.721</v>
      </c>
      <c r="I13" s="0" t="n">
        <v>4</v>
      </c>
      <c r="J13" s="0" t="n">
        <v>0.010958904109589</v>
      </c>
      <c r="K13" s="0" t="s">
        <v>26</v>
      </c>
      <c r="L13" s="0" t="n">
        <v>85.58</v>
      </c>
      <c r="M13" s="0" t="n">
        <v>0.11261539</v>
      </c>
      <c r="N13" s="0" t="s">
        <v>43</v>
      </c>
    </row>
    <row r="14" customFormat="false" ht="15" hidden="false" customHeight="false" outlineLevel="0" collapsed="false">
      <c r="A14" s="0" t="s">
        <v>44</v>
      </c>
      <c r="B14" s="0" t="n">
        <v>80</v>
      </c>
      <c r="C14" s="0" t="n">
        <v>-0.18348904</v>
      </c>
      <c r="D14" s="0" t="n">
        <v>0.04011022</v>
      </c>
      <c r="E14" s="0" t="n">
        <v>0.02605899</v>
      </c>
      <c r="F14" s="0" t="n">
        <v>-0.18300563</v>
      </c>
      <c r="G14" s="0" t="n">
        <v>0.68702784</v>
      </c>
      <c r="H14" s="0" t="n">
        <v>0.6748</v>
      </c>
      <c r="I14" s="0" t="n">
        <v>4</v>
      </c>
      <c r="J14" s="0" t="n">
        <v>0.010958904109589</v>
      </c>
      <c r="K14" s="0" t="s">
        <v>26</v>
      </c>
      <c r="L14" s="0" t="n">
        <v>85.58</v>
      </c>
      <c r="M14" s="0" t="n">
        <v>0.17175696</v>
      </c>
      <c r="N14" s="0" t="s">
        <v>45</v>
      </c>
    </row>
    <row r="15" customFormat="false" ht="15" hidden="false" customHeight="false" outlineLevel="0" collapsed="false">
      <c r="A15" s="0" t="s">
        <v>46</v>
      </c>
      <c r="B15" s="0" t="n">
        <v>82</v>
      </c>
      <c r="C15" s="0" t="n">
        <v>-0.26936359</v>
      </c>
      <c r="D15" s="0" t="n">
        <v>0.05297924</v>
      </c>
      <c r="E15" s="0" t="n">
        <v>0.0324061</v>
      </c>
      <c r="F15" s="0" t="n">
        <v>-0.21426544</v>
      </c>
      <c r="G15" s="0" t="n">
        <v>1.06595628</v>
      </c>
      <c r="H15" s="0" t="n">
        <v>0.6353</v>
      </c>
      <c r="I15" s="0" t="n">
        <v>4</v>
      </c>
      <c r="J15" s="0" t="n">
        <v>0.010958904109589</v>
      </c>
      <c r="K15" s="0" t="s">
        <v>26</v>
      </c>
      <c r="L15" s="0" t="n">
        <v>85.58</v>
      </c>
      <c r="M15" s="0" t="n">
        <v>0.26648907</v>
      </c>
      <c r="N15" s="0" t="s">
        <v>47</v>
      </c>
    </row>
    <row r="16" customFormat="false" ht="15" hidden="false" customHeight="false" outlineLevel="0" collapsed="false">
      <c r="A16" s="0" t="s">
        <v>48</v>
      </c>
      <c r="B16" s="0" t="n">
        <v>84</v>
      </c>
      <c r="C16" s="0" t="n">
        <v>-0.38420524</v>
      </c>
      <c r="D16" s="0" t="n">
        <v>0.06426195</v>
      </c>
      <c r="E16" s="0" t="n">
        <v>0.03748522</v>
      </c>
      <c r="F16" s="0" t="n">
        <v>-0.23635818</v>
      </c>
      <c r="G16" s="0" t="n">
        <v>1.66366888</v>
      </c>
      <c r="H16" s="0" t="n">
        <v>0.6059</v>
      </c>
      <c r="I16" s="0" t="n">
        <v>4</v>
      </c>
      <c r="J16" s="0" t="n">
        <v>0.010958904109589</v>
      </c>
      <c r="K16" s="0" t="s">
        <v>26</v>
      </c>
      <c r="L16" s="0" t="n">
        <v>85.58</v>
      </c>
      <c r="M16" s="0" t="n">
        <v>0.41591722</v>
      </c>
      <c r="N16" s="0" t="s">
        <v>49</v>
      </c>
    </row>
    <row r="17" customFormat="false" ht="15" hidden="false" customHeight="false" outlineLevel="0" collapsed="false">
      <c r="A17" s="0" t="s">
        <v>50</v>
      </c>
      <c r="B17" s="0" t="n">
        <v>85</v>
      </c>
      <c r="C17" s="0" t="n">
        <v>-0.45049248</v>
      </c>
      <c r="D17" s="0" t="n">
        <v>0.06687408</v>
      </c>
      <c r="E17" s="0" t="n">
        <v>0.0388442</v>
      </c>
      <c r="F17" s="0" t="n">
        <v>-0.24389275</v>
      </c>
      <c r="G17" s="0" t="n">
        <v>2.09826699</v>
      </c>
      <c r="H17" s="0" t="n">
        <v>0.6033</v>
      </c>
      <c r="I17" s="0" t="n">
        <v>4</v>
      </c>
      <c r="J17" s="0" t="n">
        <v>0.010958904109589</v>
      </c>
      <c r="K17" s="0" t="s">
        <v>26</v>
      </c>
      <c r="L17" s="0" t="n">
        <v>85.58</v>
      </c>
      <c r="M17" s="0" t="n">
        <v>0.5245667475</v>
      </c>
      <c r="N17" s="0" t="s">
        <v>51</v>
      </c>
    </row>
    <row r="18" customFormat="false" ht="15" hidden="false" customHeight="false" outlineLevel="0" collapsed="false">
      <c r="A18" s="0" t="s">
        <v>52</v>
      </c>
      <c r="B18" s="0" t="n">
        <v>86</v>
      </c>
      <c r="C18" s="0" t="n">
        <v>-0.5179698</v>
      </c>
      <c r="D18" s="0" t="n">
        <v>0.06761202</v>
      </c>
      <c r="E18" s="0" t="n">
        <v>0.03910629</v>
      </c>
      <c r="F18" s="0" t="n">
        <v>-0.24449712</v>
      </c>
      <c r="G18" s="0" t="n">
        <v>2.59999718</v>
      </c>
      <c r="H18" s="0" t="n">
        <v>0.6008</v>
      </c>
      <c r="I18" s="0" t="n">
        <v>4</v>
      </c>
      <c r="J18" s="0" t="n">
        <v>0.010958904109589</v>
      </c>
      <c r="K18" s="0" t="s">
        <v>26</v>
      </c>
      <c r="L18" s="0" t="n">
        <v>85.58</v>
      </c>
      <c r="M18" s="0" t="n">
        <v>0.649999295</v>
      </c>
      <c r="N18" s="0" t="s">
        <v>53</v>
      </c>
    </row>
    <row r="19" customFormat="false" ht="15" hidden="false" customHeight="false" outlineLevel="0" collapsed="false">
      <c r="A19" s="0" t="s">
        <v>54</v>
      </c>
      <c r="B19" s="0" t="n">
        <v>88</v>
      </c>
      <c r="C19" s="0" t="n">
        <v>-0.65076616</v>
      </c>
      <c r="D19" s="0" t="n">
        <v>0.06401726</v>
      </c>
      <c r="E19" s="0" t="n">
        <v>0.03631617</v>
      </c>
      <c r="F19" s="0" t="n">
        <v>-0.22269344</v>
      </c>
      <c r="G19" s="0" t="n">
        <v>3.77864469</v>
      </c>
      <c r="H19" s="0" t="n">
        <v>0.5892</v>
      </c>
      <c r="I19" s="0" t="n">
        <v>4</v>
      </c>
      <c r="J19" s="0" t="n">
        <v>0.010958904109589</v>
      </c>
      <c r="K19" s="0" t="s">
        <v>26</v>
      </c>
      <c r="L19" s="0" t="n">
        <v>85.58</v>
      </c>
      <c r="M19" s="0" t="n">
        <v>0.9446611725</v>
      </c>
      <c r="N19" s="0" t="s">
        <v>55</v>
      </c>
    </row>
    <row r="20" customFormat="false" ht="15" hidden="false" customHeight="false" outlineLevel="0" collapsed="false">
      <c r="A20" s="0" t="s">
        <v>56</v>
      </c>
      <c r="B20" s="0" t="n">
        <v>90</v>
      </c>
      <c r="C20" s="0" t="n">
        <v>-0.75903808</v>
      </c>
      <c r="D20" s="0" t="n">
        <v>0.05275126</v>
      </c>
      <c r="E20" s="0" t="n">
        <v>0.0305708</v>
      </c>
      <c r="F20" s="0" t="n">
        <v>-0.19150719</v>
      </c>
      <c r="G20" s="0" t="n">
        <v>5.2813583</v>
      </c>
      <c r="H20" s="0" t="n">
        <v>0.6019</v>
      </c>
      <c r="I20" s="0" t="n">
        <v>4</v>
      </c>
      <c r="J20" s="0" t="n">
        <v>0.010958904109589</v>
      </c>
      <c r="K20" s="0" t="s">
        <v>26</v>
      </c>
      <c r="L20" s="0" t="n">
        <v>85.58</v>
      </c>
      <c r="M20" s="0" t="n">
        <v>1.320339575</v>
      </c>
      <c r="N20" s="0" t="s">
        <v>57</v>
      </c>
    </row>
    <row r="21" customFormat="false" ht="15" hidden="false" customHeight="false" outlineLevel="0" collapsed="false">
      <c r="A21" s="0" t="s">
        <v>58</v>
      </c>
      <c r="B21" s="0" t="n">
        <v>92</v>
      </c>
      <c r="C21" s="0" t="n">
        <v>-0.83706573</v>
      </c>
      <c r="D21" s="0" t="n">
        <v>0.04019773</v>
      </c>
      <c r="E21" s="0" t="n">
        <v>0.02415944</v>
      </c>
      <c r="F21" s="0" t="n">
        <v>-0.15695553</v>
      </c>
      <c r="G21" s="0" t="n">
        <v>6.98088554</v>
      </c>
      <c r="H21" s="0" t="n">
        <v>0.6243</v>
      </c>
      <c r="I21" s="0" t="n">
        <v>4</v>
      </c>
      <c r="J21" s="0" t="n">
        <v>0.010958904109589</v>
      </c>
      <c r="K21" s="0" t="s">
        <v>26</v>
      </c>
      <c r="L21" s="0" t="n">
        <v>85.58</v>
      </c>
      <c r="M21" s="0" t="n">
        <v>1.745221385</v>
      </c>
      <c r="N21" s="0" t="s">
        <v>59</v>
      </c>
    </row>
    <row r="22" customFormat="false" ht="15" hidden="false" customHeight="false" outlineLevel="0" collapsed="false">
      <c r="A22" s="0" t="s">
        <v>60</v>
      </c>
      <c r="B22" s="0" t="n">
        <v>94</v>
      </c>
      <c r="C22" s="0" t="n">
        <v>-0.88956056</v>
      </c>
      <c r="D22" s="0" t="n">
        <v>0.02945726</v>
      </c>
      <c r="E22" s="0" t="n">
        <v>0.01850374</v>
      </c>
      <c r="F22" s="0" t="n">
        <v>-0.12564084</v>
      </c>
      <c r="G22" s="0" t="n">
        <v>8.80118029</v>
      </c>
      <c r="H22" s="0" t="n">
        <v>0.6524</v>
      </c>
      <c r="I22" s="0" t="n">
        <v>4</v>
      </c>
      <c r="J22" s="0" t="n">
        <v>0.010958904109589</v>
      </c>
      <c r="K22" s="0" t="s">
        <v>26</v>
      </c>
      <c r="L22" s="0" t="n">
        <v>85.58</v>
      </c>
      <c r="M22" s="0" t="n">
        <v>2.2002950725</v>
      </c>
      <c r="N22" s="0" t="s">
        <v>61</v>
      </c>
    </row>
    <row r="23" customFormat="false" ht="15" hidden="false" customHeight="false" outlineLevel="0" collapsed="false">
      <c r="A23" s="0" t="s">
        <v>62</v>
      </c>
      <c r="B23" s="0" t="n">
        <v>96</v>
      </c>
      <c r="C23" s="0" t="n">
        <v>-0.92404619</v>
      </c>
      <c r="D23" s="0" t="n">
        <v>0.02130114</v>
      </c>
      <c r="E23" s="0" t="n">
        <v>0.01402447</v>
      </c>
      <c r="F23" s="0" t="n">
        <v>-0.09981014</v>
      </c>
      <c r="G23" s="0" t="n">
        <v>10.691845</v>
      </c>
      <c r="H23" s="0" t="n">
        <v>0.6838</v>
      </c>
      <c r="I23" s="0" t="n">
        <v>4</v>
      </c>
      <c r="J23" s="0" t="n">
        <v>0.010958904109589</v>
      </c>
      <c r="K23" s="0" t="s">
        <v>26</v>
      </c>
      <c r="L23" s="0" t="n">
        <v>85.58</v>
      </c>
      <c r="M23" s="0" t="n">
        <v>2.67296125</v>
      </c>
      <c r="N23" s="0" t="s">
        <v>31</v>
      </c>
    </row>
    <row r="24" customFormat="false" ht="15" hidden="false" customHeight="false" outlineLevel="0" collapsed="false">
      <c r="A24" s="0" t="s">
        <v>63</v>
      </c>
      <c r="B24" s="0" t="n">
        <v>98</v>
      </c>
      <c r="C24" s="0" t="n">
        <v>-0.94673464</v>
      </c>
      <c r="D24" s="0" t="n">
        <v>0.01542055</v>
      </c>
      <c r="E24" s="0" t="n">
        <v>0.01064218</v>
      </c>
      <c r="F24" s="0" t="n">
        <v>-0.07938995</v>
      </c>
      <c r="G24" s="0" t="n">
        <v>12.623379</v>
      </c>
      <c r="H24" s="0" t="n">
        <v>0.7168</v>
      </c>
      <c r="I24" s="0" t="n">
        <v>4</v>
      </c>
      <c r="J24" s="0" t="n">
        <v>0.010958904109589</v>
      </c>
      <c r="K24" s="0" t="s">
        <v>26</v>
      </c>
      <c r="L24" s="0" t="n">
        <v>85.58</v>
      </c>
      <c r="M24" s="0" t="n">
        <v>3.15584475</v>
      </c>
      <c r="N24" s="0" t="s">
        <v>64</v>
      </c>
    </row>
    <row r="25" customFormat="false" ht="15" hidden="false" customHeight="false" outlineLevel="0" collapsed="false">
      <c r="A25" s="0" t="s">
        <v>65</v>
      </c>
      <c r="B25" s="0" t="n">
        <v>100</v>
      </c>
      <c r="C25" s="0" t="n">
        <v>-0.96186582</v>
      </c>
      <c r="D25" s="0" t="n">
        <v>0.01125818</v>
      </c>
      <c r="E25" s="0" t="n">
        <v>0.00813323</v>
      </c>
      <c r="F25" s="0" t="n">
        <v>-0.063513</v>
      </c>
      <c r="G25" s="0" t="n">
        <v>14.57912637</v>
      </c>
      <c r="H25" s="0" t="n">
        <v>0.7504</v>
      </c>
      <c r="I25" s="0" t="n">
        <v>4</v>
      </c>
      <c r="J25" s="0" t="n">
        <v>0.010958904109589</v>
      </c>
      <c r="K25" s="0" t="s">
        <v>26</v>
      </c>
      <c r="L25" s="0" t="n">
        <v>85.58</v>
      </c>
      <c r="M25" s="0" t="n">
        <v>3.6447815925</v>
      </c>
      <c r="N25" s="0" t="s">
        <v>66</v>
      </c>
    </row>
    <row r="26" customFormat="false" ht="15" hidden="false" customHeight="false" outlineLevel="0" collapsed="false">
      <c r="A26" s="0" t="s">
        <v>67</v>
      </c>
      <c r="B26" s="0" t="n">
        <v>102</v>
      </c>
      <c r="C26" s="0" t="n">
        <v>-0.97214553</v>
      </c>
      <c r="D26" s="0" t="n">
        <v>0.0083171</v>
      </c>
      <c r="E26" s="0" t="n">
        <v>0.00627724</v>
      </c>
      <c r="F26" s="0" t="n">
        <v>-0.05121171</v>
      </c>
      <c r="G26" s="0" t="n">
        <v>16.54963605</v>
      </c>
      <c r="H26" s="0" t="n">
        <v>0.7839</v>
      </c>
      <c r="I26" s="0" t="n">
        <v>4</v>
      </c>
      <c r="J26" s="0" t="n">
        <v>0.010958904109589</v>
      </c>
      <c r="K26" s="0" t="s">
        <v>26</v>
      </c>
      <c r="L26" s="0" t="n">
        <v>85.58</v>
      </c>
      <c r="M26" s="0" t="n">
        <v>4.1374090125</v>
      </c>
      <c r="N26" s="0" t="s">
        <v>31</v>
      </c>
    </row>
    <row r="27" customFormat="false" ht="15" hidden="false" customHeight="false" outlineLevel="0" collapsed="false">
      <c r="A27" s="0" t="s">
        <v>8</v>
      </c>
      <c r="B27" s="0" t="n">
        <v>60</v>
      </c>
      <c r="C27" s="0" t="n">
        <v>-0.0159575</v>
      </c>
      <c r="D27" s="0" t="n">
        <v>0.00271988</v>
      </c>
      <c r="E27" s="0" t="n">
        <v>0.00613836</v>
      </c>
      <c r="F27" s="0" t="n">
        <v>-0.02483851</v>
      </c>
      <c r="G27" s="0" t="n">
        <v>0.0886545</v>
      </c>
      <c r="H27" s="0" t="n">
        <v>0.9553</v>
      </c>
      <c r="I27" s="0" t="n">
        <v>11</v>
      </c>
      <c r="J27" s="0" t="n">
        <v>0.0301369863013699</v>
      </c>
      <c r="K27" s="0" t="s">
        <v>26</v>
      </c>
      <c r="L27" s="0" t="n">
        <v>85.58</v>
      </c>
      <c r="M27" s="0" t="n">
        <v>0.0080595</v>
      </c>
      <c r="N27" s="0" t="s">
        <v>68</v>
      </c>
    </row>
    <row r="28" customFormat="false" ht="15" hidden="false" customHeight="false" outlineLevel="0" collapsed="false">
      <c r="A28" s="0" t="s">
        <v>9</v>
      </c>
      <c r="B28" s="0" t="n">
        <v>70</v>
      </c>
      <c r="C28" s="0" t="n">
        <v>-0.06118015</v>
      </c>
      <c r="D28" s="0" t="n">
        <v>0.01047067</v>
      </c>
      <c r="E28" s="0" t="n">
        <v>0.01859074</v>
      </c>
      <c r="F28" s="0" t="n">
        <v>-0.05918201</v>
      </c>
      <c r="G28" s="0" t="n">
        <v>0.32200134</v>
      </c>
      <c r="H28" s="0" t="n">
        <v>0.7516</v>
      </c>
      <c r="I28" s="0" t="n">
        <v>11</v>
      </c>
      <c r="J28" s="0" t="n">
        <v>0.0301369863013699</v>
      </c>
      <c r="K28" s="0" t="s">
        <v>26</v>
      </c>
      <c r="L28" s="0" t="n">
        <v>85.58</v>
      </c>
      <c r="M28" s="0" t="n">
        <v>0.0292728490909091</v>
      </c>
      <c r="N28" s="0" t="s">
        <v>69</v>
      </c>
    </row>
    <row r="29" customFormat="false" ht="15" hidden="false" customHeight="false" outlineLevel="0" collapsed="false">
      <c r="A29" s="0" t="s">
        <v>10</v>
      </c>
      <c r="B29" s="0" t="n">
        <v>72</v>
      </c>
      <c r="C29" s="0" t="n">
        <v>-0.08120607</v>
      </c>
      <c r="D29" s="0" t="n">
        <v>0.01366986</v>
      </c>
      <c r="E29" s="0" t="n">
        <v>0.02311023</v>
      </c>
      <c r="F29" s="0" t="n">
        <v>-0.07005112</v>
      </c>
      <c r="G29" s="0" t="n">
        <v>0.42799091</v>
      </c>
      <c r="H29" s="0" t="n">
        <v>0.7157</v>
      </c>
      <c r="I29" s="0" t="n">
        <v>11</v>
      </c>
      <c r="J29" s="0" t="n">
        <v>0.0301369863013699</v>
      </c>
      <c r="K29" s="0" t="s">
        <v>26</v>
      </c>
      <c r="L29" s="0" t="n">
        <v>85.58</v>
      </c>
      <c r="M29" s="0" t="n">
        <v>0.0389082645454546</v>
      </c>
      <c r="N29" s="0" t="s">
        <v>70</v>
      </c>
    </row>
    <row r="30" customFormat="false" ht="15" hidden="false" customHeight="false" outlineLevel="0" collapsed="false">
      <c r="A30" s="0" t="s">
        <v>11</v>
      </c>
      <c r="B30" s="0" t="n">
        <v>74</v>
      </c>
      <c r="C30" s="0" t="n">
        <v>-0.1081426</v>
      </c>
      <c r="D30" s="0" t="n">
        <v>0.01772316</v>
      </c>
      <c r="E30" s="0" t="n">
        <v>0.02855013</v>
      </c>
      <c r="F30" s="0" t="n">
        <v>-0.08246046</v>
      </c>
      <c r="G30" s="0" t="n">
        <v>0.57485594</v>
      </c>
      <c r="H30" s="0" t="n">
        <v>0.6819</v>
      </c>
      <c r="I30" s="0" t="n">
        <v>11</v>
      </c>
      <c r="J30" s="0" t="n">
        <v>0.0301369863013699</v>
      </c>
      <c r="K30" s="0" t="s">
        <v>26</v>
      </c>
      <c r="L30" s="0" t="n">
        <v>85.58</v>
      </c>
      <c r="M30" s="0" t="n">
        <v>0.0522596309090909</v>
      </c>
      <c r="N30" s="0" t="s">
        <v>31</v>
      </c>
    </row>
    <row r="31" customFormat="false" ht="15" hidden="false" customHeight="false" outlineLevel="0" collapsed="false">
      <c r="A31" s="0" t="s">
        <v>71</v>
      </c>
      <c r="B31" s="0" t="n">
        <v>76</v>
      </c>
      <c r="C31" s="0" t="n">
        <v>-0.14416104</v>
      </c>
      <c r="D31" s="0" t="n">
        <v>0.02269415</v>
      </c>
      <c r="E31" s="0" t="n">
        <v>0.0348958</v>
      </c>
      <c r="F31" s="0" t="n">
        <v>-0.0962062</v>
      </c>
      <c r="G31" s="0" t="n">
        <v>0.78020647</v>
      </c>
      <c r="H31" s="0" t="n">
        <v>0.6509</v>
      </c>
      <c r="I31" s="0" t="n">
        <v>11</v>
      </c>
      <c r="J31" s="0" t="n">
        <v>0.0301369863013699</v>
      </c>
      <c r="K31" s="0" t="s">
        <v>26</v>
      </c>
      <c r="L31" s="0" t="n">
        <v>85.58</v>
      </c>
      <c r="M31" s="0" t="n">
        <v>0.0709278609090909</v>
      </c>
      <c r="N31" s="0" t="s">
        <v>72</v>
      </c>
    </row>
    <row r="32" customFormat="false" ht="15" hidden="false" customHeight="false" outlineLevel="0" collapsed="false">
      <c r="A32" s="0" t="s">
        <v>73</v>
      </c>
      <c r="B32" s="0" t="n">
        <v>78</v>
      </c>
      <c r="C32" s="0" t="n">
        <v>-0.19163007</v>
      </c>
      <c r="D32" s="0" t="n">
        <v>0.02847182</v>
      </c>
      <c r="E32" s="0" t="n">
        <v>0.04192897</v>
      </c>
      <c r="F32" s="0" t="n">
        <v>-0.11070923</v>
      </c>
      <c r="G32" s="0" t="n">
        <v>1.06882703</v>
      </c>
      <c r="H32" s="0" t="n">
        <v>0.6234</v>
      </c>
      <c r="I32" s="0" t="n">
        <v>11</v>
      </c>
      <c r="J32" s="0" t="n">
        <v>0.0301369863013699</v>
      </c>
      <c r="K32" s="0" t="s">
        <v>26</v>
      </c>
      <c r="L32" s="0" t="n">
        <v>85.58</v>
      </c>
      <c r="M32" s="0" t="n">
        <v>0.0971660936363636</v>
      </c>
      <c r="N32" s="0" t="s">
        <v>74</v>
      </c>
    </row>
    <row r="33" customFormat="false" ht="15" hidden="false" customHeight="false" outlineLevel="0" collapsed="false">
      <c r="A33" s="0" t="s">
        <v>75</v>
      </c>
      <c r="B33" s="0" t="n">
        <v>80</v>
      </c>
      <c r="C33" s="0" t="n">
        <v>-0.25249976</v>
      </c>
      <c r="D33" s="0" t="n">
        <v>0.03462278</v>
      </c>
      <c r="E33" s="0" t="n">
        <v>0.04910098</v>
      </c>
      <c r="F33" s="0" t="n">
        <v>-0.12485019</v>
      </c>
      <c r="G33" s="0" t="n">
        <v>1.47372439</v>
      </c>
      <c r="H33" s="0" t="n">
        <v>0.6003</v>
      </c>
      <c r="I33" s="0" t="n">
        <v>11</v>
      </c>
      <c r="J33" s="0" t="n">
        <v>0.0301369863013699</v>
      </c>
      <c r="K33" s="0" t="s">
        <v>26</v>
      </c>
      <c r="L33" s="0" t="n">
        <v>85.58</v>
      </c>
      <c r="M33" s="0" t="n">
        <v>0.133974944545455</v>
      </c>
      <c r="N33" s="0" t="s">
        <v>76</v>
      </c>
    </row>
    <row r="34" customFormat="false" ht="15" hidden="false" customHeight="false" outlineLevel="0" collapsed="false">
      <c r="A34" s="0" t="s">
        <v>77</v>
      </c>
      <c r="B34" s="0" t="n">
        <v>82</v>
      </c>
      <c r="C34" s="0" t="n">
        <v>-0.32713081</v>
      </c>
      <c r="D34" s="0" t="n">
        <v>0.04028517</v>
      </c>
      <c r="E34" s="0" t="n">
        <v>0.05546774</v>
      </c>
      <c r="F34" s="0" t="n">
        <v>-0.13693248</v>
      </c>
      <c r="G34" s="0" t="n">
        <v>2.0344058</v>
      </c>
      <c r="H34" s="0" t="n">
        <v>0.5829</v>
      </c>
      <c r="I34" s="0" t="n">
        <v>11</v>
      </c>
      <c r="J34" s="0" t="n">
        <v>0.0301369863013699</v>
      </c>
      <c r="K34" s="0" t="s">
        <v>26</v>
      </c>
      <c r="L34" s="0" t="n">
        <v>85.58</v>
      </c>
      <c r="M34" s="0" t="n">
        <v>0.184945981818182</v>
      </c>
      <c r="N34" s="0" t="s">
        <v>78</v>
      </c>
    </row>
    <row r="35" customFormat="false" ht="15" hidden="false" customHeight="false" outlineLevel="0" collapsed="false">
      <c r="A35" s="0" t="s">
        <v>79</v>
      </c>
      <c r="B35" s="0" t="n">
        <v>84</v>
      </c>
      <c r="C35" s="0" t="n">
        <v>-0.41289731</v>
      </c>
      <c r="D35" s="0" t="n">
        <v>0.04429467</v>
      </c>
      <c r="E35" s="0" t="n">
        <v>0.05985139</v>
      </c>
      <c r="F35" s="0" t="n">
        <v>-0.1449999</v>
      </c>
      <c r="G35" s="0" t="n">
        <v>2.78969388</v>
      </c>
      <c r="H35" s="0" t="n">
        <v>0.572</v>
      </c>
      <c r="I35" s="0" t="n">
        <v>11</v>
      </c>
      <c r="J35" s="0" t="n">
        <v>0.0301369863013699</v>
      </c>
      <c r="K35" s="0" t="s">
        <v>26</v>
      </c>
      <c r="L35" s="0" t="n">
        <v>85.58</v>
      </c>
      <c r="M35" s="0" t="n">
        <v>0.253608534545455</v>
      </c>
      <c r="N35" s="0" t="s">
        <v>80</v>
      </c>
    </row>
    <row r="36" customFormat="false" ht="15" hidden="false" customHeight="false" outlineLevel="0" collapsed="false">
      <c r="A36" s="0" t="s">
        <v>81</v>
      </c>
      <c r="B36" s="0" t="n">
        <v>86</v>
      </c>
      <c r="C36" s="0" t="n">
        <v>-0.50374941</v>
      </c>
      <c r="D36" s="0" t="n">
        <v>0.04567387</v>
      </c>
      <c r="E36" s="0" t="n">
        <v>0.06131608</v>
      </c>
      <c r="F36" s="0" t="n">
        <v>-0.14758822</v>
      </c>
      <c r="G36" s="0" t="n">
        <v>3.76511013</v>
      </c>
      <c r="H36" s="0" t="n">
        <v>0.5683</v>
      </c>
      <c r="I36" s="0" t="n">
        <v>11</v>
      </c>
      <c r="J36" s="0" t="n">
        <v>0.0301369863013699</v>
      </c>
      <c r="K36" s="0" t="s">
        <v>26</v>
      </c>
      <c r="L36" s="0" t="n">
        <v>85.58</v>
      </c>
      <c r="M36" s="0" t="n">
        <v>0.342282739090909</v>
      </c>
      <c r="N36" s="0" t="s">
        <v>82</v>
      </c>
    </row>
    <row r="37" customFormat="false" ht="15" hidden="false" customHeight="false" outlineLevel="0" collapsed="false">
      <c r="A37" s="0" t="s">
        <v>83</v>
      </c>
      <c r="B37" s="0" t="n">
        <v>88</v>
      </c>
      <c r="C37" s="0" t="n">
        <v>-0.59190824</v>
      </c>
      <c r="D37" s="0" t="n">
        <v>0.04420626</v>
      </c>
      <c r="E37" s="0" t="n">
        <v>0.05968425</v>
      </c>
      <c r="F37" s="0" t="n">
        <v>-0.14447961</v>
      </c>
      <c r="G37" s="0" t="n">
        <v>4.96171276</v>
      </c>
      <c r="H37" s="0" t="n">
        <v>0.5715</v>
      </c>
      <c r="I37" s="0" t="n">
        <v>11</v>
      </c>
      <c r="J37" s="0" t="n">
        <v>0.0301369863013699</v>
      </c>
      <c r="K37" s="0" t="s">
        <v>26</v>
      </c>
      <c r="L37" s="0" t="n">
        <v>85.58</v>
      </c>
      <c r="M37" s="0" t="n">
        <v>0.451064796363636</v>
      </c>
      <c r="N37" s="0" t="s">
        <v>66</v>
      </c>
    </row>
    <row r="38" customFormat="false" ht="15" hidden="false" customHeight="false" outlineLevel="0" collapsed="false">
      <c r="A38" s="0" t="s">
        <v>84</v>
      </c>
      <c r="B38" s="0" t="n">
        <v>90</v>
      </c>
      <c r="C38" s="0" t="n">
        <v>-0.67087472</v>
      </c>
      <c r="D38" s="0" t="n">
        <v>0.04053155</v>
      </c>
      <c r="E38" s="0" t="n">
        <v>0.05560418</v>
      </c>
      <c r="F38" s="0" t="n">
        <v>-0.13677049</v>
      </c>
      <c r="G38" s="0" t="n">
        <v>6.35580756</v>
      </c>
      <c r="H38" s="0" t="n">
        <v>0.5807</v>
      </c>
      <c r="I38" s="0" t="n">
        <v>11</v>
      </c>
      <c r="J38" s="0" t="n">
        <v>0.0301369863013699</v>
      </c>
      <c r="K38" s="0" t="s">
        <v>26</v>
      </c>
      <c r="L38" s="0" t="n">
        <v>85.58</v>
      </c>
      <c r="M38" s="0" t="n">
        <v>0.577800687272727</v>
      </c>
      <c r="N38" s="0" t="s">
        <v>85</v>
      </c>
    </row>
    <row r="39" customFormat="false" ht="15" hidden="false" customHeight="false" outlineLevel="0" collapsed="false">
      <c r="A39" s="0" t="s">
        <v>86</v>
      </c>
      <c r="B39" s="0" t="n">
        <v>93</v>
      </c>
      <c r="C39" s="0" t="n">
        <v>-0.76571124</v>
      </c>
      <c r="D39" s="0" t="n">
        <v>0.03311594</v>
      </c>
      <c r="E39" s="0" t="n">
        <v>0.04715415</v>
      </c>
      <c r="F39" s="0" t="n">
        <v>-0.12038533</v>
      </c>
      <c r="G39" s="0" t="n">
        <v>8.73422118</v>
      </c>
      <c r="H39" s="0" t="n">
        <v>0.6028</v>
      </c>
      <c r="I39" s="0" t="n">
        <v>11</v>
      </c>
      <c r="J39" s="0" t="n">
        <v>0.0301369863013699</v>
      </c>
      <c r="K39" s="0" t="s">
        <v>26</v>
      </c>
      <c r="L39" s="0" t="n">
        <v>85.58</v>
      </c>
      <c r="M39" s="0" t="n">
        <v>0.794020107272727</v>
      </c>
      <c r="N39" s="0" t="s">
        <v>31</v>
      </c>
    </row>
    <row r="40" customFormat="false" ht="15" hidden="false" customHeight="false" outlineLevel="0" collapsed="false">
      <c r="A40" s="0" t="s">
        <v>87</v>
      </c>
      <c r="B40" s="0" t="n">
        <v>95</v>
      </c>
      <c r="C40" s="0" t="n">
        <v>-0.8134597</v>
      </c>
      <c r="D40" s="0" t="n">
        <v>0.02810875</v>
      </c>
      <c r="E40" s="0" t="n">
        <v>0.04123953</v>
      </c>
      <c r="F40" s="0" t="n">
        <v>-0.10848171</v>
      </c>
      <c r="G40" s="0" t="n">
        <v>10.4563996</v>
      </c>
      <c r="H40" s="0" t="n">
        <v>0.6211</v>
      </c>
      <c r="I40" s="0" t="n">
        <v>11</v>
      </c>
      <c r="J40" s="0" t="n">
        <v>0.0301369863013699</v>
      </c>
      <c r="K40" s="0" t="s">
        <v>26</v>
      </c>
      <c r="L40" s="0" t="n">
        <v>85.58</v>
      </c>
      <c r="M40" s="0" t="n">
        <v>0.950581781818182</v>
      </c>
      <c r="N40" s="0" t="s">
        <v>31</v>
      </c>
    </row>
    <row r="41" customFormat="false" ht="15" hidden="false" customHeight="false" outlineLevel="0" collapsed="false">
      <c r="A41" s="0" t="s">
        <v>88</v>
      </c>
      <c r="B41" s="0" t="n">
        <v>100</v>
      </c>
      <c r="C41" s="0" t="n">
        <v>-0.89195653</v>
      </c>
      <c r="D41" s="0" t="n">
        <v>0.01794816</v>
      </c>
      <c r="E41" s="0" t="n">
        <v>0.02853129</v>
      </c>
      <c r="F41" s="0" t="n">
        <v>-0.08131931</v>
      </c>
      <c r="G41" s="0" t="n">
        <v>15.04138147</v>
      </c>
      <c r="H41" s="0" t="n">
        <v>0.6729</v>
      </c>
      <c r="I41" s="0" t="n">
        <v>11</v>
      </c>
      <c r="J41" s="0" t="n">
        <v>0.0301369863013699</v>
      </c>
      <c r="K41" s="0" t="s">
        <v>26</v>
      </c>
      <c r="L41" s="0" t="n">
        <v>85.58</v>
      </c>
      <c r="M41" s="0" t="n">
        <v>1.36739831545455</v>
      </c>
      <c r="N41" s="0" t="s">
        <v>27</v>
      </c>
    </row>
    <row r="42" customFormat="false" ht="15" hidden="false" customHeight="false" outlineLevel="0" collapsed="false">
      <c r="A42" s="0" t="s">
        <v>7</v>
      </c>
      <c r="B42" s="0" t="n">
        <v>60</v>
      </c>
      <c r="C42" s="0" t="n">
        <v>-0.01827967</v>
      </c>
      <c r="D42" s="0" t="n">
        <v>0.00296159</v>
      </c>
      <c r="E42" s="0" t="n">
        <v>0.00870756</v>
      </c>
      <c r="F42" s="0" t="n">
        <v>-0.01806298</v>
      </c>
      <c r="G42" s="0" t="n">
        <v>0.10676623</v>
      </c>
      <c r="H42" s="0" t="n">
        <v>0.7802</v>
      </c>
      <c r="I42" s="0" t="n">
        <v>18</v>
      </c>
      <c r="J42" s="0" t="n">
        <v>0.0493150684931507</v>
      </c>
      <c r="K42" s="0" t="s">
        <v>26</v>
      </c>
      <c r="L42" s="0" t="n">
        <v>85.58</v>
      </c>
      <c r="M42" s="0" t="n">
        <v>0.00593145722222222</v>
      </c>
      <c r="N42" s="0" t="s">
        <v>89</v>
      </c>
    </row>
    <row r="43" customFormat="false" ht="15" hidden="false" customHeight="false" outlineLevel="0" collapsed="false">
      <c r="A43" s="0" t="s">
        <v>90</v>
      </c>
      <c r="B43" s="0" t="n">
        <v>70</v>
      </c>
      <c r="C43" s="0" t="n">
        <v>-0.08046322</v>
      </c>
      <c r="D43" s="0" t="n">
        <v>0.01155679</v>
      </c>
      <c r="E43" s="0" t="n">
        <v>0.02898716</v>
      </c>
      <c r="F43" s="0" t="n">
        <v>-0.05129743</v>
      </c>
      <c r="G43" s="0" t="n">
        <v>0.50194311</v>
      </c>
      <c r="H43" s="0" t="n">
        <v>0.6656</v>
      </c>
      <c r="I43" s="0" t="n">
        <v>18</v>
      </c>
      <c r="J43" s="0" t="n">
        <v>0.0493150684931507</v>
      </c>
      <c r="K43" s="0" t="s">
        <v>26</v>
      </c>
      <c r="L43" s="0" t="n">
        <v>85.58</v>
      </c>
      <c r="M43" s="0" t="n">
        <v>0.0278857283333333</v>
      </c>
      <c r="N43" s="0" t="s">
        <v>27</v>
      </c>
    </row>
    <row r="44" customFormat="false" ht="15" hidden="false" customHeight="false" outlineLevel="0" collapsed="false">
      <c r="A44" s="0" t="s">
        <v>91</v>
      </c>
      <c r="B44" s="0" t="n">
        <v>72</v>
      </c>
      <c r="C44" s="0" t="n">
        <v>-0.10639174</v>
      </c>
      <c r="D44" s="0" t="n">
        <v>0.0146143</v>
      </c>
      <c r="E44" s="0" t="n">
        <v>0.03563788</v>
      </c>
      <c r="F44" s="0" t="n">
        <v>-0.06131505</v>
      </c>
      <c r="G44" s="0" t="n">
        <v>0.68265528</v>
      </c>
      <c r="H44" s="0" t="n">
        <v>0.6471</v>
      </c>
      <c r="I44" s="0" t="n">
        <v>18</v>
      </c>
      <c r="J44" s="0" t="n">
        <v>0.0493150684931507</v>
      </c>
      <c r="K44" s="0" t="s">
        <v>26</v>
      </c>
      <c r="L44" s="0" t="n">
        <v>85.58</v>
      </c>
      <c r="M44" s="0" t="n">
        <v>0.0379252933333333</v>
      </c>
      <c r="N44" s="0" t="s">
        <v>27</v>
      </c>
    </row>
    <row r="45" customFormat="false" ht="15" hidden="false" customHeight="false" outlineLevel="0" collapsed="false">
      <c r="A45" s="0" t="s">
        <v>92</v>
      </c>
      <c r="B45" s="0" t="n">
        <v>74</v>
      </c>
      <c r="C45" s="0" t="n">
        <v>-0.13926895</v>
      </c>
      <c r="D45" s="0" t="n">
        <v>0.01812391</v>
      </c>
      <c r="E45" s="0" t="n">
        <v>0.04305581</v>
      </c>
      <c r="F45" s="0" t="n">
        <v>-0.0721661</v>
      </c>
      <c r="G45" s="0" t="n">
        <v>0.92522892</v>
      </c>
      <c r="H45" s="0" t="n">
        <v>0.6304</v>
      </c>
      <c r="I45" s="0" t="n">
        <v>18</v>
      </c>
      <c r="J45" s="0" t="n">
        <v>0.0493150684931507</v>
      </c>
      <c r="K45" s="0" t="s">
        <v>26</v>
      </c>
      <c r="L45" s="0" t="n">
        <v>85.58</v>
      </c>
      <c r="M45" s="0" t="n">
        <v>0.0514016066666667</v>
      </c>
      <c r="N45" s="0" t="s">
        <v>93</v>
      </c>
    </row>
    <row r="46" customFormat="false" ht="15" hidden="false" customHeight="false" outlineLevel="0" collapsed="false">
      <c r="A46" s="0" t="s">
        <v>94</v>
      </c>
      <c r="B46" s="0" t="n">
        <v>76</v>
      </c>
      <c r="C46" s="0" t="n">
        <v>-0.18001708</v>
      </c>
      <c r="D46" s="0" t="n">
        <v>0.02195719</v>
      </c>
      <c r="E46" s="0" t="n">
        <v>0.0509434</v>
      </c>
      <c r="F46" s="0" t="n">
        <v>-0.08339126</v>
      </c>
      <c r="G46" s="0" t="n">
        <v>1.2472853</v>
      </c>
      <c r="H46" s="0" t="n">
        <v>0.6157</v>
      </c>
      <c r="I46" s="0" t="n">
        <v>18</v>
      </c>
      <c r="J46" s="0" t="n">
        <v>0.0493150684931507</v>
      </c>
      <c r="K46" s="0" t="s">
        <v>26</v>
      </c>
      <c r="L46" s="0" t="n">
        <v>85.58</v>
      </c>
      <c r="M46" s="0" t="n">
        <v>0.0692936277777778</v>
      </c>
      <c r="N46" s="0" t="s">
        <v>95</v>
      </c>
    </row>
    <row r="47" customFormat="false" ht="15" hidden="false" customHeight="false" outlineLevel="0" collapsed="false">
      <c r="A47" s="0" t="s">
        <v>96</v>
      </c>
      <c r="B47" s="0" t="n">
        <v>78</v>
      </c>
      <c r="C47" s="0" t="n">
        <v>-0.22912313</v>
      </c>
      <c r="D47" s="0" t="n">
        <v>0.02588192</v>
      </c>
      <c r="E47" s="0" t="n">
        <v>0.05882193</v>
      </c>
      <c r="F47" s="0" t="n">
        <v>-0.09431996</v>
      </c>
      <c r="G47" s="0" t="n">
        <v>1.66865404</v>
      </c>
      <c r="H47" s="0" t="n">
        <v>0.6031</v>
      </c>
      <c r="I47" s="0" t="n">
        <v>18</v>
      </c>
      <c r="J47" s="0" t="n">
        <v>0.0493150684931507</v>
      </c>
      <c r="K47" s="0" t="s">
        <v>26</v>
      </c>
      <c r="L47" s="0" t="n">
        <v>85.58</v>
      </c>
      <c r="M47" s="0" t="n">
        <v>0.0927030022222222</v>
      </c>
      <c r="N47" s="0" t="s">
        <v>27</v>
      </c>
    </row>
    <row r="48" customFormat="false" ht="15" hidden="false" customHeight="false" outlineLevel="0" collapsed="false">
      <c r="A48" s="0" t="s">
        <v>97</v>
      </c>
      <c r="B48" s="0" t="n">
        <v>80</v>
      </c>
      <c r="C48" s="0" t="n">
        <v>-0.28635541</v>
      </c>
      <c r="D48" s="0" t="n">
        <v>0.02956898</v>
      </c>
      <c r="E48" s="0" t="n">
        <v>0.06605702</v>
      </c>
      <c r="F48" s="0" t="n">
        <v>-0.10411734</v>
      </c>
      <c r="G48" s="0" t="n">
        <v>2.2098409</v>
      </c>
      <c r="H48" s="0" t="n">
        <v>0.5928</v>
      </c>
      <c r="I48" s="0" t="n">
        <v>18</v>
      </c>
      <c r="J48" s="0" t="n">
        <v>0.0493150684931507</v>
      </c>
      <c r="K48" s="0" t="s">
        <v>26</v>
      </c>
      <c r="L48" s="0" t="n">
        <v>85.58</v>
      </c>
      <c r="M48" s="0" t="n">
        <v>0.122768938888889</v>
      </c>
      <c r="N48" s="0" t="s">
        <v>27</v>
      </c>
    </row>
    <row r="49" customFormat="false" ht="15" hidden="false" customHeight="false" outlineLevel="0" collapsed="false">
      <c r="A49" s="0" t="s">
        <v>98</v>
      </c>
      <c r="B49" s="0" t="n">
        <v>82</v>
      </c>
      <c r="C49" s="0" t="n">
        <v>-0.35154815</v>
      </c>
      <c r="D49" s="0" t="n">
        <v>0.03231854</v>
      </c>
      <c r="E49" s="0" t="n">
        <v>0.07202165</v>
      </c>
      <c r="F49" s="0" t="n">
        <v>-0.11323897</v>
      </c>
      <c r="G49" s="0" t="n">
        <v>2.9355105</v>
      </c>
      <c r="H49" s="0" t="n">
        <v>0.5914</v>
      </c>
      <c r="I49" s="0" t="n">
        <v>18</v>
      </c>
      <c r="J49" s="0" t="n">
        <v>0.0493150684931507</v>
      </c>
      <c r="K49" s="0" t="s">
        <v>26</v>
      </c>
      <c r="L49" s="0" t="n">
        <v>85.58</v>
      </c>
      <c r="M49" s="0" t="n">
        <v>0.163083916666667</v>
      </c>
      <c r="N49" s="0" t="s">
        <v>27</v>
      </c>
    </row>
    <row r="50" customFormat="false" ht="15" hidden="false" customHeight="false" outlineLevel="0" collapsed="false">
      <c r="A50" s="0" t="s">
        <v>99</v>
      </c>
      <c r="B50" s="0" t="n">
        <v>84</v>
      </c>
      <c r="C50" s="0" t="n">
        <v>-0.42005047</v>
      </c>
      <c r="D50" s="0" t="n">
        <v>0.03413745</v>
      </c>
      <c r="E50" s="0" t="n">
        <v>0.07588718</v>
      </c>
      <c r="F50" s="0" t="n">
        <v>-0.11902202</v>
      </c>
      <c r="G50" s="0" t="n">
        <v>3.79999863</v>
      </c>
      <c r="H50" s="0" t="n">
        <v>0.5899</v>
      </c>
      <c r="I50" s="0" t="n">
        <v>18</v>
      </c>
      <c r="J50" s="0" t="n">
        <v>0.0493150684931507</v>
      </c>
      <c r="K50" s="0" t="s">
        <v>26</v>
      </c>
      <c r="L50" s="0" t="n">
        <v>85.58</v>
      </c>
      <c r="M50" s="0" t="n">
        <v>0.211111035</v>
      </c>
      <c r="N50" s="0" t="s">
        <v>100</v>
      </c>
    </row>
    <row r="51" customFormat="false" ht="15" hidden="false" customHeight="false" outlineLevel="0" collapsed="false">
      <c r="A51" s="0" t="s">
        <v>101</v>
      </c>
      <c r="B51" s="0" t="n">
        <v>86</v>
      </c>
      <c r="C51" s="0" t="n">
        <v>-0.49059116</v>
      </c>
      <c r="D51" s="0" t="n">
        <v>0.03562257</v>
      </c>
      <c r="E51" s="0" t="n">
        <v>0.07742611</v>
      </c>
      <c r="F51" s="0" t="n">
        <v>-0.11873293</v>
      </c>
      <c r="G51" s="0" t="n">
        <v>4.71456282</v>
      </c>
      <c r="H51" s="0" t="n">
        <v>0.5768</v>
      </c>
      <c r="I51" s="0" t="n">
        <v>18</v>
      </c>
      <c r="J51" s="0" t="n">
        <v>0.0493150684931507</v>
      </c>
      <c r="K51" s="0" t="s">
        <v>26</v>
      </c>
      <c r="L51" s="0" t="n">
        <v>85.58</v>
      </c>
      <c r="M51" s="0" t="n">
        <v>0.261920156666667</v>
      </c>
      <c r="N51" s="0" t="s">
        <v>31</v>
      </c>
    </row>
    <row r="52" customFormat="false" ht="15" hidden="false" customHeight="false" outlineLevel="0" collapsed="false">
      <c r="A52" s="0" t="s">
        <v>102</v>
      </c>
      <c r="B52" s="0" t="n">
        <v>88</v>
      </c>
      <c r="C52" s="0" t="n">
        <v>-0.5605229</v>
      </c>
      <c r="D52" s="0" t="n">
        <v>0.03525371</v>
      </c>
      <c r="E52" s="0" t="n">
        <v>0.07655468</v>
      </c>
      <c r="F52" s="0" t="n">
        <v>-0.1172898</v>
      </c>
      <c r="G52" s="0" t="n">
        <v>5.86531984</v>
      </c>
      <c r="H52" s="0" t="n">
        <v>0.5762</v>
      </c>
      <c r="I52" s="0" t="n">
        <v>18</v>
      </c>
      <c r="J52" s="0" t="n">
        <v>0.0493150684931507</v>
      </c>
      <c r="K52" s="0" t="s">
        <v>26</v>
      </c>
      <c r="L52" s="0" t="n">
        <v>85.58</v>
      </c>
      <c r="M52" s="0" t="n">
        <v>0.325851102222222</v>
      </c>
      <c r="N52" s="0" t="s">
        <v>95</v>
      </c>
    </row>
    <row r="53" customFormat="false" ht="15" hidden="false" customHeight="false" outlineLevel="0" collapsed="false">
      <c r="A53" s="0" t="s">
        <v>103</v>
      </c>
      <c r="B53" s="0" t="n">
        <v>100</v>
      </c>
      <c r="C53" s="0" t="n">
        <v>-0.85578768</v>
      </c>
      <c r="D53" s="0" t="n">
        <v>0.01920685</v>
      </c>
      <c r="E53" s="0" t="n">
        <v>0.04408511</v>
      </c>
      <c r="F53" s="0" t="n">
        <v>-0.07139197</v>
      </c>
      <c r="G53" s="0" t="n">
        <v>15.294003</v>
      </c>
      <c r="H53" s="0" t="n">
        <v>0.6091</v>
      </c>
      <c r="I53" s="0" t="n">
        <v>18</v>
      </c>
      <c r="J53" s="0" t="n">
        <v>0.0493150684931507</v>
      </c>
      <c r="K53" s="0" t="s">
        <v>26</v>
      </c>
      <c r="L53" s="0" t="n">
        <v>85.58</v>
      </c>
      <c r="M53" s="0" t="n">
        <v>0.849666833333333</v>
      </c>
      <c r="N53" s="0" t="s">
        <v>27</v>
      </c>
    </row>
    <row r="54" customFormat="false" ht="15" hidden="false" customHeight="false" outlineLevel="0" collapsed="false">
      <c r="A54" s="0" t="s">
        <v>104</v>
      </c>
      <c r="B54" s="0" t="n">
        <v>102</v>
      </c>
      <c r="C54" s="0" t="n">
        <v>-0.88200268</v>
      </c>
      <c r="D54" s="0" t="n">
        <v>0.01647331</v>
      </c>
      <c r="E54" s="0" t="n">
        <v>0.03837558</v>
      </c>
      <c r="F54" s="0" t="n">
        <v>-0.06307405</v>
      </c>
      <c r="G54" s="0" t="n">
        <v>17.12463082</v>
      </c>
      <c r="H54" s="0" t="n">
        <v>0.6182</v>
      </c>
      <c r="I54" s="0" t="n">
        <v>18</v>
      </c>
      <c r="J54" s="0" t="n">
        <v>0.0493150684931507</v>
      </c>
      <c r="K54" s="0" t="s">
        <v>26</v>
      </c>
      <c r="L54" s="0" t="n">
        <v>85.58</v>
      </c>
      <c r="M54" s="0" t="n">
        <v>0.951368378888889</v>
      </c>
      <c r="N54" s="0" t="s">
        <v>27</v>
      </c>
    </row>
    <row r="55" customFormat="false" ht="15" hidden="false" customHeight="false" outlineLevel="0" collapsed="false">
      <c r="A55" s="0" t="s">
        <v>105</v>
      </c>
      <c r="B55" s="0" t="n">
        <v>104</v>
      </c>
      <c r="C55" s="0" t="n">
        <v>-0.90338548</v>
      </c>
      <c r="D55" s="0" t="n">
        <v>0.0140429</v>
      </c>
      <c r="E55" s="0" t="n">
        <v>0.03322126</v>
      </c>
      <c r="F55" s="0" t="n">
        <v>-0.05544941</v>
      </c>
      <c r="G55" s="0" t="n">
        <v>18.99260851</v>
      </c>
      <c r="H55" s="0" t="n">
        <v>0.6278</v>
      </c>
      <c r="I55" s="0" t="n">
        <v>18</v>
      </c>
      <c r="J55" s="0" t="n">
        <v>0.0493150684931507</v>
      </c>
      <c r="K55" s="0" t="s">
        <v>26</v>
      </c>
      <c r="L55" s="0" t="n">
        <v>85.58</v>
      </c>
      <c r="M55" s="0" t="n">
        <v>1.05514491722222</v>
      </c>
      <c r="N55" s="0" t="s">
        <v>27</v>
      </c>
    </row>
    <row r="56" customFormat="false" ht="15" hidden="false" customHeight="false" outlineLevel="0" collapsed="false">
      <c r="A56" s="0" t="s">
        <v>106</v>
      </c>
      <c r="B56" s="0" t="n">
        <v>106</v>
      </c>
      <c r="C56" s="0" t="n">
        <v>-0.92075378</v>
      </c>
      <c r="D56" s="0" t="n">
        <v>0.01192376</v>
      </c>
      <c r="E56" s="0" t="n">
        <v>0.02865496</v>
      </c>
      <c r="F56" s="0" t="n">
        <v>-0.04858567</v>
      </c>
      <c r="G56" s="0" t="n">
        <v>20.88944832</v>
      </c>
      <c r="H56" s="0" t="n">
        <v>0.6377</v>
      </c>
      <c r="I56" s="0" t="n">
        <v>18</v>
      </c>
      <c r="J56" s="0" t="n">
        <v>0.0493150684931507</v>
      </c>
      <c r="K56" s="0" t="s">
        <v>26</v>
      </c>
      <c r="L56" s="0" t="n">
        <v>85.58</v>
      </c>
      <c r="M56" s="0" t="n">
        <v>1.16052490666667</v>
      </c>
      <c r="N56" s="0" t="s">
        <v>27</v>
      </c>
    </row>
    <row r="57" customFormat="false" ht="15" hidden="false" customHeight="false" outlineLevel="0" collapsed="false">
      <c r="A57" s="0" t="s">
        <v>107</v>
      </c>
      <c r="B57" s="0" t="n">
        <v>108</v>
      </c>
      <c r="C57" s="0" t="n">
        <v>-0.93483328</v>
      </c>
      <c r="D57" s="0" t="n">
        <v>0.01010148</v>
      </c>
      <c r="E57" s="0" t="n">
        <v>0.02466384</v>
      </c>
      <c r="F57" s="0" t="n">
        <v>-0.04248718</v>
      </c>
      <c r="G57" s="0" t="n">
        <v>22.80855059</v>
      </c>
      <c r="H57" s="0" t="n">
        <v>0.6479</v>
      </c>
      <c r="I57" s="0" t="n">
        <v>18</v>
      </c>
      <c r="J57" s="0" t="n">
        <v>0.0493150684931507</v>
      </c>
      <c r="K57" s="0" t="s">
        <v>26</v>
      </c>
      <c r="L57" s="0" t="n">
        <v>85.58</v>
      </c>
      <c r="M57" s="0" t="n">
        <v>1.26714169944444</v>
      </c>
      <c r="N57" s="0" t="s">
        <v>27</v>
      </c>
    </row>
    <row r="58" customFormat="false" ht="15" hidden="false" customHeight="false" outlineLevel="0" collapsed="false">
      <c r="A58" s="0" t="s">
        <v>108</v>
      </c>
      <c r="B58" s="0" t="n">
        <v>110</v>
      </c>
      <c r="C58" s="0" t="n">
        <v>-0.94624329</v>
      </c>
      <c r="D58" s="0" t="n">
        <v>0.00854962</v>
      </c>
      <c r="E58" s="0" t="n">
        <v>0.02120855</v>
      </c>
      <c r="F58" s="0" t="n">
        <v>-0.03711901</v>
      </c>
      <c r="G58" s="0" t="n">
        <v>24.74483164</v>
      </c>
      <c r="H58" s="0" t="n">
        <v>0.6583</v>
      </c>
      <c r="I58" s="0" t="n">
        <v>18</v>
      </c>
      <c r="J58" s="0" t="n">
        <v>0.0493150684931507</v>
      </c>
      <c r="K58" s="0" t="s">
        <v>26</v>
      </c>
      <c r="L58" s="0" t="n">
        <v>85.58</v>
      </c>
      <c r="M58" s="0" t="n">
        <v>1.37471286888889</v>
      </c>
      <c r="N58" s="0" t="s">
        <v>27</v>
      </c>
    </row>
    <row r="59" customFormat="false" ht="15" hidden="false" customHeight="false" outlineLevel="0" collapsed="false">
      <c r="A59" s="0" t="s">
        <v>109</v>
      </c>
      <c r="B59" s="0" t="n">
        <v>120</v>
      </c>
      <c r="C59" s="0" t="n">
        <v>-0.97826932</v>
      </c>
      <c r="D59" s="0" t="n">
        <v>0.00376599</v>
      </c>
      <c r="E59" s="0" t="n">
        <v>0.01008369</v>
      </c>
      <c r="F59" s="0" t="n">
        <v>-0.01904943</v>
      </c>
      <c r="G59" s="0" t="n">
        <v>34.57543544</v>
      </c>
      <c r="H59" s="0" t="n">
        <v>0.7105</v>
      </c>
      <c r="I59" s="0" t="n">
        <v>18</v>
      </c>
      <c r="J59" s="0" t="n">
        <v>0.0493150684931507</v>
      </c>
      <c r="K59" s="0" t="s">
        <v>26</v>
      </c>
      <c r="L59" s="0" t="n">
        <v>85.58</v>
      </c>
      <c r="M59" s="0" t="n">
        <v>1.92085752444444</v>
      </c>
      <c r="N59" s="0" t="s">
        <v>27</v>
      </c>
    </row>
    <row r="60" customFormat="false" ht="15" hidden="false" customHeight="false" outlineLevel="0" collapsed="false">
      <c r="A60" s="0" t="s">
        <v>5</v>
      </c>
      <c r="B60" s="0" t="n">
        <v>60</v>
      </c>
      <c r="C60" s="0" t="n">
        <v>-0.05332898</v>
      </c>
      <c r="D60" s="0" t="n">
        <v>0.00539004</v>
      </c>
      <c r="E60" s="0" t="n">
        <v>0.03060818</v>
      </c>
      <c r="F60" s="0" t="n">
        <v>-0.02746493</v>
      </c>
      <c r="G60" s="0" t="n">
        <v>0.49745667</v>
      </c>
      <c r="H60" s="0" t="n">
        <v>0.7144</v>
      </c>
      <c r="I60" s="0" t="n">
        <v>39</v>
      </c>
      <c r="J60" s="0" t="n">
        <v>0.106849315068493</v>
      </c>
      <c r="K60" s="0" t="s">
        <v>26</v>
      </c>
      <c r="L60" s="0" t="n">
        <v>85.58</v>
      </c>
      <c r="M60" s="0" t="n">
        <v>0.0127552992307692</v>
      </c>
      <c r="N60" s="0" t="s">
        <v>110</v>
      </c>
    </row>
    <row r="61" customFormat="false" ht="15" hidden="false" customHeight="false" outlineLevel="0" collapsed="false">
      <c r="A61" s="0" t="s">
        <v>6</v>
      </c>
      <c r="B61" s="0" t="n">
        <v>70</v>
      </c>
      <c r="C61" s="0" t="n">
        <v>-0.15294325</v>
      </c>
      <c r="D61" s="0" t="n">
        <v>0.01274985</v>
      </c>
      <c r="E61" s="0" t="n">
        <v>0.06659421</v>
      </c>
      <c r="F61" s="0" t="n">
        <v>-0.0549621</v>
      </c>
      <c r="G61" s="0" t="n">
        <v>1.63163607</v>
      </c>
      <c r="H61" s="0" t="n">
        <v>0.6571</v>
      </c>
      <c r="I61" s="0" t="n">
        <v>39</v>
      </c>
      <c r="J61" s="0" t="n">
        <v>0.106849315068493</v>
      </c>
      <c r="K61" s="0" t="s">
        <v>26</v>
      </c>
      <c r="L61" s="0" t="n">
        <v>85.58</v>
      </c>
      <c r="M61" s="0" t="n">
        <v>0.0418368223076923</v>
      </c>
      <c r="N61" s="0" t="s">
        <v>111</v>
      </c>
    </row>
    <row r="62" customFormat="false" ht="15" hidden="false" customHeight="false" outlineLevel="0" collapsed="false">
      <c r="A62" s="0" t="s">
        <v>112</v>
      </c>
      <c r="B62" s="0" t="n">
        <v>76</v>
      </c>
      <c r="C62" s="0" t="n">
        <v>-0.25411499</v>
      </c>
      <c r="D62" s="0" t="n">
        <v>0.0179726</v>
      </c>
      <c r="E62" s="0" t="n">
        <v>0.09037248</v>
      </c>
      <c r="F62" s="0" t="n">
        <v>-0.07180534</v>
      </c>
      <c r="G62" s="0" t="n">
        <v>3.03226142</v>
      </c>
      <c r="H62" s="0" t="n">
        <v>0.6326</v>
      </c>
      <c r="I62" s="0" t="n">
        <v>39</v>
      </c>
      <c r="J62" s="0" t="n">
        <v>0.106849315068493</v>
      </c>
      <c r="K62" s="0" t="s">
        <v>26</v>
      </c>
      <c r="L62" s="0" t="n">
        <v>85.58</v>
      </c>
      <c r="M62" s="0" t="n">
        <v>0.0777502928205128</v>
      </c>
      <c r="N62" s="0" t="s">
        <v>113</v>
      </c>
    </row>
    <row r="63" customFormat="false" ht="15" hidden="false" customHeight="false" outlineLevel="0" collapsed="false">
      <c r="A63" s="0" t="s">
        <v>114</v>
      </c>
      <c r="B63" s="0" t="n">
        <v>78</v>
      </c>
      <c r="C63" s="0" t="n">
        <v>-0.29435913</v>
      </c>
      <c r="D63" s="0" t="n">
        <v>0.01953014</v>
      </c>
      <c r="E63" s="0" t="n">
        <v>0.09718529</v>
      </c>
      <c r="F63" s="0" t="n">
        <v>-0.07641718</v>
      </c>
      <c r="G63" s="0" t="n">
        <v>3.66493613</v>
      </c>
      <c r="H63" s="0" t="n">
        <v>0.626</v>
      </c>
      <c r="I63" s="0" t="n">
        <v>39</v>
      </c>
      <c r="J63" s="0" t="n">
        <v>0.106849315068493</v>
      </c>
      <c r="K63" s="0" t="s">
        <v>26</v>
      </c>
      <c r="L63" s="0" t="n">
        <v>85.58</v>
      </c>
      <c r="M63" s="0" t="n">
        <v>0.0939727212820513</v>
      </c>
      <c r="N63" s="0" t="s">
        <v>115</v>
      </c>
    </row>
    <row r="64" customFormat="false" ht="15" hidden="false" customHeight="false" outlineLevel="0" collapsed="false">
      <c r="A64" s="0" t="s">
        <v>116</v>
      </c>
      <c r="B64" s="0" t="n">
        <v>80</v>
      </c>
      <c r="C64" s="0" t="n">
        <v>-0.33717089</v>
      </c>
      <c r="D64" s="0" t="n">
        <v>0.02088712</v>
      </c>
      <c r="E64" s="0" t="n">
        <v>0.10297765</v>
      </c>
      <c r="F64" s="0" t="n">
        <v>-0.08022369</v>
      </c>
      <c r="G64" s="0" t="n">
        <v>4.3907418</v>
      </c>
      <c r="H64" s="0" t="n">
        <v>0.6202</v>
      </c>
      <c r="I64" s="0" t="n">
        <v>39</v>
      </c>
      <c r="J64" s="0" t="n">
        <v>0.106849315068493</v>
      </c>
      <c r="K64" s="0" t="s">
        <v>26</v>
      </c>
      <c r="L64" s="0" t="n">
        <v>85.58</v>
      </c>
      <c r="M64" s="0" t="n">
        <v>0.112583123076923</v>
      </c>
      <c r="N64" s="0" t="s">
        <v>117</v>
      </c>
    </row>
    <row r="65" customFormat="false" ht="15" hidden="false" customHeight="false" outlineLevel="0" collapsed="false">
      <c r="A65" s="0" t="s">
        <v>118</v>
      </c>
      <c r="B65" s="0" t="n">
        <v>82</v>
      </c>
      <c r="C65" s="0" t="n">
        <v>-0.38193249</v>
      </c>
      <c r="D65" s="0" t="n">
        <v>0.02198633</v>
      </c>
      <c r="E65" s="0" t="n">
        <v>0.10751944</v>
      </c>
      <c r="F65" s="0" t="n">
        <v>-0.08308386</v>
      </c>
      <c r="G65" s="0" t="n">
        <v>5.21375917</v>
      </c>
      <c r="H65" s="0" t="n">
        <v>0.6152</v>
      </c>
      <c r="I65" s="0" t="n">
        <v>39</v>
      </c>
      <c r="J65" s="0" t="n">
        <v>0.106849315068493</v>
      </c>
      <c r="K65" s="0" t="s">
        <v>26</v>
      </c>
      <c r="L65" s="0" t="n">
        <v>85.58</v>
      </c>
      <c r="M65" s="0" t="n">
        <v>0.133686132564103</v>
      </c>
      <c r="N65" s="0" t="s">
        <v>119</v>
      </c>
    </row>
    <row r="66" customFormat="false" ht="15" hidden="false" customHeight="false" outlineLevel="0" collapsed="false">
      <c r="A66" s="0" t="s">
        <v>120</v>
      </c>
      <c r="B66" s="0" t="n">
        <v>84</v>
      </c>
      <c r="C66" s="0" t="n">
        <v>-0.42793194</v>
      </c>
      <c r="D66" s="0" t="n">
        <v>0.02278336</v>
      </c>
      <c r="E66" s="0" t="n">
        <v>0.11064177</v>
      </c>
      <c r="F66" s="0" t="n">
        <v>-0.08490159</v>
      </c>
      <c r="G66" s="0" t="n">
        <v>6.13632502</v>
      </c>
      <c r="H66" s="0" t="n">
        <v>0.6109</v>
      </c>
      <c r="I66" s="0" t="n">
        <v>39</v>
      </c>
      <c r="J66" s="0" t="n">
        <v>0.106849315068493</v>
      </c>
      <c r="K66" s="0" t="s">
        <v>26</v>
      </c>
      <c r="L66" s="0" t="n">
        <v>85.58</v>
      </c>
      <c r="M66" s="0" t="n">
        <v>0.157341667179487</v>
      </c>
      <c r="N66" s="0" t="s">
        <v>121</v>
      </c>
    </row>
    <row r="67" customFormat="false" ht="15" hidden="false" customHeight="false" outlineLevel="0" collapsed="false">
      <c r="A67" s="0" t="s">
        <v>122</v>
      </c>
      <c r="B67" s="0" t="n">
        <v>86</v>
      </c>
      <c r="C67" s="0" t="n">
        <v>-0.4744061</v>
      </c>
      <c r="D67" s="0" t="n">
        <v>0.02325049</v>
      </c>
      <c r="E67" s="0" t="n">
        <v>0.1122506</v>
      </c>
      <c r="F67" s="0" t="n">
        <v>-0.08563288</v>
      </c>
      <c r="G67" s="0" t="n">
        <v>7.15890843</v>
      </c>
      <c r="H67" s="0" t="n">
        <v>0.6074</v>
      </c>
      <c r="I67" s="0" t="n">
        <v>39</v>
      </c>
      <c r="J67" s="0" t="n">
        <v>0.106849315068493</v>
      </c>
      <c r="K67" s="0" t="s">
        <v>26</v>
      </c>
      <c r="L67" s="0" t="n">
        <v>85.58</v>
      </c>
      <c r="M67" s="0" t="n">
        <v>0.183561754615385</v>
      </c>
      <c r="N67" s="0" t="s">
        <v>123</v>
      </c>
    </row>
    <row r="68" customFormat="false" ht="15" hidden="false" customHeight="false" outlineLevel="0" collapsed="false">
      <c r="A68" s="0" t="s">
        <v>124</v>
      </c>
      <c r="B68" s="0" t="n">
        <v>90</v>
      </c>
      <c r="C68" s="0" t="n">
        <v>-0.56575389</v>
      </c>
      <c r="D68" s="0" t="n">
        <v>0.02317709</v>
      </c>
      <c r="E68" s="0" t="n">
        <v>0.11095084</v>
      </c>
      <c r="F68" s="0" t="n">
        <v>-0.08392621</v>
      </c>
      <c r="G68" s="0" t="n">
        <v>9.49682168</v>
      </c>
      <c r="H68" s="0" t="n">
        <v>0.6022</v>
      </c>
      <c r="I68" s="0" t="n">
        <v>39</v>
      </c>
      <c r="J68" s="0" t="n">
        <v>0.106849315068493</v>
      </c>
      <c r="K68" s="0" t="s">
        <v>26</v>
      </c>
      <c r="L68" s="0" t="n">
        <v>85.58</v>
      </c>
      <c r="M68" s="0" t="n">
        <v>0.243508248205128</v>
      </c>
      <c r="N68" s="0" t="s">
        <v>125</v>
      </c>
    </row>
    <row r="69" customFormat="false" ht="15" hidden="false" customHeight="false" outlineLevel="0" collapsed="false">
      <c r="A69" s="0" t="s">
        <v>126</v>
      </c>
      <c r="B69" s="0" t="n">
        <v>92</v>
      </c>
      <c r="C69" s="0" t="n">
        <v>-0.60926056</v>
      </c>
      <c r="D69" s="0" t="n">
        <v>0.0226717</v>
      </c>
      <c r="E69" s="0" t="n">
        <v>0.10823679</v>
      </c>
      <c r="F69" s="0" t="n">
        <v>-0.08165092</v>
      </c>
      <c r="G69" s="0" t="n">
        <v>10.80440383</v>
      </c>
      <c r="H69" s="0" t="n">
        <v>0.6006</v>
      </c>
      <c r="I69" s="0" t="n">
        <v>39</v>
      </c>
      <c r="J69" s="0" t="n">
        <v>0.106849315068493</v>
      </c>
      <c r="K69" s="0" t="s">
        <v>26</v>
      </c>
      <c r="L69" s="0" t="n">
        <v>85.58</v>
      </c>
      <c r="M69" s="0" t="n">
        <v>0.277035995641026</v>
      </c>
      <c r="N69" s="0" t="s">
        <v>127</v>
      </c>
    </row>
    <row r="70" customFormat="false" ht="15" hidden="false" customHeight="false" outlineLevel="0" collapsed="false">
      <c r="A70" s="0" t="s">
        <v>128</v>
      </c>
      <c r="B70" s="0" t="n">
        <v>94</v>
      </c>
      <c r="C70" s="0" t="n">
        <v>-0.65057587</v>
      </c>
      <c r="D70" s="0" t="n">
        <v>0.02190103</v>
      </c>
      <c r="E70" s="0" t="n">
        <v>0.10437166</v>
      </c>
      <c r="F70" s="0" t="n">
        <v>-0.07859518</v>
      </c>
      <c r="G70" s="0" t="n">
        <v>12.19705327</v>
      </c>
      <c r="H70" s="0" t="n">
        <v>0.5995</v>
      </c>
      <c r="I70" s="0" t="n">
        <v>39</v>
      </c>
      <c r="J70" s="0" t="n">
        <v>0.106849315068493</v>
      </c>
      <c r="K70" s="0" t="s">
        <v>26</v>
      </c>
      <c r="L70" s="0" t="n">
        <v>85.58</v>
      </c>
      <c r="M70" s="0" t="n">
        <v>0.312744955641026</v>
      </c>
      <c r="N70" s="0" t="s">
        <v>31</v>
      </c>
    </row>
    <row r="71" customFormat="false" ht="15" hidden="false" customHeight="false" outlineLevel="0" collapsed="false">
      <c r="A71" s="0" t="s">
        <v>129</v>
      </c>
      <c r="B71" s="0" t="n">
        <v>96</v>
      </c>
      <c r="C71" s="0" t="n">
        <v>-0.68929394</v>
      </c>
      <c r="D71" s="0" t="n">
        <v>0.02091215</v>
      </c>
      <c r="E71" s="0" t="n">
        <v>0.09956898</v>
      </c>
      <c r="F71" s="0" t="n">
        <v>-0.07491085</v>
      </c>
      <c r="G71" s="0" t="n">
        <v>13.66811981</v>
      </c>
      <c r="H71" s="0" t="n">
        <v>0.599</v>
      </c>
      <c r="I71" s="0" t="n">
        <v>39</v>
      </c>
      <c r="J71" s="0" t="n">
        <v>0.106849315068493</v>
      </c>
      <c r="K71" s="0" t="s">
        <v>26</v>
      </c>
      <c r="L71" s="0" t="n">
        <v>85.58</v>
      </c>
      <c r="M71" s="0" t="n">
        <v>0.350464610512821</v>
      </c>
      <c r="N71" s="0" t="s">
        <v>130</v>
      </c>
    </row>
    <row r="72" customFormat="false" ht="15" hidden="false" customHeight="false" outlineLevel="0" collapsed="false">
      <c r="A72" s="0" t="s">
        <v>131</v>
      </c>
      <c r="B72" s="0" t="n">
        <v>100</v>
      </c>
      <c r="C72" s="0" t="n">
        <v>-0.75796007</v>
      </c>
      <c r="D72" s="0" t="n">
        <v>0.01848391</v>
      </c>
      <c r="E72" s="0" t="n">
        <v>0.08805535</v>
      </c>
      <c r="F72" s="0" t="n">
        <v>-0.06628464</v>
      </c>
      <c r="G72" s="0" t="n">
        <v>16.81674846</v>
      </c>
      <c r="H72" s="0" t="n">
        <v>0.5993</v>
      </c>
      <c r="I72" s="0" t="n">
        <v>39</v>
      </c>
      <c r="J72" s="0" t="n">
        <v>0.106849315068493</v>
      </c>
      <c r="K72" s="0" t="s">
        <v>26</v>
      </c>
      <c r="L72" s="0" t="n">
        <v>85.58</v>
      </c>
      <c r="M72" s="0" t="n">
        <v>0.431198678461538</v>
      </c>
      <c r="N72" s="0" t="s">
        <v>132</v>
      </c>
    </row>
    <row r="73" customFormat="false" ht="15" hidden="false" customHeight="false" outlineLevel="0" collapsed="false">
      <c r="A73" s="0" t="s">
        <v>133</v>
      </c>
      <c r="B73" s="0" t="n">
        <v>106</v>
      </c>
      <c r="C73" s="0" t="n">
        <v>-0.83829179</v>
      </c>
      <c r="D73" s="0" t="n">
        <v>0.01441865</v>
      </c>
      <c r="E73" s="0" t="n">
        <v>0.06907925</v>
      </c>
      <c r="F73" s="0" t="n">
        <v>-0.05229569</v>
      </c>
      <c r="G73" s="0" t="n">
        <v>21.9487085</v>
      </c>
      <c r="H73" s="0" t="n">
        <v>0.6027</v>
      </c>
      <c r="I73" s="0" t="n">
        <v>39</v>
      </c>
      <c r="J73" s="0" t="n">
        <v>0.106849315068493</v>
      </c>
      <c r="K73" s="0" t="s">
        <v>26</v>
      </c>
      <c r="L73" s="0" t="n">
        <v>85.58</v>
      </c>
      <c r="M73" s="0" t="n">
        <v>0.562787397435898</v>
      </c>
      <c r="N73" s="0" t="s">
        <v>27</v>
      </c>
    </row>
    <row r="74" customFormat="false" ht="15" hidden="false" customHeight="false" outlineLevel="0" collapsed="false">
      <c r="A74" s="0" t="s">
        <v>134</v>
      </c>
      <c r="B74" s="0" t="n">
        <v>110</v>
      </c>
      <c r="C74" s="0" t="n">
        <v>-0.87799446</v>
      </c>
      <c r="D74" s="0" t="n">
        <v>0.01183633</v>
      </c>
      <c r="E74" s="0" t="n">
        <v>0.0570632</v>
      </c>
      <c r="F74" s="0" t="n">
        <v>-0.04347009</v>
      </c>
      <c r="G74" s="0" t="n">
        <v>25.56786873</v>
      </c>
      <c r="H74" s="0" t="n">
        <v>0.6065</v>
      </c>
      <c r="I74" s="0" t="n">
        <v>39</v>
      </c>
      <c r="J74" s="0" t="n">
        <v>0.106849315068493</v>
      </c>
      <c r="K74" s="0" t="s">
        <v>26</v>
      </c>
      <c r="L74" s="0" t="n">
        <v>85.58</v>
      </c>
      <c r="M74" s="0" t="n">
        <v>0.655586377692308</v>
      </c>
      <c r="N74" s="0" t="s">
        <v>27</v>
      </c>
    </row>
    <row r="75" customFormat="false" ht="15" hidden="false" customHeight="false" outlineLevel="0" collapsed="false">
      <c r="A75" s="0" t="s">
        <v>135</v>
      </c>
      <c r="B75" s="0" t="n">
        <v>120</v>
      </c>
      <c r="C75" s="0" t="n">
        <v>-0.94082477</v>
      </c>
      <c r="D75" s="0" t="n">
        <v>0.00674716</v>
      </c>
      <c r="E75" s="0" t="n">
        <v>0.03322448</v>
      </c>
      <c r="F75" s="0" t="n">
        <v>-0.02585179</v>
      </c>
      <c r="G75" s="0" t="n">
        <v>35.03153495</v>
      </c>
      <c r="H75" s="0" t="n">
        <v>0.6195</v>
      </c>
      <c r="I75" s="0" t="n">
        <v>39</v>
      </c>
      <c r="J75" s="0" t="n">
        <v>0.106849315068493</v>
      </c>
      <c r="K75" s="0" t="s">
        <v>26</v>
      </c>
      <c r="L75" s="0" t="n">
        <v>85.58</v>
      </c>
      <c r="M75" s="0" t="n">
        <v>0.898244485897436</v>
      </c>
      <c r="N75" s="0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3.5" zeroHeight="false" outlineLevelRow="0" outlineLevelCol="0"/>
  <cols>
    <col collapsed="false" customWidth="true" hidden="false" outlineLevel="0" max="1" min="1" style="2" width="4.31"/>
    <col collapsed="false" customWidth="true" hidden="false" outlineLevel="0" max="2" min="2" style="2" width="22.76"/>
    <col collapsed="false" customWidth="true" hidden="false" outlineLevel="0" max="3" min="3" style="2" width="13.95"/>
    <col collapsed="false" customWidth="true" hidden="false" outlineLevel="0" max="4" min="4" style="2" width="13.03"/>
    <col collapsed="false" customWidth="true" hidden="false" outlineLevel="0" max="5" min="5" style="2" width="8.35"/>
    <col collapsed="false" customWidth="true" hidden="false" outlineLevel="0" max="6" min="6" style="2" width="16.95"/>
    <col collapsed="false" customWidth="true" hidden="false" outlineLevel="0" max="7" min="7" style="2" width="15.94"/>
    <col collapsed="false" customWidth="true" hidden="false" outlineLevel="0" max="8" min="8" style="2" width="12.02"/>
    <col collapsed="false" customWidth="true" hidden="false" outlineLevel="0" max="9" min="9" style="2" width="7.08"/>
    <col collapsed="false" customWidth="true" hidden="false" outlineLevel="0" max="10" min="10" style="2" width="9.53"/>
    <col collapsed="false" customWidth="true" hidden="false" outlineLevel="0" max="11" min="11" style="2" width="8.8"/>
    <col collapsed="false" customWidth="true" hidden="false" outlineLevel="0" max="15" min="12" style="2" width="7.69"/>
    <col collapsed="false" customWidth="true" hidden="false" outlineLevel="0" max="16" min="16" style="2" width="6.58"/>
  </cols>
  <sheetData>
    <row r="1" customFormat="false" ht="13.5" hidden="false" customHeight="true" outlineLevel="0" collapsed="false">
      <c r="J1" s="3"/>
      <c r="K1" s="4"/>
      <c r="L1" s="4"/>
      <c r="M1" s="4"/>
      <c r="N1" s="3"/>
    </row>
    <row r="2" customFormat="false" ht="18.75" hidden="false" customHeight="true" outlineLevel="0" collapsed="false">
      <c r="A2" s="5" t="s">
        <v>136</v>
      </c>
      <c r="B2" s="5"/>
      <c r="C2" s="5"/>
      <c r="D2" s="5"/>
      <c r="E2" s="5"/>
      <c r="F2" s="5"/>
      <c r="G2" s="5"/>
      <c r="H2" s="5"/>
      <c r="I2" s="6"/>
      <c r="J2" s="6"/>
      <c r="O2" s="6"/>
      <c r="P2" s="6"/>
    </row>
    <row r="3" customFormat="false" ht="13.5" hidden="false" customHeight="true" outlineLevel="0" collapsed="false"/>
    <row r="4" customFormat="false" ht="16.5" hidden="false" customHeight="true" outlineLevel="0" collapsed="false">
      <c r="A4" s="7" t="s">
        <v>137</v>
      </c>
      <c r="B4" s="7" t="s">
        <v>138</v>
      </c>
      <c r="C4" s="7" t="s">
        <v>139</v>
      </c>
      <c r="D4" s="7" t="s">
        <v>140</v>
      </c>
      <c r="E4" s="7" t="s">
        <v>141</v>
      </c>
      <c r="F4" s="7" t="s">
        <v>142</v>
      </c>
      <c r="G4" s="7" t="s">
        <v>143</v>
      </c>
      <c r="H4" s="7" t="s">
        <v>144</v>
      </c>
      <c r="I4" s="8"/>
      <c r="J4" s="9"/>
    </row>
    <row r="5" customFormat="false" ht="16.5" hidden="false" customHeight="true" outlineLevel="0" collapsed="false">
      <c r="A5" s="7"/>
      <c r="B5" s="10" t="n">
        <v>46114</v>
      </c>
      <c r="C5" s="11" t="s">
        <v>145</v>
      </c>
      <c r="D5" s="11" t="n">
        <v>1.86</v>
      </c>
      <c r="E5" s="12" t="n">
        <v>81.5</v>
      </c>
      <c r="F5" s="12" t="n">
        <f aca="false">D5*E5</f>
        <v>151.59</v>
      </c>
      <c r="G5" s="12" t="n">
        <f aca="false">D5*Portfolio!$C$4</f>
        <v>178.56</v>
      </c>
      <c r="H5" s="12" t="n">
        <f aca="false">G5-F5</f>
        <v>26.97</v>
      </c>
      <c r="I5" s="8"/>
      <c r="J5" s="9"/>
    </row>
    <row r="6" customFormat="false" ht="16.5" hidden="false" customHeight="true" outlineLevel="0" collapsed="false">
      <c r="A6" s="13"/>
      <c r="B6" s="10" t="n">
        <v>46114</v>
      </c>
      <c r="C6" s="11" t="s">
        <v>146</v>
      </c>
      <c r="D6" s="11" t="n">
        <v>1.163245</v>
      </c>
      <c r="E6" s="12" t="n">
        <v>79.1887</v>
      </c>
      <c r="F6" s="12" t="n">
        <f aca="false">D6*E6</f>
        <v>92.1158593315</v>
      </c>
      <c r="G6" s="12" t="n">
        <f aca="false">D6*Portfolio!$C$4</f>
        <v>111.67152</v>
      </c>
      <c r="H6" s="12" t="n">
        <f aca="false">G6-F6</f>
        <v>19.5556606685</v>
      </c>
      <c r="I6" s="14"/>
      <c r="J6" s="14"/>
    </row>
    <row r="7" customFormat="false" ht="16.5" hidden="false" customHeight="true" outlineLevel="0" collapsed="false">
      <c r="A7" s="13"/>
      <c r="B7" s="10" t="n">
        <v>46114</v>
      </c>
      <c r="C7" s="11" t="s">
        <v>145</v>
      </c>
      <c r="D7" s="11" t="n">
        <f aca="false">2.005-D12</f>
        <v>1.0046</v>
      </c>
      <c r="E7" s="12" t="n">
        <v>81.5</v>
      </c>
      <c r="F7" s="12" t="n">
        <f aca="false">D7*E7</f>
        <v>81.8749</v>
      </c>
      <c r="G7" s="12" t="n">
        <f aca="false">D7*Portfolio!$C$4</f>
        <v>96.4416</v>
      </c>
      <c r="H7" s="12" t="n">
        <f aca="false">G7-F7</f>
        <v>14.5667</v>
      </c>
      <c r="I7" s="14"/>
      <c r="J7" s="14"/>
    </row>
    <row r="8" customFormat="false" ht="16.5" hidden="false" customHeight="true" outlineLevel="0" collapsed="false">
      <c r="A8" s="13"/>
      <c r="B8" s="10" t="n">
        <v>46114</v>
      </c>
      <c r="C8" s="11" t="s">
        <v>145</v>
      </c>
      <c r="D8" s="11" t="n">
        <f aca="false">2.0423-D11</f>
        <v>1.0404</v>
      </c>
      <c r="E8" s="12" t="n">
        <v>80.5</v>
      </c>
      <c r="F8" s="12" t="n">
        <f aca="false">D8*E8</f>
        <v>83.7522</v>
      </c>
      <c r="G8" s="12" t="n">
        <f aca="false">D8*Portfolio!$C$4</f>
        <v>99.8784</v>
      </c>
      <c r="H8" s="12" t="n">
        <f aca="false">G8-F8</f>
        <v>16.1262</v>
      </c>
      <c r="I8" s="14"/>
      <c r="J8" s="14"/>
    </row>
    <row r="9" customFormat="false" ht="16.5" hidden="false" customHeight="true" outlineLevel="0" collapsed="false">
      <c r="A9" s="13"/>
      <c r="B9" s="10" t="n">
        <v>46113</v>
      </c>
      <c r="C9" s="11" t="s">
        <v>146</v>
      </c>
      <c r="D9" s="11" t="n">
        <v>1.8</v>
      </c>
      <c r="E9" s="12" t="n">
        <v>84.44</v>
      </c>
      <c r="F9" s="12" t="n">
        <f aca="false">D9*E9</f>
        <v>151.992</v>
      </c>
      <c r="G9" s="12" t="n">
        <f aca="false">D9*Portfolio!$C$4</f>
        <v>172.8</v>
      </c>
      <c r="H9" s="12" t="n">
        <f aca="false">G9-F9</f>
        <v>20.808</v>
      </c>
      <c r="I9" s="14"/>
      <c r="J9" s="14"/>
    </row>
    <row r="10" customFormat="false" ht="16.5" hidden="false" customHeight="true" outlineLevel="0" collapsed="false">
      <c r="A10" s="13"/>
      <c r="B10" s="10" t="n">
        <v>46112</v>
      </c>
      <c r="C10" s="11" t="s">
        <v>146</v>
      </c>
      <c r="D10" s="11" t="n">
        <v>1.0007</v>
      </c>
      <c r="E10" s="12" t="n">
        <v>83.26</v>
      </c>
      <c r="F10" s="12" t="n">
        <f aca="false">D10*E10</f>
        <v>83.318282</v>
      </c>
      <c r="G10" s="12" t="n">
        <f aca="false">D10*Portfolio!$C$4</f>
        <v>96.0672</v>
      </c>
      <c r="H10" s="12" t="n">
        <f aca="false">G10-F10</f>
        <v>12.748918</v>
      </c>
      <c r="I10" s="14"/>
      <c r="J10" s="14"/>
    </row>
    <row r="11" customFormat="false" ht="16.5" hidden="false" customHeight="true" outlineLevel="0" collapsed="false">
      <c r="A11" s="13"/>
      <c r="B11" s="10" t="n">
        <v>46110</v>
      </c>
      <c r="C11" s="11" t="s">
        <v>146</v>
      </c>
      <c r="D11" s="11" t="n">
        <v>1.0019</v>
      </c>
      <c r="E11" s="12" t="n">
        <v>81.84</v>
      </c>
      <c r="F11" s="12" t="n">
        <f aca="false">D11*E11</f>
        <v>81.995496</v>
      </c>
      <c r="G11" s="12" t="n">
        <f aca="false">D11*Portfolio!$C$4</f>
        <v>96.1824</v>
      </c>
      <c r="H11" s="12" t="n">
        <f aca="false">G11-F11</f>
        <v>14.186904</v>
      </c>
      <c r="I11" s="14"/>
      <c r="J11" s="14"/>
    </row>
    <row r="12" customFormat="false" ht="16.5" hidden="false" customHeight="true" outlineLevel="0" collapsed="false">
      <c r="A12" s="13"/>
      <c r="B12" s="10" t="n">
        <v>46108</v>
      </c>
      <c r="C12" s="11" t="s">
        <v>146</v>
      </c>
      <c r="D12" s="11" t="n">
        <v>1.0004</v>
      </c>
      <c r="E12" s="12" t="n">
        <v>82.97</v>
      </c>
      <c r="F12" s="12" t="n">
        <f aca="false">D12*E12</f>
        <v>83.003188</v>
      </c>
      <c r="G12" s="12" t="n">
        <f aca="false">D12*Portfolio!$C$4</f>
        <v>96.0384</v>
      </c>
      <c r="H12" s="12" t="n">
        <f aca="false">G12-F12</f>
        <v>13.035212</v>
      </c>
      <c r="I12" s="14"/>
      <c r="J12" s="14"/>
    </row>
    <row r="13" customFormat="false" ht="16.5" hidden="false" customHeight="true" outlineLevel="0" collapsed="false">
      <c r="A13" s="13"/>
      <c r="B13" s="10" t="n">
        <v>46107</v>
      </c>
      <c r="C13" s="11" t="s">
        <v>146</v>
      </c>
      <c r="D13" s="11" t="n">
        <v>4.5</v>
      </c>
      <c r="E13" s="12" t="n">
        <v>86</v>
      </c>
      <c r="F13" s="12" t="n">
        <f aca="false">D13*E13</f>
        <v>387</v>
      </c>
      <c r="G13" s="12" t="n">
        <f aca="false">D13*Portfolio!$C$4</f>
        <v>432</v>
      </c>
      <c r="H13" s="12" t="n">
        <f aca="false">G13-F13</f>
        <v>45</v>
      </c>
      <c r="I13" s="14"/>
      <c r="J13" s="14"/>
    </row>
    <row r="14" customFormat="false" ht="16.5" hidden="false" customHeight="true" outlineLevel="0" collapsed="false">
      <c r="A14" s="13"/>
      <c r="B14" s="10" t="n">
        <v>46120</v>
      </c>
      <c r="C14" s="11" t="s">
        <v>146</v>
      </c>
      <c r="D14" s="11" t="n">
        <v>2</v>
      </c>
      <c r="E14" s="12" t="n">
        <v>84.6</v>
      </c>
      <c r="F14" s="12" t="n">
        <f aca="false">D14*E14</f>
        <v>169.2</v>
      </c>
      <c r="G14" s="12" t="n">
        <f aca="false">D14*Portfolio!$C$4</f>
        <v>192</v>
      </c>
      <c r="H14" s="12" t="n">
        <f aca="false">G14-F14</f>
        <v>22.8</v>
      </c>
      <c r="I14" s="14"/>
      <c r="J14" s="14"/>
    </row>
    <row r="15" customFormat="false" ht="16.5" hidden="false" customHeight="true" outlineLevel="0" collapsed="false">
      <c r="A15" s="13"/>
      <c r="B15" s="10"/>
      <c r="C15" s="11"/>
      <c r="D15" s="11"/>
      <c r="E15" s="12"/>
      <c r="F15" s="12"/>
      <c r="G15" s="12"/>
      <c r="H15" s="12"/>
      <c r="I15" s="14"/>
      <c r="J15" s="14"/>
    </row>
    <row r="16" customFormat="false" ht="14.25" hidden="false" customHeight="true" outlineLevel="0" collapsed="false">
      <c r="A16" s="15"/>
      <c r="B16" s="7" t="s">
        <v>147</v>
      </c>
      <c r="C16" s="15"/>
      <c r="D16" s="15" t="n">
        <f aca="false">SUM(D5:D15)</f>
        <v>16.371245</v>
      </c>
      <c r="E16" s="12" t="n">
        <f aca="false">F16/D16</f>
        <v>83.4293253403452</v>
      </c>
      <c r="F16" s="16" t="n">
        <f aca="false">SUM(F5:F15)</f>
        <v>1365.8419253315</v>
      </c>
      <c r="G16" s="16" t="n">
        <f aca="false">SUM(G5:G15)</f>
        <v>1571.63952</v>
      </c>
      <c r="H16" s="16" t="n">
        <f aca="false">SUM(H5:H15)</f>
        <v>205.7975946685</v>
      </c>
      <c r="I16" s="14"/>
      <c r="J16" s="14"/>
    </row>
    <row r="17" customFormat="false" ht="14.25" hidden="false" customHeight="true" outlineLevel="0" collapsed="false">
      <c r="B17" s="9"/>
      <c r="E17" s="14"/>
      <c r="G17" s="14"/>
      <c r="H17" s="14"/>
      <c r="I17" s="14"/>
      <c r="J17" s="14"/>
    </row>
    <row r="18" customFormat="false" ht="13.5" hidden="false" customHeight="true" outlineLevel="0" collapsed="false">
      <c r="F18" s="17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4.25" hidden="false" customHeight="true" outlineLevel="0" collapsed="false">
      <c r="A21" s="7" t="s">
        <v>137</v>
      </c>
      <c r="B21" s="7" t="s">
        <v>148</v>
      </c>
      <c r="C21" s="7" t="s">
        <v>149</v>
      </c>
      <c r="D21" s="7" t="s">
        <v>144</v>
      </c>
    </row>
    <row r="22" customFormat="false" ht="14.25" hidden="false" customHeight="true" outlineLevel="0" collapsed="false">
      <c r="A22" s="7"/>
      <c r="B22" s="10" t="n">
        <v>46114</v>
      </c>
      <c r="C22" s="11" t="s">
        <v>150</v>
      </c>
      <c r="D22" s="18" t="n">
        <v>-10</v>
      </c>
    </row>
    <row r="23" customFormat="false" ht="14.25" hidden="false" customHeight="true" outlineLevel="0" collapsed="false">
      <c r="A23" s="7"/>
      <c r="B23" s="10" t="n">
        <v>46114</v>
      </c>
      <c r="C23" s="11" t="s">
        <v>145</v>
      </c>
      <c r="D23" s="18" t="n">
        <v>10.95</v>
      </c>
      <c r="I23" s="17"/>
      <c r="J23" s="17"/>
    </row>
    <row r="24" customFormat="false" ht="14.25" hidden="false" customHeight="true" outlineLevel="0" collapsed="false">
      <c r="A24" s="7"/>
      <c r="B24" s="10" t="n">
        <v>46114</v>
      </c>
      <c r="C24" s="11" t="s">
        <v>145</v>
      </c>
      <c r="D24" s="18" t="n">
        <v>8.73</v>
      </c>
    </row>
    <row r="25" customFormat="false" ht="14.25" hidden="false" customHeight="true" outlineLevel="0" collapsed="false">
      <c r="A25" s="7"/>
      <c r="B25" s="10" t="n">
        <v>46114</v>
      </c>
      <c r="C25" s="11" t="s">
        <v>145</v>
      </c>
      <c r="D25" s="18" t="n">
        <v>5.4</v>
      </c>
    </row>
    <row r="26" customFormat="false" ht="14.25" hidden="false" customHeight="true" outlineLevel="0" collapsed="false">
      <c r="A26" s="7"/>
      <c r="B26" s="10" t="n">
        <v>46094</v>
      </c>
      <c r="C26" s="11" t="s">
        <v>150</v>
      </c>
      <c r="D26" s="18" t="n">
        <v>-15</v>
      </c>
    </row>
    <row r="27" customFormat="false" ht="14.25" hidden="false" customHeight="true" outlineLevel="0" collapsed="false">
      <c r="A27" s="15"/>
      <c r="B27" s="10" t="n">
        <v>46093</v>
      </c>
      <c r="C27" s="11" t="s">
        <v>145</v>
      </c>
      <c r="D27" s="18" t="n">
        <v>4.73</v>
      </c>
    </row>
    <row r="28" customFormat="false" ht="14.25" hidden="false" customHeight="true" outlineLevel="0" collapsed="false">
      <c r="A28" s="15"/>
      <c r="B28" s="10" t="n">
        <v>46115</v>
      </c>
      <c r="C28" s="11" t="s">
        <v>150</v>
      </c>
      <c r="D28" s="18" t="n">
        <v>2.37</v>
      </c>
    </row>
    <row r="29" customFormat="false" ht="14.25" hidden="false" customHeight="true" outlineLevel="0" collapsed="false">
      <c r="A29" s="15"/>
      <c r="B29" s="10" t="n">
        <v>46117</v>
      </c>
      <c r="C29" s="11" t="s">
        <v>150</v>
      </c>
      <c r="D29" s="18" t="n">
        <v>-1.4</v>
      </c>
    </row>
    <row r="30" customFormat="false" ht="14.25" hidden="false" customHeight="true" outlineLevel="0" collapsed="false">
      <c r="A30" s="15"/>
      <c r="B30" s="10" t="n">
        <v>46118</v>
      </c>
      <c r="C30" s="11" t="s">
        <v>150</v>
      </c>
      <c r="D30" s="18" t="n">
        <v>-2.36</v>
      </c>
    </row>
    <row r="31" customFormat="false" ht="14.25" hidden="false" customHeight="true" outlineLevel="0" collapsed="false">
      <c r="A31" s="15"/>
      <c r="B31" s="10" t="n">
        <v>46118</v>
      </c>
      <c r="C31" s="11" t="s">
        <v>150</v>
      </c>
      <c r="D31" s="18" t="n">
        <v>-3.5</v>
      </c>
    </row>
    <row r="32" customFormat="false" ht="14.25" hidden="false" customHeight="true" outlineLevel="0" collapsed="false">
      <c r="A32" s="15"/>
      <c r="B32" s="10" t="n">
        <v>46119</v>
      </c>
      <c r="C32" s="11" t="s">
        <v>150</v>
      </c>
      <c r="D32" s="18" t="n">
        <v>-5.73</v>
      </c>
    </row>
    <row r="33" customFormat="false" ht="14.25" hidden="false" customHeight="true" outlineLevel="0" collapsed="false">
      <c r="A33" s="15"/>
      <c r="B33" s="10" t="n">
        <v>46119</v>
      </c>
      <c r="C33" s="11" t="s">
        <v>150</v>
      </c>
      <c r="D33" s="18" t="n">
        <v>-5.67</v>
      </c>
    </row>
    <row r="34" customFormat="false" ht="14.25" hidden="false" customHeight="true" outlineLevel="0" collapsed="false">
      <c r="A34" s="15"/>
      <c r="B34" s="10" t="n">
        <v>46120</v>
      </c>
      <c r="C34" s="11" t="s">
        <v>150</v>
      </c>
      <c r="D34" s="18" t="n">
        <v>-3.3</v>
      </c>
    </row>
    <row r="35" customFormat="false" ht="14.25" hidden="false" customHeight="true" outlineLevel="0" collapsed="false">
      <c r="A35" s="15"/>
      <c r="B35" s="10" t="n">
        <v>46121</v>
      </c>
      <c r="C35" s="11" t="s">
        <v>150</v>
      </c>
      <c r="D35" s="18" t="n">
        <v>-1.7</v>
      </c>
    </row>
    <row r="36" customFormat="false" ht="14.25" hidden="false" customHeight="true" outlineLevel="0" collapsed="false">
      <c r="A36" s="15"/>
      <c r="B36" s="10" t="n">
        <v>46122</v>
      </c>
      <c r="C36" s="11" t="s">
        <v>150</v>
      </c>
      <c r="D36" s="18" t="n">
        <v>1</v>
      </c>
    </row>
    <row r="37" customFormat="false" ht="14.25" hidden="false" customHeight="true" outlineLevel="0" collapsed="false">
      <c r="A37" s="15"/>
      <c r="B37" s="10" t="n">
        <v>46125</v>
      </c>
      <c r="C37" s="11" t="s">
        <v>150</v>
      </c>
      <c r="D37" s="18" t="n">
        <v>-1.56</v>
      </c>
    </row>
    <row r="38" customFormat="false" ht="13.5" hidden="false" customHeight="true" outlineLevel="0" collapsed="false">
      <c r="A38" s="15"/>
      <c r="B38" s="15"/>
      <c r="C38" s="15"/>
      <c r="D38" s="18"/>
    </row>
    <row r="39" customFormat="false" ht="13.5" hidden="false" customHeight="true" outlineLevel="0" collapsed="false">
      <c r="D39" s="17" t="n">
        <f aca="false">SUM(D22:D38)</f>
        <v>-17.04</v>
      </c>
    </row>
    <row r="40" customFormat="false" ht="13.5" hidden="false" customHeight="true" outlineLevel="0" collapsed="false">
      <c r="S40" s="2"/>
      <c r="T40" s="2"/>
      <c r="U40" s="2"/>
      <c r="V40" s="2"/>
      <c r="W40" s="2"/>
    </row>
    <row r="41" customFormat="false" ht="13.5" hidden="false" customHeight="true" outlineLevel="0" collapsed="false">
      <c r="S41" s="2"/>
      <c r="T41" s="2"/>
      <c r="U41" s="2"/>
      <c r="V41" s="2"/>
      <c r="W41" s="2"/>
    </row>
    <row r="42" customFormat="false" ht="13.5" hidden="false" customHeight="true" outlineLevel="0" collapsed="false">
      <c r="S42" s="2"/>
      <c r="T42" s="2"/>
      <c r="U42" s="2"/>
      <c r="V42" s="2"/>
      <c r="W42" s="2"/>
    </row>
    <row r="43" customFormat="false" ht="13.5" hidden="false" customHeight="true" outlineLevel="0" collapsed="false">
      <c r="S43" s="2"/>
      <c r="T43" s="2"/>
      <c r="U43" s="2"/>
      <c r="V43" s="2"/>
      <c r="W43" s="2"/>
    </row>
    <row r="44" customFormat="false" ht="13.5" hidden="false" customHeight="true" outlineLevel="0" collapsed="false">
      <c r="S44" s="2"/>
      <c r="T44" s="2"/>
      <c r="U44" s="2"/>
      <c r="V44" s="2"/>
      <c r="W44" s="2"/>
    </row>
    <row r="45" customFormat="false" ht="13.5" hidden="false" customHeight="true" outlineLevel="0" collapsed="false">
      <c r="S45" s="2"/>
      <c r="T45" s="2"/>
      <c r="U45" s="2"/>
      <c r="V45" s="2"/>
      <c r="W45" s="2"/>
    </row>
    <row r="46" customFormat="false" ht="13.5" hidden="false" customHeight="true" outlineLevel="0" collapsed="false">
      <c r="S46" s="2"/>
      <c r="T46" s="2"/>
      <c r="U46" s="2"/>
      <c r="V46" s="2"/>
      <c r="W46" s="2"/>
    </row>
    <row r="47" customFormat="false" ht="13.5" hidden="false" customHeight="true" outlineLevel="0" collapsed="false">
      <c r="S47" s="2"/>
      <c r="T47" s="2"/>
      <c r="U47" s="2"/>
      <c r="V47" s="2"/>
      <c r="W47" s="2"/>
    </row>
    <row r="48" customFormat="false" ht="13.5" hidden="false" customHeight="true" outlineLevel="0" collapsed="false">
      <c r="S48" s="2"/>
      <c r="T48" s="2"/>
      <c r="U48" s="2"/>
      <c r="V48" s="2"/>
      <c r="W48" s="2"/>
    </row>
    <row r="49" customFormat="false" ht="13.5" hidden="false" customHeight="true" outlineLevel="0" collapsed="false">
      <c r="S49" s="2"/>
      <c r="T49" s="2"/>
      <c r="U49" s="2"/>
      <c r="V49" s="2"/>
      <c r="W49" s="2"/>
    </row>
    <row r="50" customFormat="false" ht="13.5" hidden="false" customHeight="true" outlineLevel="0" collapsed="false">
      <c r="S50" s="2"/>
      <c r="T50" s="2"/>
      <c r="U50" s="2"/>
      <c r="V50" s="2"/>
      <c r="W50" s="2"/>
    </row>
    <row r="51" customFormat="false" ht="13.5" hidden="false" customHeight="true" outlineLevel="0" collapsed="false">
      <c r="S51" s="2"/>
      <c r="T51" s="2"/>
      <c r="U51" s="2"/>
      <c r="V51" s="2"/>
      <c r="W51" s="2"/>
    </row>
    <row r="52" customFormat="false" ht="13.5" hidden="false" customHeight="true" outlineLevel="0" collapsed="false">
      <c r="S52" s="2"/>
      <c r="T52" s="2"/>
      <c r="U52" s="2"/>
      <c r="V52" s="2"/>
      <c r="W52" s="2"/>
    </row>
    <row r="53" customFormat="false" ht="13.5" hidden="false" customHeight="true" outlineLevel="0" collapsed="false">
      <c r="S53" s="2"/>
      <c r="T53" s="2"/>
      <c r="U53" s="2"/>
      <c r="V53" s="2"/>
      <c r="W53" s="2"/>
    </row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">
    <mergeCell ref="K1:M1"/>
    <mergeCell ref="A2:H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2" width="23.97"/>
    <col collapsed="false" customWidth="true" hidden="false" outlineLevel="0" max="13" min="13" style="2" width="19.73"/>
  </cols>
  <sheetData>
    <row r="1" customFormat="false" ht="15" hidden="false" customHeight="true" outlineLevel="0" collapsed="false">
      <c r="A1" s="19" t="s">
        <v>0</v>
      </c>
      <c r="B1" s="19" t="s">
        <v>12</v>
      </c>
      <c r="C1" s="19" t="s">
        <v>13</v>
      </c>
      <c r="D1" s="19" t="s">
        <v>14</v>
      </c>
      <c r="E1" s="19" t="s">
        <v>15</v>
      </c>
      <c r="F1" s="19" t="s">
        <v>16</v>
      </c>
      <c r="G1" s="19" t="s">
        <v>17</v>
      </c>
      <c r="H1" s="19" t="s">
        <v>18</v>
      </c>
      <c r="I1" s="19" t="s">
        <v>19</v>
      </c>
      <c r="J1" s="19" t="s">
        <v>20</v>
      </c>
      <c r="K1" s="19" t="s">
        <v>21</v>
      </c>
      <c r="L1" s="19" t="s">
        <v>22</v>
      </c>
      <c r="M1" s="19" t="s">
        <v>23</v>
      </c>
      <c r="N1" s="19" t="s">
        <v>151</v>
      </c>
      <c r="O1" s="19" t="s">
        <v>152</v>
      </c>
      <c r="P1" s="19" t="s">
        <v>153</v>
      </c>
      <c r="R1" s="2" t="s">
        <v>154</v>
      </c>
      <c r="S1" s="2" t="s">
        <v>155</v>
      </c>
    </row>
    <row r="2" customFormat="false" ht="13.5" hidden="false" customHeight="true" outlineLevel="0" collapsed="false">
      <c r="A2" s="2" t="str">
        <f aca="false">Portfolio!H10</f>
        <v>SOL-29MAY26-60-P-USDT</v>
      </c>
      <c r="B2" s="2" t="n">
        <f aca="false">VLOOKUP(A2,OptionBoard!$A$2:$M$86,2,FALSE())</f>
        <v>60</v>
      </c>
      <c r="C2" s="2" t="n">
        <f aca="false">VLOOKUP(A2,OptionBoard!$A$2:$M$86,3,0)</f>
        <v>-0.05332898</v>
      </c>
      <c r="D2" s="2" t="n">
        <f aca="false">VLOOKUP(A2,OptionBoard!$A$2:$M$86,4,0)</f>
        <v>0.00539004</v>
      </c>
      <c r="E2" s="2" t="n">
        <f aca="false">VLOOKUP(A2,OptionBoard!$A$2:$M$86,5,0)</f>
        <v>0.03060818</v>
      </c>
      <c r="F2" s="2" t="n">
        <f aca="false">VLOOKUP(A2,OptionBoard!$A$2:$M$86,6,0)</f>
        <v>-0.02746493</v>
      </c>
      <c r="G2" s="2" t="n">
        <f aca="false">N2/P2</f>
        <v>1.26</v>
      </c>
      <c r="H2" s="2" t="n">
        <f aca="false">VLOOKUP(A2,OptionBoard!$A$2:$M$86,8,0)</f>
        <v>0.7144</v>
      </c>
      <c r="I2" s="2" t="n">
        <f aca="false">VLOOKUP(A2,OptionBoard!$A$2:$M$86,9,0)</f>
        <v>39</v>
      </c>
      <c r="J2" s="2" t="n">
        <f aca="false">VLOOKUP(A2,OptionBoard!$A$2:$M$86,10,0)</f>
        <v>0.106849315068493</v>
      </c>
      <c r="K2" s="2" t="str">
        <f aca="false">VLOOKUP(A2,OptionBoard!$A$2:$M$86,11,FALSE())</f>
        <v>PUT</v>
      </c>
      <c r="L2" s="2" t="n">
        <f aca="false">VLOOKUP(A2,OptionBoard!$A$2:$M$86,12,0)</f>
        <v>85.58</v>
      </c>
      <c r="M2" s="2" t="n">
        <f aca="false">VLOOKUP(A2,OptionBoard!$A$2:$M$86,13,0)</f>
        <v>0.0127552992307692</v>
      </c>
      <c r="N2" s="20" t="n">
        <f aca="false">Portfolio!J10</f>
        <v>8.82</v>
      </c>
      <c r="O2" s="21" t="s">
        <v>156</v>
      </c>
      <c r="P2" s="21" t="n">
        <f aca="false">Portfolio!I10</f>
        <v>7</v>
      </c>
      <c r="R2" s="2" t="n">
        <f aca="false">G2</f>
        <v>1.26</v>
      </c>
      <c r="S2" s="2" t="n">
        <f aca="false">VLOOKUP(A2,OptionBoard!$A$2:$G$93,7,FALSE())</f>
        <v>0.49745667</v>
      </c>
      <c r="U2" s="2" t="n">
        <f aca="false">R2-S2</f>
        <v>0.76254333</v>
      </c>
    </row>
    <row r="3" customFormat="false" ht="13.5" hidden="false" customHeight="true" outlineLevel="0" collapsed="false">
      <c r="A3" s="2" t="str">
        <f aca="false">Portfolio!H11</f>
        <v>SOL-29MAY26-70-P-USDT</v>
      </c>
      <c r="B3" s="2" t="n">
        <f aca="false">VLOOKUP(A3,OptionBoard!$A$2:$M$86,2,FALSE())</f>
        <v>70</v>
      </c>
      <c r="C3" s="2" t="n">
        <f aca="false">VLOOKUP(A3,OptionBoard!$A$2:$M$86,3,0)</f>
        <v>-0.15294325</v>
      </c>
      <c r="D3" s="2" t="n">
        <f aca="false">VLOOKUP(A3,OptionBoard!$A$2:$M$86,4,0)</f>
        <v>0.01274985</v>
      </c>
      <c r="E3" s="2" t="n">
        <f aca="false">VLOOKUP(A3,OptionBoard!$A$2:$M$86,5,0)</f>
        <v>0.06659421</v>
      </c>
      <c r="F3" s="2" t="n">
        <f aca="false">VLOOKUP(A3,OptionBoard!$A$2:$M$86,6,0)</f>
        <v>-0.0549621</v>
      </c>
      <c r="G3" s="2" t="n">
        <f aca="false">N3/P3</f>
        <v>3.55</v>
      </c>
      <c r="H3" s="2" t="n">
        <f aca="false">VLOOKUP(A3,OptionBoard!$A$2:$M$86,8,0)</f>
        <v>0.6571</v>
      </c>
      <c r="I3" s="2" t="n">
        <f aca="false">VLOOKUP(A3,OptionBoard!$A$2:$M$86,9,0)</f>
        <v>39</v>
      </c>
      <c r="J3" s="2" t="n">
        <f aca="false">VLOOKUP(A3,OptionBoard!$A$2:$M$86,10,0)</f>
        <v>0.106849315068493</v>
      </c>
      <c r="K3" s="2" t="str">
        <f aca="false">VLOOKUP(A3,OptionBoard!$A$2:$M$86,11,FALSE())</f>
        <v>PUT</v>
      </c>
      <c r="L3" s="2" t="n">
        <f aca="false">VLOOKUP(A3,OptionBoard!$A$2:$M$86,12,0)</f>
        <v>85.58</v>
      </c>
      <c r="M3" s="2" t="n">
        <f aca="false">VLOOKUP(A3,OptionBoard!$A$2:$M$86,13,0)</f>
        <v>0.0418368223076923</v>
      </c>
      <c r="N3" s="20" t="n">
        <f aca="false">Portfolio!J11</f>
        <v>7.1</v>
      </c>
      <c r="O3" s="21" t="s">
        <v>156</v>
      </c>
      <c r="P3" s="21" t="n">
        <f aca="false">Portfolio!I11</f>
        <v>2</v>
      </c>
      <c r="R3" s="2" t="n">
        <f aca="false">G3</f>
        <v>3.55</v>
      </c>
      <c r="S3" s="2" t="n">
        <f aca="false">VLOOKUP(A3,OptionBoard!$A$2:$G$93,7,FALSE())</f>
        <v>1.63163607</v>
      </c>
      <c r="U3" s="2" t="n">
        <f aca="false">R3-S3</f>
        <v>1.91836393</v>
      </c>
    </row>
    <row r="4" customFormat="false" ht="13.5" hidden="false" customHeight="true" outlineLevel="0" collapsed="false">
      <c r="A4" s="2" t="str">
        <f aca="false">Portfolio!H12</f>
        <v>SOL-1MAY26-60-P-USDT</v>
      </c>
      <c r="B4" s="2" t="n">
        <f aca="false">VLOOKUP(A4,OptionBoard!$A$2:$M$86,2,FALSE())</f>
        <v>60</v>
      </c>
      <c r="C4" s="2" t="n">
        <f aca="false">VLOOKUP(A4,OptionBoard!$A$2:$M$86,3,0)</f>
        <v>-0.0159575</v>
      </c>
      <c r="D4" s="2" t="n">
        <f aca="false">VLOOKUP(A4,OptionBoard!$A$2:$M$86,4,0)</f>
        <v>0.00271988</v>
      </c>
      <c r="E4" s="2" t="n">
        <f aca="false">VLOOKUP(A4,OptionBoard!$A$2:$M$86,5,0)</f>
        <v>0.00613836</v>
      </c>
      <c r="F4" s="2" t="n">
        <f aca="false">VLOOKUP(A4,OptionBoard!$A$2:$M$86,6,0)</f>
        <v>-0.02483851</v>
      </c>
      <c r="G4" s="2" t="n">
        <f aca="false">N4/P4</f>
        <v>0.43</v>
      </c>
      <c r="H4" s="2" t="n">
        <f aca="false">VLOOKUP(A4,OptionBoard!$A$2:$M$86,8,0)</f>
        <v>0.9553</v>
      </c>
      <c r="I4" s="2" t="n">
        <f aca="false">VLOOKUP(A4,OptionBoard!$A$2:$M$86,9,0)</f>
        <v>11</v>
      </c>
      <c r="J4" s="2" t="n">
        <f aca="false">VLOOKUP(A4,OptionBoard!$A$2:$M$86,10,0)</f>
        <v>0.0301369863013699</v>
      </c>
      <c r="K4" s="2" t="str">
        <f aca="false">VLOOKUP(A4,OptionBoard!$A$2:$M$86,11,FALSE())</f>
        <v>PUT</v>
      </c>
      <c r="L4" s="2" t="n">
        <f aca="false">VLOOKUP(A4,OptionBoard!$A$2:$M$86,12,0)</f>
        <v>85.58</v>
      </c>
      <c r="M4" s="2" t="n">
        <f aca="false">VLOOKUP(A4,OptionBoard!$A$2:$M$86,13,0)</f>
        <v>0.0080595</v>
      </c>
      <c r="N4" s="20" t="n">
        <f aca="false">Portfolio!J12</f>
        <v>0.43</v>
      </c>
      <c r="O4" s="21" t="s">
        <v>156</v>
      </c>
      <c r="P4" s="21" t="n">
        <f aca="false">Portfolio!I12</f>
        <v>1</v>
      </c>
      <c r="R4" s="2" t="n">
        <f aca="false">G4</f>
        <v>0.43</v>
      </c>
      <c r="S4" s="2" t="n">
        <f aca="false">VLOOKUP(A4,OptionBoard!$A$2:$G$93,7,FALSE())</f>
        <v>0.0886545</v>
      </c>
      <c r="U4" s="2" t="n">
        <f aca="false">R4-S4</f>
        <v>0.3413455</v>
      </c>
    </row>
    <row r="5" customFormat="false" ht="13.5" hidden="false" customHeight="true" outlineLevel="0" collapsed="false">
      <c r="A5" s="2" t="str">
        <f aca="false">Portfolio!H13</f>
        <v>SOL-1MAY26-70-P-USDT</v>
      </c>
      <c r="B5" s="2" t="n">
        <f aca="false">VLOOKUP(A5,OptionBoard!$A$2:$M$86,2,FALSE())</f>
        <v>70</v>
      </c>
      <c r="C5" s="2" t="n">
        <f aca="false">VLOOKUP(A5,OptionBoard!$A$2:$M$86,3,0)</f>
        <v>-0.06118015</v>
      </c>
      <c r="D5" s="2" t="n">
        <f aca="false">VLOOKUP(A5,OptionBoard!$A$2:$M$86,4,0)</f>
        <v>0.01047067</v>
      </c>
      <c r="E5" s="2" t="n">
        <f aca="false">VLOOKUP(A5,OptionBoard!$A$2:$M$86,5,0)</f>
        <v>0.01859074</v>
      </c>
      <c r="F5" s="2" t="n">
        <f aca="false">VLOOKUP(A5,OptionBoard!$A$2:$M$86,6,0)</f>
        <v>-0.05918201</v>
      </c>
      <c r="G5" s="2" t="n">
        <f aca="false">N5/P5</f>
        <v>0.666666666666667</v>
      </c>
      <c r="H5" s="2" t="n">
        <f aca="false">VLOOKUP(A5,OptionBoard!$A$2:$M$86,8,0)</f>
        <v>0.7516</v>
      </c>
      <c r="I5" s="2" t="n">
        <f aca="false">VLOOKUP(A5,OptionBoard!$A$2:$M$86,9,0)</f>
        <v>11</v>
      </c>
      <c r="J5" s="2" t="n">
        <f aca="false">VLOOKUP(A5,OptionBoard!$A$2:$M$86,10,0)</f>
        <v>0.0301369863013699</v>
      </c>
      <c r="K5" s="2" t="str">
        <f aca="false">VLOOKUP(A5,OptionBoard!$A$2:$M$86,11,FALSE())</f>
        <v>PUT</v>
      </c>
      <c r="L5" s="2" t="n">
        <f aca="false">VLOOKUP(A5,OptionBoard!$A$2:$M$86,12,0)</f>
        <v>85.58</v>
      </c>
      <c r="M5" s="2" t="n">
        <f aca="false">VLOOKUP(A5,OptionBoard!$A$2:$M$86,13,0)</f>
        <v>0.0292728490909091</v>
      </c>
      <c r="N5" s="20" t="n">
        <f aca="false">Portfolio!J13</f>
        <v>2</v>
      </c>
      <c r="O5" s="21" t="s">
        <v>156</v>
      </c>
      <c r="P5" s="21" t="n">
        <f aca="false">Portfolio!I13</f>
        <v>3</v>
      </c>
      <c r="R5" s="2" t="n">
        <f aca="false">G5</f>
        <v>0.666666666666667</v>
      </c>
      <c r="S5" s="2" t="n">
        <f aca="false">VLOOKUP(A5,OptionBoard!$A$2:$G$93,7,FALSE())</f>
        <v>0.32200134</v>
      </c>
      <c r="U5" s="2" t="n">
        <f aca="false">R5-S5</f>
        <v>0.344665326666667</v>
      </c>
    </row>
    <row r="6" customFormat="false" ht="13.5" hidden="false" customHeight="true" outlineLevel="0" collapsed="false">
      <c r="A6" s="2" t="str">
        <f aca="false">Portfolio!H14</f>
        <v>SOL-24APR26-60-P-USDT</v>
      </c>
      <c r="B6" s="2" t="e">
        <f aca="false">VLOOKUP(A6,OptionBoard!$A$2:$M$86,2,FALSE())</f>
        <v>#N/A</v>
      </c>
      <c r="C6" s="2" t="e">
        <f aca="false">VLOOKUP(A6,OptionBoard!$A$2:$M$86,3,0)</f>
        <v>#N/A</v>
      </c>
      <c r="D6" s="2" t="e">
        <f aca="false">VLOOKUP(A6,OptionBoard!$A$2:$M$86,4,0)</f>
        <v>#N/A</v>
      </c>
      <c r="E6" s="2" t="e">
        <f aca="false">VLOOKUP(A6,OptionBoard!$A$2:$M$86,5,0)</f>
        <v>#N/A</v>
      </c>
      <c r="F6" s="2" t="e">
        <f aca="false">VLOOKUP(A6,OptionBoard!$A$2:$M$86,6,0)</f>
        <v>#N/A</v>
      </c>
      <c r="G6" s="2" t="n">
        <f aca="false">N6/P6</f>
        <v>0.47</v>
      </c>
      <c r="H6" s="2" t="e">
        <f aca="false">VLOOKUP(A6,OptionBoard!$A$2:$M$86,8,0)</f>
        <v>#N/A</v>
      </c>
      <c r="I6" s="2" t="e">
        <f aca="false">VLOOKUP(A6,OptionBoard!$A$2:$M$86,9,0)</f>
        <v>#N/A</v>
      </c>
      <c r="J6" s="2" t="e">
        <f aca="false">VLOOKUP(A6,OptionBoard!$A$2:$M$86,10,0)</f>
        <v>#N/A</v>
      </c>
      <c r="K6" s="2" t="e">
        <f aca="false">VLOOKUP(A6,OptionBoard!$A$2:$M$86,11,FALSE())</f>
        <v>#N/A</v>
      </c>
      <c r="L6" s="2" t="e">
        <f aca="false">VLOOKUP(A6,OptionBoard!$A$2:$M$86,12,0)</f>
        <v>#N/A</v>
      </c>
      <c r="M6" s="2" t="e">
        <f aca="false">VLOOKUP(A6,OptionBoard!$A$2:$M$86,13,0)</f>
        <v>#N/A</v>
      </c>
      <c r="N6" s="20" t="n">
        <f aca="false">Portfolio!J14</f>
        <v>2.82</v>
      </c>
      <c r="O6" s="21" t="s">
        <v>156</v>
      </c>
      <c r="P6" s="21" t="n">
        <f aca="false">Portfolio!I14</f>
        <v>6</v>
      </c>
      <c r="R6" s="2" t="n">
        <f aca="false">G6</f>
        <v>0.47</v>
      </c>
      <c r="S6" s="2" t="e">
        <f aca="false">VLOOKUP(A6,OptionBoard!$A$2:$G$93,7,FALSE())</f>
        <v>#N/A</v>
      </c>
      <c r="U6" s="2" t="e">
        <f aca="false">R6-S6</f>
        <v>#N/A</v>
      </c>
    </row>
    <row r="7" customFormat="false" ht="13.5" hidden="false" customHeight="true" outlineLevel="0" collapsed="false">
      <c r="A7" s="2" t="str">
        <f aca="false">Portfolio!H15</f>
        <v>SOL-24APR26-65-P-USDT</v>
      </c>
      <c r="B7" s="2" t="n">
        <f aca="false">VLOOKUP(A7,OptionBoard!$A$2:$M$86,2,FALSE())</f>
        <v>65</v>
      </c>
      <c r="C7" s="2" t="n">
        <f aca="false">VLOOKUP(A7,OptionBoard!$A$2:$M$86,3,0)</f>
        <v>-0.0119375</v>
      </c>
      <c r="D7" s="2" t="n">
        <f aca="false">VLOOKUP(A7,OptionBoard!$A$2:$M$86,4,0)</f>
        <v>0.00290932</v>
      </c>
      <c r="E7" s="2" t="n">
        <f aca="false">VLOOKUP(A7,OptionBoard!$A$2:$M$86,5,0)</f>
        <v>0.00305095</v>
      </c>
      <c r="F7" s="2" t="n">
        <f aca="false">VLOOKUP(A7,OptionBoard!$A$2:$M$86,6,0)</f>
        <v>-0.03458466</v>
      </c>
      <c r="G7" s="2" t="n">
        <f aca="false">N7/P7</f>
        <v>0.84</v>
      </c>
      <c r="H7" s="2" t="n">
        <f aca="false">VLOOKUP(A7,OptionBoard!$A$2:$M$86,8,0)</f>
        <v>1.0892</v>
      </c>
      <c r="I7" s="2" t="n">
        <f aca="false">VLOOKUP(A7,OptionBoard!$A$2:$M$86,9,0)</f>
        <v>4</v>
      </c>
      <c r="J7" s="2" t="n">
        <f aca="false">VLOOKUP(A7,OptionBoard!$A$2:$M$86,10,0)</f>
        <v>0.010958904109589</v>
      </c>
      <c r="K7" s="2" t="str">
        <f aca="false">VLOOKUP(A7,OptionBoard!$A$2:$M$86,11,FALSE())</f>
        <v>PUT</v>
      </c>
      <c r="L7" s="2" t="n">
        <f aca="false">VLOOKUP(A7,OptionBoard!$A$2:$M$86,12,0)</f>
        <v>85.58</v>
      </c>
      <c r="M7" s="2" t="n">
        <f aca="false">VLOOKUP(A7,OptionBoard!$A$2:$M$86,13,0)</f>
        <v>0.011473365</v>
      </c>
      <c r="N7" s="20" t="n">
        <f aca="false">Portfolio!J15</f>
        <v>4.2</v>
      </c>
      <c r="O7" s="21" t="s">
        <v>156</v>
      </c>
      <c r="P7" s="21" t="n">
        <f aca="false">Portfolio!I15</f>
        <v>5</v>
      </c>
      <c r="R7" s="2" t="n">
        <f aca="false">G7</f>
        <v>0.84</v>
      </c>
      <c r="S7" s="2" t="n">
        <f aca="false">VLOOKUP(A7,OptionBoard!$A$2:$G$93,7,FALSE())</f>
        <v>0.04589346</v>
      </c>
      <c r="U7" s="2" t="n">
        <f aca="false">R7-S7</f>
        <v>0.79410654</v>
      </c>
    </row>
    <row r="8" customFormat="false" ht="13.5" hidden="false" customHeight="true" outlineLevel="0" collapsed="false">
      <c r="A8" s="2" t="str">
        <f aca="false">Portfolio!H16</f>
        <v>SOL-24APR26-70-P-USDT</v>
      </c>
      <c r="B8" s="2" t="n">
        <f aca="false">VLOOKUP(A8,OptionBoard!$A$2:$M$86,2,FALSE())</f>
        <v>70</v>
      </c>
      <c r="C8" s="2" t="n">
        <f aca="false">VLOOKUP(A8,OptionBoard!$A$2:$M$86,3,0)</f>
        <v>-0.02778847</v>
      </c>
      <c r="D8" s="2" t="n">
        <f aca="false">VLOOKUP(A8,OptionBoard!$A$2:$M$86,4,0)</f>
        <v>0.00693114</v>
      </c>
      <c r="E8" s="2" t="n">
        <f aca="false">VLOOKUP(A8,OptionBoard!$A$2:$M$86,5,0)</f>
        <v>0.00626484</v>
      </c>
      <c r="F8" s="2" t="n">
        <f aca="false">VLOOKUP(A8,OptionBoard!$A$2:$M$86,6,0)</f>
        <v>-0.06120967</v>
      </c>
      <c r="G8" s="2" t="n">
        <f aca="false">N8/P8</f>
        <v>1.26</v>
      </c>
      <c r="H8" s="2" t="n">
        <f aca="false">VLOOKUP(A8,OptionBoard!$A$2:$M$86,8,0)</f>
        <v>0.9388</v>
      </c>
      <c r="I8" s="2" t="n">
        <f aca="false">VLOOKUP(A8,OptionBoard!$A$2:$M$86,9,0)</f>
        <v>4</v>
      </c>
      <c r="J8" s="2" t="n">
        <f aca="false">VLOOKUP(A8,OptionBoard!$A$2:$M$86,10,0)</f>
        <v>0.010958904109589</v>
      </c>
      <c r="K8" s="2" t="str">
        <f aca="false">VLOOKUP(A8,OptionBoard!$A$2:$M$86,11,FALSE())</f>
        <v>PUT</v>
      </c>
      <c r="L8" s="2" t="n">
        <f aca="false">VLOOKUP(A8,OptionBoard!$A$2:$M$86,12,0)</f>
        <v>85.58</v>
      </c>
      <c r="M8" s="2" t="n">
        <f aca="false">VLOOKUP(A8,OptionBoard!$A$2:$M$86,13,0)</f>
        <v>0.025474575</v>
      </c>
      <c r="N8" s="20" t="n">
        <f aca="false">Portfolio!J16</f>
        <v>6.3</v>
      </c>
      <c r="O8" s="21" t="s">
        <v>156</v>
      </c>
      <c r="P8" s="21" t="n">
        <f aca="false">Portfolio!I16</f>
        <v>5</v>
      </c>
      <c r="R8" s="2" t="n">
        <f aca="false">G8</f>
        <v>1.26</v>
      </c>
      <c r="S8" s="2" t="n">
        <f aca="false">VLOOKUP(A8,OptionBoard!$A$2:$G$93,7,FALSE())</f>
        <v>0.1018983</v>
      </c>
      <c r="U8" s="2" t="n">
        <f aca="false">R8-S8</f>
        <v>1.1581017</v>
      </c>
    </row>
    <row r="9" customFormat="false" ht="13.5" hidden="false" customHeight="true" outlineLevel="0" collapsed="false">
      <c r="A9" s="2" t="str">
        <f aca="false">Portfolio!H17</f>
        <v>SOL-24APR26-75-P-USDT</v>
      </c>
      <c r="B9" s="2" t="n">
        <f aca="false">VLOOKUP(A9,OptionBoard!$A$2:$M$86,2,FALSE())</f>
        <v>75</v>
      </c>
      <c r="C9" s="2" t="n">
        <f aca="false">VLOOKUP(A9,OptionBoard!$A$2:$M$86,3,0)</f>
        <v>-0.06935478</v>
      </c>
      <c r="D9" s="2" t="n">
        <f aca="false">VLOOKUP(A9,OptionBoard!$A$2:$M$86,4,0)</f>
        <v>0.01702286</v>
      </c>
      <c r="E9" s="2" t="n">
        <f aca="false">VLOOKUP(A9,OptionBoard!$A$2:$M$86,5,0)</f>
        <v>0.01308139</v>
      </c>
      <c r="F9" s="2" t="n">
        <f aca="false">VLOOKUP(A9,OptionBoard!$A$2:$M$86,6,0)</f>
        <v>-0.10866239</v>
      </c>
      <c r="G9" s="2" t="n">
        <v>1.76</v>
      </c>
      <c r="H9" s="2" t="n">
        <f aca="false">VLOOKUP(A9,OptionBoard!$A$2:$M$86,8,0)</f>
        <v>0.7982</v>
      </c>
      <c r="I9" s="2" t="n">
        <f aca="false">VLOOKUP(A9,OptionBoard!$A$2:$M$86,9,0)</f>
        <v>4</v>
      </c>
      <c r="J9" s="2" t="n">
        <f aca="false">VLOOKUP(A9,OptionBoard!$A$2:$M$86,10,0)</f>
        <v>0.010958904109589</v>
      </c>
      <c r="K9" s="2" t="str">
        <f aca="false">VLOOKUP(A9,OptionBoard!$A$2:$M$86,11,FALSE())</f>
        <v>PUT</v>
      </c>
      <c r="L9" s="2" t="n">
        <f aca="false">VLOOKUP(A9,OptionBoard!$A$2:$M$86,12,0)</f>
        <v>85.58</v>
      </c>
      <c r="M9" s="2" t="n">
        <f aca="false">VLOOKUP(A9,OptionBoard!$A$2:$M$86,13,0)</f>
        <v>0.062187265</v>
      </c>
      <c r="N9" s="20" t="n">
        <f aca="false">G9*P9</f>
        <v>5.28</v>
      </c>
      <c r="O9" s="21" t="s">
        <v>156</v>
      </c>
      <c r="P9" s="21" t="n">
        <f aca="false">Portfolio!I17</f>
        <v>3</v>
      </c>
      <c r="R9" s="2" t="n">
        <f aca="false">G9</f>
        <v>1.76</v>
      </c>
      <c r="S9" s="2" t="n">
        <f aca="false">VLOOKUP(A9,OptionBoard!$A$2:$G$93,7,FALSE())</f>
        <v>0.24874906</v>
      </c>
      <c r="U9" s="2" t="n">
        <f aca="false">R9-S9</f>
        <v>1.51125094</v>
      </c>
    </row>
    <row r="10" customFormat="false" ht="13.5" hidden="false" customHeight="true" outlineLevel="0" collapsed="false">
      <c r="A10" s="2" t="str">
        <f aca="false">Portfolio!H18</f>
        <v>SOL-24APR26-78-P-USDT</v>
      </c>
      <c r="B10" s="2" t="n">
        <f aca="false">VLOOKUP(A10,OptionBoard!$A$2:$M$86,2,FALSE())</f>
        <v>78</v>
      </c>
      <c r="C10" s="2" t="n">
        <f aca="false">VLOOKUP(A10,OptionBoard!$A$2:$M$86,3,0)</f>
        <v>-0.12393151</v>
      </c>
      <c r="D10" s="2" t="n">
        <f aca="false">VLOOKUP(A10,OptionBoard!$A$2:$M$86,4,0)</f>
        <v>0.02892419</v>
      </c>
      <c r="E10" s="2" t="n">
        <f aca="false">VLOOKUP(A10,OptionBoard!$A$2:$M$86,5,0)</f>
        <v>0.02007839</v>
      </c>
      <c r="F10" s="2" t="n">
        <f aca="false">VLOOKUP(A10,OptionBoard!$A$2:$M$86,6,0)</f>
        <v>-0.15066111</v>
      </c>
      <c r="G10" s="2" t="n">
        <v>2.15</v>
      </c>
      <c r="H10" s="2" t="n">
        <f aca="false">VLOOKUP(A10,OptionBoard!$A$2:$M$86,8,0)</f>
        <v>0.721</v>
      </c>
      <c r="I10" s="2" t="n">
        <f aca="false">VLOOKUP(A10,OptionBoard!$A$2:$M$86,9,0)</f>
        <v>4</v>
      </c>
      <c r="J10" s="2" t="n">
        <f aca="false">VLOOKUP(A10,OptionBoard!$A$2:$M$86,10,0)</f>
        <v>0.010958904109589</v>
      </c>
      <c r="K10" s="2" t="str">
        <f aca="false">VLOOKUP(A10,OptionBoard!$A$2:$M$86,11,FALSE())</f>
        <v>PUT</v>
      </c>
      <c r="L10" s="2" t="n">
        <f aca="false">VLOOKUP(A10,OptionBoard!$A$2:$M$86,12,0)</f>
        <v>85.58</v>
      </c>
      <c r="M10" s="2" t="n">
        <f aca="false">VLOOKUP(A10,OptionBoard!$A$2:$M$86,13,0)</f>
        <v>0.11261539</v>
      </c>
      <c r="N10" s="20" t="n">
        <f aca="false">G10*P10</f>
        <v>6.45</v>
      </c>
      <c r="O10" s="21" t="s">
        <v>156</v>
      </c>
      <c r="P10" s="21" t="n">
        <f aca="false">Portfolio!I18</f>
        <v>3</v>
      </c>
      <c r="R10" s="2" t="n">
        <f aca="false">G10</f>
        <v>2.15</v>
      </c>
      <c r="S10" s="2" t="n">
        <f aca="false">VLOOKUP(A10,OptionBoard!$A$2:$G$93,7,FALSE())</f>
        <v>0.45046156</v>
      </c>
      <c r="U10" s="2" t="n">
        <f aca="false">R10-S10</f>
        <v>1.69953844</v>
      </c>
    </row>
    <row r="11" customFormat="false" ht="13.5" hidden="false" customHeight="true" outlineLevel="0" collapsed="false">
      <c r="A11" s="2" t="str">
        <f aca="false">Portfolio!H19</f>
        <v>SOL-24APR26-80-P-USDT</v>
      </c>
      <c r="B11" s="2" t="n">
        <f aca="false">VLOOKUP(A11,OptionBoard!$A$2:$M$86,2,FALSE())</f>
        <v>80</v>
      </c>
      <c r="C11" s="2" t="n">
        <f aca="false">VLOOKUP(A11,OptionBoard!$A$2:$M$86,3,0)</f>
        <v>-0.18348904</v>
      </c>
      <c r="D11" s="2" t="n">
        <f aca="false">VLOOKUP(A11,OptionBoard!$A$2:$M$86,4,0)</f>
        <v>0.04011022</v>
      </c>
      <c r="E11" s="2" t="n">
        <f aca="false">VLOOKUP(A11,OptionBoard!$A$2:$M$86,5,0)</f>
        <v>0.02605899</v>
      </c>
      <c r="F11" s="2" t="n">
        <f aca="false">VLOOKUP(A11,OptionBoard!$A$2:$M$86,6,0)</f>
        <v>-0.18300563</v>
      </c>
      <c r="G11" s="2" t="n">
        <v>9.61</v>
      </c>
      <c r="H11" s="2" t="n">
        <f aca="false">VLOOKUP(A11,OptionBoard!$A$2:$M$86,8,0)</f>
        <v>0.6748</v>
      </c>
      <c r="I11" s="2" t="n">
        <f aca="false">VLOOKUP(A11,OptionBoard!$A$2:$M$86,9,0)</f>
        <v>4</v>
      </c>
      <c r="J11" s="2" t="n">
        <f aca="false">VLOOKUP(A11,OptionBoard!$A$2:$M$86,10,0)</f>
        <v>0.010958904109589</v>
      </c>
      <c r="K11" s="2" t="str">
        <f aca="false">VLOOKUP(A11,OptionBoard!$A$2:$M$86,11,FALSE())</f>
        <v>PUT</v>
      </c>
      <c r="L11" s="2" t="n">
        <f aca="false">VLOOKUP(A11,OptionBoard!$A$2:$M$86,12,0)</f>
        <v>85.58</v>
      </c>
      <c r="M11" s="2" t="n">
        <f aca="false">VLOOKUP(A11,OptionBoard!$A$2:$M$86,13,0)</f>
        <v>0.17175696</v>
      </c>
      <c r="N11" s="20" t="n">
        <f aca="false">G11*P11</f>
        <v>19.22</v>
      </c>
      <c r="O11" s="21" t="s">
        <v>156</v>
      </c>
      <c r="P11" s="21" t="n">
        <f aca="false">Portfolio!I19</f>
        <v>2</v>
      </c>
      <c r="R11" s="2" t="n">
        <f aca="false">G11</f>
        <v>9.61</v>
      </c>
      <c r="S11" s="2" t="n">
        <f aca="false">VLOOKUP(A11,OptionBoard!$A$2:$G$93,7,FALSE())</f>
        <v>0.68702784</v>
      </c>
      <c r="U11" s="2" t="n">
        <f aca="false">R11-S11</f>
        <v>8.92297216</v>
      </c>
    </row>
    <row r="12" customFormat="false" ht="13.5" hidden="false" customHeight="true" outlineLevel="0" collapsed="false">
      <c r="A12" s="2" t="str">
        <f aca="false">Portfolio!H20</f>
        <v>SOL-17APR26-72-P-USDT</v>
      </c>
      <c r="B12" s="2" t="e">
        <f aca="false">VLOOKUP(A12,OptionBoard!$A$2:$M$86,2,FALSE())</f>
        <v>#N/A</v>
      </c>
      <c r="C12" s="2" t="e">
        <f aca="false">VLOOKUP(A12,OptionBoard!$A$2:$M$86,3,0)</f>
        <v>#N/A</v>
      </c>
      <c r="D12" s="2" t="e">
        <f aca="false">VLOOKUP(A12,OptionBoard!$A$2:$M$86,4,0)</f>
        <v>#N/A</v>
      </c>
      <c r="E12" s="2" t="e">
        <f aca="false">VLOOKUP(A12,OptionBoard!$A$2:$M$86,5,0)</f>
        <v>#N/A</v>
      </c>
      <c r="F12" s="2" t="e">
        <f aca="false">VLOOKUP(A12,OptionBoard!$A$2:$M$86,6,0)</f>
        <v>#N/A</v>
      </c>
      <c r="G12" s="2" t="n">
        <v>0.48</v>
      </c>
      <c r="H12" s="2" t="e">
        <f aca="false">VLOOKUP(A12,OptionBoard!$A$2:$M$86,8,0)</f>
        <v>#N/A</v>
      </c>
      <c r="I12" s="2" t="e">
        <f aca="false">VLOOKUP(A12,OptionBoard!$A$2:$M$86,9,0)</f>
        <v>#N/A</v>
      </c>
      <c r="J12" s="2" t="e">
        <f aca="false">VLOOKUP(A12,OptionBoard!$A$2:$M$86,10,0)</f>
        <v>#N/A</v>
      </c>
      <c r="K12" s="2" t="e">
        <f aca="false">VLOOKUP(A12,OptionBoard!$A$2:$M$86,11,FALSE())</f>
        <v>#N/A</v>
      </c>
      <c r="L12" s="2" t="e">
        <f aca="false">VLOOKUP(A12,OptionBoard!$A$2:$M$86,12,0)</f>
        <v>#N/A</v>
      </c>
      <c r="M12" s="2" t="e">
        <f aca="false">VLOOKUP(A12,OptionBoard!$A$2:$M$86,13,0)</f>
        <v>#N/A</v>
      </c>
      <c r="N12" s="20" t="n">
        <f aca="false">G12*P12</f>
        <v>1.44</v>
      </c>
      <c r="O12" s="21" t="s">
        <v>156</v>
      </c>
      <c r="P12" s="21" t="n">
        <f aca="false">Portfolio!I20</f>
        <v>3</v>
      </c>
      <c r="R12" s="2" t="n">
        <f aca="false">G12</f>
        <v>0.48</v>
      </c>
      <c r="S12" s="2" t="e">
        <f aca="false">VLOOKUP(A12,OptionBoard!$A$2:$G$93,7,FALSE())</f>
        <v>#N/A</v>
      </c>
      <c r="U12" s="2"/>
    </row>
    <row r="13" customFormat="false" ht="13.5" hidden="false" customHeight="true" outlineLevel="0" collapsed="false">
      <c r="A13" s="2" t="str">
        <f aca="false">Portfolio!H21</f>
        <v>SOL-17APR26-75-P-USDT</v>
      </c>
      <c r="B13" s="2" t="e">
        <f aca="false">VLOOKUP(A13,OptionBoard!$A$2:$M$86,2,FALSE())</f>
        <v>#N/A</v>
      </c>
      <c r="C13" s="2" t="e">
        <f aca="false">VLOOKUP(A13,OptionBoard!$A$2:$M$86,3,0)</f>
        <v>#N/A</v>
      </c>
      <c r="D13" s="2" t="e">
        <f aca="false">VLOOKUP(A13,OptionBoard!$A$2:$M$86,4,0)</f>
        <v>#N/A</v>
      </c>
      <c r="E13" s="2" t="e">
        <f aca="false">VLOOKUP(A13,OptionBoard!$A$2:$M$86,5,0)</f>
        <v>#N/A</v>
      </c>
      <c r="F13" s="2" t="e">
        <f aca="false">VLOOKUP(A13,OptionBoard!$A$2:$M$86,6,0)</f>
        <v>#N/A</v>
      </c>
      <c r="G13" s="2" t="n">
        <v>1.96</v>
      </c>
      <c r="H13" s="2" t="e">
        <f aca="false">VLOOKUP(A13,OptionBoard!$A$2:$M$86,8,0)</f>
        <v>#N/A</v>
      </c>
      <c r="I13" s="2" t="e">
        <f aca="false">VLOOKUP(A13,OptionBoard!$A$2:$M$86,9,0)</f>
        <v>#N/A</v>
      </c>
      <c r="J13" s="2" t="e">
        <f aca="false">VLOOKUP(A13,OptionBoard!$A$2:$M$86,10,0)</f>
        <v>#N/A</v>
      </c>
      <c r="K13" s="2" t="e">
        <f aca="false">VLOOKUP(A13,OptionBoard!$A$2:$M$86,11,FALSE())</f>
        <v>#N/A</v>
      </c>
      <c r="L13" s="2" t="e">
        <f aca="false">VLOOKUP(A13,OptionBoard!$A$2:$M$86,12,0)</f>
        <v>#N/A</v>
      </c>
      <c r="M13" s="2" t="e">
        <f aca="false">VLOOKUP(A13,OptionBoard!$A$2:$M$86,13,0)</f>
        <v>#N/A</v>
      </c>
      <c r="N13" s="20" t="n">
        <f aca="false">G13*P13</f>
        <v>7.84</v>
      </c>
      <c r="O13" s="21" t="s">
        <v>156</v>
      </c>
      <c r="P13" s="21" t="n">
        <f aca="false">Portfolio!I21</f>
        <v>4</v>
      </c>
      <c r="R13" s="2" t="n">
        <f aca="false">G13</f>
        <v>1.96</v>
      </c>
      <c r="S13" s="2" t="e">
        <f aca="false">VLOOKUP(A13,OptionBoard!$A$2:$G$93,7,FALSE())</f>
        <v>#N/A</v>
      </c>
      <c r="U13" s="2"/>
    </row>
    <row r="14" customFormat="false" ht="13.5" hidden="false" customHeight="true" outlineLevel="0" collapsed="false">
      <c r="A14" s="2" t="str">
        <f aca="false">Portfolio!H22</f>
        <v>SOL-17APR26-78-P-USDT</v>
      </c>
      <c r="B14" s="2" t="e">
        <f aca="false">VLOOKUP(A14,OptionBoard!$A$2:$M$86,2,FALSE())</f>
        <v>#N/A</v>
      </c>
      <c r="C14" s="2" t="e">
        <f aca="false">VLOOKUP(A14,OptionBoard!$A$2:$M$86,3,0)</f>
        <v>#N/A</v>
      </c>
      <c r="D14" s="2" t="e">
        <f aca="false">VLOOKUP(A14,OptionBoard!$A$2:$M$86,4,0)</f>
        <v>#N/A</v>
      </c>
      <c r="E14" s="2" t="e">
        <f aca="false">VLOOKUP(A14,OptionBoard!$A$2:$M$86,5,0)</f>
        <v>#N/A</v>
      </c>
      <c r="F14" s="2" t="e">
        <f aca="false">VLOOKUP(A14,OptionBoard!$A$2:$M$86,6,0)</f>
        <v>#N/A</v>
      </c>
      <c r="G14" s="2" t="n">
        <v>2.3</v>
      </c>
      <c r="H14" s="2" t="e">
        <f aca="false">VLOOKUP(A14,OptionBoard!$A$2:$M$86,8,0)</f>
        <v>#N/A</v>
      </c>
      <c r="I14" s="2" t="e">
        <f aca="false">VLOOKUP(A14,OptionBoard!$A$2:$M$86,9,0)</f>
        <v>#N/A</v>
      </c>
      <c r="J14" s="2" t="e">
        <f aca="false">VLOOKUP(A14,OptionBoard!$A$2:$M$86,10,0)</f>
        <v>#N/A</v>
      </c>
      <c r="K14" s="2" t="e">
        <f aca="false">VLOOKUP(A14,OptionBoard!$A$2:$M$86,11,FALSE())</f>
        <v>#N/A</v>
      </c>
      <c r="L14" s="2" t="e">
        <f aca="false">VLOOKUP(A14,OptionBoard!$A$2:$M$86,12,0)</f>
        <v>#N/A</v>
      </c>
      <c r="M14" s="2" t="e">
        <f aca="false">VLOOKUP(A14,OptionBoard!$A$2:$M$86,13,0)</f>
        <v>#N/A</v>
      </c>
      <c r="N14" s="20" t="n">
        <f aca="false">G14*P14</f>
        <v>9.2</v>
      </c>
      <c r="O14" s="21" t="s">
        <v>156</v>
      </c>
      <c r="P14" s="21" t="n">
        <f aca="false">Portfolio!I22</f>
        <v>4</v>
      </c>
      <c r="R14" s="2" t="n">
        <f aca="false">G14</f>
        <v>2.3</v>
      </c>
      <c r="S14" s="2" t="e">
        <f aca="false">VLOOKUP(A14,OptionBoard!$A$2:$G$93,7,FALSE())</f>
        <v>#N/A</v>
      </c>
      <c r="U14" s="2"/>
    </row>
    <row r="15" customFormat="false" ht="13.5" hidden="false" customHeight="true" outlineLevel="0" collapsed="false">
      <c r="A15" s="2" t="str">
        <f aca="false">Portfolio!H23</f>
        <v>SOL-17APR26-80-P-USDT</v>
      </c>
      <c r="B15" s="2" t="e">
        <f aca="false">VLOOKUP(A15,OptionBoard!$A$2:$M$86,2,FALSE())</f>
        <v>#N/A</v>
      </c>
      <c r="C15" s="2" t="e">
        <f aca="false">VLOOKUP(A15,OptionBoard!$A$2:$M$86,3,0)</f>
        <v>#N/A</v>
      </c>
      <c r="D15" s="2" t="e">
        <f aca="false">VLOOKUP(A15,OptionBoard!$A$2:$M$86,4,0)</f>
        <v>#N/A</v>
      </c>
      <c r="E15" s="2" t="e">
        <f aca="false">VLOOKUP(A15,OptionBoard!$A$2:$M$86,5,0)</f>
        <v>#N/A</v>
      </c>
      <c r="F15" s="2" t="e">
        <f aca="false">VLOOKUP(A15,OptionBoard!$A$2:$M$86,6,0)</f>
        <v>#N/A</v>
      </c>
      <c r="G15" s="2" t="n">
        <v>1.42</v>
      </c>
      <c r="H15" s="2" t="e">
        <f aca="false">VLOOKUP(A15,OptionBoard!$A$2:$M$86,8,0)</f>
        <v>#N/A</v>
      </c>
      <c r="I15" s="2" t="e">
        <f aca="false">VLOOKUP(A15,OptionBoard!$A$2:$M$86,9,0)</f>
        <v>#N/A</v>
      </c>
      <c r="J15" s="2" t="e">
        <f aca="false">VLOOKUP(A15,OptionBoard!$A$2:$M$86,10,0)</f>
        <v>#N/A</v>
      </c>
      <c r="K15" s="2" t="e">
        <f aca="false">VLOOKUP(A15,OptionBoard!$A$2:$M$86,11,FALSE())</f>
        <v>#N/A</v>
      </c>
      <c r="L15" s="2" t="e">
        <f aca="false">VLOOKUP(A15,OptionBoard!$A$2:$M$86,12,0)</f>
        <v>#N/A</v>
      </c>
      <c r="M15" s="2" t="e">
        <f aca="false">VLOOKUP(A15,OptionBoard!$A$2:$M$86,13,0)</f>
        <v>#N/A</v>
      </c>
      <c r="N15" s="20" t="n">
        <f aca="false">G15*P15</f>
        <v>2.84</v>
      </c>
      <c r="O15" s="21" t="s">
        <v>156</v>
      </c>
      <c r="P15" s="21" t="n">
        <f aca="false">Portfolio!I23</f>
        <v>2</v>
      </c>
      <c r="R15" s="2" t="n">
        <f aca="false">G15</f>
        <v>1.42</v>
      </c>
      <c r="S15" s="2" t="e">
        <f aca="false">VLOOKUP(A15,OptionBoard!$A$2:$G$93,7,FALSE())</f>
        <v>#N/A</v>
      </c>
      <c r="U15" s="2"/>
    </row>
    <row r="16" customFormat="false" ht="13.5" hidden="false" customHeight="true" outlineLevel="0" collapsed="false">
      <c r="N16" s="20"/>
      <c r="O16" s="3"/>
      <c r="P16" s="3"/>
    </row>
    <row r="17" customFormat="false" ht="13.5" hidden="false" customHeight="true" outlineLevel="0" collapsed="false">
      <c r="B17" s="3"/>
      <c r="C17" s="22"/>
      <c r="D17" s="22"/>
      <c r="E17" s="22"/>
      <c r="F17" s="22"/>
      <c r="G17" s="22"/>
      <c r="H17" s="3"/>
      <c r="I17" s="3"/>
      <c r="J17" s="22"/>
      <c r="K17" s="3"/>
      <c r="L17" s="3"/>
      <c r="M17" s="3"/>
      <c r="N17" s="3"/>
      <c r="O17" s="3"/>
      <c r="P17" s="3"/>
    </row>
    <row r="18" customFormat="false" ht="13.5" hidden="false" customHeight="true" outlineLevel="0" collapsed="false">
      <c r="A18" s="2" t="s">
        <v>157</v>
      </c>
      <c r="C18" s="2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>#N/A</v>
      </c>
      <c r="D18" s="2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>#N/A</v>
      </c>
      <c r="E18" s="2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>#N/A</v>
      </c>
      <c r="F18" s="2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>#N/A</v>
      </c>
      <c r="G18" s="2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>83.94</v>
      </c>
      <c r="H18" s="2"/>
      <c r="M18" s="2" t="e">
        <f aca="false">M2*P2+M3*P3+M5*P5+M4*P4+M6*P6+M7*P7+M8*P8+M9*P9+M10*P10+M11*P11+M12*P12+M13*P13+M14*P14+M15*P15</f>
        <v>#N/A</v>
      </c>
      <c r="S18" s="2" t="e">
        <f aca="false">F18/C18</f>
        <v>#N/A</v>
      </c>
    </row>
    <row r="20" customFormat="false" ht="17.25" hidden="false" customHeight="true" outlineLevel="0" collapsed="false">
      <c r="A20" s="2" t="str">
        <f aca="false">A2</f>
        <v>SOL-29MAY26-60-P-USDT</v>
      </c>
      <c r="B20" s="23"/>
      <c r="C20" s="19" t="s">
        <v>13</v>
      </c>
      <c r="D20" s="19" t="s">
        <v>14</v>
      </c>
      <c r="E20" s="19" t="s">
        <v>15</v>
      </c>
      <c r="F20" s="19" t="s">
        <v>16</v>
      </c>
      <c r="G20" s="19" t="s">
        <v>17</v>
      </c>
      <c r="I20" s="19" t="s">
        <v>158</v>
      </c>
      <c r="J20" s="19" t="s">
        <v>159</v>
      </c>
    </row>
    <row r="21" customFormat="false" ht="13.5" hidden="false" customHeight="true" outlineLevel="0" collapsed="false">
      <c r="B21" s="24" t="n">
        <f aca="false">Portfolio!B28</f>
        <v>83</v>
      </c>
      <c r="C21" s="25" t="n">
        <f aca="false">IF($O$2="sell",-1,1) *  IF($K$2="call",  NORMDIST(I21,0,1,1),  NORMDIST(I21,0,1,1)-1  ) * $P$2</f>
        <v>-0.4619331247266</v>
      </c>
      <c r="D21" s="25" t="n">
        <f aca="false">IF($O$2="sell",-1,1) * NORMDIST(I21,0,1,0)/(B21*$H$2*SQRT($J$2)) * $P$2</f>
        <v>0.0463324247468739</v>
      </c>
      <c r="E21" s="25" t="n">
        <f aca="false">IF($O$2="sell",-1,1) * (B21*NORMDIST(I21,0,1,0)*SQRT($J$2)/365) * $P$2</f>
        <v>0.0667515781454018</v>
      </c>
      <c r="F21" s="25" t="n">
        <f aca="false">IF($O$2="sell",-1,1) * (-(B21*NORMDIST(I21,0,1,0)*$H$2)/(2*SQRT($J$2))/365) *$P$2</f>
        <v>-0.223152237319005</v>
      </c>
      <c r="G21" s="25" t="n">
        <f aca="false">IF($O$2="buy",1,-1)*( IF($K$2="call",B21*NORMDIST(I21,0,1,1) - $B$2*NORMDIST(J21,0,1,1),$B$2*NORMDIST(-J21,0,1,1) - B21*NORMDIST(-I21,0,1,1) ) - $G$2) * $P$2</f>
        <v>-4.51283184856018</v>
      </c>
      <c r="I21" s="26" t="n">
        <f aca="false">(LN(B21/$B$2)+($H$2^2/2)*($J$2))/($H$2*SQRT($J$2))</f>
        <v>1.50633618803496</v>
      </c>
      <c r="J21" s="26" t="n">
        <f aca="false">I21 - $H$2*SQRT($J$2)</f>
        <v>1.27281444847028</v>
      </c>
    </row>
    <row r="22" customFormat="false" ht="13.5" hidden="false" customHeight="true" outlineLevel="0" collapsed="false">
      <c r="B22" s="24" t="n">
        <f aca="false">Portfolio!B29</f>
        <v>82</v>
      </c>
      <c r="C22" s="25" t="n">
        <f aca="false">IF($O$2="sell",-1,1) *  IF($K$2="call",  NORMDIST(I22,0,1,1),  NORMDIST(I22,0,1,1)-1  ) * $P$2</f>
        <v>-0.510395516358415</v>
      </c>
      <c r="D22" s="25" t="n">
        <f aca="false">IF($O$2="sell",-1,1) * NORMDIST(I22,0,1,0)/(B22*$H$2*SQRT($J$2)) * $P$2</f>
        <v>0.0506432165014909</v>
      </c>
      <c r="E22" s="25" t="n">
        <f aca="false">IF($O$2="sell",-1,1) * (B22*NORMDIST(I22,0,1,0)*SQRT($J$2)/365) * $P$2</f>
        <v>0.0712146443900413</v>
      </c>
      <c r="F22" s="25" t="n">
        <f aca="false">IF($O$2="sell",-1,1) * (-(B22*NORMDIST(I22,0,1,0)*$H$2)/(2*SQRT($J$2))/365) *$P$2</f>
        <v>-0.238072382212431</v>
      </c>
      <c r="G22" s="25" t="n">
        <f aca="false">IF($O$2="buy",1,-1)*( IF($K$2="call",B22*NORMDIST(I22,0,1,1) - $B$2*NORMDIST(J22,0,1,1),$B$2*NORMDIST(-J22,0,1,1) - B22*NORMDIST(-I22,0,1,1) ) - $G$2) * $P$2</f>
        <v>-4.02702674714436</v>
      </c>
      <c r="I22" s="26" t="n">
        <f aca="false">(LN(B22/$B$2)+($H$2^2/2)*($J$2))/($H$2*SQRT($J$2))</f>
        <v>1.45442941243907</v>
      </c>
      <c r="J22" s="26" t="n">
        <f aca="false">I22 - $H$2*SQRT($J$2)</f>
        <v>1.22090767287439</v>
      </c>
      <c r="L22" s="2"/>
    </row>
    <row r="23" customFormat="false" ht="13.5" hidden="false" customHeight="true" outlineLevel="0" collapsed="false">
      <c r="B23" s="24" t="n">
        <f aca="false">Portfolio!B30</f>
        <v>81</v>
      </c>
      <c r="C23" s="25" t="n">
        <f aca="false">IF($O$2="sell",-1,1) *  IF($K$2="call",  NORMDIST(I23,0,1,1),  NORMDIST(I23,0,1,1)-1  ) * $P$2</f>
        <v>-0.563322805473309</v>
      </c>
      <c r="D23" s="25" t="n">
        <f aca="false">IF($O$2="sell",-1,1) * NORMDIST(I23,0,1,0)/(B23*$H$2*SQRT($J$2)) * $P$2</f>
        <v>0.0552636874358834</v>
      </c>
      <c r="E23" s="25" t="n">
        <f aca="false">IF($O$2="sell",-1,1) * (B23*NORMDIST(I23,0,1,0)*SQRT($J$2)/365) * $P$2</f>
        <v>0.0758281082386875</v>
      </c>
      <c r="F23" s="25" t="n">
        <f aca="false">IF($O$2="sell",-1,1) * (-(B23*NORMDIST(I23,0,1,0)*$H$2)/(2*SQRT($J$2))/365) *$P$2</f>
        <v>-0.2534953101524</v>
      </c>
      <c r="G23" s="25" t="n">
        <f aca="false">IF($O$2="buy",1,-1)*( IF($K$2="call",B23*NORMDIST(I23,0,1,1) - $B$2*NORMDIST(J23,0,1,1),$B$2*NORMDIST(-J23,0,1,1) - B23*NORMDIST(-I23,0,1,1) ) - $G$2) * $P$2</f>
        <v>-3.49055261462302</v>
      </c>
      <c r="I23" s="26" t="n">
        <f aca="false">(LN(B23/$B$2)+($H$2^2/2)*($J$2))/($H$2*SQRT($J$2))</f>
        <v>1.40188572800657</v>
      </c>
      <c r="J23" s="26" t="n">
        <f aca="false">I23 - $H$2*SQRT($J$2)</f>
        <v>1.16836398844189</v>
      </c>
      <c r="L23" s="2"/>
      <c r="M23" s="27"/>
    </row>
    <row r="24" customFormat="false" ht="13.5" hidden="false" customHeight="true" outlineLevel="0" collapsed="false">
      <c r="B24" s="24" t="n">
        <f aca="false">Portfolio!B31</f>
        <v>80</v>
      </c>
      <c r="C24" s="25" t="n">
        <f aca="false">IF($O$2="sell",-1,1) *  IF($K$2="call",  NORMDIST(I24,0,1,1),  NORMDIST(I24,0,1,1)-1  ) * $P$2</f>
        <v>-0.621028731670164</v>
      </c>
      <c r="D24" s="25" t="n">
        <f aca="false">IF($O$2="sell",-1,1) * NORMDIST(I24,0,1,0)/(B24*$H$2*SQRT($J$2)) * $P$2</f>
        <v>0.0602016003247905</v>
      </c>
      <c r="E24" s="25" t="n">
        <f aca="false">IF($O$2="sell",-1,1) * (B24*NORMDIST(I24,0,1,0)*SQRT($J$2)/365) * $P$2</f>
        <v>0.0805764879617097</v>
      </c>
      <c r="F24" s="25" t="n">
        <f aca="false">IF($O$2="sell",-1,1) * (-(B24*NORMDIST(I24,0,1,0)*$H$2)/(2*SQRT($J$2))/365) *$P$2</f>
        <v>-0.269369265319789</v>
      </c>
      <c r="G24" s="25" t="n">
        <f aca="false">IF($O$2="buy",1,-1)*( IF($K$2="call",B24*NORMDIST(I24,0,1,1) - $B$2*NORMDIST(J24,0,1,1),$B$2*NORMDIST(-J24,0,1,1) - B24*NORMDIST(-I24,0,1,1) ) - $G$2) * $P$2</f>
        <v>-2.89878833124963</v>
      </c>
      <c r="I24" s="26" t="n">
        <f aca="false">(LN(B24/$B$2)+($H$2^2/2)*($J$2))/($H$2*SQRT($J$2))</f>
        <v>1.34868931031238</v>
      </c>
      <c r="J24" s="26" t="n">
        <f aca="false">I24 - $H$2*SQRT($J$2)</f>
        <v>1.1151675707477</v>
      </c>
      <c r="L24" s="2"/>
      <c r="M24" s="27"/>
      <c r="N24" s="27"/>
    </row>
    <row r="25" customFormat="false" ht="13.5" hidden="false" customHeight="true" outlineLevel="0" collapsed="false">
      <c r="B25" s="24" t="n">
        <f aca="false">Portfolio!B32</f>
        <v>79</v>
      </c>
      <c r="C25" s="25" t="n">
        <f aca="false">IF($O$2="sell",-1,1) *  IF($K$2="call",  NORMDIST(I25,0,1,1),  NORMDIST(I25,0,1,1)-1  ) * $P$2</f>
        <v>-0.683833644351512</v>
      </c>
      <c r="D25" s="25" t="n">
        <f aca="false">IF($O$2="sell",-1,1) * NORMDIST(I25,0,1,0)/(B25*$H$2*SQRT($J$2)) * $P$2</f>
        <v>0.065462331760472</v>
      </c>
      <c r="E25" s="25" t="n">
        <f aca="false">IF($O$2="sell",-1,1) * (B25*NORMDIST(I25,0,1,0)*SQRT($J$2)/365) * $P$2</f>
        <v>0.0854409320576963</v>
      </c>
      <c r="F25" s="25" t="n">
        <f aca="false">IF($O$2="sell",-1,1) * (-(B25*NORMDIST(I25,0,1,0)*$H$2)/(2*SQRT($J$2))/365) *$P$2</f>
        <v>-0.285631226662008</v>
      </c>
      <c r="G25" s="25" t="n">
        <f aca="false">IF($O$2="buy",1,-1)*( IF($K$2="call",B25*NORMDIST(I25,0,1,1) - $B$2*NORMDIST(J25,0,1,1),$B$2*NORMDIST(-J25,0,1,1) - B25*NORMDIST(-I25,0,1,1) ) - $G$2) * $P$2</f>
        <v>-2.24679553398919</v>
      </c>
      <c r="I25" s="26" t="n">
        <f aca="false">(LN(B25/$B$2)+($H$2^2/2)*($J$2))/($H$2*SQRT($J$2))</f>
        <v>1.29482373775238</v>
      </c>
      <c r="J25" s="26" t="n">
        <f aca="false">I25 - $H$2*SQRT($J$2)</f>
        <v>1.06130199818769</v>
      </c>
      <c r="L25" s="2"/>
      <c r="M25" s="27"/>
      <c r="N25" s="27"/>
    </row>
    <row r="26" customFormat="false" ht="13.5" hidden="false" customHeight="true" outlineLevel="0" collapsed="false">
      <c r="B26" s="24" t="n">
        <f aca="false">Portfolio!B33</f>
        <v>78</v>
      </c>
      <c r="C26" s="25" t="n">
        <f aca="false">IF($O$2="sell",-1,1) *  IF($K$2="call",  NORMDIST(I26,0,1,1),  NORMDIST(I26,0,1,1)-1  ) * $P$2</f>
        <v>-0.752061868644482</v>
      </c>
      <c r="D26" s="25" t="n">
        <f aca="false">IF($O$2="sell",-1,1) * NORMDIST(I26,0,1,0)/(B26*$H$2*SQRT($J$2)) * $P$2</f>
        <v>0.0710483692781321</v>
      </c>
      <c r="E26" s="25" t="n">
        <f aca="false">IF($O$2="sell",-1,1) * (B26*NORMDIST(I26,0,1,0)*SQRT($J$2)/365) * $P$2</f>
        <v>0.090399003621677</v>
      </c>
      <c r="F26" s="25" t="n">
        <f aca="false">IF($O$2="sell",-1,1) * (-(B26*NORMDIST(I26,0,1,0)*$H$2)/(2*SQRT($J$2))/365) *$P$2</f>
        <v>-0.302206187030436</v>
      </c>
      <c r="G26" s="25" t="n">
        <f aca="false">IF($O$2="buy",1,-1)*( IF($K$2="call",B26*NORMDIST(I26,0,1,1) - $B$2*NORMDIST(J26,0,1,1),$B$2*NORMDIST(-J26,0,1,1) - B26*NORMDIST(-I26,0,1,1) ) - $G$2) * $P$2</f>
        <v>-1.52931328184397</v>
      </c>
      <c r="I26" s="26" t="n">
        <f aca="false">(LN(B26/$B$2)+($H$2^2/2)*($J$2))/($H$2*SQRT($J$2))</f>
        <v>1.24027196111189</v>
      </c>
      <c r="J26" s="26" t="n">
        <f aca="false">I26 - $H$2*SQRT($J$2)</f>
        <v>1.00675022154721</v>
      </c>
      <c r="L26" s="2"/>
      <c r="M26" s="27"/>
      <c r="N26" s="27"/>
    </row>
    <row r="27" customFormat="false" ht="13.5" hidden="false" customHeight="true" outlineLevel="0" collapsed="false">
      <c r="B27" s="24" t="n">
        <f aca="false">Portfolio!B34</f>
        <v>77</v>
      </c>
      <c r="C27" s="25" t="n">
        <f aca="false">IF($O$2="sell",-1,1) *  IF($K$2="call",  NORMDIST(I27,0,1,1),  NORMDIST(I27,0,1,1)-1  ) * $P$2</f>
        <v>-0.826038547766945</v>
      </c>
      <c r="D27" s="25" t="n">
        <f aca="false">IF($O$2="sell",-1,1) * NORMDIST(I27,0,1,0)/(B27*$H$2*SQRT($J$2)) * $P$2</f>
        <v>0.0769587677492967</v>
      </c>
      <c r="E27" s="25" t="n">
        <f aca="false">IF($O$2="sell",-1,1) * (B27*NORMDIST(I27,0,1,0)*SQRT($J$2)/365) * $P$2</f>
        <v>0.0954244970425419</v>
      </c>
      <c r="F27" s="25" t="n">
        <f aca="false">IF($O$2="sell",-1,1) * (-(B27*NORMDIST(I27,0,1,0)*$H$2)/(2*SQRT($J$2))/365) *$P$2</f>
        <v>-0.319006540395193</v>
      </c>
      <c r="G27" s="25" t="n">
        <f aca="false">IF($O$2="buy",1,-1)*( IF($K$2="call",B27*NORMDIST(I27,0,1,1) - $B$2*NORMDIST(J27,0,1,1),$B$2*NORMDIST(-J27,0,1,1) - B27*NORMDIST(-I27,0,1,1) ) - $G$2) * $P$2</f>
        <v>-0.74075561363863</v>
      </c>
      <c r="I27" s="26" t="n">
        <f aca="false">(LN(B27/$B$2)+($H$2^2/2)*($J$2))/($H$2*SQRT($J$2))</f>
        <v>1.18501627117073</v>
      </c>
      <c r="J27" s="26" t="n">
        <f aca="false">I27 - $H$2*SQRT($J$2)</f>
        <v>0.951494531606045</v>
      </c>
      <c r="L27" s="2"/>
      <c r="M27" s="27"/>
      <c r="N27" s="27"/>
    </row>
    <row r="28" customFormat="false" ht="13.5" hidden="false" customHeight="true" outlineLevel="0" collapsed="false">
      <c r="B28" s="24" t="n">
        <f aca="false">Portfolio!B35</f>
        <v>76</v>
      </c>
      <c r="C28" s="25" t="n">
        <f aca="false">IF($O$2="sell",-1,1) *  IF($K$2="call",  NORMDIST(I28,0,1,1),  NORMDIST(I28,0,1,1)-1  ) * $P$2</f>
        <v>-0.906085923331129</v>
      </c>
      <c r="D28" s="25" t="n">
        <f aca="false">IF($O$2="sell",-1,1) * NORMDIST(I28,0,1,0)/(B28*$H$2*SQRT($J$2)) * $P$2</f>
        <v>0.0831885698425578</v>
      </c>
      <c r="E28" s="25" t="n">
        <f aca="false">IF($O$2="sell",-1,1) * (B28*NORMDIST(I28,0,1,0)*SQRT($J$2)/365) * $P$2</f>
        <v>0.100487297533247</v>
      </c>
      <c r="F28" s="25" t="n">
        <f aca="false">IF($O$2="sell",-1,1) * (-(B28*NORMDIST(I28,0,1,0)*$H$2)/(2*SQRT($J$2))/365) *$P$2</f>
        <v>-0.335931612251016</v>
      </c>
      <c r="G28" s="25" t="n">
        <f aca="false">IF($O$2="buy",1,-1)*( IF($K$2="call",B28*NORMDIST(I28,0,1,1) - $B$2*NORMDIST(J28,0,1,1),$B$2*NORMDIST(-J28,0,1,1) - B28*NORMDIST(-I28,0,1,1) ) - $G$2) * $P$2</f>
        <v>0.124787458526958</v>
      </c>
      <c r="I28" s="26" t="n">
        <f aca="false">(LN(B28/$B$2)+($H$2^2/2)*($J$2))/($H$2*SQRT($J$2))</f>
        <v>1.12903826419064</v>
      </c>
      <c r="J28" s="26" t="n">
        <f aca="false">I28 - $H$2*SQRT($J$2)</f>
        <v>0.895516524625962</v>
      </c>
      <c r="L28" s="2"/>
      <c r="M28" s="27"/>
      <c r="N28" s="27"/>
    </row>
    <row r="29" customFormat="false" ht="13.5" hidden="false" customHeight="true" outlineLevel="0" collapsed="false">
      <c r="B29" s="24" t="n">
        <f aca="false">Portfolio!B36</f>
        <v>75</v>
      </c>
      <c r="C29" s="25" t="n">
        <f aca="false">IF($O$2="sell",-1,1) *  IF($K$2="call",  NORMDIST(I29,0,1,1),  NORMDIST(I29,0,1,1)-1  ) * $P$2</f>
        <v>-0.992519020987439</v>
      </c>
      <c r="D29" s="25" t="n">
        <f aca="false">IF($O$2="sell",-1,1) * NORMDIST(I29,0,1,0)/(B29*$H$2*SQRT($J$2)) * $P$2</f>
        <v>0.0897281976321296</v>
      </c>
      <c r="E29" s="25" t="n">
        <f aca="false">IF($O$2="sell",-1,1) * (B29*NORMDIST(I29,0,1,0)*SQRT($J$2)/365) * $P$2</f>
        <v>0.105553294991209</v>
      </c>
      <c r="F29" s="25" t="n">
        <f aca="false">IF($O$2="sell",-1,1) * (-(B29*NORMDIST(I29,0,1,0)*$H$2)/(2*SQRT($J$2))/365) *$P$2</f>
        <v>-0.352867371650355</v>
      </c>
      <c r="G29" s="25" t="n">
        <f aca="false">IF($O$2="buy",1,-1)*( IF($K$2="call",B29*NORMDIST(I29,0,1,1) - $B$2*NORMDIST(J29,0,1,1),$B$2*NORMDIST(-J29,0,1,1) - B29*NORMDIST(-I29,0,1,1) ) - $G$2) * $P$2</f>
        <v>1.07354494120675</v>
      </c>
      <c r="I29" s="26" t="n">
        <f aca="false">(LN(B29/$B$2)+($H$2^2/2)*($J$2))/($H$2*SQRT($J$2))</f>
        <v>1.0723188051171</v>
      </c>
      <c r="J29" s="26" t="n">
        <f aca="false">I29 - $H$2*SQRT($J$2)</f>
        <v>0.838797065552423</v>
      </c>
      <c r="L29" s="2"/>
      <c r="M29" s="27"/>
      <c r="N29" s="27"/>
    </row>
    <row r="30" customFormat="false" ht="13.5" hidden="false" customHeight="true" outlineLevel="0" collapsed="false">
      <c r="B30" s="24" t="n">
        <f aca="false">Portfolio!B37</f>
        <v>74</v>
      </c>
      <c r="C30" s="25" t="n">
        <f aca="false">IF($O$2="sell",-1,1) *  IF($K$2="call",  NORMDIST(I30,0,1,1),  NORMDIST(I30,0,1,1)-1  ) * $P$2</f>
        <v>-1.08564071718017</v>
      </c>
      <c r="D30" s="25" t="n">
        <f aca="false">IF($O$2="sell",-1,1) * NORMDIST(I30,0,1,0)/(B30*$H$2*SQRT($J$2)) * $P$2</f>
        <v>0.0965628250707844</v>
      </c>
      <c r="E30" s="25" t="n">
        <f aca="false">IF($O$2="sell",-1,1) * (B30*NORMDIST(I30,0,1,0)*SQRT($J$2)/365) * $P$2</f>
        <v>0.11058436451934</v>
      </c>
      <c r="F30" s="25" t="n">
        <f aca="false">IF($O$2="sell",-1,1) * (-(B30*NORMDIST(I30,0,1,0)*$H$2)/(2*SQRT($J$2))/365) *$P$2</f>
        <v>-0.369686366084681</v>
      </c>
      <c r="G30" s="25" t="n">
        <f aca="false">IF($O$2="buy",1,-1)*( IF($K$2="call",B30*NORMDIST(I30,0,1,1) - $B$2*NORMDIST(J30,0,1,1),$B$2*NORMDIST(-J30,0,1,1) - B30*NORMDIST(-I30,0,1,1) ) - $G$2) * $P$2</f>
        <v>2.11205522933602</v>
      </c>
      <c r="I30" s="26" t="n">
        <f aca="false">(LN(B30/$B$2)+($H$2^2/2)*($J$2))/($H$2*SQRT($J$2))</f>
        <v>1.01483798831108</v>
      </c>
      <c r="J30" s="26" t="n">
        <f aca="false">I30 - $H$2*SQRT($J$2)</f>
        <v>0.781316248746403</v>
      </c>
      <c r="L30" s="2"/>
      <c r="M30" s="27"/>
      <c r="N30" s="27"/>
    </row>
    <row r="31" customFormat="false" ht="13.5" hidden="false" customHeight="true" outlineLevel="0" collapsed="false">
      <c r="B31" s="24" t="n">
        <f aca="false">Portfolio!B38</f>
        <v>73</v>
      </c>
      <c r="C31" s="25" t="n">
        <f aca="false">IF($O$2="sell",-1,1) *  IF($K$2="call",  NORMDIST(I31,0,1,1),  NORMDIST(I31,0,1,1)-1  ) * $P$2</f>
        <v>-1.18573617396677</v>
      </c>
      <c r="D31" s="25" t="n">
        <f aca="false">IF($O$2="sell",-1,1) * NORMDIST(I31,0,1,0)/(B31*$H$2*SQRT($J$2)) * $P$2</f>
        <v>0.103671744026634</v>
      </c>
      <c r="E31" s="25" t="n">
        <f aca="false">IF($O$2="sell",-1,1) * (B31*NORMDIST(I31,0,1,0)*SQRT($J$2)/365) * $P$2</f>
        <v>0.115538426534899</v>
      </c>
      <c r="F31" s="25" t="n">
        <f aca="false">IF($O$2="sell",-1,1) * (-(B31*NORMDIST(I31,0,1,0)*$H$2)/(2*SQRT($J$2))/365) *$P$2</f>
        <v>-0.386247922429924</v>
      </c>
      <c r="G31" s="25" t="n">
        <f aca="false">IF($O$2="buy",1,-1)*( IF($K$2="call",B31*NORMDIST(I31,0,1,1) - $B$2*NORMDIST(J31,0,1,1),$B$2*NORMDIST(-J31,0,1,1) - B31*NORMDIST(-I31,0,1,1) ) - $G$2) * $P$2</f>
        <v>3.24715122728755</v>
      </c>
      <c r="I31" s="26" t="n">
        <f aca="false">(LN(B31/$B$2)+($H$2^2/2)*($J$2))/($H$2*SQRT($J$2))</f>
        <v>0.956575095609353</v>
      </c>
      <c r="J31" s="26" t="n">
        <f aca="false">I31 - $H$2*SQRT($J$2)</f>
        <v>0.723053356044671</v>
      </c>
      <c r="L31" s="2"/>
      <c r="M31" s="27"/>
      <c r="N31" s="27"/>
    </row>
    <row r="32" customFormat="false" ht="13.5" hidden="false" customHeight="true" outlineLevel="0" collapsed="false">
      <c r="B32" s="24" t="n">
        <f aca="false">Portfolio!B39</f>
        <v>72</v>
      </c>
      <c r="C32" s="25" t="n">
        <f aca="false">IF($O$2="sell",-1,1) *  IF($K$2="call",  NORMDIST(I32,0,1,1),  NORMDIST(I32,0,1,1)-1  ) * $P$2</f>
        <v>-1.29306664317779</v>
      </c>
      <c r="D32" s="25" t="n">
        <f aca="false">IF($O$2="sell",-1,1) * NORMDIST(I32,0,1,0)/(B32*$H$2*SQRT($J$2)) * $P$2</f>
        <v>0.111027739884787</v>
      </c>
      <c r="E32" s="25" t="n">
        <f aca="false">IF($O$2="sell",-1,1) * (B32*NORMDIST(I32,0,1,0)*SQRT($J$2)/365) * $P$2</f>
        <v>0.120369599667807</v>
      </c>
      <c r="F32" s="25" t="n">
        <f aca="false">IF($O$2="sell",-1,1) * (-(B32*NORMDIST(I32,0,1,0)*$H$2)/(2*SQRT($J$2))/365) *$P$2</f>
        <v>-0.40239865808947</v>
      </c>
      <c r="G32" s="25" t="n">
        <f aca="false">IF($O$2="buy",1,-1)*( IF($K$2="call",B32*NORMDIST(I32,0,1,1) - $B$2*NORMDIST(J32,0,1,1),$B$2*NORMDIST(-J32,0,1,1) - B32*NORMDIST(-I32,0,1,1) ) - $G$2) * $P$2</f>
        <v>4.48593958862474</v>
      </c>
      <c r="I32" s="26" t="n">
        <f aca="false">(LN(B32/$B$2)+($H$2^2/2)*($J$2))/($H$2*SQRT($J$2))</f>
        <v>0.897508551492096</v>
      </c>
      <c r="J32" s="26" t="n">
        <f aca="false">I32 - $H$2*SQRT($J$2)</f>
        <v>0.663986811927415</v>
      </c>
      <c r="L32" s="2"/>
      <c r="M32" s="27"/>
      <c r="N32" s="27"/>
    </row>
    <row r="33" customFormat="false" ht="13.5" hidden="false" customHeight="true" outlineLevel="0" collapsed="false">
      <c r="B33" s="24" t="n">
        <f aca="false">Portfolio!B40</f>
        <v>71</v>
      </c>
      <c r="C33" s="25" t="n">
        <f aca="false">IF($O$2="sell",-1,1) *  IF($K$2="call",  NORMDIST(I33,0,1,1),  NORMDIST(I33,0,1,1)-1  ) * $P$2</f>
        <v>-1.40786265896007</v>
      </c>
      <c r="D33" s="25" t="n">
        <f aca="false">IF($O$2="sell",-1,1) * NORMDIST(I33,0,1,0)/(B33*$H$2*SQRT($J$2)) * $P$2</f>
        <v>0.118596496281805</v>
      </c>
      <c r="E33" s="25" t="n">
        <f aca="false">IF($O$2="sell",-1,1) * (B33*NORMDIST(I33,0,1,0)*SQRT($J$2)/365) * $P$2</f>
        <v>0.12502845950684</v>
      </c>
      <c r="F33" s="25" t="n">
        <f aca="false">IF($O$2="sell",-1,1) * (-(B33*NORMDIST(I33,0,1,0)*$H$2)/(2*SQRT($J$2))/365) *$P$2</f>
        <v>-0.417973345989301</v>
      </c>
      <c r="G33" s="25" t="n">
        <f aca="false">IF($O$2="buy",1,-1)*( IF($K$2="call",B33*NORMDIST(I33,0,1,1) - $B$2*NORMDIST(J33,0,1,1),$B$2*NORMDIST(-J33,0,1,1) - B33*NORMDIST(-I33,0,1,1) ) - $G$2) * $P$2</f>
        <v>5.83577345178443</v>
      </c>
      <c r="I33" s="26" t="n">
        <f aca="false">(LN(B33/$B$2)+($H$2^2/2)*($J$2))/($H$2*SQRT($J$2))</f>
        <v>0.837615875115104</v>
      </c>
      <c r="J33" s="26" t="n">
        <f aca="false">I33 - $H$2*SQRT($J$2)</f>
        <v>0.604094135550422</v>
      </c>
      <c r="L33" s="2"/>
      <c r="M33" s="27"/>
      <c r="N33" s="27"/>
    </row>
    <row r="34" customFormat="false" ht="13.5" hidden="false" customHeight="true" outlineLevel="0" collapsed="false">
      <c r="B34" s="24" t="n">
        <f aca="false">Portfolio!B41</f>
        <v>70</v>
      </c>
      <c r="C34" s="25" t="n">
        <f aca="false">IF($O$2="sell",-1,1) *  IF($K$2="call",  NORMDIST(I34,0,1,1),  NORMDIST(I34,0,1,1)-1  ) * $P$2</f>
        <v>-1.53031665917688</v>
      </c>
      <c r="D34" s="25" t="n">
        <f aca="false">IF($O$2="sell",-1,1) * NORMDIST(I34,0,1,0)/(B34*$H$2*SQRT($J$2)) * $P$2</f>
        <v>0.126336052288939</v>
      </c>
      <c r="E34" s="25" t="n">
        <f aca="false">IF($O$2="sell",-1,1) * (B34*NORMDIST(I34,0,1,0)*SQRT($J$2)/365) * $P$2</f>
        <v>0.129462415588832</v>
      </c>
      <c r="F34" s="25" t="n">
        <f aca="false">IF($O$2="sell",-1,1) * (-(B34*NORMDIST(I34,0,1,0)*$H$2)/(2*SQRT($J$2))/365) *$P$2</f>
        <v>-0.432796174862583</v>
      </c>
      <c r="G34" s="25" t="n">
        <f aca="false">IF($O$2="buy",1,-1)*( IF($K$2="call",B34*NORMDIST(I34,0,1,1) - $B$2*NORMDIST(J34,0,1,1),$B$2*NORMDIST(-J34,0,1,1) - B34*NORMDIST(-I34,0,1,1) ) - $G$2) * $P$2</f>
        <v>7.30421807836566</v>
      </c>
      <c r="I34" s="26" t="n">
        <f aca="false">(LN(B34/$B$2)+($H$2^2/2)*($J$2))/($H$2*SQRT($J$2))</f>
        <v>0.776873628939657</v>
      </c>
      <c r="J34" s="26" t="n">
        <f aca="false">I34 - $H$2*SQRT($J$2)</f>
        <v>0.543351889374975</v>
      </c>
      <c r="L34" s="2"/>
      <c r="M34" s="27"/>
      <c r="N34" s="27"/>
    </row>
    <row r="35" customFormat="false" ht="13.5" hidden="false" customHeight="true" outlineLevel="0" collapsed="false">
      <c r="B35" s="24" t="n">
        <f aca="false">Portfolio!B42</f>
        <v>69</v>
      </c>
      <c r="C35" s="25" t="n">
        <f aca="false">IF($O$2="sell",-1,1) *  IF($K$2="call",  NORMDIST(I35,0,1,1),  NORMDIST(I35,0,1,1)-1  ) * $P$2</f>
        <v>-1.66057510136004</v>
      </c>
      <c r="D35" s="25" t="n">
        <f aca="false">IF($O$2="sell",-1,1) * NORMDIST(I35,0,1,0)/(B35*$H$2*SQRT($J$2)) * $P$2</f>
        <v>0.134196339168508</v>
      </c>
      <c r="E35" s="25" t="n">
        <f aca="false">IF($O$2="sell",-1,1) * (B35*NORMDIST(I35,0,1,0)*SQRT($J$2)/365) * $P$2</f>
        <v>0.133616217736906</v>
      </c>
      <c r="F35" s="25" t="n">
        <f aca="false">IF($O$2="sell",-1,1) * (-(B35*NORMDIST(I35,0,1,0)*$H$2)/(2*SQRT($J$2))/365) *$P$2</f>
        <v>-0.446682441951342</v>
      </c>
      <c r="G35" s="25" t="n">
        <f aca="false">IF($O$2="buy",1,-1)*( IF($K$2="call",B35*NORMDIST(I35,0,1,1) - $B$2*NORMDIST(J35,0,1,1),$B$2*NORMDIST(-J35,0,1,1) - B35*NORMDIST(-I35,0,1,1) ) - $G$2) * $P$2</f>
        <v>8.89900885346844</v>
      </c>
      <c r="I35" s="26" t="n">
        <f aca="false">(LN(B35/$B$2)+($H$2^2/2)*($J$2))/($H$2*SQRT($J$2))</f>
        <v>0.715257363666358</v>
      </c>
      <c r="J35" s="26" t="n">
        <f aca="false">I35 - $H$2*SQRT($J$2)</f>
        <v>0.481735624101676</v>
      </c>
      <c r="L35" s="2"/>
      <c r="M35" s="27"/>
      <c r="N35" s="27"/>
    </row>
    <row r="36" customFormat="false" ht="13.5" hidden="false" customHeight="true" outlineLevel="0" collapsed="false">
      <c r="B36" s="24" t="n">
        <f aca="false">Portfolio!B43</f>
        <v>68</v>
      </c>
      <c r="C36" s="25" t="n">
        <f aca="false">IF($O$2="sell",-1,1) *  IF($K$2="call",  NORMDIST(I36,0,1,1),  NORMDIST(I36,0,1,1)-1  ) * $P$2</f>
        <v>-1.79873016790291</v>
      </c>
      <c r="D36" s="25" t="n">
        <f aca="false">IF($O$2="sell",-1,1) * NORMDIST(I36,0,1,0)/(B36*$H$2*SQRT($J$2)) * $P$2</f>
        <v>0.142118827533299</v>
      </c>
      <c r="E36" s="25" t="n">
        <f aca="false">IF($O$2="sell",-1,1) * (B36*NORMDIST(I36,0,1,0)*SQRT($J$2)/365) * $P$2</f>
        <v>0.137432600834175</v>
      </c>
      <c r="F36" s="25" t="n">
        <f aca="false">IF($O$2="sell",-1,1) * (-(B36*NORMDIST(I36,0,1,0)*$H$2)/(2*SQRT($J$2))/365) *$P$2</f>
        <v>-0.459440708501488</v>
      </c>
      <c r="G36" s="25" t="n">
        <f aca="false">IF($O$2="buy",1,-1)*( IF($K$2="call",B36*NORMDIST(I36,0,1,1) - $B$2*NORMDIST(J36,0,1,1),$B$2*NORMDIST(-J36,0,1,1) - B36*NORMDIST(-I36,0,1,1) ) - $G$2) * $P$2</f>
        <v>10.6280011874101</v>
      </c>
      <c r="I36" s="26" t="n">
        <f aca="false">(LN(B36/$B$2)+($H$2^2/2)*($J$2))/($H$2*SQRT($J$2))</f>
        <v>0.652741559149113</v>
      </c>
      <c r="J36" s="26" t="n">
        <f aca="false">I36 - $H$2*SQRT($J$2)</f>
        <v>0.419219819584431</v>
      </c>
      <c r="L36" s="2"/>
      <c r="M36" s="27"/>
      <c r="N36" s="27"/>
    </row>
    <row r="37" customFormat="false" ht="13.5" hidden="false" customHeight="true" outlineLevel="0" collapsed="false">
      <c r="B37" s="24" t="n">
        <f aca="false">Portfolio!B44</f>
        <v>67</v>
      </c>
      <c r="C37" s="25" t="n">
        <f aca="false">IF($O$2="sell",-1,1) *  IF($K$2="call",  NORMDIST(I37,0,1,1),  NORMDIST(I37,0,1,1)-1  ) * $P$2</f>
        <v>-1.94481118774514</v>
      </c>
      <c r="D37" s="25" t="n">
        <f aca="false">IF($O$2="sell",-1,1) * NORMDIST(I37,0,1,0)/(B37*$H$2*SQRT($J$2)) * $P$2</f>
        <v>0.150036319131405</v>
      </c>
      <c r="E37" s="25" t="n">
        <f aca="false">IF($O$2="sell",-1,1) * (B37*NORMDIST(I37,0,1,0)*SQRT($J$2)/365) * $P$2</f>
        <v>0.14085307427286</v>
      </c>
      <c r="F37" s="25" t="n">
        <f aca="false">IF($O$2="sell",-1,1) * (-(B37*NORMDIST(I37,0,1,0)*$H$2)/(2*SQRT($J$2))/365) *$P$2</f>
        <v>-0.470875438911459</v>
      </c>
      <c r="G37" s="25" t="n">
        <f aca="false">IF($O$2="buy",1,-1)*( IF($K$2="call",B37*NORMDIST(I37,0,1,1) - $B$2*NORMDIST(J37,0,1,1),$B$2*NORMDIST(-J37,0,1,1) - B37*NORMDIST(-I37,0,1,1) ) - $G$2) * $P$2</f>
        <v>12.4991119688317</v>
      </c>
      <c r="I37" s="26" t="n">
        <f aca="false">(LN(B37/$B$2)+($H$2^2/2)*($J$2))/($H$2*SQRT($J$2))</f>
        <v>0.58929956093191</v>
      </c>
      <c r="J37" s="26" t="n">
        <f aca="false">I37 - $H$2*SQRT($J$2)</f>
        <v>0.355777821367229</v>
      </c>
      <c r="L37" s="2"/>
      <c r="M37" s="27"/>
      <c r="N37" s="27"/>
    </row>
    <row r="38" customFormat="false" ht="13.5" hidden="false" customHeight="true" outlineLevel="0" collapsed="false">
      <c r="B38" s="24" t="n">
        <f aca="false">Portfolio!B45</f>
        <v>66</v>
      </c>
      <c r="C38" s="25" t="n">
        <f aca="false">IF($O$2="sell",-1,1) *  IF($K$2="call",  NORMDIST(I38,0,1,1),  NORMDIST(I38,0,1,1)-1  ) * $P$2</f>
        <v>-2.09877593749212</v>
      </c>
      <c r="D38" s="25" t="n">
        <f aca="false">IF($O$2="sell",-1,1) * NORMDIST(I38,0,1,0)/(B38*$H$2*SQRT($J$2)) * $P$2</f>
        <v>0.157872920297899</v>
      </c>
      <c r="E38" s="25" t="n">
        <f aca="false">IF($O$2="sell",-1,1) * (B38*NORMDIST(I38,0,1,0)*SQRT($J$2)/365) * $P$2</f>
        <v>0.143818858564722</v>
      </c>
      <c r="F38" s="25" t="n">
        <f aca="false">IF($O$2="sell",-1,1) * (-(B38*NORMDIST(I38,0,1,0)*$H$2)/(2*SQRT($J$2))/365) *$P$2</f>
        <v>-0.480790131844905</v>
      </c>
      <c r="G38" s="25" t="n">
        <f aca="false">IF($O$2="buy",1,-1)*( IF($K$2="call",B38*NORMDIST(I38,0,1,1) - $B$2*NORMDIST(J38,0,1,1),$B$2*NORMDIST(-J38,0,1,1) - B38*NORMDIST(-I38,0,1,1) ) - $G$2) * $P$2</f>
        <v>14.5202523640711</v>
      </c>
      <c r="I38" s="26" t="n">
        <f aca="false">(LN(B38/$B$2)+($H$2^2/2)*($J$2))/($H$2*SQRT($J$2))</f>
        <v>0.524903512013411</v>
      </c>
      <c r="J38" s="26" t="n">
        <f aca="false">I38 - $H$2*SQRT($J$2)</f>
        <v>0.291381772448729</v>
      </c>
      <c r="L38" s="2"/>
      <c r="M38" s="27"/>
      <c r="N38" s="27"/>
    </row>
    <row r="39" customFormat="false" ht="13.5" hidden="false" customHeight="true" outlineLevel="0" collapsed="false">
      <c r="B39" s="24" t="n">
        <f aca="false">Portfolio!B46</f>
        <v>65</v>
      </c>
      <c r="C39" s="25" t="n">
        <f aca="false">IF($O$2="sell",-1,1) *  IF($K$2="call",  NORMDIST(I39,0,1,1),  NORMDIST(I39,0,1,1)-1  ) * $P$2</f>
        <v>-2.26050202300861</v>
      </c>
      <c r="D39" s="25" t="n">
        <f aca="false">IF($O$2="sell",-1,1) * NORMDIST(I39,0,1,0)/(B39*$H$2*SQRT($J$2)) * $P$2</f>
        <v>0.165544236048341</v>
      </c>
      <c r="E39" s="25" t="n">
        <f aca="false">IF($O$2="sell",-1,1) * (B39*NORMDIST(I39,0,1,0)*SQRT($J$2)/365) * $P$2</f>
        <v>0.146271966882581</v>
      </c>
      <c r="F39" s="25" t="n">
        <f aca="false">IF($O$2="sell",-1,1) * (-(B39*NORMDIST(I39,0,1,0)*$H$2)/(2*SQRT($J$2))/365) *$P$2</f>
        <v>-0.488990935851721</v>
      </c>
      <c r="G39" s="25" t="n">
        <f aca="false">IF($O$2="buy",1,-1)*( IF($K$2="call",B39*NORMDIST(I39,0,1,1) - $B$2*NORMDIST(J39,0,1,1),$B$2*NORMDIST(-J39,0,1,1) - B39*NORMDIST(-I39,0,1,1) ) - $G$2) * $P$2</f>
        <v>16.6992519395061</v>
      </c>
      <c r="I39" s="26" t="n">
        <f aca="false">(LN(B39/$B$2)+($H$2^2/2)*($J$2))/($H$2*SQRT($J$2))</f>
        <v>0.459524279402137</v>
      </c>
      <c r="J39" s="26" t="n">
        <f aca="false">I39 - $H$2*SQRT($J$2)</f>
        <v>0.226002539837455</v>
      </c>
      <c r="L39" s="2"/>
      <c r="M39" s="27"/>
      <c r="N39" s="27"/>
    </row>
    <row r="40" customFormat="false" ht="13.5" hidden="false" customHeight="true" outlineLevel="0" collapsed="false">
      <c r="B40" s="24" t="n">
        <f aca="false">Portfolio!B47</f>
        <v>64</v>
      </c>
      <c r="C40" s="25" t="n">
        <f aca="false">IF($O$2="sell",-1,1) *  IF($K$2="call",  NORMDIST(I40,0,1,1),  NORMDIST(I40,0,1,1)-1  ) * $P$2</f>
        <v>-2.42977858196428</v>
      </c>
      <c r="D40" s="25" t="n">
        <f aca="false">IF($O$2="sell",-1,1) * NORMDIST(I40,0,1,0)/(B40*$H$2*SQRT($J$2)) * $P$2</f>
        <v>0.172957824476549</v>
      </c>
      <c r="E40" s="25" t="n">
        <f aca="false">IF($O$2="sell",-1,1) * (B40*NORMDIST(I40,0,1,0)*SQRT($J$2)/365) * $P$2</f>
        <v>0.14815642360741</v>
      </c>
      <c r="F40" s="25" t="n">
        <f aca="false">IF($O$2="sell",-1,1) * (-(B40*NORMDIST(I40,0,1,0)*$H$2)/(2*SQRT($J$2))/365) *$P$2</f>
        <v>-0.495290723002227</v>
      </c>
      <c r="G40" s="25" t="n">
        <f aca="false">IF($O$2="buy",1,-1)*( IF($K$2="call",B40*NORMDIST(I40,0,1,1) - $B$2*NORMDIST(J40,0,1,1),$B$2*NORMDIST(-J40,0,1,1) - B40*NORMDIST(-I40,0,1,1) ) - $G$2) * $P$2</f>
        <v>19.0437743042742</v>
      </c>
      <c r="I40" s="26" t="n">
        <f aca="false">(LN(B40/$B$2)+($H$2^2/2)*($J$2))/($H$2*SQRT($J$2))</f>
        <v>0.393131374977619</v>
      </c>
      <c r="J40" s="26" t="n">
        <f aca="false">I40 - $H$2*SQRT($J$2)</f>
        <v>0.159609635412937</v>
      </c>
      <c r="L40" s="2"/>
      <c r="M40" s="27"/>
      <c r="N40" s="27"/>
    </row>
    <row r="41" customFormat="false" ht="13.5" hidden="false" customHeight="true" outlineLevel="0" collapsed="false">
      <c r="B41" s="24" t="n">
        <f aca="false">Portfolio!B48</f>
        <v>63</v>
      </c>
      <c r="C41" s="25" t="n">
        <f aca="false">IF($O$2="sell",-1,1) *  IF($K$2="call",  NORMDIST(I41,0,1,1),  NORMDIST(I41,0,1,1)-1  ) * $P$2</f>
        <v>-2.60629858714639</v>
      </c>
      <c r="D41" s="25" t="n">
        <f aca="false">IF($O$2="sell",-1,1) * NORMDIST(I41,0,1,0)/(B41*$H$2*SQRT($J$2)) * $P$2</f>
        <v>0.180013950157868</v>
      </c>
      <c r="E41" s="25" t="n">
        <f aca="false">IF($O$2="sell",-1,1) * (B41*NORMDIST(I41,0,1,0)*SQRT($J$2)/365) * $P$2</f>
        <v>0.149419605314232</v>
      </c>
      <c r="F41" s="25" t="n">
        <f aca="false">IF($O$2="sell",-1,1) * (-(B41*NORMDIST(I41,0,1,0)*$H$2)/(2*SQRT($J$2))/365) *$P$2</f>
        <v>-0.499513571837409</v>
      </c>
      <c r="G41" s="25" t="n">
        <f aca="false">IF($O$2="buy",1,-1)*( IF($K$2="call",B41*NORMDIST(I41,0,1,1) - $B$2*NORMDIST(J41,0,1,1),$B$2*NORMDIST(-J41,0,1,1) - B41*NORMDIST(-I41,0,1,1) ) - $G$2) * $P$2</f>
        <v>21.5612247310003</v>
      </c>
      <c r="I41" s="26" t="n">
        <f aca="false">(LN(B41/$B$2)+($H$2^2/2)*($J$2))/($H$2*SQRT($J$2))</f>
        <v>0.325692870119371</v>
      </c>
      <c r="J41" s="26" t="n">
        <f aca="false">I41 - $H$2*SQRT($J$2)</f>
        <v>0.0921711305546896</v>
      </c>
      <c r="L41" s="2"/>
      <c r="M41" s="27"/>
      <c r="N41" s="27"/>
    </row>
    <row r="42" customFormat="false" ht="13.5" hidden="false" customHeight="true" outlineLevel="0" collapsed="false">
      <c r="B42" s="24" t="n">
        <f aca="false">Portfolio!B49</f>
        <v>62</v>
      </c>
      <c r="C42" s="25" t="n">
        <f aca="false">IF($O$2="sell",-1,1) *  IF($K$2="call",  NORMDIST(I42,0,1,1),  NORMDIST(I42,0,1,1)-1  ) * $P$2</f>
        <v>-2.78965206772648</v>
      </c>
      <c r="D42" s="25" t="n">
        <f aca="false">IF($O$2="sell",-1,1) * NORMDIST(I42,0,1,0)/(B42*$H$2*SQRT($J$2)) * $P$2</f>
        <v>0.186606672217655</v>
      </c>
      <c r="E42" s="25" t="n">
        <f aca="false">IF($O$2="sell",-1,1) * (B42*NORMDIST(I42,0,1,0)*SQRT($J$2)/365) * $P$2</f>
        <v>0.150013682139889</v>
      </c>
      <c r="F42" s="25" t="n">
        <f aca="false">IF($O$2="sell",-1,1) * (-(B42*NORMDIST(I42,0,1,0)*$H$2)/(2*SQRT($J$2))/365) *$P$2</f>
        <v>-0.50149958589832</v>
      </c>
      <c r="G42" s="25" t="n">
        <f aca="false">IF($O$2="buy",1,-1)*( IF($K$2="call",B42*NORMDIST(I42,0,1,1) - $B$2*NORMDIST(J42,0,1,1),$B$2*NORMDIST(-J42,0,1,1) - B42*NORMDIST(-I42,0,1,1) ) - $G$2) * $P$2</f>
        <v>24.2586505109173</v>
      </c>
      <c r="I42" s="26" t="n">
        <f aca="false">(LN(B42/$B$2)+($H$2^2/2)*($J$2))/($H$2*SQRT($J$2))</f>
        <v>0.257175303505368</v>
      </c>
      <c r="J42" s="26" t="n">
        <f aca="false">I42 - $H$2*SQRT($J$2)</f>
        <v>0.023653563940686</v>
      </c>
      <c r="L42" s="2"/>
      <c r="M42" s="27"/>
      <c r="N42" s="27"/>
    </row>
    <row r="43" customFormat="false" ht="13.5" hidden="false" customHeight="true" outlineLevel="0" collapsed="false">
      <c r="B43" s="24" t="n">
        <f aca="false">Portfolio!B50</f>
        <v>61</v>
      </c>
      <c r="C43" s="25" t="n">
        <f aca="false">IF($O$2="sell",-1,1) *  IF($K$2="call",  NORMDIST(I43,0,1,1),  NORMDIST(I43,0,1,1)-1  ) * $P$2</f>
        <v>-2.97932059877541</v>
      </c>
      <c r="D43" s="25" t="n">
        <f aca="false">IF($O$2="sell",-1,1) * NORMDIST(I43,0,1,0)/(B43*$H$2*SQRT($J$2)) * $P$2</f>
        <v>0.192625297162963</v>
      </c>
      <c r="E43" s="25" t="n">
        <f aca="false">IF($O$2="sell",-1,1) * (B43*NORMDIST(I43,0,1,0)*SQRT($J$2)/365) * $P$2</f>
        <v>0.149897129311164</v>
      </c>
      <c r="F43" s="25" t="n">
        <f aca="false">IF($O$2="sell",-1,1) * (-(B43*NORMDIST(I43,0,1,0)*$H$2)/(2*SQRT($J$2))/365) *$P$2</f>
        <v>-0.501109946803359</v>
      </c>
      <c r="G43" s="25" t="n">
        <f aca="false">IF($O$2="buy",1,-1)*( IF($K$2="call",B43*NORMDIST(I43,0,1,1) - $B$2*NORMDIST(J43,0,1,1),$B$2*NORMDIST(-J43,0,1,1) - B43*NORMDIST(-I43,0,1,1) ) - $G$2) * $P$2</f>
        <v>27.1426351339693</v>
      </c>
      <c r="I43" s="26" t="n">
        <f aca="false">(LN(B43/$B$2)+($H$2^2/2)*($J$2))/($H$2*SQRT($J$2))</f>
        <v>0.187543581413487</v>
      </c>
      <c r="J43" s="26" t="n">
        <f aca="false">I43 - $H$2*SQRT($J$2)</f>
        <v>-0.0459781581511947</v>
      </c>
      <c r="L43" s="2"/>
      <c r="M43" s="27"/>
      <c r="N43" s="27"/>
    </row>
    <row r="44" customFormat="false" ht="13.5" hidden="false" customHeight="true" outlineLevel="0" collapsed="false">
      <c r="B44" s="24" t="n">
        <f aca="false">Portfolio!B51</f>
        <v>60</v>
      </c>
      <c r="C44" s="25" t="n">
        <f aca="false">IF($O$2="sell",-1,1) *  IF($K$2="call",  NORMDIST(I44,0,1,1),  NORMDIST(I44,0,1,1)-1  ) * $P$2</f>
        <v>-3.17467343542882</v>
      </c>
      <c r="D44" s="25" t="n">
        <f aca="false">IF($O$2="sell",-1,1) * NORMDIST(I44,0,1,0)/(B44*$H$2*SQRT($J$2)) * $P$2</f>
        <v>0.197956218073099</v>
      </c>
      <c r="E44" s="25" t="n">
        <f aca="false">IF($O$2="sell",-1,1) * (B44*NORMDIST(I44,0,1,0)*SQRT($J$2)/365) * $P$2</f>
        <v>0.149036270036972</v>
      </c>
      <c r="F44" s="25" t="n">
        <f aca="false">IF($O$2="sell",-1,1) * (-(B44*NORMDIST(I44,0,1,0)*$H$2)/(2*SQRT($J$2))/365) *$P$2</f>
        <v>-0.49823207217642</v>
      </c>
      <c r="G44" s="25" t="n">
        <f aca="false">IF($O$2="buy",1,-1)*( IF($K$2="call",B44*NORMDIST(I44,0,1,1) - $B$2*NORMDIST(J44,0,1,1),$B$2*NORMDIST(-J44,0,1,1) - B44*NORMDIST(-I44,0,1,1) ) - $G$2) * $P$2</f>
        <v>30.2191877485418</v>
      </c>
      <c r="I44" s="26" t="n">
        <f aca="false">(LN(B44/$B$2)+($H$2^2/2)*($J$2))/($H$2*SQRT($J$2))</f>
        <v>0.116760869782341</v>
      </c>
      <c r="J44" s="26" t="n">
        <f aca="false">I44 - $H$2*SQRT($J$2)</f>
        <v>-0.116760869782341</v>
      </c>
      <c r="L44" s="2"/>
      <c r="M44" s="27"/>
      <c r="N44" s="27"/>
    </row>
    <row r="45" customFormat="false" ht="13.5" hidden="false" customHeight="true" outlineLevel="0" collapsed="false">
      <c r="B45" s="24" t="n">
        <f aca="false">Portfolio!B52</f>
        <v>59</v>
      </c>
      <c r="C45" s="25" t="n">
        <f aca="false">IF($O$2="sell",-1,1) *  IF($K$2="call",  NORMDIST(I45,0,1,1),  NORMDIST(I45,0,1,1)-1  ) * $P$2</f>
        <v>-3.37496568408669</v>
      </c>
      <c r="D45" s="25" t="n">
        <f aca="false">IF($O$2="sell",-1,1) * NORMDIST(I45,0,1,0)/(B45*$H$2*SQRT($J$2)) * $P$2</f>
        <v>0.20248514994009</v>
      </c>
      <c r="E45" s="25" t="n">
        <f aca="false">IF($O$2="sell",-1,1) * (B45*NORMDIST(I45,0,1,0)*SQRT($J$2)/365) * $P$2</f>
        <v>0.147406802347007</v>
      </c>
      <c r="F45" s="25" t="n">
        <f aca="false">IF($O$2="sell",-1,1) * (-(B45*NORMDIST(I45,0,1,0)*$H$2)/(2*SQRT($J$2))/365) *$P$2</f>
        <v>-0.492784719907642</v>
      </c>
      <c r="G45" s="25" t="n">
        <f aca="false">IF($O$2="buy",1,-1)*( IF($K$2="call",B45*NORMDIST(I45,0,1,1) - $B$2*NORMDIST(J45,0,1,1),$B$2*NORMDIST(-J45,0,1,1) - B45*NORMDIST(-I45,0,1,1) ) - $G$2) * $P$2</f>
        <v>33.4936297408405</v>
      </c>
      <c r="I45" s="26" t="n">
        <f aca="false">(LN(B45/$B$2)+($H$2^2/2)*($J$2))/($H$2*SQRT($J$2))</f>
        <v>0.044788477200339</v>
      </c>
      <c r="J45" s="26" t="n">
        <f aca="false">I45 - $H$2*SQRT($J$2)</f>
        <v>-0.188733262364343</v>
      </c>
      <c r="L45" s="2"/>
      <c r="M45" s="27"/>
      <c r="N45" s="27"/>
    </row>
    <row r="46" customFormat="false" ht="13.5" hidden="false" customHeight="true" outlineLevel="0" collapsed="false">
      <c r="B46" s="24" t="n">
        <f aca="false">Portfolio!B53</f>
        <v>58</v>
      </c>
      <c r="C46" s="25" t="n">
        <f aca="false">IF($O$2="sell",-1,1) *  IF($K$2="call",  NORMDIST(I46,0,1,1),  NORMDIST(I46,0,1,1)-1  ) * $P$2</f>
        <v>-3.57933890544344</v>
      </c>
      <c r="D46" s="25" t="n">
        <f aca="false">IF($O$2="sell",-1,1) * NORMDIST(I46,0,1,0)/(B46*$H$2*SQRT($J$2)) * $P$2</f>
        <v>0.206099755587497</v>
      </c>
      <c r="E46" s="25" t="n">
        <f aca="false">IF($O$2="sell",-1,1) * (B46*NORMDIST(I46,0,1,0)*SQRT($J$2)/365) * $P$2</f>
        <v>0.144995254259565</v>
      </c>
      <c r="F46" s="25" t="n">
        <f aca="false">IF($O$2="sell",-1,1) * (-(B46*NORMDIST(I46,0,1,0)*$H$2)/(2*SQRT($J$2))/365) *$P$2</f>
        <v>-0.484722852816758</v>
      </c>
      <c r="G46" s="25" t="n">
        <f aca="false">IF($O$2="buy",1,-1)*( IF($K$2="call",B46*NORMDIST(I46,0,1,1) - $B$2*NORMDIST(J46,0,1,1),$B$2*NORMDIST(-J46,0,1,1) - B46*NORMDIST(-I46,0,1,1) ) - $G$2) * $P$2</f>
        <v>36.970480668811</v>
      </c>
      <c r="I46" s="26" t="n">
        <f aca="false">(LN(B46/$B$2)+($H$2^2/2)*($J$2))/($H$2*SQRT($J$2))</f>
        <v>-0.0284142721075693</v>
      </c>
      <c r="J46" s="26" t="n">
        <f aca="false">I46 - $H$2*SQRT($J$2)</f>
        <v>-0.261936011672251</v>
      </c>
      <c r="L46" s="2"/>
      <c r="M46" s="27"/>
      <c r="N46" s="27"/>
    </row>
    <row r="47" customFormat="false" ht="13.5" hidden="false" customHeight="true" outlineLevel="0" collapsed="false">
      <c r="B47" s="24" t="n">
        <f aca="false">Portfolio!B54</f>
        <v>57</v>
      </c>
      <c r="C47" s="25" t="n">
        <f aca="false">IF($O$2="sell",-1,1) *  IF($K$2="call",  NORMDIST(I47,0,1,1),  NORMDIST(I47,0,1,1)-1  ) * $P$2</f>
        <v>-3.78682452936989</v>
      </c>
      <c r="D47" s="25" t="n">
        <f aca="false">IF($O$2="sell",-1,1) * NORMDIST(I47,0,1,0)/(B47*$H$2*SQRT($J$2)) * $P$2</f>
        <v>0.20869263758367</v>
      </c>
      <c r="E47" s="25" t="n">
        <f aca="false">IF($O$2="sell",-1,1) * (B47*NORMDIST(I47,0,1,0)*SQRT($J$2)/365) * $P$2</f>
        <v>0.141800304454401</v>
      </c>
      <c r="F47" s="25" t="n">
        <f aca="false">IF($O$2="sell",-1,1) * (-(B47*NORMDIST(I47,0,1,0)*$H$2)/(2*SQRT($J$2))/365) *$P$2</f>
        <v>-0.474042053696303</v>
      </c>
      <c r="G47" s="25" t="n">
        <f aca="false">IF($O$2="buy",1,-1)*( IF($K$2="call",B47*NORMDIST(I47,0,1,1) - $B$2*NORMDIST(J47,0,1,1),$B$2*NORMDIST(-J47,0,1,1) - B47*NORMDIST(-I47,0,1,1) ) - $G$2) * $P$2</f>
        <v>40.6533461744824</v>
      </c>
      <c r="I47" s="26" t="n">
        <f aca="false">(LN(B47/$B$2)+($H$2^2/2)*($J$2))/($H$2*SQRT($J$2))</f>
        <v>-0.102890176339398</v>
      </c>
      <c r="J47" s="26" t="n">
        <f aca="false">I47 - $H$2*SQRT($J$2)</f>
        <v>-0.33641191590408</v>
      </c>
      <c r="L47" s="2"/>
      <c r="M47" s="27"/>
      <c r="N47" s="27"/>
    </row>
    <row r="49" customFormat="false" ht="17.25" hidden="false" customHeight="true" outlineLevel="0" collapsed="false">
      <c r="A49" s="2" t="str">
        <f aca="false">A3</f>
        <v>SOL-29MAY26-70-P-USDT</v>
      </c>
      <c r="B49" s="23"/>
      <c r="C49" s="19" t="s">
        <v>13</v>
      </c>
      <c r="D49" s="19" t="s">
        <v>14</v>
      </c>
      <c r="E49" s="19" t="s">
        <v>15</v>
      </c>
      <c r="F49" s="19" t="s">
        <v>16</v>
      </c>
      <c r="G49" s="19" t="s">
        <v>17</v>
      </c>
      <c r="I49" s="19" t="s">
        <v>158</v>
      </c>
      <c r="J49" s="19" t="s">
        <v>159</v>
      </c>
    </row>
    <row r="50" customFormat="false" ht="13.5" hidden="false" customHeight="true" outlineLevel="0" collapsed="false">
      <c r="B50" s="24" t="n">
        <f aca="false">B21</f>
        <v>83</v>
      </c>
      <c r="C50" s="25" t="n">
        <f aca="false">IF($O$3="sell",-1,1) *  IF($K$3="call",  NORMDIST(I50,0,1,1),  NORMDIST(I50,0,1,1)-1  ) * $P$3</f>
        <v>-0.367870990754713</v>
      </c>
      <c r="D50" s="25" t="n">
        <f aca="false">IF($O$3="sell",-1,1) * NORMDIST(I50,0,1,0)/(B50*$H$3*SQRT($J$3)) * $P$3</f>
        <v>0.0298381714051566</v>
      </c>
      <c r="E50" s="25" t="n">
        <f aca="false">IF($O$3="sell",-1,1) * (B50*NORMDIST(I50,0,1,0)*SQRT($J$3)/365) * $P$3</f>
        <v>0.0395401884167293</v>
      </c>
      <c r="F50" s="25" t="n">
        <f aca="false">IF($O$3="sell",-1,1) * (-(B50*NORMDIST(I50,0,1,0)*$H$3)/(2*SQRT($J$3))/365) *$P$3</f>
        <v>-0.121581770514756</v>
      </c>
      <c r="G50" s="25" t="n">
        <f aca="false">IF($O$3="buy",1,-1)*( IF($K$3="call",B50*NORMDIST(I50,0,1,1) - $B$3*NORMDIST(J50,0,1,1),$B$3*NORMDIST(-J50,0,1,1) - B50*NORMDIST(-I50,0,1,1) ) - $G$3) * $P$3</f>
        <v>-3.1291090979821</v>
      </c>
      <c r="I50" s="26" t="n">
        <f aca="false">(LN(B50/$B$3)+($H$3^2/2)*($J$3))/($H$3*SQRT($J$3))</f>
        <v>0.900468482375407</v>
      </c>
      <c r="J50" s="26" t="n">
        <f aca="false">I50 - $H$3*SQRT($J$3)</f>
        <v>0.685676859939863</v>
      </c>
    </row>
    <row r="51" customFormat="false" ht="13.5" hidden="false" customHeight="true" outlineLevel="0" collapsed="false">
      <c r="B51" s="24" t="n">
        <f aca="false">B22</f>
        <v>82</v>
      </c>
      <c r="C51" s="25" t="n">
        <f aca="false">IF($O$3="sell",-1,1) *  IF($K$3="call",  NORMDIST(I51,0,1,1),  NORMDIST(I51,0,1,1)-1  ) * $P$3</f>
        <v>-0.398649643051374</v>
      </c>
      <c r="D51" s="25" t="n">
        <f aca="false">IF($O$3="sell",-1,1) * NORMDIST(I51,0,1,0)/(B51*$H$3*SQRT($J$3)) * $P$3</f>
        <v>0.0317259116113829</v>
      </c>
      <c r="E51" s="25" t="n">
        <f aca="false">IF($O$3="sell",-1,1) * (B51*NORMDIST(I51,0,1,0)*SQRT($J$3)/365) * $P$3</f>
        <v>0.041034784784963</v>
      </c>
      <c r="F51" s="25" t="n">
        <f aca="false">IF($O$3="sell",-1,1) * (-(B51*NORMDIST(I51,0,1,0)*$H$3)/(2*SQRT($J$3))/365) *$P$3</f>
        <v>-0.126177491474393</v>
      </c>
      <c r="G51" s="25" t="n">
        <f aca="false">IF($O$3="buy",1,-1)*( IF($K$3="call",B51*NORMDIST(I51,0,1,1) - $B$3*NORMDIST(J51,0,1,1),$B$3*NORMDIST(-J51,0,1,1) - B51*NORMDIST(-I51,0,1,1) ) - $G$3) * $P$3</f>
        <v>-2.74600610627796</v>
      </c>
      <c r="I51" s="26" t="n">
        <f aca="false">(LN(B51/$B$3)+($H$3^2/2)*($J$3))/($H$3*SQRT($J$3))</f>
        <v>0.844035366433084</v>
      </c>
      <c r="J51" s="26" t="n">
        <f aca="false">I51 - $H$3*SQRT($J$3)</f>
        <v>0.62924374399754</v>
      </c>
      <c r="L51" s="2"/>
    </row>
    <row r="52" customFormat="false" ht="13.5" hidden="false" customHeight="true" outlineLevel="0" collapsed="false">
      <c r="B52" s="24" t="n">
        <f aca="false">B23</f>
        <v>81</v>
      </c>
      <c r="C52" s="25" t="n">
        <f aca="false">IF($O$3="sell",-1,1) *  IF($K$3="call",  NORMDIST(I52,0,1,1),  NORMDIST(I52,0,1,1)-1  ) * $P$3</f>
        <v>-0.431334668895632</v>
      </c>
      <c r="D52" s="25" t="n">
        <f aca="false">IF($O$3="sell",-1,1) * NORMDIST(I52,0,1,0)/(B52*$H$3*SQRT($J$3)) * $P$3</f>
        <v>0.0336491626591481</v>
      </c>
      <c r="E52" s="25" t="n">
        <f aca="false">IF($O$3="sell",-1,1) * (B52*NORMDIST(I52,0,1,0)*SQRT($J$3)/365) * $P$3</f>
        <v>0.0424672994550026</v>
      </c>
      <c r="F52" s="25" t="n">
        <f aca="false">IF($O$3="sell",-1,1) * (-(B52*NORMDIST(I52,0,1,0)*$H$3)/(2*SQRT($J$3))/365) *$P$3</f>
        <v>-0.130582317977398</v>
      </c>
      <c r="G52" s="25" t="n">
        <f aca="false">IF($O$3="buy",1,-1)*( IF($K$3="call",B52*NORMDIST(I52,0,1,1) - $B$3*NORMDIST(J52,0,1,1),$B$3*NORMDIST(-J52,0,1,1) - B52*NORMDIST(-I52,0,1,1) ) - $G$3) * $P$3</f>
        <v>-2.33117423698616</v>
      </c>
      <c r="I52" s="26" t="n">
        <f aca="false">(LN(B52/$B$3)+($H$3^2/2)*($J$3))/($H$3*SQRT($J$3))</f>
        <v>0.786909802350637</v>
      </c>
      <c r="J52" s="26" t="n">
        <f aca="false">I52 - $H$3*SQRT($J$3)</f>
        <v>0.572118179915094</v>
      </c>
      <c r="L52" s="2"/>
      <c r="M52" s="27"/>
    </row>
    <row r="53" customFormat="false" ht="13.5" hidden="false" customHeight="true" outlineLevel="0" collapsed="false">
      <c r="B53" s="24" t="n">
        <f aca="false">B24</f>
        <v>80</v>
      </c>
      <c r="C53" s="25" t="n">
        <f aca="false">IF($O$3="sell",-1,1) *  IF($K$3="call",  NORMDIST(I53,0,1,1),  NORMDIST(I53,0,1,1)-1  ) * $P$3</f>
        <v>-0.465956039527081</v>
      </c>
      <c r="D53" s="25" t="n">
        <f aca="false">IF($O$3="sell",-1,1) * NORMDIST(I53,0,1,0)/(B53*$H$3*SQRT($J$3)) * $P$3</f>
        <v>0.035596571770675</v>
      </c>
      <c r="E53" s="25" t="n">
        <f aca="false">IF($O$3="sell",-1,1) * (B53*NORMDIST(I53,0,1,0)*SQRT($J$3)/365) * $P$3</f>
        <v>0.0438226355766818</v>
      </c>
      <c r="F53" s="25" t="n">
        <f aca="false">IF($O$3="sell",-1,1) * (-(B53*NORMDIST(I53,0,1,0)*$H$3)/(2*SQRT($J$3))/365) *$P$3</f>
        <v>-0.134749828854676</v>
      </c>
      <c r="G53" s="25" t="n">
        <f aca="false">IF($O$3="buy",1,-1)*( IF($K$3="call",B53*NORMDIST(I53,0,1,1) - $B$3*NORMDIST(J53,0,1,1),$B$3*NORMDIST(-J53,0,1,1) - B53*NORMDIST(-I53,0,1,1) ) - $G$3) * $P$3</f>
        <v>-1.8826911849367</v>
      </c>
      <c r="I53" s="26" t="n">
        <f aca="false">(LN(B53/$B$3)+($H$3^2/2)*($J$3))/($H$3*SQRT($J$3))</f>
        <v>0.729074585791923</v>
      </c>
      <c r="J53" s="26" t="n">
        <f aca="false">I53 - $H$3*SQRT($J$3)</f>
        <v>0.514282963356379</v>
      </c>
      <c r="L53" s="2"/>
      <c r="M53" s="27"/>
      <c r="N53" s="27"/>
    </row>
    <row r="54" customFormat="false" ht="13.5" hidden="false" customHeight="true" outlineLevel="0" collapsed="false">
      <c r="B54" s="24" t="n">
        <f aca="false">B25</f>
        <v>79</v>
      </c>
      <c r="C54" s="25" t="n">
        <f aca="false">IF($O$3="sell",-1,1) *  IF($K$3="call",  NORMDIST(I54,0,1,1),  NORMDIST(I54,0,1,1)-1  ) * $P$3</f>
        <v>-0.502531546548169</v>
      </c>
      <c r="D54" s="25" t="n">
        <f aca="false">IF($O$3="sell",-1,1) * NORMDIST(I54,0,1,0)/(B54*$H$3*SQRT($J$3)) * $P$3</f>
        <v>0.0375551272445676</v>
      </c>
      <c r="E54" s="25" t="n">
        <f aca="false">IF($O$3="sell",-1,1) * (B54*NORMDIST(I54,0,1,0)*SQRT($J$3)/365) * $P$3</f>
        <v>0.0450851756163284</v>
      </c>
      <c r="F54" s="25" t="n">
        <f aca="false">IF($O$3="sell",-1,1) * (-(B54*NORMDIST(I54,0,1,0)*$H$3)/(2*SQRT($J$3))/365) *$P$3</f>
        <v>-0.138632001892098</v>
      </c>
      <c r="G54" s="25" t="n">
        <f aca="false">IF($O$3="buy",1,-1)*( IF($K$3="call",B54*NORMDIST(I54,0,1,1) - $B$3*NORMDIST(J54,0,1,1),$B$3*NORMDIST(-J54,0,1,1) - B54*NORMDIST(-I54,0,1,1) ) - $G$3) * $P$3</f>
        <v>-1.39861062525607</v>
      </c>
      <c r="I54" s="26" t="n">
        <f aca="false">(LN(B54/$B$3)+($H$3^2/2)*($J$3))/($H$3*SQRT($J$3))</f>
        <v>0.670511863166953</v>
      </c>
      <c r="J54" s="26" t="n">
        <f aca="false">I54 - $H$3*SQRT($J$3)</f>
        <v>0.455720240731409</v>
      </c>
      <c r="L54" s="2"/>
      <c r="M54" s="27"/>
      <c r="N54" s="27"/>
    </row>
    <row r="55" customFormat="false" ht="13.5" hidden="false" customHeight="true" outlineLevel="0" collapsed="false">
      <c r="B55" s="24" t="n">
        <f aca="false">B26</f>
        <v>78</v>
      </c>
      <c r="C55" s="25" t="n">
        <f aca="false">IF($O$3="sell",-1,1) *  IF($K$3="call",  NORMDIST(I55,0,1,1),  NORMDIST(I55,0,1,1)-1  ) * $P$3</f>
        <v>-0.54106513232926</v>
      </c>
      <c r="D55" s="25" t="n">
        <f aca="false">IF($O$3="sell",-1,1) * NORMDIST(I55,0,1,0)/(B55*$H$3*SQRT($J$3)) * $P$3</f>
        <v>0.0395101422438699</v>
      </c>
      <c r="E55" s="25" t="n">
        <f aca="false">IF($O$3="sell",-1,1) * (B55*NORMDIST(I55,0,1,0)*SQRT($J$3)/365) * $P$3</f>
        <v>0.0462389692070948</v>
      </c>
      <c r="F55" s="25" t="n">
        <f aca="false">IF($O$3="sell",-1,1) * (-(B55*NORMDIST(I55,0,1,0)*$H$3)/(2*SQRT($J$3))/365) *$P$3</f>
        <v>-0.142179791449788</v>
      </c>
      <c r="G55" s="25" t="n">
        <f aca="false">IF($O$3="buy",1,-1)*( IF($K$3="call",B55*NORMDIST(I55,0,1,1) - $B$3*NORMDIST(J55,0,1,1),$B$3*NORMDIST(-J55,0,1,1) - B55*NORMDIST(-I55,0,1,1) ) - $G$3) * $P$3</f>
        <v>-0.87697522644307</v>
      </c>
      <c r="I55" s="26" t="n">
        <f aca="false">(LN(B55/$B$3)+($H$3^2/2)*($J$3))/($H$3*SQRT($J$3))</f>
        <v>0.61120309854671</v>
      </c>
      <c r="J55" s="26" t="n">
        <f aca="false">I55 - $H$3*SQRT($J$3)</f>
        <v>0.396411476111166</v>
      </c>
      <c r="L55" s="2"/>
      <c r="M55" s="27"/>
      <c r="N55" s="27"/>
    </row>
    <row r="56" customFormat="false" ht="13.5" hidden="false" customHeight="true" outlineLevel="0" collapsed="false">
      <c r="B56" s="24" t="n">
        <f aca="false">B27</f>
        <v>77</v>
      </c>
      <c r="C56" s="25" t="n">
        <f aca="false">IF($O$3="sell",-1,1) *  IF($K$3="call",  NORMDIST(I56,0,1,1),  NORMDIST(I56,0,1,1)-1  ) * $P$3</f>
        <v>-0.581545220537015</v>
      </c>
      <c r="D56" s="25" t="n">
        <f aca="false">IF($O$3="sell",-1,1) * NORMDIST(I56,0,1,0)/(B56*$H$3*SQRT($J$3)) * $P$3</f>
        <v>0.0414452722007651</v>
      </c>
      <c r="E56" s="25" t="n">
        <f aca="false">IF($O$3="sell",-1,1) * (B56*NORMDIST(I56,0,1,0)*SQRT($J$3)/365) * $P$3</f>
        <v>0.0472679526657401</v>
      </c>
      <c r="F56" s="25" t="n">
        <f aca="false">IF($O$3="sell",-1,1) * (-(B56*NORMDIST(I56,0,1,0)*$H$3)/(2*SQRT($J$3))/365) *$P$3</f>
        <v>-0.145343803452309</v>
      </c>
      <c r="G56" s="25" t="n">
        <f aca="false">IF($O$3="buy",1,-1)*( IF($K$3="call",B56*NORMDIST(I56,0,1,1) - $B$3*NORMDIST(J56,0,1,1),$B$3*NORMDIST(-J56,0,1,1) - B56*NORMDIST(-I56,0,1,1) ) - $G$3) * $P$3</f>
        <v>-0.315831335779114</v>
      </c>
      <c r="I56" s="26" t="n">
        <f aca="false">(LN(B56/$B$3)+($H$3^2/2)*($J$3))/($H$3*SQRT($J$3))</f>
        <v>0.551129038443272</v>
      </c>
      <c r="J56" s="26" t="n">
        <f aca="false">I56 - $H$3*SQRT($J$3)</f>
        <v>0.336337416007728</v>
      </c>
      <c r="L56" s="2"/>
      <c r="M56" s="27"/>
      <c r="N56" s="27"/>
    </row>
    <row r="57" customFormat="false" ht="13.5" hidden="false" customHeight="true" outlineLevel="0" collapsed="false">
      <c r="B57" s="24" t="n">
        <f aca="false">B28</f>
        <v>76</v>
      </c>
      <c r="C57" s="25" t="n">
        <f aca="false">IF($O$3="sell",-1,1) *  IF($K$3="call",  NORMDIST(I57,0,1,1),  NORMDIST(I57,0,1,1)-1  ) * $P$3</f>
        <v>-0.62394308324655</v>
      </c>
      <c r="D57" s="25" t="n">
        <f aca="false">IF($O$3="sell",-1,1) * NORMDIST(I57,0,1,0)/(B57*$H$3*SQRT($J$3)) * $P$3</f>
        <v>0.0433425715244934</v>
      </c>
      <c r="E57" s="25" t="n">
        <f aca="false">IF($O$3="sell",-1,1) * (B57*NORMDIST(I57,0,1,0)*SQRT($J$3)/365) * $P$3</f>
        <v>0.048156199437472</v>
      </c>
      <c r="F57" s="25" t="n">
        <f aca="false">IF($O$3="sell",-1,1) * (-(B57*NORMDIST(I57,0,1,0)*$H$3)/(2*SQRT($J$3))/365) *$P$3</f>
        <v>-0.148075065479262</v>
      </c>
      <c r="G57" s="25" t="n">
        <f aca="false">IF($O$3="buy",1,-1)*( IF($K$3="call",B57*NORMDIST(I57,0,1,1) - $B$3*NORMDIST(J57,0,1,1),$B$3*NORMDIST(-J57,0,1,1) - B57*NORMDIST(-I57,0,1,1) ) - $G$3) * $P$3</f>
        <v>0.286754680806235</v>
      </c>
      <c r="I57" s="26" t="n">
        <f aca="false">(LN(B57/$B$3)+($H$3^2/2)*($J$3))/($H$3*SQRT($J$3))</f>
        <v>0.490269674287783</v>
      </c>
      <c r="J57" s="26" t="n">
        <f aca="false">I57 - $H$3*SQRT($J$3)</f>
        <v>0.27547805185224</v>
      </c>
      <c r="L57" s="2"/>
      <c r="M57" s="27"/>
      <c r="N57" s="27"/>
    </row>
    <row r="58" customFormat="false" ht="13.5" hidden="false" customHeight="true" outlineLevel="0" collapsed="false">
      <c r="B58" s="24" t="n">
        <f aca="false">B29</f>
        <v>75</v>
      </c>
      <c r="C58" s="25" t="n">
        <f aca="false">IF($O$3="sell",-1,1) *  IF($K$3="call",  NORMDIST(I58,0,1,1),  NORMDIST(I58,0,1,1)-1  ) * $P$3</f>
        <v>-0.668211286746353</v>
      </c>
      <c r="D58" s="25" t="n">
        <f aca="false">IF($O$3="sell",-1,1) * NORMDIST(I58,0,1,0)/(B58*$H$3*SQRT($J$3)) * $P$3</f>
        <v>0.0451825951865571</v>
      </c>
      <c r="E58" s="25" t="n">
        <f aca="false">IF($O$3="sell",-1,1) * (B58*NORMDIST(I58,0,1,0)*SQRT($J$3)/365) * $P$3</f>
        <v>0.0488881996494531</v>
      </c>
      <c r="F58" s="25" t="n">
        <f aca="false">IF($O$3="sell",-1,1) * (-(B58*NORMDIST(I58,0,1,0)*$H$3)/(2*SQRT($J$3))/365) *$P$3</f>
        <v>-0.15032588636185</v>
      </c>
      <c r="G58" s="25" t="n">
        <f aca="false">IF($O$3="buy",1,-1)*( IF($K$3="call",B58*NORMDIST(I58,0,1,1) - $B$3*NORMDIST(J58,0,1,1),$B$3*NORMDIST(-J58,0,1,1) - B58*NORMDIST(-I58,0,1,1) ) - $G$3) * $P$3</f>
        <v>0.932678501588024</v>
      </c>
      <c r="I58" s="26" t="n">
        <f aca="false">(LN(B58/$B$3)+($H$3^2/2)*($J$3))/($H$3*SQRT($J$3))</f>
        <v>0.428604202423324</v>
      </c>
      <c r="J58" s="26" t="n">
        <f aca="false">I58 - $H$3*SQRT($J$3)</f>
        <v>0.21381257998778</v>
      </c>
      <c r="L58" s="2"/>
      <c r="M58" s="27"/>
      <c r="N58" s="27"/>
    </row>
    <row r="59" customFormat="false" ht="13.5" hidden="false" customHeight="true" outlineLevel="0" collapsed="false">
      <c r="B59" s="24" t="n">
        <f aca="false">B30</f>
        <v>74</v>
      </c>
      <c r="C59" s="25" t="n">
        <f aca="false">IF($O$3="sell",-1,1) *  IF($K$3="call",  NORMDIST(I59,0,1,1),  NORMDIST(I59,0,1,1)-1  ) * $P$3</f>
        <v>-0.71428226356426</v>
      </c>
      <c r="D59" s="25" t="n">
        <f aca="false">IF($O$3="sell",-1,1) * NORMDIST(I59,0,1,0)/(B59*$H$3*SQRT($J$3)) * $P$3</f>
        <v>0.0469445504038817</v>
      </c>
      <c r="E59" s="25" t="n">
        <f aca="false">IF($O$3="sell",-1,1) * (B59*NORMDIST(I59,0,1,0)*SQRT($J$3)/365) * $P$3</f>
        <v>0.0494491657266198</v>
      </c>
      <c r="F59" s="25" t="n">
        <f aca="false">IF($O$3="sell",-1,1) * (-(B59*NORMDIST(I59,0,1,0)*$H$3)/(2*SQRT($J$3))/365) *$P$3</f>
        <v>-0.152050795918219</v>
      </c>
      <c r="G59" s="25" t="n">
        <f aca="false">IF($O$3="buy",1,-1)*( IF($K$3="call",B59*NORMDIST(I59,0,1,1) - $B$3*NORMDIST(J59,0,1,1),$B$3*NORMDIST(-J59,0,1,1) - B59*NORMDIST(-I59,0,1,1) ) - $G$3) * $P$3</f>
        <v>1.62377841663842</v>
      </c>
      <c r="I59" s="26" t="n">
        <f aca="false">(LN(B59/$B$3)+($H$3^2/2)*($J$3))/($H$3*SQRT($J$3))</f>
        <v>0.366110981412487</v>
      </c>
      <c r="J59" s="26" t="n">
        <f aca="false">I59 - $H$3*SQRT($J$3)</f>
        <v>0.151319358976944</v>
      </c>
      <c r="L59" s="2"/>
      <c r="M59" s="27"/>
      <c r="N59" s="27"/>
    </row>
    <row r="60" customFormat="false" ht="13.5" hidden="false" customHeight="true" outlineLevel="0" collapsed="false">
      <c r="B60" s="24" t="n">
        <f aca="false">B31</f>
        <v>73</v>
      </c>
      <c r="C60" s="25" t="n">
        <f aca="false">IF($O$3="sell",-1,1) *  IF($K$3="call",  NORMDIST(I60,0,1,1),  NORMDIST(I60,0,1,1)-1  ) * $P$3</f>
        <v>-0.762067063169536</v>
      </c>
      <c r="D60" s="25" t="n">
        <f aca="false">IF($O$3="sell",-1,1) * NORMDIST(I60,0,1,0)/(B60*$H$3*SQRT($J$3)) * $P$3</f>
        <v>0.0486065030015316</v>
      </c>
      <c r="E60" s="25" t="n">
        <f aca="false">IF($O$3="sell",-1,1) * (B60*NORMDIST(I60,0,1,0)*SQRT($J$3)/365) * $P$3</f>
        <v>0.049825359670798</v>
      </c>
      <c r="F60" s="25" t="n">
        <f aca="false">IF($O$3="sell",-1,1) * (-(B60*NORMDIST(I60,0,1,0)*$H$3)/(2*SQRT($J$3))/365) *$P$3</f>
        <v>-0.153207551301073</v>
      </c>
      <c r="G60" s="25" t="n">
        <f aca="false">IF($O$3="buy",1,-1)*( IF($K$3="call",B60*NORMDIST(I60,0,1,1) - $B$3*NORMDIST(J60,0,1,1),$B$3*NORMDIST(-J60,0,1,1) - B60*NORMDIST(-I60,0,1,1) ) - $G$3) * $P$3</f>
        <v>2.3618145522253</v>
      </c>
      <c r="I60" s="26" t="n">
        <f aca="false">(LN(B60/$B$3)+($H$3^2/2)*($J$3))/($H$3*SQRT($J$3))</f>
        <v>0.302767486440464</v>
      </c>
      <c r="J60" s="26" t="n">
        <f aca="false">I60 - $H$3*SQRT($J$3)</f>
        <v>0.0879758640049204</v>
      </c>
      <c r="L60" s="2"/>
      <c r="M60" s="27"/>
      <c r="N60" s="27"/>
    </row>
    <row r="61" customFormat="false" ht="13.5" hidden="false" customHeight="true" outlineLevel="0" collapsed="false">
      <c r="B61" s="24" t="n">
        <f aca="false">B32</f>
        <v>72</v>
      </c>
      <c r="C61" s="25" t="n">
        <f aca="false">IF($O$3="sell",-1,1) *  IF($K$3="call",  NORMDIST(I61,0,1,1),  NORMDIST(I61,0,1,1)-1  ) * $P$3</f>
        <v>-0.811454337933196</v>
      </c>
      <c r="D61" s="25" t="n">
        <f aca="false">IF($O$3="sell",-1,1) * NORMDIST(I61,0,1,0)/(B61*$H$3*SQRT($J$3)) * $P$3</f>
        <v>0.0501456420695234</v>
      </c>
      <c r="E61" s="25" t="n">
        <f aca="false">IF($O$3="sell",-1,1) * (B61*NORMDIST(I61,0,1,0)*SQRT($J$3)/365) * $P$3</f>
        <v>0.0500044361571148</v>
      </c>
      <c r="F61" s="25" t="n">
        <f aca="false">IF($O$3="sell",-1,1) * (-(B61*NORMDIST(I61,0,1,0)*$H$3)/(2*SQRT($J$3))/365) *$P$3</f>
        <v>-0.153758191981752</v>
      </c>
      <c r="G61" s="25" t="n">
        <f aca="false">IF($O$3="buy",1,-1)*( IF($K$3="call",B61*NORMDIST(I61,0,1,1) - $B$3*NORMDIST(J61,0,1,1),$B$3*NORMDIST(-J61,0,1,1) - B61*NORMDIST(-I61,0,1,1) ) - $G$3) * $P$3</f>
        <v>3.14844695868235</v>
      </c>
      <c r="I61" s="26" t="n">
        <f aca="false">(LN(B61/$B$3)+($H$3^2/2)*($J$3))/($H$3*SQRT($J$3))</f>
        <v>0.238550260573216</v>
      </c>
      <c r="J61" s="26" t="n">
        <f aca="false">I61 - $H$3*SQRT($J$3)</f>
        <v>0.0237586381376724</v>
      </c>
      <c r="L61" s="2"/>
      <c r="M61" s="27"/>
      <c r="N61" s="27"/>
    </row>
    <row r="62" customFormat="false" ht="13.5" hidden="false" customHeight="true" outlineLevel="0" collapsed="false">
      <c r="B62" s="24" t="n">
        <f aca="false">B33</f>
        <v>71</v>
      </c>
      <c r="C62" s="25" t="n">
        <f aca="false">IF($O$3="sell",-1,1) *  IF($K$3="call",  NORMDIST(I62,0,1,1),  NORMDIST(I62,0,1,1)-1  ) * $P$3</f>
        <v>-0.862309623909053</v>
      </c>
      <c r="D62" s="25" t="n">
        <f aca="false">IF($O$3="sell",-1,1) * NORMDIST(I62,0,1,0)/(B62*$H$3*SQRT($J$3)) * $P$3</f>
        <v>0.0515386051966414</v>
      </c>
      <c r="E62" s="25" t="n">
        <f aca="false">IF($O$3="sell",-1,1) * (B62*NORMDIST(I62,0,1,0)*SQRT($J$3)/365) * $P$3</f>
        <v>0.0499757941040429</v>
      </c>
      <c r="F62" s="25" t="n">
        <f aca="false">IF($O$3="sell",-1,1) * (-(B62*NORMDIST(I62,0,1,0)*$H$3)/(2*SQRT($J$3))/365) *$P$3</f>
        <v>-0.153670120789805</v>
      </c>
      <c r="G62" s="25" t="n">
        <f aca="false">IF($O$3="buy",1,-1)*( IF($K$3="call",B62*NORMDIST(I62,0,1,1) - $B$3*NORMDIST(J62,0,1,1),$B$3*NORMDIST(-J62,0,1,1) - B62*NORMDIST(-I62,0,1,1) ) - $G$3) * $P$3</f>
        <v>3.9852128265993</v>
      </c>
      <c r="I62" s="26" t="n">
        <f aca="false">(LN(B62/$B$3)+($H$3^2/2)*($J$3))/($H$3*SQRT($J$3))</f>
        <v>0.173434862606813</v>
      </c>
      <c r="J62" s="26" t="n">
        <f aca="false">I62 - $H$3*SQRT($J$3)</f>
        <v>-0.0413567598287308</v>
      </c>
      <c r="L62" s="2"/>
      <c r="M62" s="27"/>
      <c r="N62" s="27"/>
    </row>
    <row r="63" customFormat="false" ht="13.5" hidden="false" customHeight="true" outlineLevel="0" collapsed="false">
      <c r="B63" s="24" t="n">
        <f aca="false">B34</f>
        <v>70</v>
      </c>
      <c r="C63" s="25" t="n">
        <f aca="false">IF($O$3="sell",-1,1) *  IF($K$3="call",  NORMDIST(I63,0,1,1),  NORMDIST(I63,0,1,1)-1  ) * $P$3</f>
        <v>-0.914474977452753</v>
      </c>
      <c r="D63" s="25" t="n">
        <f aca="false">IF($O$3="sell",-1,1) * NORMDIST(I63,0,1,0)/(B63*$H$3*SQRT($J$3)) * $P$3</f>
        <v>0.0527618648409658</v>
      </c>
      <c r="E63" s="25" t="n">
        <f aca="false">IF($O$3="sell",-1,1) * (B63*NORMDIST(I63,0,1,0)*SQRT($J$3)/365) * $P$3</f>
        <v>0.0497309278818198</v>
      </c>
      <c r="F63" s="25" t="n">
        <f aca="false">IF($O$3="sell",-1,1) * (-(B63*NORMDIST(I63,0,1,0)*$H$3)/(2*SQRT($J$3))/365) *$P$3</f>
        <v>-0.152917183840609</v>
      </c>
      <c r="G63" s="25" t="n">
        <f aca="false">IF($O$3="buy",1,-1)*( IF($K$3="call",B63*NORMDIST(I63,0,1,1) - $B$3*NORMDIST(J63,0,1,1),$B$3*NORMDIST(-J63,0,1,1) - B63*NORMDIST(-I63,0,1,1) ) - $G$3) * $P$3</f>
        <v>4.87350315661461</v>
      </c>
      <c r="I63" s="26" t="n">
        <f aca="false">(LN(B63/$B$3)+($H$3^2/2)*($J$3))/($H$3*SQRT($J$3))</f>
        <v>0.107395811217772</v>
      </c>
      <c r="J63" s="26" t="n">
        <f aca="false">I63 - $H$3*SQRT($J$3)</f>
        <v>-0.107395811217772</v>
      </c>
      <c r="L63" s="2"/>
      <c r="M63" s="27"/>
      <c r="N63" s="27"/>
    </row>
    <row r="64" customFormat="false" ht="13.5" hidden="false" customHeight="true" outlineLevel="0" collapsed="false">
      <c r="B64" s="24" t="n">
        <f aca="false">B35</f>
        <v>69</v>
      </c>
      <c r="C64" s="25" t="n">
        <f aca="false">IF($O$3="sell",-1,1) *  IF($K$3="call",  NORMDIST(I64,0,1,1),  NORMDIST(I64,0,1,1)-1  ) * $P$3</f>
        <v>-0.967769028225748</v>
      </c>
      <c r="D64" s="25" t="n">
        <f aca="false">IF($O$3="sell",-1,1) * NORMDIST(I64,0,1,0)/(B64*$H$3*SQRT($J$3)) * $P$3</f>
        <v>0.05379217426934</v>
      </c>
      <c r="E64" s="25" t="n">
        <f aca="false">IF($O$3="sell",-1,1) * (B64*NORMDIST(I64,0,1,0)*SQRT($J$3)/365) * $P$3</f>
        <v>0.0492637679084078</v>
      </c>
      <c r="F64" s="25" t="n">
        <f aca="false">IF($O$3="sell",-1,1) * (-(B64*NORMDIST(I64,0,1,0)*$H$3)/(2*SQRT($J$3))/365) *$P$3</f>
        <v>-0.151480717830825</v>
      </c>
      <c r="G64" s="25" t="n">
        <f aca="false">IF($O$3="buy",1,-1)*( IF($K$3="call",B64*NORMDIST(I64,0,1,1) - $B$3*NORMDIST(J64,0,1,1),$B$3*NORMDIST(-J64,0,1,1) - B64*NORMDIST(-I64,0,1,1) ) - $G$3) * $P$3</f>
        <v>5.81453926905206</v>
      </c>
      <c r="I64" s="26" t="n">
        <f aca="false">(LN(B64/$B$3)+($H$3^2/2)*($J$3))/($H$3*SQRT($J$3))</f>
        <v>0.0404065250950441</v>
      </c>
      <c r="J64" s="26" t="n">
        <f aca="false">I64 - $H$3*SQRT($J$3)</f>
        <v>-0.1743850973405</v>
      </c>
      <c r="L64" s="2"/>
      <c r="M64" s="27"/>
      <c r="N64" s="27"/>
    </row>
    <row r="65" customFormat="false" ht="13.5" hidden="false" customHeight="true" outlineLevel="0" collapsed="false">
      <c r="B65" s="24" t="n">
        <f aca="false">B36</f>
        <v>68</v>
      </c>
      <c r="C65" s="25" t="n">
        <f aca="false">IF($O$3="sell",-1,1) *  IF($K$3="call",  NORMDIST(I65,0,1,1),  NORMDIST(I65,0,1,1)-1  ) * $P$3</f>
        <v>-1.02198750633302</v>
      </c>
      <c r="D65" s="25" t="n">
        <f aca="false">IF($O$3="sell",-1,1) * NORMDIST(I65,0,1,0)/(B65*$H$3*SQRT($J$3)) * $P$3</f>
        <v>0.0546070689727305</v>
      </c>
      <c r="E65" s="25" t="n">
        <f aca="false">IF($O$3="sell",-1,1) * (B65*NORMDIST(I65,0,1,0)*SQRT($J$3)/365) * $P$3</f>
        <v>0.0485709991251192</v>
      </c>
      <c r="F65" s="25" t="n">
        <f aca="false">IF($O$3="sell",-1,1) * (-(B65*NORMDIST(I65,0,1,0)*$H$3)/(2*SQRT($J$3))/365) *$P$3</f>
        <v>-0.149350529316247</v>
      </c>
      <c r="G65" s="25" t="n">
        <f aca="false">IF($O$3="buy",1,-1)*( IF($K$3="call",B65*NORMDIST(I65,0,1,1) - $B$3*NORMDIST(J65,0,1,1),$B$3*NORMDIST(-J65,0,1,1) - B65*NORMDIST(-I65,0,1,1) ) - $G$3) * $P$3</f>
        <v>6.80934959900116</v>
      </c>
      <c r="I65" s="26" t="n">
        <f aca="false">(LN(B65/$B$3)+($H$3^2/2)*($J$3))/($H$3*SQRT($J$3))</f>
        <v>-0.0275607412983818</v>
      </c>
      <c r="J65" s="26" t="n">
        <f aca="false">I65 - $H$3*SQRT($J$3)</f>
        <v>-0.242352363733926</v>
      </c>
      <c r="L65" s="2"/>
      <c r="M65" s="27"/>
      <c r="N65" s="27"/>
    </row>
    <row r="66" customFormat="false" ht="13.5" hidden="false" customHeight="true" outlineLevel="0" collapsed="false">
      <c r="B66" s="24" t="n">
        <f aca="false">B37</f>
        <v>67</v>
      </c>
      <c r="C66" s="25" t="n">
        <f aca="false">IF($O$3="sell",-1,1) *  IF($K$3="call",  NORMDIST(I66,0,1,1),  NORMDIST(I66,0,1,1)-1  ) * $P$3</f>
        <v>-1.07690429583291</v>
      </c>
      <c r="D66" s="25" t="n">
        <f aca="false">IF($O$3="sell",-1,1) * NORMDIST(I66,0,1,0)/(B66*$H$3*SQRT($J$3)) * $P$3</f>
        <v>0.0551854165725119</v>
      </c>
      <c r="E66" s="25" t="n">
        <f aca="false">IF($O$3="sell",-1,1) * (B66*NORMDIST(I66,0,1,0)*SQRT($J$3)/365) * $P$3</f>
        <v>0.0476523448388657</v>
      </c>
      <c r="F66" s="25" t="n">
        <f aca="false">IF($O$3="sell",-1,1) * (-(B66*NORMDIST(I66,0,1,0)*$H$3)/(2*SQRT($J$3))/365) *$P$3</f>
        <v>-0.14652576749578</v>
      </c>
      <c r="G66" s="25" t="n">
        <f aca="false">IF($O$3="buy",1,-1)*( IF($K$3="call",B66*NORMDIST(I66,0,1,1) - $B$3*NORMDIST(J66,0,1,1),$B$3*NORMDIST(-J66,0,1,1) - B66*NORMDIST(-I66,0,1,1) ) - $G$3) * $P$3</f>
        <v>7.85874727767586</v>
      </c>
      <c r="I66" s="26" t="n">
        <f aca="false">(LN(B66/$B$3)+($H$3^2/2)*($J$3))/($H$3*SQRT($J$3))</f>
        <v>-0.0965349667227761</v>
      </c>
      <c r="J66" s="26" t="n">
        <f aca="false">I66 - $H$3*SQRT($J$3)</f>
        <v>-0.31132658915832</v>
      </c>
      <c r="L66" s="2"/>
      <c r="M66" s="27"/>
      <c r="N66" s="27"/>
    </row>
    <row r="67" customFormat="false" ht="13.5" hidden="false" customHeight="true" outlineLevel="0" collapsed="false">
      <c r="B67" s="24" t="n">
        <f aca="false">B38</f>
        <v>66</v>
      </c>
      <c r="C67" s="25" t="n">
        <f aca="false">IF($O$3="sell",-1,1) *  IF($K$3="call",  NORMDIST(I67,0,1,1),  NORMDIST(I67,0,1,1)-1  ) * $P$3</f>
        <v>-1.13227305829561</v>
      </c>
      <c r="D67" s="25" t="n">
        <f aca="false">IF($O$3="sell",-1,1) * NORMDIST(I67,0,1,0)/(B67*$H$3*SQRT($J$3)) * $P$3</f>
        <v>0.0555080050351541</v>
      </c>
      <c r="E67" s="25" t="n">
        <f aca="false">IF($O$3="sell",-1,1) * (B67*NORMDIST(I67,0,1,0)*SQRT($J$3)/365) * $P$3</f>
        <v>0.0465108027659175</v>
      </c>
      <c r="F67" s="25" t="n">
        <f aca="false">IF($O$3="sell",-1,1) * (-(B67*NORMDIST(I67,0,1,0)*$H$3)/(2*SQRT($J$3))/365) *$P$3</f>
        <v>-0.14301565002028</v>
      </c>
      <c r="G67" s="25" t="n">
        <f aca="false">IF($O$3="buy",1,-1)*( IF($K$3="call",B67*NORMDIST(I67,0,1,1) - $B$3*NORMDIST(J67,0,1,1),$B$3*NORMDIST(-J67,0,1,1) - B67*NORMDIST(-I67,0,1,1) ) - $G$3) * $P$3</f>
        <v>8.96330904911047</v>
      </c>
      <c r="I67" s="26" t="n">
        <f aca="false">(LN(B67/$B$3)+($H$3^2/2)*($J$3))/($H$3*SQRT($J$3))</f>
        <v>-0.166546437347303</v>
      </c>
      <c r="J67" s="26" t="n">
        <f aca="false">I67 - $H$3*SQRT($J$3)</f>
        <v>-0.381338059782847</v>
      </c>
      <c r="L67" s="2"/>
      <c r="M67" s="27"/>
      <c r="N67" s="27"/>
    </row>
    <row r="68" customFormat="false" ht="13.5" hidden="false" customHeight="true" outlineLevel="0" collapsed="false">
      <c r="B68" s="24" t="n">
        <f aca="false">B39</f>
        <v>65</v>
      </c>
      <c r="C68" s="25" t="n">
        <f aca="false">IF($O$3="sell",-1,1) *  IF($K$3="call",  NORMDIST(I68,0,1,1),  NORMDIST(I68,0,1,1)-1  ) * $P$3</f>
        <v>-1.18782945821323</v>
      </c>
      <c r="D68" s="25" t="n">
        <f aca="false">IF($O$3="sell",-1,1) * NORMDIST(I68,0,1,0)/(B68*$H$3*SQRT($J$3)) * $P$3</f>
        <v>0.0555581556053242</v>
      </c>
      <c r="E68" s="25" t="n">
        <f aca="false">IF($O$3="sell",-1,1) * (B68*NORMDIST(I68,0,1,0)*SQRT($J$3)/365) * $P$3</f>
        <v>0.0451528199178218</v>
      </c>
      <c r="F68" s="25" t="n">
        <f aca="false">IF($O$3="sell",-1,1) * (-(B68*NORMDIST(I68,0,1,0)*$H$3)/(2*SQRT($J$3))/365) *$P$3</f>
        <v>-0.138840000747695</v>
      </c>
      <c r="G68" s="25" t="n">
        <f aca="false">IF($O$3="buy",1,-1)*( IF($K$3="call",B68*NORMDIST(I68,0,1,1) - $B$3*NORMDIST(J68,0,1,1),$B$3*NORMDIST(-J68,0,1,1) - B68*NORMDIST(-I68,0,1,1) ) - $G$3) * $P$3</f>
        <v>10.1233561092752</v>
      </c>
      <c r="I68" s="28" t="n">
        <f aca="false">(LN(B68/$B$3)+($H$3^2/2)*($J$3))/($H$3*SQRT($J$3))</f>
        <v>-0.237626826599309</v>
      </c>
      <c r="J68" s="28" t="n">
        <f aca="false">I68 - $H$3*SQRT($J$3)</f>
        <v>-0.452418449034853</v>
      </c>
      <c r="L68" s="2"/>
      <c r="M68" s="27"/>
      <c r="N68" s="27"/>
    </row>
    <row r="69" customFormat="false" ht="13.5" hidden="false" customHeight="true" outlineLevel="0" collapsed="false">
      <c r="B69" s="24" t="n">
        <f aca="false">B40</f>
        <v>64</v>
      </c>
      <c r="C69" s="25" t="n">
        <f aca="false">IF($O$3="sell",-1,1) *  IF($K$3="call",  NORMDIST(I69,0,1,1),  NORMDIST(I69,0,1,1)-1  ) * $P$3</f>
        <v>-1.24329400673245</v>
      </c>
      <c r="D69" s="25" t="n">
        <f aca="false">IF($O$3="sell",-1,1) * NORMDIST(I69,0,1,0)/(B69*$H$3*SQRT($J$3)) * $P$3</f>
        <v>0.0553223433841305</v>
      </c>
      <c r="E69" s="25" t="n">
        <f aca="false">IF($O$3="sell",-1,1) * (B69*NORMDIST(I69,0,1,0)*SQRT($J$3)/365) * $P$3</f>
        <v>0.0435883933361118</v>
      </c>
      <c r="F69" s="25" t="n">
        <f aca="false">IF($O$3="sell",-1,1) * (-(B69*NORMDIST(I69,0,1,0)*$H$3)/(2*SQRT($J$3))/365) *$P$3</f>
        <v>-0.134029559491321</v>
      </c>
      <c r="G69" s="25" t="n">
        <f aca="false">IF($O$3="buy",1,-1)*( IF($K$3="call",B69*NORMDIST(I69,0,1,1) - $B$3*NORMDIST(J69,0,1,1),$B$3*NORMDIST(-J69,0,1,1) - B69*NORMDIST(-I69,0,1,1) ) - $G$3) * $P$3</f>
        <v>11.3389374791208</v>
      </c>
      <c r="I69" s="28" t="n">
        <f aca="false">(LN(B69/$B$3)+($H$3^2/2)*($J$3))/($H$3*SQRT($J$3))</f>
        <v>-0.309809281204204</v>
      </c>
      <c r="J69" s="28" t="n">
        <f aca="false">I69 - $H$3*SQRT($J$3)</f>
        <v>-0.524600903639748</v>
      </c>
      <c r="L69" s="2"/>
      <c r="M69" s="27"/>
      <c r="N69" s="27"/>
    </row>
    <row r="70" customFormat="false" ht="13.5" hidden="false" customHeight="true" outlineLevel="0" collapsed="false">
      <c r="B70" s="24" t="n">
        <f aca="false">B41</f>
        <v>63</v>
      </c>
      <c r="C70" s="25" t="n">
        <f aca="false">IF($O$3="sell",-1,1) *  IF($K$3="call",  NORMDIST(I70,0,1,1),  NORMDIST(I70,0,1,1)-1  ) * $P$3</f>
        <v>-1.29837552139826</v>
      </c>
      <c r="D70" s="25" t="n">
        <f aca="false">IF($O$3="sell",-1,1) * NORMDIST(I70,0,1,0)/(B70*$H$3*SQRT($J$3)) * $P$3</f>
        <v>0.0547908050945587</v>
      </c>
      <c r="E70" s="25" t="n">
        <f aca="false">IF($O$3="sell",-1,1) * (B70*NORMDIST(I70,0,1,0)*SQRT($J$3)/365) * $P$3</f>
        <v>0.0418310847013366</v>
      </c>
      <c r="F70" s="25" t="n">
        <f aca="false">IF($O$3="sell",-1,1) * (-(B70*NORMDIST(I70,0,1,0)*$H$3)/(2*SQRT($J$3))/365) *$P$3</f>
        <v>-0.12862602694097</v>
      </c>
      <c r="G70" s="25" t="n">
        <f aca="false">IF($O$3="buy",1,-1)*( IF($K$3="call",B70*NORMDIST(I70,0,1,1) - $B$3*NORMDIST(J70,0,1,1),$B$3*NORMDIST(-J70,0,1,1) - B70*NORMDIST(-I70,0,1,1) ) - $G$3) * $P$3</f>
        <v>12.6098165304252</v>
      </c>
      <c r="I70" s="28" t="n">
        <f aca="false">(LN(B70/$B$3)+($H$3^2/2)*($J$3))/($H$3*SQRT($J$3))</f>
        <v>-0.383128514000935</v>
      </c>
      <c r="J70" s="28" t="n">
        <f aca="false">I70 - $H$3*SQRT($J$3)</f>
        <v>-0.597920136436479</v>
      </c>
      <c r="L70" s="2"/>
      <c r="M70" s="27"/>
      <c r="N70" s="27"/>
    </row>
    <row r="71" customFormat="false" ht="13.5" hidden="false" customHeight="true" outlineLevel="0" collapsed="false">
      <c r="B71" s="24" t="n">
        <f aca="false">B42</f>
        <v>62</v>
      </c>
      <c r="C71" s="25" t="n">
        <f aca="false">IF($O$3="sell",-1,1) *  IF($K$3="call",  NORMDIST(I71,0,1,1),  NORMDIST(I71,0,1,1)-1  ) * $P$3</f>
        <v>-1.35277517756796</v>
      </c>
      <c r="D71" s="25" t="n">
        <f aca="false">IF($O$3="sell",-1,1) * NORMDIST(I71,0,1,0)/(B71*$H$3*SQRT($J$3)) * $P$3</f>
        <v>0.0539581105041387</v>
      </c>
      <c r="E71" s="25" t="n">
        <f aca="false">IF($O$3="sell",-1,1) * (B71*NORMDIST(I71,0,1,0)*SQRT($J$3)/365) * $P$3</f>
        <v>0.0398979385880263</v>
      </c>
      <c r="F71" s="25" t="n">
        <f aca="false">IF($O$3="sell",-1,1) * (-(B71*NORMDIST(I71,0,1,0)*$H$3)/(2*SQRT($J$3))/365) *$P$3</f>
        <v>-0.122681813305899</v>
      </c>
      <c r="G71" s="25" t="n">
        <f aca="false">IF($O$3="buy",1,-1)*( IF($K$3="call",B71*NORMDIST(I71,0,1,1) - $B$3*NORMDIST(J71,0,1,1),$B$3*NORMDIST(-J71,0,1,1) - B71*NORMDIST(-I71,0,1,1) ) - $G$3) * $P$3</f>
        <v>13.9354612702444</v>
      </c>
      <c r="I71" s="28" t="n">
        <f aca="false">(LN(B71/$B$3)+($H$3^2/2)*($J$3))/($H$3*SQRT($J$3))</f>
        <v>-0.457620904183623</v>
      </c>
      <c r="J71" s="28" t="n">
        <f aca="false">I71 - $H$3*SQRT($J$3)</f>
        <v>-0.672412526619167</v>
      </c>
      <c r="L71" s="2"/>
      <c r="M71" s="27"/>
      <c r="N71" s="27"/>
    </row>
    <row r="72" customFormat="false" ht="13.5" hidden="false" customHeight="true" outlineLevel="0" collapsed="false">
      <c r="B72" s="24" t="n">
        <f aca="false">B43</f>
        <v>61</v>
      </c>
      <c r="C72" s="25" t="n">
        <f aca="false">IF($O$3="sell",-1,1) *  IF($K$3="call",  NORMDIST(I72,0,1,1),  NORMDIST(I72,0,1,1)-1  ) * $P$3</f>
        <v>-1.40619110231107</v>
      </c>
      <c r="D72" s="25" t="n">
        <f aca="false">IF($O$3="sell",-1,1) * NORMDIST(I72,0,1,0)/(B72*$H$3*SQRT($J$3)) * $P$3</f>
        <v>0.0528236714651783</v>
      </c>
      <c r="E72" s="25" t="n">
        <f aca="false">IF($O$3="sell",-1,1) * (B72*NORMDIST(I72,0,1,0)*SQRT($J$3)/365) * $P$3</f>
        <v>0.0378092966565908</v>
      </c>
      <c r="F72" s="25" t="n">
        <f aca="false">IF($O$3="sell",-1,1) * (-(B72*NORMDIST(I72,0,1,0)*$H$3)/(2*SQRT($J$3))/365) *$P$3</f>
        <v>-0.11625946697515</v>
      </c>
      <c r="G72" s="25" t="n">
        <f aca="false">IF($O$3="buy",1,-1)*( IF($K$3="call",B72*NORMDIST(I72,0,1,1) - $B$3*NORMDIST(J72,0,1,1),$B$3*NORMDIST(-J72,0,1,1) - B72*NORMDIST(-I72,0,1,1) ) - $G$3) * $P$3</f>
        <v>15.3150389532152</v>
      </c>
      <c r="I72" s="28" t="n">
        <f aca="false">(LN(B72/$B$3)+($H$3^2/2)*($J$3))/($H$3*SQRT($J$3))</f>
        <v>-0.533324605693955</v>
      </c>
      <c r="J72" s="28" t="n">
        <f aca="false">I72 - $H$3*SQRT($J$3)</f>
        <v>-0.748116228129498</v>
      </c>
      <c r="L72" s="2"/>
      <c r="M72" s="27"/>
      <c r="N72" s="27"/>
    </row>
    <row r="73" customFormat="false" ht="13.5" hidden="false" customHeight="true" outlineLevel="0" collapsed="false">
      <c r="B73" s="24" t="n">
        <f aca="false">B44</f>
        <v>60</v>
      </c>
      <c r="C73" s="25" t="n">
        <f aca="false">IF($O$3="sell",-1,1) *  IF($K$3="call",  NORMDIST(I73,0,1,1),  NORMDIST(I73,0,1,1)-1  ) * $P$3</f>
        <v>-1.45832343465447</v>
      </c>
      <c r="D73" s="25" t="n">
        <f aca="false">IF($O$3="sell",-1,1) * NORMDIST(I73,0,1,0)/(B73*$H$3*SQRT($J$3)) * $P$3</f>
        <v>0.0513921608623614</v>
      </c>
      <c r="E73" s="25" t="n">
        <f aca="false">IF($O$3="sell",-1,1) * (B73*NORMDIST(I73,0,1,0)*SQRT($J$3)/365) * $P$3</f>
        <v>0.0355885033734895</v>
      </c>
      <c r="F73" s="25" t="n">
        <f aca="false">IF($O$3="sell",-1,1) * (-(B73*NORMDIST(I73,0,1,0)*$H$3)/(2*SQRT($J$3))/365) *$P$3</f>
        <v>-0.109430769639138</v>
      </c>
      <c r="G73" s="25" t="n">
        <f aca="false">IF($O$3="buy",1,-1)*( IF($K$3="call",B73*NORMDIST(I73,0,1,1) - $B$3*NORMDIST(J73,0,1,1),$B$3*NORMDIST(-J73,0,1,1) - B73*NORMDIST(-I73,0,1,1) ) - $G$3) * $P$3</f>
        <v>16.7474155284393</v>
      </c>
      <c r="I73" s="28" t="n">
        <f aca="false">(LN(B73/$B$3)+($H$3^2/2)*($J$3))/($H$3*SQRT($J$3))</f>
        <v>-0.610279664572803</v>
      </c>
      <c r="J73" s="28" t="n">
        <f aca="false">I73 - $H$3*SQRT($J$3)</f>
        <v>-0.825071287008347</v>
      </c>
      <c r="L73" s="2"/>
      <c r="M73" s="27"/>
      <c r="N73" s="27"/>
    </row>
    <row r="74" customFormat="false" ht="13.5" hidden="false" customHeight="true" outlineLevel="0" collapsed="false">
      <c r="B74" s="24" t="n">
        <f aca="false">B45</f>
        <v>59</v>
      </c>
      <c r="C74" s="25" t="n">
        <f aca="false">IF($O$3="sell",-1,1) *  IF($K$3="call",  NORMDIST(I74,0,1,1),  NORMDIST(I74,0,1,1)-1  ) * $P$3</f>
        <v>-1.50887974794485</v>
      </c>
      <c r="D74" s="25" t="n">
        <f aca="false">IF($O$3="sell",-1,1) * NORMDIST(I74,0,1,0)/(B74*$H$3*SQRT($J$3)) * $P$3</f>
        <v>0.0496738132168889</v>
      </c>
      <c r="E74" s="25" t="n">
        <f aca="false">IF($O$3="sell",-1,1) * (B74*NORMDIST(I74,0,1,0)*SQRT($J$3)/365) * $P$3</f>
        <v>0.0332615028914467</v>
      </c>
      <c r="F74" s="25" t="n">
        <f aca="false">IF($O$3="sell",-1,1) * (-(B74*NORMDIST(I74,0,1,0)*$H$3)/(2*SQRT($J$3))/365) *$P$3</f>
        <v>-0.102275496740243</v>
      </c>
      <c r="G74" s="25" t="n">
        <f aca="false">IF($O$3="buy",1,-1)*( IF($K$3="call",B74*NORMDIST(I74,0,1,1) - $B$3*NORMDIST(J74,0,1,1),$B$3*NORMDIST(-J74,0,1,1) - B74*NORMDIST(-I74,0,1,1) ) - $G$3) * $P$3</f>
        <v>18.2311603375322</v>
      </c>
      <c r="I74" s="28" t="n">
        <f aca="false">(LN(B74/$B$3)+($H$3^2/2)*($J$3))/($H$3*SQRT($J$3))</f>
        <v>-0.688528146174663</v>
      </c>
      <c r="J74" s="28" t="n">
        <f aca="false">I74 - $H$3*SQRT($J$3)</f>
        <v>-0.903319768610206</v>
      </c>
      <c r="L74" s="2"/>
      <c r="M74" s="27"/>
      <c r="N74" s="27"/>
    </row>
    <row r="75" customFormat="false" ht="13.5" hidden="false" customHeight="true" outlineLevel="0" collapsed="false">
      <c r="B75" s="24" t="n">
        <f aca="false">B46</f>
        <v>58</v>
      </c>
      <c r="C75" s="25" t="n">
        <f aca="false">IF($O$3="sell",-1,1) *  IF($K$3="call",  NORMDIST(I75,0,1,1),  NORMDIST(I75,0,1,1)-1  ) * $P$3</f>
        <v>-1.55758070215819</v>
      </c>
      <c r="D75" s="25" t="n">
        <f aca="false">IF($O$3="sell",-1,1) * NORMDIST(I75,0,1,0)/(B75*$H$3*SQRT($J$3)) * $P$3</f>
        <v>0.0476845795715324</v>
      </c>
      <c r="E75" s="25" t="n">
        <f aca="false">IF($O$3="sell",-1,1) * (B75*NORMDIST(I75,0,1,0)*SQRT($J$3)/365) * $P$3</f>
        <v>0.0308563314038192</v>
      </c>
      <c r="F75" s="25" t="n">
        <f aca="false">IF($O$3="sell",-1,1) * (-(B75*NORMDIST(I75,0,1,0)*$H$3)/(2*SQRT($J$3))/365) *$P$3</f>
        <v>-0.0948798565178089</v>
      </c>
      <c r="G75" s="25" t="n">
        <f aca="false">IF($O$3="buy",1,-1)*( IF($K$3="call",B75*NORMDIST(I75,0,1,1) - $B$3*NORMDIST(J75,0,1,1),$B$3*NORMDIST(-J75,0,1,1) - B75*NORMDIST(-I75,0,1,1) ) - $G$3) * $P$3</f>
        <v>19.7645563621566</v>
      </c>
      <c r="I75" s="28" t="n">
        <f aca="false">(LN(B75/$B$3)+($H$3^2/2)*($J$3))/($H$3*SQRT($J$3))</f>
        <v>-0.768114273256643</v>
      </c>
      <c r="J75" s="28" t="n">
        <f aca="false">I75 - $H$3*SQRT($J$3)</f>
        <v>-0.982905895692187</v>
      </c>
      <c r="L75" s="2"/>
      <c r="M75" s="27"/>
      <c r="N75" s="27"/>
    </row>
    <row r="76" customFormat="false" ht="13.5" hidden="false" customHeight="true" outlineLevel="0" collapsed="false">
      <c r="B76" s="24" t="n">
        <f aca="false">B47</f>
        <v>57</v>
      </c>
      <c r="C76" s="25" t="n">
        <f aca="false">IF($O$3="sell",-1,1) *  IF($K$3="call",  NORMDIST(I76,0,1,1),  NORMDIST(I76,0,1,1)-1  ) * $P$3</f>
        <v>-1.60416576773549</v>
      </c>
      <c r="D76" s="25" t="n">
        <f aca="false">IF($O$3="sell",-1,1) * NORMDIST(I76,0,1,0)/(B76*$H$3*SQRT($J$3)) * $P$3</f>
        <v>0.0454461118287512</v>
      </c>
      <c r="E76" s="25" t="n">
        <f aca="false">IF($O$3="sell",-1,1) * (B76*NORMDIST(I76,0,1,0)*SQRT($J$3)/365) * $P$3</f>
        <v>0.0284025144493564</v>
      </c>
      <c r="F76" s="25" t="n">
        <f aca="false">IF($O$3="sell",-1,1) * (-(B76*NORMDIST(I76,0,1,0)*$H$3)/(2*SQRT($J$3))/365) *$P$3</f>
        <v>-0.0873346367859656</v>
      </c>
      <c r="G76" s="25" t="n">
        <f aca="false">IF($O$3="buy",1,-1)*( IF($K$3="call",B76*NORMDIST(I76,0,1,1) - $B$3*NORMDIST(J76,0,1,1),$B$3*NORMDIST(-J76,0,1,1) - B76*NORMDIST(-I76,0,1,1) ) - $G$3) * $P$3</f>
        <v>21.3456161738461</v>
      </c>
      <c r="I76" s="28" t="n">
        <f aca="false">(LN(B76/$B$3)+($H$3^2/2)*($J$3))/($H$3*SQRT($J$3))</f>
        <v>-0.849084576076942</v>
      </c>
      <c r="J76" s="28" t="n">
        <f aca="false">I76 - $H$3*SQRT($J$3)</f>
        <v>-1.06387619851249</v>
      </c>
      <c r="L76" s="2"/>
      <c r="M76" s="27"/>
      <c r="N76" s="27"/>
    </row>
    <row r="78" customFormat="false" ht="17.25" hidden="false" customHeight="true" outlineLevel="0" collapsed="false">
      <c r="B78" s="23"/>
      <c r="C78" s="19" t="s">
        <v>13</v>
      </c>
      <c r="D78" s="19" t="s">
        <v>14</v>
      </c>
      <c r="E78" s="19" t="s">
        <v>15</v>
      </c>
      <c r="F78" s="19" t="s">
        <v>16</v>
      </c>
      <c r="G78" s="19" t="s">
        <v>17</v>
      </c>
      <c r="I78" s="19" t="s">
        <v>158</v>
      </c>
      <c r="J78" s="19" t="s">
        <v>159</v>
      </c>
    </row>
    <row r="79" customFormat="false" ht="13.5" hidden="false" customHeight="true" outlineLevel="0" collapsed="false">
      <c r="A79" s="2" t="str">
        <f aca="false">A4</f>
        <v>SOL-1MAY26-60-P-USDT</v>
      </c>
      <c r="B79" s="29" t="n">
        <f aca="false">B50</f>
        <v>83</v>
      </c>
      <c r="C79" s="25" t="n">
        <f aca="false">IF($O$4="sell",-1,1) *  IF($K$4="call",  NORMDIST(I79,0,1,1),  NORMDIST(I79,0,1,1)-1  ) * $P$4</f>
        <v>-0.020695106394759</v>
      </c>
      <c r="D79" s="25" t="n">
        <f aca="false">IF($O$4="sell",-1,1) * NORMDIST(I79,0,1,0)/(B79*$H$4*SQRT($J$4)) * $P$4</f>
        <v>0.00362090349456947</v>
      </c>
      <c r="E79" s="25" t="n">
        <f aca="false">IF($O$4="sell",-1,1) * (B79*NORMDIST(I79,0,1,0)*SQRT($J$4)/365) * $P$4</f>
        <v>0.00196752323049413</v>
      </c>
      <c r="F79" s="25" t="n">
        <f aca="false">IF($O$4="sell",-1,1) * (-(B79*NORMDIST(I79,0,1,0)*$H$4)/(2*SQRT($J$4))/365) *$P$4</f>
        <v>-0.0311838569937832</v>
      </c>
      <c r="G79" s="25" t="n">
        <f aca="false">IF($O$4="buy",1,-1)*( IF($K$4="call",B79*NORMDIST(I79,0,1,1) - $B$4*NORMDIST(J79,0,1,1),$B$4*NORMDIST(-J79,0,1,1) - B79*NORMDIST(-I79,0,1,1) ) - $G$4) * $P$4</f>
        <v>-0.318786567738909</v>
      </c>
      <c r="I79" s="28" t="n">
        <f aca="false">(LN(B79/$B$4)+($H$4^2/2)*($J$4))/($H$4*SQRT($J$4))</f>
        <v>2.03959969172735</v>
      </c>
      <c r="J79" s="28" t="n">
        <f aca="false">I79 - $H$4*SQRT($J$4)</f>
        <v>1.87375953936072</v>
      </c>
    </row>
    <row r="80" customFormat="false" ht="13.5" hidden="false" customHeight="true" outlineLevel="0" collapsed="false">
      <c r="B80" s="29" t="n">
        <f aca="false">B51</f>
        <v>82</v>
      </c>
      <c r="C80" s="25" t="n">
        <f aca="false">IF($O$4="sell",-1,1) *  IF($K$4="call",  NORMDIST(I80,0,1,1),  NORMDIST(I80,0,1,1)-1  ) * $P$4</f>
        <v>-0.0246199180696086</v>
      </c>
      <c r="D80" s="25" t="n">
        <f aca="false">IF($O$4="sell",-1,1) * NORMDIST(I80,0,1,0)/(B80*$H$4*SQRT($J$4)) * $P$4</f>
        <v>0.00424291035212492</v>
      </c>
      <c r="E80" s="25" t="n">
        <f aca="false">IF($O$4="sell",-1,1) * (B80*NORMDIST(I80,0,1,0)*SQRT($J$4)/365) * $P$4</f>
        <v>0.00225028898564944</v>
      </c>
      <c r="F80" s="25" t="n">
        <f aca="false">IF($O$4="sell",-1,1) * (-(B80*NORMDIST(I80,0,1,0)*$H$4)/(2*SQRT($J$4))/365) *$P$4</f>
        <v>-0.0356654949916674</v>
      </c>
      <c r="G80" s="25" t="n">
        <f aca="false">IF($O$4="buy",1,-1)*( IF($K$4="call",B80*NORMDIST(I80,0,1,1) - $B$4*NORMDIST(J80,0,1,1),$B$4*NORMDIST(-J80,0,1,1) - B80*NORMDIST(-I80,0,1,1) ) - $G$4) * $P$4</f>
        <v>-0.296180877380818</v>
      </c>
      <c r="I80" s="28" t="n">
        <f aca="false">(LN(B80/$B$4)+($H$4^2/2)*($J$4))/($H$4*SQRT($J$4))</f>
        <v>1.96650906584835</v>
      </c>
      <c r="J80" s="28" t="n">
        <f aca="false">I80 - $H$4*SQRT($J$4)</f>
        <v>1.80066891348172</v>
      </c>
    </row>
    <row r="81" customFormat="false" ht="13.5" hidden="false" customHeight="true" outlineLevel="0" collapsed="false">
      <c r="B81" s="29" t="n">
        <f aca="false">B52</f>
        <v>81</v>
      </c>
      <c r="C81" s="25" t="n">
        <f aca="false">IF($O$4="sell",-1,1) *  IF($K$4="call",  NORMDIST(I81,0,1,1),  NORMDIST(I81,0,1,1)-1  ) * $P$4</f>
        <v>-0.0292107592433745</v>
      </c>
      <c r="D81" s="25" t="n">
        <f aca="false">IF($O$4="sell",-1,1) * NORMDIST(I81,0,1,0)/(B81*$H$4*SQRT($J$4)) * $P$4</f>
        <v>0.00495441689020419</v>
      </c>
      <c r="E81" s="25" t="n">
        <f aca="false">IF($O$4="sell",-1,1) * (B81*NORMDIST(I81,0,1,0)*SQRT($J$4)/365) * $P$4</f>
        <v>0.0025639486281637</v>
      </c>
      <c r="F81" s="25" t="n">
        <f aca="false">IF($O$4="sell",-1,1) * (-(B81*NORMDIST(I81,0,1,0)*$H$4)/(2*SQRT($J$4))/365) *$P$4</f>
        <v>-0.0406367793380431</v>
      </c>
      <c r="G81" s="25" t="n">
        <f aca="false">IF($O$4="buy",1,-1)*( IF($K$4="call",B81*NORMDIST(I81,0,1,1) - $B$4*NORMDIST(J81,0,1,1),$B$4*NORMDIST(-J81,0,1,1) - B81*NORMDIST(-I81,0,1,1) ) - $G$4) * $P$4</f>
        <v>-0.26932481877074</v>
      </c>
      <c r="I81" s="28" t="n">
        <f aca="false">(LN(B81/$B$4)+($H$4^2/2)*($J$4))/($H$4*SQRT($J$4))</f>
        <v>1.89252160010671</v>
      </c>
      <c r="J81" s="28" t="n">
        <f aca="false">I81 - $H$4*SQRT($J$4)</f>
        <v>1.72668144774008</v>
      </c>
    </row>
    <row r="82" customFormat="false" ht="13.5" hidden="false" customHeight="true" outlineLevel="0" collapsed="false">
      <c r="B82" s="29" t="n">
        <f aca="false">B53</f>
        <v>80</v>
      </c>
      <c r="C82" s="25" t="n">
        <f aca="false">IF($O$4="sell",-1,1) *  IF($K$4="call",  NORMDIST(I82,0,1,1),  NORMDIST(I82,0,1,1)-1  ) * $P$4</f>
        <v>-0.0345614977797097</v>
      </c>
      <c r="D82" s="25" t="n">
        <f aca="false">IF($O$4="sell",-1,1) * NORMDIST(I82,0,1,0)/(B82*$H$4*SQRT($J$4)) * $P$4</f>
        <v>0.0057641565482766</v>
      </c>
      <c r="E82" s="25" t="n">
        <f aca="false">IF($O$4="sell",-1,1) * (B82*NORMDIST(I82,0,1,0)*SQRT($J$4)/365) * $P$4</f>
        <v>0.00290979554918395</v>
      </c>
      <c r="F82" s="25" t="n">
        <f aca="false">IF($O$4="sell",-1,1) * (-(B82*NORMDIST(I82,0,1,0)*$H$4)/(2*SQRT($J$4))/365) *$P$4</f>
        <v>-0.0461182093713378</v>
      </c>
      <c r="G82" s="25" t="n">
        <f aca="false">IF($O$4="buy",1,-1)*( IF($K$4="call",B82*NORMDIST(I82,0,1,1) - $B$4*NORMDIST(J82,0,1,1),$B$4*NORMDIST(-J82,0,1,1) - B82*NORMDIST(-I82,0,1,1) ) - $G$4) * $P$4</f>
        <v>-0.237506156594503</v>
      </c>
      <c r="I82" s="28" t="n">
        <f aca="false">(LN(B82/$B$4)+($H$4^2/2)*($J$4))/($H$4*SQRT($J$4))</f>
        <v>1.81761501191754</v>
      </c>
      <c r="J82" s="28" t="n">
        <f aca="false">I82 - $H$4*SQRT($J$4)</f>
        <v>1.65177485955091</v>
      </c>
    </row>
    <row r="83" customFormat="false" ht="13.5" hidden="false" customHeight="true" outlineLevel="0" collapsed="false">
      <c r="B83" s="29" t="n">
        <f aca="false">B54</f>
        <v>79</v>
      </c>
      <c r="C83" s="25" t="n">
        <f aca="false">IF($O$4="sell",-1,1) *  IF($K$4="call",  NORMDIST(I83,0,1,1),  NORMDIST(I83,0,1,1)-1  ) * $P$4</f>
        <v>-0.0407746836111016</v>
      </c>
      <c r="D83" s="25" t="n">
        <f aca="false">IF($O$4="sell",-1,1) * NORMDIST(I83,0,1,0)/(B83*$H$4*SQRT($J$4)) * $P$4</f>
        <v>0.00668071539146093</v>
      </c>
      <c r="E83" s="25" t="n">
        <f aca="false">IF($O$4="sell",-1,1) * (B83*NORMDIST(I83,0,1,0)*SQRT($J$4)/365) * $P$4</f>
        <v>0.00328869718912834</v>
      </c>
      <c r="F83" s="25" t="n">
        <f aca="false">IF($O$4="sell",-1,1) * (-(B83*NORMDIST(I83,0,1,0)*$H$4)/(2*SQRT($J$4))/365) *$P$4</f>
        <v>-0.0521235334110282</v>
      </c>
      <c r="G83" s="25" t="n">
        <f aca="false">IF($O$4="buy",1,-1)*( IF($K$4="call",B83*NORMDIST(I83,0,1,1) - $B$4*NORMDIST(J83,0,1,1),$B$4*NORMDIST(-J83,0,1,1) - B83*NORMDIST(-I83,0,1,1) ) - $G$4) * $P$4</f>
        <v>-0.199914434443772</v>
      </c>
      <c r="I83" s="28" t="n">
        <f aca="false">(LN(B83/$B$4)+($H$4^2/2)*($J$4))/($H$4*SQRT($J$4))</f>
        <v>1.74176617780014</v>
      </c>
      <c r="J83" s="28" t="n">
        <f aca="false">I83 - $H$4*SQRT($J$4)</f>
        <v>1.57592602543351</v>
      </c>
    </row>
    <row r="84" customFormat="false" ht="13.5" hidden="false" customHeight="true" outlineLevel="0" collapsed="false">
      <c r="B84" s="29" t="n">
        <f aca="false">B55</f>
        <v>78</v>
      </c>
      <c r="C84" s="25" t="n">
        <f aca="false">IF($O$4="sell",-1,1) *  IF($K$4="call",  NORMDIST(I84,0,1,1),  NORMDIST(I84,0,1,1)-1  ) * $P$4</f>
        <v>-0.0479612570117667</v>
      </c>
      <c r="D84" s="25" t="n">
        <f aca="false">IF($O$4="sell",-1,1) * NORMDIST(I84,0,1,0)/(B84*$H$4*SQRT($J$4)) * $P$4</f>
        <v>0.00771223280530542</v>
      </c>
      <c r="E84" s="25" t="n">
        <f aca="false">IF($O$4="sell",-1,1) * (B84*NORMDIST(I84,0,1,0)*SQRT($J$4)/365) * $P$4</f>
        <v>0.00370097430835757</v>
      </c>
      <c r="F84" s="25" t="n">
        <f aca="false">IF($O$4="sell",-1,1) * (-(B84*NORMDIST(I84,0,1,0)*$H$4)/(2*SQRT($J$4))/365) *$P$4</f>
        <v>-0.0586578352828411</v>
      </c>
      <c r="G84" s="25" t="n">
        <f aca="false">IF($O$4="buy",1,-1)*( IF($K$4="call",B84*NORMDIST(I84,0,1,1) - $B$4*NORMDIST(J84,0,1,1),$B$4*NORMDIST(-J84,0,1,1) - B84*NORMDIST(-I84,0,1,1) ) - $G$4) * $P$4</f>
        <v>-0.155632413674718</v>
      </c>
      <c r="I84" s="28" t="n">
        <f aca="false">(LN(B84/$B$4)+($H$4^2/2)*($J$4))/($H$4*SQRT($J$4))</f>
        <v>1.66495109052702</v>
      </c>
      <c r="J84" s="28" t="n">
        <f aca="false">I84 - $H$4*SQRT($J$4)</f>
        <v>1.49911093816039</v>
      </c>
    </row>
    <row r="85" customFormat="false" ht="13.5" hidden="false" customHeight="true" outlineLevel="0" collapsed="false">
      <c r="B85" s="29" t="n">
        <f aca="false">B56</f>
        <v>77</v>
      </c>
      <c r="C85" s="25" t="n">
        <f aca="false">IF($O$4="sell",-1,1) *  IF($K$4="call",  NORMDIST(I85,0,1,1),  NORMDIST(I85,0,1,1)-1  ) * $P$4</f>
        <v>-0.056239925141526</v>
      </c>
      <c r="D85" s="25" t="n">
        <f aca="false">IF($O$4="sell",-1,1) * NORMDIST(I85,0,1,0)/(B85*$H$4*SQRT($J$4)) * $P$4</f>
        <v>0.00886603679554047</v>
      </c>
      <c r="E85" s="25" t="n">
        <f aca="false">IF($O$4="sell",-1,1) * (B85*NORMDIST(I85,0,1,0)*SQRT($J$4)/365) * $P$4</f>
        <v>0.00414627128215356</v>
      </c>
      <c r="F85" s="25" t="n">
        <f aca="false">IF($O$4="sell",-1,1) * (-(B85*NORMDIST(I85,0,1,0)*$H$4)/(2*SQRT($J$4))/365) *$P$4</f>
        <v>-0.0657154785855488</v>
      </c>
      <c r="G85" s="25" t="n">
        <f aca="false">IF($O$4="buy",1,-1)*( IF($K$4="call",B85*NORMDIST(I85,0,1,1) - $B$4*NORMDIST(J85,0,1,1),$B$4*NORMDIST(-J85,0,1,1) - B85*NORMDIST(-I85,0,1,1) ) - $G$4) * $P$4</f>
        <v>-0.103627964405557</v>
      </c>
      <c r="I85" s="28" t="n">
        <f aca="false">(LN(B85/$B$4)+($H$4^2/2)*($J$4))/($H$4*SQRT($J$4))</f>
        <v>1.58714481350804</v>
      </c>
      <c r="J85" s="28" t="n">
        <f aca="false">I85 - $H$4*SQRT($J$4)</f>
        <v>1.42130466114141</v>
      </c>
    </row>
    <row r="86" customFormat="false" ht="13.5" hidden="false" customHeight="true" outlineLevel="0" collapsed="false">
      <c r="B86" s="29" t="n">
        <f aca="false">B57</f>
        <v>76</v>
      </c>
      <c r="C86" s="25" t="n">
        <f aca="false">IF($O$4="sell",-1,1) *  IF($K$4="call",  NORMDIST(I86,0,1,1),  NORMDIST(I86,0,1,1)-1  ) * $P$4</f>
        <v>-0.0657361402558754</v>
      </c>
      <c r="D86" s="25" t="n">
        <f aca="false">IF($O$4="sell",-1,1) * NORMDIST(I86,0,1,0)/(B86*$H$4*SQRT($J$4)) * $P$4</f>
        <v>0.010148211937572</v>
      </c>
      <c r="E86" s="25" t="n">
        <f aca="false">IF($O$4="sell",-1,1) * (B86*NORMDIST(I86,0,1,0)*SQRT($J$4)/365) * $P$4</f>
        <v>0.00462342106202832</v>
      </c>
      <c r="F86" s="25" t="n">
        <f aca="false">IF($O$4="sell",-1,1) * (-(B86*NORMDIST(I86,0,1,0)*$H$4)/(2*SQRT($J$4))/365) *$P$4</f>
        <v>-0.0732779664228551</v>
      </c>
      <c r="G86" s="25" t="n">
        <f aca="false">IF($O$4="buy",1,-1)*( IF($K$4="call",B86*NORMDIST(I86,0,1,1) - $B$4*NORMDIST(J86,0,1,1),$B$4*NORMDIST(-J86,0,1,1) - B86*NORMDIST(-I86,0,1,1) ) - $G$4) * $P$4</f>
        <v>-0.0427467735199765</v>
      </c>
      <c r="I86" s="28" t="n">
        <f aca="false">(LN(B86/$B$4)+($H$4^2/2)*($J$4))/($H$4*SQRT($J$4))</f>
        <v>1.50832143219292</v>
      </c>
      <c r="J86" s="28" t="n">
        <f aca="false">I86 - $H$4*SQRT($J$4)</f>
        <v>1.34248127982629</v>
      </c>
    </row>
    <row r="87" customFormat="false" ht="13.5" hidden="false" customHeight="true" outlineLevel="0" collapsed="false">
      <c r="B87" s="29" t="n">
        <f aca="false">B58</f>
        <v>75</v>
      </c>
      <c r="C87" s="25" t="n">
        <f aca="false">IF($O$4="sell",-1,1) *  IF($K$4="call",  NORMDIST(I87,0,1,1),  NORMDIST(I87,0,1,1)-1  ) * $P$4</f>
        <v>-0.0765806125794956</v>
      </c>
      <c r="D87" s="25" t="n">
        <f aca="false">IF($O$4="sell",-1,1) * NORMDIST(I87,0,1,0)/(B87*$H$4*SQRT($J$4)) * $P$4</f>
        <v>0.011563101302884</v>
      </c>
      <c r="E87" s="25" t="n">
        <f aca="false">IF($O$4="sell",-1,1) * (B87*NORMDIST(I87,0,1,0)*SQRT($J$4)/365) * $P$4</f>
        <v>0.00513030979916429</v>
      </c>
      <c r="F87" s="25" t="n">
        <f aca="false">IF($O$4="sell",-1,1) * (-(B87*NORMDIST(I87,0,1,0)*$H$4)/(2*SQRT($J$4))/365) *$P$4</f>
        <v>-0.0813117957803045</v>
      </c>
      <c r="G87" s="25" t="n">
        <f aca="false">IF($O$4="buy",1,-1)*( IF($K$4="call",B87*NORMDIST(I87,0,1,1) - $B$4*NORMDIST(J87,0,1,1),$B$4*NORMDIST(-J87,0,1,1) - B87*NORMDIST(-I87,0,1,1) ) - $G$4) * $P$4</f>
        <v>0.0282936983790944</v>
      </c>
      <c r="I87" s="28" t="n">
        <f aca="false">(LN(B87/$B$4)+($H$4^2/2)*($J$4))/($H$4*SQRT($J$4))</f>
        <v>1.42845400225509</v>
      </c>
      <c r="J87" s="28" t="n">
        <f aca="false">I87 - $H$4*SQRT($J$4)</f>
        <v>1.26261384988846</v>
      </c>
    </row>
    <row r="88" customFormat="false" ht="13.5" hidden="false" customHeight="true" outlineLevel="0" collapsed="false">
      <c r="B88" s="29" t="n">
        <f aca="false">B59</f>
        <v>74</v>
      </c>
      <c r="C88" s="25" t="n">
        <f aca="false">IF($O$4="sell",-1,1) *  IF($K$4="call",  NORMDIST(I88,0,1,1),  NORMDIST(I88,0,1,1)-1  ) * $P$4</f>
        <v>-0.0889072942434879</v>
      </c>
      <c r="D88" s="25" t="n">
        <f aca="false">IF($O$4="sell",-1,1) * NORMDIST(I88,0,1,0)/(B88*$H$4*SQRT($J$4)) * $P$4</f>
        <v>0.0131127480223719</v>
      </c>
      <c r="E88" s="25" t="n">
        <f aca="false">IF($O$4="sell",-1,1) * (B88*NORMDIST(I88,0,1,0)*SQRT($J$4)/365) * $P$4</f>
        <v>0.00566374757499086</v>
      </c>
      <c r="F88" s="25" t="n">
        <f aca="false">IF($O$4="sell",-1,1) * (-(B88*NORMDIST(I88,0,1,0)*$H$4)/(2*SQRT($J$4))/365) *$P$4</f>
        <v>-0.0897664086959955</v>
      </c>
      <c r="G88" s="25" t="n">
        <f aca="false">IF($O$4="buy",1,-1)*( IF($K$4="call",B88*NORMDIST(I88,0,1,1) - $B$4*NORMDIST(J88,0,1,1),$B$4*NORMDIST(-J88,0,1,1) - B88*NORMDIST(-I88,0,1,1) ) - $G$4) * $P$4</f>
        <v>0.110908513458932</v>
      </c>
      <c r="I88" s="28" t="n">
        <f aca="false">(LN(B88/$B$4)+($H$4^2/2)*($J$4))/($H$4*SQRT($J$4))</f>
        <v>1.34751449429765</v>
      </c>
      <c r="J88" s="28" t="n">
        <f aca="false">I88 - $H$4*SQRT($J$4)</f>
        <v>1.18167434193103</v>
      </c>
    </row>
    <row r="89" customFormat="false" ht="13.5" hidden="false" customHeight="true" outlineLevel="0" collapsed="false">
      <c r="B89" s="29" t="n">
        <f aca="false">B60</f>
        <v>73</v>
      </c>
      <c r="C89" s="25" t="n">
        <f aca="false">IF($O$4="sell",-1,1) *  IF($K$4="call",  NORMDIST(I89,0,1,1),  NORMDIST(I89,0,1,1)-1  ) * $P$4</f>
        <v>-0.102850778970761</v>
      </c>
      <c r="D89" s="25" t="n">
        <f aca="false">IF($O$4="sell",-1,1) * NORMDIST(I89,0,1,0)/(B89*$H$4*SQRT($J$4)) * $P$4</f>
        <v>0.0147962875782343</v>
      </c>
      <c r="E89" s="25" t="n">
        <f aca="false">IF($O$4="sell",-1,1) * (B89*NORMDIST(I89,0,1,0)*SQRT($J$4)/365) * $P$4</f>
        <v>0.00621935315033439</v>
      </c>
      <c r="F89" s="25" t="n">
        <f aca="false">IF($O$4="sell",-1,1) * (-(B89*NORMDIST(I89,0,1,0)*$H$4)/(2*SQRT($J$4))/365) *$P$4</f>
        <v>-0.0985723656158078</v>
      </c>
      <c r="G89" s="25" t="n">
        <f aca="false">IF($O$4="buy",1,-1)*( IF($K$4="call",B89*NORMDIST(I89,0,1,1) - $B$4*NORMDIST(J89,0,1,1),$B$4*NORMDIST(-J89,0,1,1) - B89*NORMDIST(-I89,0,1,1) ) - $G$4) * $P$4</f>
        <v>0.206647249072765</v>
      </c>
      <c r="I89" s="28" t="n">
        <f aca="false">(LN(B89/$B$4)+($H$4^2/2)*($J$4))/($H$4*SQRT($J$4))</f>
        <v>1.2654737347975</v>
      </c>
      <c r="J89" s="28" t="n">
        <f aca="false">I89 - $H$4*SQRT($J$4)</f>
        <v>1.09963358243088</v>
      </c>
    </row>
    <row r="90" customFormat="false" ht="13.5" hidden="false" customHeight="true" outlineLevel="0" collapsed="false">
      <c r="B90" s="29" t="n">
        <f aca="false">B61</f>
        <v>72</v>
      </c>
      <c r="C90" s="25" t="n">
        <f aca="false">IF($O$4="sell",-1,1) *  IF($K$4="call",  NORMDIST(I90,0,1,1),  NORMDIST(I90,0,1,1)-1  ) * $P$4</f>
        <v>-0.118543076449926</v>
      </c>
      <c r="D90" s="25" t="n">
        <f aca="false">IF($O$4="sell",-1,1) * NORMDIST(I90,0,1,0)/(B90*$H$4*SQRT($J$4)) * $P$4</f>
        <v>0.0166093084144058</v>
      </c>
      <c r="E90" s="25" t="n">
        <f aca="false">IF($O$4="sell",-1,1) * (B90*NORMDIST(I90,0,1,0)*SQRT($J$4)/365) * $P$4</f>
        <v>0.00679146202025103</v>
      </c>
      <c r="F90" s="25" t="n">
        <f aca="false">IF($O$4="sell",-1,1) * (-(B90*NORMDIST(I90,0,1,0)*$H$4)/(2*SQRT($J$4))/365) *$P$4</f>
        <v>-0.107639888127283</v>
      </c>
      <c r="G90" s="25" t="n">
        <f aca="false">IF($O$4="buy",1,-1)*( IF($K$4="call",B90*NORMDIST(I90,0,1,1) - $B$4*NORMDIST(J90,0,1,1),$B$4*NORMDIST(-J90,0,1,1) - B90*NORMDIST(-I90,0,1,1) ) - $G$4) * $P$4</f>
        <v>0.317193079855636</v>
      </c>
      <c r="I90" s="28" t="n">
        <f aca="false">(LN(B90/$B$4)+($H$4^2/2)*($J$4))/($H$4*SQRT($J$4))</f>
        <v>1.18230134297624</v>
      </c>
      <c r="J90" s="28" t="n">
        <f aca="false">I90 - $H$4*SQRT($J$4)</f>
        <v>1.01646119060961</v>
      </c>
    </row>
    <row r="91" customFormat="false" ht="13.5" hidden="false" customHeight="true" outlineLevel="0" collapsed="false">
      <c r="B91" s="29" t="n">
        <f aca="false">B62</f>
        <v>71</v>
      </c>
      <c r="C91" s="25" t="n">
        <f aca="false">IF($O$4="sell",-1,1) *  IF($K$4="call",  NORMDIST(I91,0,1,1),  NORMDIST(I91,0,1,1)-1  ) * $P$4</f>
        <v>-0.136109741571552</v>
      </c>
      <c r="D91" s="25" t="n">
        <f aca="false">IF($O$4="sell",-1,1) * NORMDIST(I91,0,1,0)/(B91*$H$4*SQRT($J$4)) * $P$4</f>
        <v>0.0185432058774798</v>
      </c>
      <c r="E91" s="25" t="n">
        <f aca="false">IF($O$4="sell",-1,1) * (B91*NORMDIST(I91,0,1,0)*SQRT($J$4)/365) * $P$4</f>
        <v>0.00737306820788004</v>
      </c>
      <c r="F91" s="25" t="n">
        <f aca="false">IF($O$4="sell",-1,1) * (-(B91*NORMDIST(I91,0,1,0)*$H$4)/(2*SQRT($J$4))/365) *$P$4</f>
        <v>-0.116857936433207</v>
      </c>
      <c r="G91" s="25" t="n">
        <f aca="false">IF($O$4="buy",1,-1)*( IF($K$4="call",B91*NORMDIST(I91,0,1,1) - $B$4*NORMDIST(J91,0,1,1),$B$4*NORMDIST(-J91,0,1,1) - B91*NORMDIST(-I91,0,1,1) ) - $G$4) * $P$4</f>
        <v>0.444358312192367</v>
      </c>
      <c r="I91" s="28" t="n">
        <f aca="false">(LN(B91/$B$4)+($H$4^2/2)*($J$4))/($H$4*SQRT($J$4))</f>
        <v>1.09796566325604</v>
      </c>
      <c r="J91" s="28" t="n">
        <f aca="false">I91 - $H$4*SQRT($J$4)</f>
        <v>0.932125510889417</v>
      </c>
    </row>
    <row r="92" customFormat="false" ht="13.5" hidden="false" customHeight="true" outlineLevel="0" collapsed="false">
      <c r="B92" s="29" t="n">
        <f aca="false">B63</f>
        <v>70</v>
      </c>
      <c r="C92" s="25" t="n">
        <f aca="false">IF($O$4="sell",-1,1) *  IF($K$4="call",  NORMDIST(I92,0,1,1),  NORMDIST(I92,0,1,1)-1  ) * $P$4</f>
        <v>-0.155665367705423</v>
      </c>
      <c r="D92" s="25" t="n">
        <f aca="false">IF($O$4="sell",-1,1) * NORMDIST(I92,0,1,0)/(B92*$H$4*SQRT($J$4)) * $P$4</f>
        <v>0.0205845625593966</v>
      </c>
      <c r="E92" s="25" t="n">
        <f aca="false">IF($O$4="sell",-1,1) * (B92*NORMDIST(I92,0,1,0)*SQRT($J$4)/365) * $P$4</f>
        <v>0.00795581098022329</v>
      </c>
      <c r="F92" s="25" t="n">
        <f aca="false">IF($O$4="sell",-1,1) * (-(B92*NORMDIST(I92,0,1,0)*$H$4)/(2*SQRT($J$4))/365) *$P$4</f>
        <v>-0.126093998806076</v>
      </c>
      <c r="G92" s="25" t="n">
        <f aca="false">IF($O$4="buy",1,-1)*( IF($K$4="call",B92*NORMDIST(I92,0,1,1) - $B$4*NORMDIST(J92,0,1,1),$B$4*NORMDIST(-J92,0,1,1) - B92*NORMDIST(-I92,0,1,1) ) - $G$4) * $P$4</f>
        <v>0.590075727753737</v>
      </c>
      <c r="I92" s="28" t="n">
        <f aca="false">(LN(B92/$B$4)+($H$4^2/2)*($J$4))/($H$4*SQRT($J$4))</f>
        <v>1.01243369292477</v>
      </c>
      <c r="J92" s="28" t="n">
        <f aca="false">I92 - $H$4*SQRT($J$4)</f>
        <v>0.846593540558142</v>
      </c>
    </row>
    <row r="93" customFormat="false" ht="13.5" hidden="false" customHeight="true" outlineLevel="0" collapsed="false">
      <c r="B93" s="29" t="n">
        <f aca="false">B64</f>
        <v>69</v>
      </c>
      <c r="C93" s="25" t="n">
        <f aca="false">IF($O$4="sell",-1,1) *  IF($K$4="call",  NORMDIST(I93,0,1,1),  NORMDIST(I93,0,1,1)-1  ) * $P$4</f>
        <v>-0.177308490396886</v>
      </c>
      <c r="D93" s="25" t="n">
        <f aca="false">IF($O$4="sell",-1,1) * NORMDIST(I93,0,1,0)/(B93*$H$4*SQRT($J$4)) * $P$4</f>
        <v>0.0227145963510342</v>
      </c>
      <c r="E93" s="25" t="n">
        <f aca="false">IF($O$4="sell",-1,1) * (B93*NORMDIST(I93,0,1,0)*SQRT($J$4)/365) * $P$4</f>
        <v>0.00853001783216485</v>
      </c>
      <c r="F93" s="25" t="n">
        <f aca="false">IF($O$4="sell",-1,1) * (-(B93*NORMDIST(I93,0,1,0)*$H$4)/(2*SQRT($J$4))/365) *$P$4</f>
        <v>-0.135194772854522</v>
      </c>
      <c r="G93" s="25" t="n">
        <f aca="false">IF($O$4="buy",1,-1)*( IF($K$4="call",B93*NORMDIST(I93,0,1,1) - $B$4*NORMDIST(J93,0,1,1),$B$4*NORMDIST(-J93,0,1,1) - B93*NORMDIST(-I93,0,1,1) ) - $G$4) * $P$4</f>
        <v>0.756385119887721</v>
      </c>
      <c r="I93" s="28" t="n">
        <f aca="false">(LN(B93/$B$4)+($H$4^2/2)*($J$4))/($H$4*SQRT($J$4))</f>
        <v>0.925671004596493</v>
      </c>
      <c r="J93" s="28" t="n">
        <f aca="false">I93 - $H$4*SQRT($J$4)</f>
        <v>0.759830852229865</v>
      </c>
    </row>
    <row r="94" customFormat="false" ht="13.5" hidden="false" customHeight="true" outlineLevel="0" collapsed="false">
      <c r="B94" s="29" t="n">
        <f aca="false">B65</f>
        <v>68</v>
      </c>
      <c r="C94" s="25" t="n">
        <f aca="false">IF($O$4="sell",-1,1) *  IF($K$4="call",  NORMDIST(I94,0,1,1),  NORMDIST(I94,0,1,1)-1  ) * $P$4</f>
        <v>-0.201115993123181</v>
      </c>
      <c r="D94" s="25" t="n">
        <f aca="false">IF($O$4="sell",-1,1) * NORMDIST(I94,0,1,0)/(B94*$H$4*SQRT($J$4)) * $P$4</f>
        <v>0.0249087252787857</v>
      </c>
      <c r="E94" s="25" t="n">
        <f aca="false">IF($O$4="sell",-1,1) * (B94*NORMDIST(I94,0,1,0)*SQRT($J$4)/365) * $P$4</f>
        <v>0.00908481446188645</v>
      </c>
      <c r="F94" s="25" t="n">
        <f aca="false">IF($O$4="sell",-1,1) * (-(B94*NORMDIST(I94,0,1,0)*$H$4)/(2*SQRT($J$4))/365) *$P$4</f>
        <v>-0.143987908556166</v>
      </c>
      <c r="G94" s="25" t="n">
        <f aca="false">IF($O$4="buy",1,-1)*( IF($K$4="call",B94*NORMDIST(I94,0,1,1) - $B$4*NORMDIST(J94,0,1,1),$B$4*NORMDIST(-J94,0,1,1) - B94*NORMDIST(-I94,0,1,1) ) - $G$4) * $P$4</f>
        <v>0.94541447501428</v>
      </c>
      <c r="I94" s="28" t="n">
        <f aca="false">(LN(B94/$B$4)+($H$4^2/2)*($J$4))/($H$4*SQRT($J$4))</f>
        <v>0.83764166301172</v>
      </c>
      <c r="J94" s="28" t="n">
        <f aca="false">I94 - $H$4*SQRT($J$4)</f>
        <v>0.671801510645092</v>
      </c>
    </row>
    <row r="95" customFormat="false" ht="13.5" hidden="false" customHeight="true" outlineLevel="0" collapsed="false">
      <c r="B95" s="29" t="n">
        <f aca="false">B66</f>
        <v>67</v>
      </c>
      <c r="C95" s="25" t="n">
        <f aca="false">IF($O$4="sell",-1,1) *  IF($K$4="call",  NORMDIST(I95,0,1,1),  NORMDIST(I95,0,1,1)-1  ) * $P$4</f>
        <v>-0.22713715919051</v>
      </c>
      <c r="D95" s="25" t="n">
        <f aca="false">IF($O$4="sell",-1,1) * NORMDIST(I95,0,1,0)/(B95*$H$4*SQRT($J$4)) * $P$4</f>
        <v>0.0271363046282021</v>
      </c>
      <c r="E95" s="25" t="n">
        <f aca="false">IF($O$4="sell",-1,1) * (B95*NORMDIST(I95,0,1,0)*SQRT($J$4)/365) * $P$4</f>
        <v>0.00960831085705567</v>
      </c>
      <c r="F95" s="25" t="n">
        <f aca="false">IF($O$4="sell",-1,1) * (-(B95*NORMDIST(I95,0,1,0)*$H$4)/(2*SQRT($J$4))/365) *$P$4</f>
        <v>-0.152284957592592</v>
      </c>
      <c r="G95" s="25" t="n">
        <f aca="false">IF($O$4="buy",1,-1)*( IF($K$4="call",B95*NORMDIST(I95,0,1,1) - $B$4*NORMDIST(J95,0,1,1),$B$4*NORMDIST(-J95,0,1,1) - B95*NORMDIST(-I95,0,1,1) ) - $G$4) * $P$4</f>
        <v>1.15935536849542</v>
      </c>
      <c r="I95" s="28" t="n">
        <f aca="false">(LN(B95/$B$4)+($H$4^2/2)*($J$4))/($H$4*SQRT($J$4))</f>
        <v>0.748308135673971</v>
      </c>
      <c r="J95" s="28" t="n">
        <f aca="false">I95 - $H$4*SQRT($J$4)</f>
        <v>0.582467983307344</v>
      </c>
    </row>
    <row r="96" customFormat="false" ht="13.5" hidden="false" customHeight="true" outlineLevel="0" collapsed="false">
      <c r="B96" s="29" t="n">
        <f aca="false">B67</f>
        <v>66</v>
      </c>
      <c r="C96" s="25" t="n">
        <f aca="false">IF($O$4="sell",-1,1) *  IF($K$4="call",  NORMDIST(I96,0,1,1),  NORMDIST(I96,0,1,1)-1  ) * $P$4</f>
        <v>-0.255387571630566</v>
      </c>
      <c r="D96" s="25" t="n">
        <f aca="false">IF($O$4="sell",-1,1) * NORMDIST(I96,0,1,0)/(B96*$H$4*SQRT($J$4)) * $P$4</f>
        <v>0.029360595914888</v>
      </c>
      <c r="E96" s="25" t="n">
        <f aca="false">IF($O$4="sell",-1,1) * (B96*NORMDIST(I96,0,1,0)*SQRT($J$4)/365) * $P$4</f>
        <v>0.0100878698624758</v>
      </c>
      <c r="F96" s="25" t="n">
        <f aca="false">IF($O$4="sell",-1,1) * (-(B96*NORMDIST(I96,0,1,0)*$H$4)/(2*SQRT($J$4))/365) *$P$4</f>
        <v>-0.159885629957383</v>
      </c>
      <c r="G96" s="25" t="n">
        <f aca="false">IF($O$4="buy",1,-1)*( IF($K$4="call",B96*NORMDIST(I96,0,1,1) - $B$4*NORMDIST(J96,0,1,1),$B$4*NORMDIST(-J96,0,1,1) - B96*NORMDIST(-I96,0,1,1) ) - $G$4) * $P$4</f>
        <v>1.40043231708228</v>
      </c>
      <c r="I96" s="28" t="n">
        <f aca="false">(LN(B96/$B$4)+($H$4^2/2)*($J$4))/($H$4*SQRT($J$4))</f>
        <v>0.657631196766584</v>
      </c>
      <c r="J96" s="28" t="n">
        <f aca="false">I96 - $H$4*SQRT($J$4)</f>
        <v>0.491791044399957</v>
      </c>
    </row>
    <row r="97" customFormat="false" ht="13.5" hidden="false" customHeight="true" outlineLevel="0" collapsed="false">
      <c r="B97" s="29" t="n">
        <f aca="false">B68</f>
        <v>65</v>
      </c>
      <c r="C97" s="25" t="n">
        <f aca="false">IF($O$4="sell",-1,1) *  IF($K$4="call",  NORMDIST(I97,0,1,1),  NORMDIST(I97,0,1,1)-1  ) * $P$4</f>
        <v>-0.285843123109818</v>
      </c>
      <c r="D97" s="25" t="n">
        <f aca="false">IF($O$4="sell",-1,1) * NORMDIST(I97,0,1,0)/(B97*$H$4*SQRT($J$4)) * $P$4</f>
        <v>0.0315390277530375</v>
      </c>
      <c r="E97" s="25" t="n">
        <f aca="false">IF($O$4="sell",-1,1) * (B97*NORMDIST(I97,0,1,0)*SQRT($J$4)/365) * $P$4</f>
        <v>0.0105104606008621</v>
      </c>
      <c r="F97" s="25" t="n">
        <f aca="false">IF($O$4="sell",-1,1) * (-(B97*NORMDIST(I97,0,1,0)*$H$4)/(2*SQRT($J$4))/365) *$P$4</f>
        <v>-0.166583395426423</v>
      </c>
      <c r="G97" s="25" t="n">
        <f aca="false">IF($O$4="buy",1,-1)*( IF($K$4="call",B97*NORMDIST(I97,0,1,1) - $B$4*NORMDIST(J97,0,1,1),$B$4*NORMDIST(-J97,0,1,1) - B97*NORMDIST(-I97,0,1,1) ) - $G$4) * $P$4</f>
        <v>1.6708660619345</v>
      </c>
      <c r="I97" s="28" t="n">
        <f aca="false">(LN(B97/$B$4)+($H$4^2/2)*($J$4))/($H$4*SQRT($J$4))</f>
        <v>0.565569823734097</v>
      </c>
      <c r="J97" s="28" t="n">
        <f aca="false">I97 - $H$4*SQRT($J$4)</f>
        <v>0.39972967136747</v>
      </c>
    </row>
    <row r="98" customFormat="false" ht="13.5" hidden="false" customHeight="true" outlineLevel="0" collapsed="false">
      <c r="B98" s="29" t="n">
        <f aca="false">B69</f>
        <v>64</v>
      </c>
      <c r="C98" s="25" t="n">
        <f aca="false">IF($O$4="sell",-1,1) *  IF($K$4="call",  NORMDIST(I98,0,1,1),  NORMDIST(I98,0,1,1)-1  ) * $P$4</f>
        <v>-0.318434456203909</v>
      </c>
      <c r="D98" s="25" t="n">
        <f aca="false">IF($O$4="sell",-1,1) * NORMDIST(I98,0,1,0)/(B98*$H$4*SQRT($J$4)) * $P$4</f>
        <v>0.0336238043427337</v>
      </c>
      <c r="E98" s="25" t="n">
        <f aca="false">IF($O$4="sell",-1,1) * (B98*NORMDIST(I98,0,1,0)*SQRT($J$4)/365) * $P$4</f>
        <v>0.010863093855686</v>
      </c>
      <c r="F98" s="25" t="n">
        <f aca="false">IF($O$4="sell",-1,1) * (-(B98*NORMDIST(I98,0,1,0)*$H$4)/(2*SQRT($J$4))/365) *$P$4</f>
        <v>-0.172172384069225</v>
      </c>
      <c r="G98" s="25" t="n">
        <f aca="false">IF($O$4="buy",1,-1)*( IF($K$4="call",B98*NORMDIST(I98,0,1,1) - $B$4*NORMDIST(J98,0,1,1),$B$4*NORMDIST(-J98,0,1,1) - B98*NORMDIST(-I98,0,1,1) ) - $G$4) * $P$4</f>
        <v>1.97283104774907</v>
      </c>
      <c r="I98" s="28" t="n">
        <f aca="false">(LN(B98/$B$4)+($H$4^2/2)*($J$4))/($H$4*SQRT($J$4))</f>
        <v>0.472081085845762</v>
      </c>
      <c r="J98" s="28" t="n">
        <f aca="false">I98 - $H$4*SQRT($J$4)</f>
        <v>0.306240933479135</v>
      </c>
    </row>
    <row r="99" customFormat="false" ht="13.5" hidden="false" customHeight="true" outlineLevel="0" collapsed="false">
      <c r="B99" s="29" t="n">
        <f aca="false">B70</f>
        <v>63</v>
      </c>
      <c r="C99" s="25" t="n">
        <f aca="false">IF($O$4="sell",-1,1) *  IF($K$4="call",  NORMDIST(I99,0,1,1),  NORMDIST(I99,0,1,1)-1  ) * $P$4</f>
        <v>-0.353042205486428</v>
      </c>
      <c r="D99" s="25" t="n">
        <f aca="false">IF($O$4="sell",-1,1) * NORMDIST(I99,0,1,0)/(B99*$H$4*SQRT($J$4)) * $P$4</f>
        <v>0.0355629069565685</v>
      </c>
      <c r="E99" s="25" t="n">
        <f aca="false">IF($O$4="sell",-1,1) * (B99*NORMDIST(I99,0,1,0)*SQRT($J$4)/365) * $P$4</f>
        <v>0.0111333301117396</v>
      </c>
      <c r="F99" s="25" t="n">
        <f aca="false">IF($O$4="sell",-1,1) * (-(B99*NORMDIST(I99,0,1,0)*$H$4)/(2*SQRT($J$4))/365) *$P$4</f>
        <v>-0.176455438333949</v>
      </c>
      <c r="G99" s="25" t="n">
        <f aca="false">IF($O$4="buy",1,-1)*( IF($K$4="call",B99*NORMDIST(I99,0,1,1) - $B$4*NORMDIST(J99,0,1,1),$B$4*NORMDIST(-J99,0,1,1) - B99*NORMDIST(-I99,0,1,1) ) - $G$4) * $P$4</f>
        <v>2.30840771029668</v>
      </c>
      <c r="I99" s="28" t="n">
        <f aca="false">(LN(B99/$B$4)+($H$4^2/2)*($J$4))/($H$4*SQRT($J$4))</f>
        <v>0.377120023983471</v>
      </c>
      <c r="J99" s="28" t="n">
        <f aca="false">I99 - $H$4*SQRT($J$4)</f>
        <v>0.211279871616844</v>
      </c>
    </row>
    <row r="100" customFormat="false" ht="13.5" hidden="false" customHeight="true" outlineLevel="0" collapsed="false">
      <c r="B100" s="29" t="n">
        <f aca="false">B71</f>
        <v>62</v>
      </c>
      <c r="C100" s="25" t="n">
        <f aca="false">IF($O$4="sell",-1,1) *  IF($K$4="call",  NORMDIST(I100,0,1,1),  NORMDIST(I100,0,1,1)-1  ) * $P$4</f>
        <v>-0.389493450216931</v>
      </c>
      <c r="D100" s="25" t="n">
        <f aca="false">IF($O$4="sell",-1,1) * NORMDIST(I100,0,1,0)/(B100*$H$4*SQRT($J$4)) * $P$4</f>
        <v>0.0373015164944114</v>
      </c>
      <c r="E100" s="25" t="n">
        <f aca="false">IF($O$4="sell",-1,1) * (B100*NORMDIST(I100,0,1,0)*SQRT($J$4)/365) * $P$4</f>
        <v>0.0113098436561568</v>
      </c>
      <c r="F100" s="25" t="n">
        <f aca="false">IF($O$4="sell",-1,1) * (-(B100*NORMDIST(I100,0,1,0)*$H$4)/(2*SQRT($J$4))/365) *$P$4</f>
        <v>-0.179253053651146</v>
      </c>
      <c r="G100" s="25" t="n">
        <f aca="false">IF($O$4="buy",1,-1)*( IF($K$4="call",B100*NORMDIST(I100,0,1,1) - $B$4*NORMDIST(J100,0,1,1),$B$4*NORMDIST(-J100,0,1,1) - B100*NORMDIST(-I100,0,1,1) ) - $G$4) * $P$4</f>
        <v>2.67953057622315</v>
      </c>
      <c r="I100" s="28" t="n">
        <f aca="false">(LN(B100/$B$4)+($H$4^2/2)*($J$4))/($H$4*SQRT($J$4))</f>
        <v>0.280639520811546</v>
      </c>
      <c r="J100" s="28" t="n">
        <f aca="false">I100 - $H$4*SQRT($J$4)</f>
        <v>0.114799368444918</v>
      </c>
    </row>
    <row r="101" customFormat="false" ht="13.5" hidden="false" customHeight="true" outlineLevel="0" collapsed="false">
      <c r="B101" s="29" t="n">
        <f aca="false">B72</f>
        <v>61</v>
      </c>
      <c r="C101" s="25" t="n">
        <f aca="false">IF($O$4="sell",-1,1) *  IF($K$4="call",  NORMDIST(I101,0,1,1),  NORMDIST(I101,0,1,1)-1  ) * $P$4</f>
        <v>-0.427559802711356</v>
      </c>
      <c r="D101" s="25" t="n">
        <f aca="false">IF($O$4="sell",-1,1) * NORMDIST(I101,0,1,0)/(B101*$H$4*SQRT($J$4)) * $P$4</f>
        <v>0.0387838603747462</v>
      </c>
      <c r="E101" s="25" t="n">
        <f aca="false">IF($O$4="sell",-1,1) * (B101*NORMDIST(I101,0,1,0)*SQRT($J$4)/365) * $P$4</f>
        <v>0.0113830184210959</v>
      </c>
      <c r="F101" s="25" t="n">
        <f aca="false">IF($O$4="sell",-1,1) * (-(B101*NORMDIST(I101,0,1,0)*$H$4)/(2*SQRT($J$4))/365) *$P$4</f>
        <v>-0.180412822120482</v>
      </c>
      <c r="G101" s="25" t="n">
        <f aca="false">IF($O$4="buy",1,-1)*( IF($K$4="call",B101*NORMDIST(I101,0,1,1) - $B$4*NORMDIST(J101,0,1,1),$B$4*NORMDIST(-J101,0,1,1) - B101*NORMDIST(-I101,0,1,1) ) - $G$4) * $P$4</f>
        <v>3.08793359797389</v>
      </c>
      <c r="I101" s="28" t="n">
        <f aca="false">(LN(B101/$B$4)+($H$4^2/2)*($J$4))/($H$4*SQRT($J$4))</f>
        <v>0.182590160389874</v>
      </c>
      <c r="J101" s="28" t="n">
        <f aca="false">I101 - $H$4*SQRT($J$4)</f>
        <v>0.016750008023246</v>
      </c>
    </row>
    <row r="102" customFormat="false" ht="13.5" hidden="false" customHeight="true" outlineLevel="0" collapsed="false">
      <c r="B102" s="29" t="n">
        <f aca="false">B73</f>
        <v>60</v>
      </c>
      <c r="C102" s="25" t="n">
        <f aca="false">IF($O$4="sell",-1,1) *  IF($K$4="call",  NORMDIST(I102,0,1,1),  NORMDIST(I102,0,1,1)-1  ) * $P$4</f>
        <v>-0.466957545263714</v>
      </c>
      <c r="D102" s="25" t="n">
        <f aca="false">IF($O$4="sell",-1,1) * NORMDIST(I102,0,1,0)/(B102*$H$4*SQRT($J$4)) * $P$4</f>
        <v>0.0399554549026526</v>
      </c>
      <c r="E102" s="25" t="n">
        <f aca="false">IF($O$4="sell",-1,1) * (B102*NORMDIST(I102,0,1,0)*SQRT($J$4)/365) * $P$4</f>
        <v>0.0113455437366317</v>
      </c>
      <c r="F102" s="25" t="n">
        <f aca="false">IF($O$4="sell",-1,1) * (-(B102*NORMDIST(I102,0,1,0)*$H$4)/(2*SQRT($J$4))/365) *$P$4</f>
        <v>-0.179818874774344</v>
      </c>
      <c r="G102" s="25" t="n">
        <f aca="false">IF($O$4="buy",1,-1)*( IF($K$4="call",B102*NORMDIST(I102,0,1,1) - $B$4*NORMDIST(J102,0,1,1),$B$4*NORMDIST(-J102,0,1,1) - B102*NORMDIST(-I102,0,1,1) ) - $G$4) * $P$4</f>
        <v>3.5350945683543</v>
      </c>
      <c r="I102" s="28" t="n">
        <f aca="false">(LN(B102/$B$4)+($H$4^2/2)*($J$4))/($H$4*SQRT($J$4))</f>
        <v>0.0829200761833139</v>
      </c>
      <c r="J102" s="28" t="n">
        <f aca="false">I102 - $H$4*SQRT($J$4)</f>
        <v>-0.0829200761833139</v>
      </c>
    </row>
    <row r="103" customFormat="false" ht="13.5" hidden="false" customHeight="true" outlineLevel="0" collapsed="false">
      <c r="B103" s="29" t="n">
        <f aca="false">B74</f>
        <v>59</v>
      </c>
      <c r="C103" s="25" t="n">
        <f aca="false">IF($O$4="sell",-1,1) *  IF($K$4="call",  NORMDIST(I103,0,1,1),  NORMDIST(I103,0,1,1)-1  ) * $P$4</f>
        <v>-0.507350180885546</v>
      </c>
      <c r="D103" s="25" t="n">
        <f aca="false">IF($O$4="sell",-1,1) * NORMDIST(I103,0,1,0)/(B103*$H$4*SQRT($J$4)) * $P$4</f>
        <v>0.040765675873205</v>
      </c>
      <c r="E103" s="25" t="n">
        <f aca="false">IF($O$4="sell",-1,1) * (B103*NORMDIST(I103,0,1,0)*SQRT($J$4)/365) * $P$4</f>
        <v>0.0111929716655328</v>
      </c>
      <c r="F103" s="25" t="n">
        <f aca="false">IF($O$4="sell",-1,1) * (-(B103*NORMDIST(I103,0,1,0)*$H$4)/(2*SQRT($J$4))/365) *$P$4</f>
        <v>-0.177400714941385</v>
      </c>
      <c r="G103" s="25" t="n">
        <f aca="false">IF($O$4="buy",1,-1)*( IF($K$4="call",B103*NORMDIST(I103,0,1,1) - $B$4*NORMDIST(J103,0,1,1),$B$4*NORMDIST(-J103,0,1,1) - B103*NORMDIST(-I103,0,1,1) ) - $G$4) * $P$4</f>
        <v>4.0221808515085</v>
      </c>
      <c r="I103" s="28" t="n">
        <f aca="false">(LN(B103/$B$4)+($H$4^2/2)*($J$4))/($H$4*SQRT($J$4))</f>
        <v>-0.0184252137029695</v>
      </c>
      <c r="J103" s="28" t="n">
        <f aca="false">I103 - $H$4*SQRT($J$4)</f>
        <v>-0.184265366069597</v>
      </c>
    </row>
    <row r="104" customFormat="false" ht="13.5" hidden="false" customHeight="true" outlineLevel="0" collapsed="false">
      <c r="B104" s="29" t="n">
        <f aca="false">B75</f>
        <v>58</v>
      </c>
      <c r="C104" s="25" t="n">
        <f aca="false">IF($O$4="sell",-1,1) *  IF($K$4="call",  NORMDIST(I104,0,1,1),  NORMDIST(I104,0,1,1)-1  ) * $P$4</f>
        <v>-0.548353674880525</v>
      </c>
      <c r="D104" s="25" t="n">
        <f aca="false">IF($O$4="sell",-1,1) * NORMDIST(I104,0,1,0)/(B104*$H$4*SQRT($J$4)) * $P$4</f>
        <v>0.0411705477219228</v>
      </c>
      <c r="E104" s="25" t="n">
        <f aca="false">IF($O$4="sell",-1,1) * (B104*NORMDIST(I104,0,1,0)*SQRT($J$4)/365) * $P$4</f>
        <v>0.0109241930398259</v>
      </c>
      <c r="F104" s="25" t="n">
        <f aca="false">IF($O$4="sell",-1,1) * (-(B104*NORMDIST(I104,0,1,0)*$H$4)/(2*SQRT($J$4))/365) *$P$4</f>
        <v>-0.17314076309069</v>
      </c>
      <c r="G104" s="25" t="n">
        <f aca="false">IF($O$4="buy",1,-1)*( IF($K$4="call",B104*NORMDIST(I104,0,1,1) - $B$4*NORMDIST(J104,0,1,1),$B$4*NORMDIST(-J104,0,1,1) - B104*NORMDIST(-I104,0,1,1) ) - $G$4) * $P$4</f>
        <v>4.54999899178207</v>
      </c>
      <c r="I104" s="28" t="n">
        <f aca="false">(LN(B104/$B$4)+($H$4^2/2)*($J$4))/($H$4*SQRT($J$4))</f>
        <v>-0.121502985372576</v>
      </c>
      <c r="J104" s="28" t="n">
        <f aca="false">I104 - $H$4*SQRT($J$4)</f>
        <v>-0.287343137739204</v>
      </c>
    </row>
    <row r="105" customFormat="false" ht="13.5" hidden="false" customHeight="true" outlineLevel="0" collapsed="false">
      <c r="B105" s="29" t="n">
        <f aca="false">B76</f>
        <v>57</v>
      </c>
      <c r="C105" s="25" t="n">
        <f aca="false">IF($O$4="sell",-1,1) *  IF($K$4="call",  NORMDIST(I105,0,1,1),  NORMDIST(I105,0,1,1)-1  ) * $P$4</f>
        <v>-0.589544532911845</v>
      </c>
      <c r="D105" s="25" t="n">
        <f aca="false">IF($O$4="sell",-1,1) * NORMDIST(I105,0,1,0)/(B105*$H$4*SQRT($J$4)) * $P$4</f>
        <v>0.0411355984308814</v>
      </c>
      <c r="E105" s="25" t="n">
        <f aca="false">IF($O$4="sell",-1,1) * (B105*NORMDIST(I105,0,1,0)*SQRT($J$4)/365) * $P$4</f>
        <v>0.0105417876825859</v>
      </c>
      <c r="F105" s="25" t="n">
        <f aca="false">IF($O$4="sell",-1,1) * (-(B105*NORMDIST(I105,0,1,0)*$H$4)/(2*SQRT($J$4))/365) *$P$4</f>
        <v>-0.167079907600392</v>
      </c>
      <c r="G105" s="25" t="n">
        <f aca="false">IF($O$4="buy",1,-1)*( IF($K$4="call",B105*NORMDIST(I105,0,1,1) - $B$4*NORMDIST(J105,0,1,1),$B$4*NORMDIST(-J105,0,1,1) - B105*NORMDIST(-I105,0,1,1) ) - $G$4) * $P$4</f>
        <v>5.1189509768711</v>
      </c>
      <c r="I105" s="28" t="n">
        <f aca="false">(LN(B105/$B$4)+($H$4^2/2)*($J$4))/($H$4*SQRT($J$4))</f>
        <v>-0.226373503541305</v>
      </c>
      <c r="J105" s="28" t="n">
        <f aca="false">I105 - $H$4*SQRT($J$4)</f>
        <v>-0.392213655907933</v>
      </c>
    </row>
    <row r="106" customFormat="false" ht="13.5" hidden="false" customHeight="true" outlineLevel="0" collapsed="false">
      <c r="B106" s="30"/>
      <c r="C106" s="22"/>
      <c r="D106" s="22"/>
      <c r="E106" s="22"/>
      <c r="F106" s="22"/>
      <c r="G106" s="22"/>
      <c r="I106" s="31"/>
      <c r="J106" s="31"/>
    </row>
    <row r="107" customFormat="false" ht="17.25" hidden="false" customHeight="true" outlineLevel="0" collapsed="false">
      <c r="B107" s="23"/>
      <c r="C107" s="19" t="s">
        <v>13</v>
      </c>
      <c r="D107" s="19" t="s">
        <v>14</v>
      </c>
      <c r="E107" s="19" t="s">
        <v>15</v>
      </c>
      <c r="F107" s="19" t="s">
        <v>16</v>
      </c>
      <c r="G107" s="19" t="s">
        <v>17</v>
      </c>
      <c r="I107" s="19" t="s">
        <v>158</v>
      </c>
      <c r="J107" s="19" t="s">
        <v>159</v>
      </c>
    </row>
    <row r="108" customFormat="false" ht="13.5" hidden="false" customHeight="true" outlineLevel="0" collapsed="false">
      <c r="A108" s="2" t="str">
        <f aca="false">A5</f>
        <v>SOL-1MAY26-70-P-USDT</v>
      </c>
      <c r="B108" s="29" t="n">
        <f aca="false">B79</f>
        <v>83</v>
      </c>
      <c r="C108" s="25" t="n">
        <f aca="false">IF($O$5="sell",-1,1) *  IF($K$5="call",  NORMDIST(I108,0,1,1),  NORMDIST(I108,0,1,1)-1  ) * $P$5</f>
        <v>-0.255660968416624</v>
      </c>
      <c r="D108" s="25" t="n">
        <f aca="false">IF($O$5="sell",-1,1) * NORMDIST(I108,0,1,0)/(B108*$H$5*SQRT($J$5)) * $P$5</f>
        <v>0.043189992701953</v>
      </c>
      <c r="E108" s="25" t="n">
        <f aca="false">IF($O$5="sell",-1,1) * (B108*NORMDIST(I108,0,1,0)*SQRT($J$5)/365) * $P$5</f>
        <v>0.0184643083043881</v>
      </c>
      <c r="F108" s="25" t="n">
        <f aca="false">IF($O$5="sell",-1,1) * (-(B108*NORMDIST(I108,0,1,0)*$H$5)/(2*SQRT($J$5))/365) *$P$5</f>
        <v>-0.230244888835274</v>
      </c>
      <c r="G108" s="25" t="n">
        <f aca="false">IF($O$5="buy",1,-1)*( IF($K$5="call",B108*NORMDIST(I108,0,1,1) - $B$5*NORMDIST(J108,0,1,1),$B$5*NORMDIST(-J108,0,1,1) - B108*NORMDIST(-I108,0,1,1) ) - $G$5) * $P$5</f>
        <v>-0.659538897620701</v>
      </c>
      <c r="I108" s="28" t="n">
        <f aca="false">(LN(B108/$B$5)+($H$5^2/2)*($J$5))/($H$5*SQRT($J$5))</f>
        <v>1.37078930582833</v>
      </c>
      <c r="J108" s="28" t="n">
        <f aca="false">I108 - $H$5*SQRT($J$5)</f>
        <v>1.24031148889254</v>
      </c>
    </row>
    <row r="109" customFormat="false" ht="13.5" hidden="false" customHeight="true" outlineLevel="0" collapsed="false">
      <c r="B109" s="29" t="n">
        <f aca="false">B80</f>
        <v>82</v>
      </c>
      <c r="C109" s="25" t="n">
        <f aca="false">IF($O$5="sell",-1,1) *  IF($K$5="call",  NORMDIST(I109,0,1,1),  NORMDIST(I109,0,1,1)-1  ) * $P$5</f>
        <v>-0.301932572773638</v>
      </c>
      <c r="D109" s="25" t="n">
        <f aca="false">IF($O$5="sell",-1,1) * NORMDIST(I109,0,1,0)/(B109*$H$5*SQRT($J$5)) * $P$5</f>
        <v>0.0494400596339757</v>
      </c>
      <c r="E109" s="25" t="n">
        <f aca="false">IF($O$5="sell",-1,1) * (B109*NORMDIST(I109,0,1,0)*SQRT($J$5)/365) * $P$5</f>
        <v>0.0206300565463596</v>
      </c>
      <c r="F109" s="25" t="n">
        <f aca="false">IF($O$5="sell",-1,1) * (-(B109*NORMDIST(I109,0,1,0)*$H$5)/(2*SQRT($J$5))/365) *$P$5</f>
        <v>-0.257251178754047</v>
      </c>
      <c r="G109" s="25" t="n">
        <f aca="false">IF($O$5="buy",1,-1)*( IF($K$5="call",B109*NORMDIST(I109,0,1,1) - $B$5*NORMDIST(J109,0,1,1),$B$5*NORMDIST(-J109,0,1,1) - B109*NORMDIST(-I109,0,1,1) ) - $G$5) * $P$5</f>
        <v>-0.38126300711901</v>
      </c>
      <c r="I109" s="28" t="n">
        <f aca="false">(LN(B109/$B$5)+($H$5^2/2)*($J$5))/($H$5*SQRT($J$5))</f>
        <v>1.27788952549011</v>
      </c>
      <c r="J109" s="28" t="n">
        <f aca="false">I109 - $H$5*SQRT($J$5)</f>
        <v>1.14741170855432</v>
      </c>
    </row>
    <row r="110" customFormat="false" ht="13.5" hidden="false" customHeight="true" outlineLevel="0" collapsed="false">
      <c r="B110" s="29" t="n">
        <f aca="false">B81</f>
        <v>81</v>
      </c>
      <c r="C110" s="25" t="n">
        <f aca="false">IF($O$5="sell",-1,1) *  IF($K$5="call",  NORMDIST(I110,0,1,1),  NORMDIST(I110,0,1,1)-1  ) * $P$5</f>
        <v>-0.354708762201267</v>
      </c>
      <c r="D110" s="25" t="n">
        <f aca="false">IF($O$5="sell",-1,1) * NORMDIST(I110,0,1,0)/(B110*$H$5*SQRT($J$5)) * $P$5</f>
        <v>0.056192410723145</v>
      </c>
      <c r="E110" s="25" t="n">
        <f aca="false">IF($O$5="sell",-1,1) * (B110*NORMDIST(I110,0,1,0)*SQRT($J$5)/365) * $P$5</f>
        <v>0.0228792313430959</v>
      </c>
      <c r="F110" s="25" t="n">
        <f aca="false">IF($O$5="sell",-1,1) * (-(B110*NORMDIST(I110,0,1,0)*$H$5)/(2*SQRT($J$5))/365) *$P$5</f>
        <v>-0.28529777505804</v>
      </c>
      <c r="G110" s="25" t="n">
        <f aca="false">IF($O$5="buy",1,-1)*( IF($K$5="call",B110*NORMDIST(I110,0,1,1) - $B$5*NORMDIST(J110,0,1,1),$B$5*NORMDIST(-J110,0,1,1) - B110*NORMDIST(-I110,0,1,1) ) - $G$5) * $P$5</f>
        <v>-0.0535051075391787</v>
      </c>
      <c r="I110" s="28" t="n">
        <f aca="false">(LN(B110/$B$5)+($H$5^2/2)*($J$5))/($H$5*SQRT($J$5))</f>
        <v>1.18384984211732</v>
      </c>
      <c r="J110" s="28" t="n">
        <f aca="false">I110 - $H$5*SQRT($J$5)</f>
        <v>1.05337202518153</v>
      </c>
    </row>
    <row r="111" customFormat="false" ht="13.5" hidden="false" customHeight="true" outlineLevel="0" collapsed="false">
      <c r="B111" s="29" t="n">
        <f aca="false">B82</f>
        <v>80</v>
      </c>
      <c r="C111" s="25" t="n">
        <f aca="false">IF($O$5="sell",-1,1) *  IF($K$5="call",  NORMDIST(I111,0,1,1),  NORMDIST(I111,0,1,1)-1  ) * $P$5</f>
        <v>-0.414467725508769</v>
      </c>
      <c r="D111" s="25" t="n">
        <f aca="false">IF($O$5="sell",-1,1) * NORMDIST(I111,0,1,0)/(B111*$H$5*SQRT($J$5)) * $P$5</f>
        <v>0.0633949256587249</v>
      </c>
      <c r="E111" s="25" t="n">
        <f aca="false">IF($O$5="sell",-1,1) * (B111*NORMDIST(I111,0,1,0)*SQRT($J$5)/365) * $P$5</f>
        <v>0.02517840404734</v>
      </c>
      <c r="F111" s="25" t="n">
        <f aca="false">IF($O$5="sell",-1,1) * (-(B111*NORMDIST(I111,0,1,0)*$H$5)/(2*SQRT($J$5))/365) *$P$5</f>
        <v>-0.313967831632862</v>
      </c>
      <c r="G111" s="25" t="n">
        <f aca="false">IF($O$5="buy",1,-1)*( IF($K$5="call",B111*NORMDIST(I111,0,1,1) - $B$5*NORMDIST(J111,0,1,1),$B$5*NORMDIST(-J111,0,1,1) - B111*NORMDIST(-I111,0,1,1) ) - $G$5) * $P$5</f>
        <v>0.330482820182098</v>
      </c>
      <c r="I111" s="28" t="n">
        <f aca="false">(LN(B111/$B$5)+($H$5^2/2)*($J$5))/($H$5*SQRT($J$5))</f>
        <v>1.08864193405835</v>
      </c>
      <c r="J111" s="28" t="n">
        <f aca="false">I111 - $H$5*SQRT($J$5)</f>
        <v>0.958164117122566</v>
      </c>
    </row>
    <row r="112" customFormat="false" ht="13.5" hidden="false" customHeight="true" outlineLevel="0" collapsed="false">
      <c r="B112" s="29" t="n">
        <f aca="false">B83</f>
        <v>79</v>
      </c>
      <c r="C112" s="25" t="n">
        <f aca="false">IF($O$5="sell",-1,1) *  IF($K$5="call",  NORMDIST(I112,0,1,1),  NORMDIST(I112,0,1,1)-1  ) * $P$5</f>
        <v>-0.481623322005088</v>
      </c>
      <c r="D112" s="25" t="n">
        <f aca="false">IF($O$5="sell",-1,1) * NORMDIST(I112,0,1,0)/(B112*$H$5*SQRT($J$5)) * $P$5</f>
        <v>0.0709706695166593</v>
      </c>
      <c r="E112" s="25" t="n">
        <f aca="false">IF($O$5="sell",-1,1) * (B112*NORMDIST(I112,0,1,0)*SQRT($J$5)/365) * $P$5</f>
        <v>0.0274869664600031</v>
      </c>
      <c r="F112" s="25" t="n">
        <f aca="false">IF($O$5="sell",-1,1) * (-(B112*NORMDIST(I112,0,1,0)*$H$5)/(2*SQRT($J$5))/365) *$P$5</f>
        <v>-0.342754975310841</v>
      </c>
      <c r="G112" s="25" t="n">
        <f aca="false">IF($O$5="buy",1,-1)*( IF($K$5="call",B112*NORMDIST(I112,0,1,1) - $B$5*NORMDIST(J112,0,1,1),$B$5*NORMDIST(-J112,0,1,1) - B112*NORMDIST(-I112,0,1,1) ) - $G$5) * $P$5</f>
        <v>0.777896888056713</v>
      </c>
      <c r="I112" s="28" t="n">
        <f aca="false">(LN(B112/$B$5)+($H$5^2/2)*($J$5))/($H$5*SQRT($J$5))</f>
        <v>0.992236410864701</v>
      </c>
      <c r="J112" s="28" t="n">
        <f aca="false">I112 - $H$5*SQRT($J$5)</f>
        <v>0.861758593928914</v>
      </c>
    </row>
    <row r="113" customFormat="false" ht="13.5" hidden="false" customHeight="true" outlineLevel="0" collapsed="false">
      <c r="B113" s="29" t="n">
        <f aca="false">B84</f>
        <v>78</v>
      </c>
      <c r="C113" s="25" t="n">
        <f aca="false">IF($O$5="sell",-1,1) *  IF($K$5="call",  NORMDIST(I113,0,1,1),  NORMDIST(I113,0,1,1)-1  ) * $P$5</f>
        <v>-0.556499214821419</v>
      </c>
      <c r="D113" s="25" t="n">
        <f aca="false">IF($O$5="sell",-1,1) * NORMDIST(I113,0,1,0)/(B113*$H$5*SQRT($J$5)) * $P$5</f>
        <v>0.0788159361277654</v>
      </c>
      <c r="E113" s="25" t="n">
        <f aca="false">IF($O$5="sell",-1,1) * (B113*NORMDIST(I113,0,1,0)*SQRT($J$5)/365) * $P$5</f>
        <v>0.0297575362461699</v>
      </c>
      <c r="F113" s="25" t="n">
        <f aca="false">IF($O$5="sell",-1,1) * (-(B113*NORMDIST(I113,0,1,0)*$H$5)/(2*SQRT($J$5))/365) *$P$5</f>
        <v>-0.371068361298036</v>
      </c>
      <c r="G113" s="25" t="n">
        <f aca="false">IF($O$5="buy",1,-1)*( IF($K$5="call",B113*NORMDIST(I113,0,1,1) - $B$5*NORMDIST(J113,0,1,1),$B$5*NORMDIST(-J113,0,1,1) - B113*NORMDIST(-I113,0,1,1) ) - $G$5) * $P$5</f>
        <v>1.29630420171091</v>
      </c>
      <c r="I113" s="28" t="n">
        <f aca="false">(LN(B113/$B$5)+($H$5^2/2)*($J$5))/($H$5*SQRT($J$5))</f>
        <v>0.89460275882637</v>
      </c>
      <c r="J113" s="28" t="n">
        <f aca="false">I113 - $H$5*SQRT($J$5)</f>
        <v>0.764124941890583</v>
      </c>
    </row>
    <row r="114" customFormat="false" ht="13.5" hidden="false" customHeight="true" outlineLevel="0" collapsed="false">
      <c r="B114" s="29" t="n">
        <f aca="false">B85</f>
        <v>77</v>
      </c>
      <c r="C114" s="25" t="n">
        <f aca="false">IF($O$5="sell",-1,1) *  IF($K$5="call",  NORMDIST(I114,0,1,1),  NORMDIST(I114,0,1,1)-1  ) * $P$5</f>
        <v>-0.639301544977997</v>
      </c>
      <c r="D114" s="25" t="n">
        <f aca="false">IF($O$5="sell",-1,1) * NORMDIST(I114,0,1,0)/(B114*$H$5*SQRT($J$5)) * $P$5</f>
        <v>0.0867993412981071</v>
      </c>
      <c r="E114" s="25" t="n">
        <f aca="false">IF($O$5="sell",-1,1) * (B114*NORMDIST(I114,0,1,0)*SQRT($J$5)/365) * $P$5</f>
        <v>0.0319368153580419</v>
      </c>
      <c r="F114" s="25" t="n">
        <f aca="false">IF($O$5="sell",-1,1) * (-(B114*NORMDIST(I114,0,1,0)*$H$5)/(2*SQRT($J$5))/365) *$P$5</f>
        <v>-0.39824337747423</v>
      </c>
      <c r="G114" s="25" t="n">
        <f aca="false">IF($O$5="buy",1,-1)*( IF($K$5="call",B114*NORMDIST(I114,0,1,1) - $B$5*NORMDIST(J114,0,1,1),$B$5*NORMDIST(-J114,0,1,1) - B114*NORMDIST(-I114,0,1,1) ) - $G$5) * $P$5</f>
        <v>1.89353907726661</v>
      </c>
      <c r="I114" s="28" t="n">
        <f aca="false">(LN(B114/$B$5)+($H$5^2/2)*($J$5))/($H$5*SQRT($J$5))</f>
        <v>0.795709282993171</v>
      </c>
      <c r="J114" s="28" t="n">
        <f aca="false">I114 - $H$5*SQRT($J$5)</f>
        <v>0.665231466057384</v>
      </c>
    </row>
    <row r="115" customFormat="false" ht="13.5" hidden="false" customHeight="true" outlineLevel="0" collapsed="false">
      <c r="B115" s="29" t="n">
        <f aca="false">B86</f>
        <v>76</v>
      </c>
      <c r="C115" s="25" t="n">
        <f aca="false">IF($O$5="sell",-1,1) *  IF($K$5="call",  NORMDIST(I115,0,1,1),  NORMDIST(I115,0,1,1)-1  ) * $P$5</f>
        <v>-0.730091361012</v>
      </c>
      <c r="D115" s="25" t="n">
        <f aca="false">IF($O$5="sell",-1,1) * NORMDIST(I115,0,1,0)/(B115*$H$5*SQRT($J$5)) * $P$5</f>
        <v>0.0947622944855789</v>
      </c>
      <c r="E115" s="25" t="n">
        <f aca="false">IF($O$5="sell",-1,1) * (B115*NORMDIST(I115,0,1,0)*SQRT($J$5)/365) * $P$5</f>
        <v>0.0339669443742143</v>
      </c>
      <c r="F115" s="25" t="n">
        <f aca="false">IF($O$5="sell",-1,1) * (-(B115*NORMDIST(I115,0,1,0)*$H$5)/(2*SQRT($J$5))/365) *$P$5</f>
        <v>-0.42355853263435</v>
      </c>
      <c r="G115" s="25" t="n">
        <f aca="false">IF($O$5="buy",1,-1)*( IF($K$5="call",B115*NORMDIST(I115,0,1,1) - $B$5*NORMDIST(J115,0,1,1),$B$5*NORMDIST(-J115,0,1,1) - B115*NORMDIST(-I115,0,1,1) ) - $G$5) * $P$5</f>
        <v>2.57757169516648</v>
      </c>
      <c r="I115" s="28" t="n">
        <f aca="false">(LN(B115/$B$5)+($H$5^2/2)*($J$5))/($H$5*SQRT($J$5))</f>
        <v>0.695523045406239</v>
      </c>
      <c r="J115" s="28" t="n">
        <f aca="false">I115 - $H$5*SQRT($J$5)</f>
        <v>0.565045228470452</v>
      </c>
    </row>
    <row r="116" customFormat="false" ht="13.5" hidden="false" customHeight="true" outlineLevel="0" collapsed="false">
      <c r="B116" s="29" t="n">
        <f aca="false">B87</f>
        <v>75</v>
      </c>
      <c r="C116" s="25" t="n">
        <f aca="false">IF($O$5="sell",-1,1) *  IF($K$5="call",  NORMDIST(I116,0,1,1),  NORMDIST(I116,0,1,1)-1  ) * $P$5</f>
        <v>-0.828758338295588</v>
      </c>
      <c r="D116" s="25" t="n">
        <f aca="false">IF($O$5="sell",-1,1) * NORMDIST(I116,0,1,0)/(B116*$H$5*SQRT($J$5)) * $P$5</f>
        <v>0.102521153402883</v>
      </c>
      <c r="E116" s="25" t="n">
        <f aca="false">IF($O$5="sell",-1,1) * (B116*NORMDIST(I116,0,1,0)*SQRT($J$5)/365) * $P$5</f>
        <v>0.0357873662547528</v>
      </c>
      <c r="F116" s="25" t="n">
        <f aca="false">IF($O$5="sell",-1,1) * (-(B116*NORMDIST(I116,0,1,0)*$H$5)/(2*SQRT($J$5))/365) *$P$5</f>
        <v>-0.446258697005971</v>
      </c>
      <c r="G116" s="25" t="n">
        <f aca="false">IF($O$5="buy",1,-1)*( IF($K$5="call",B116*NORMDIST(I116,0,1,1) - $B$5*NORMDIST(J116,0,1,1),$B$5*NORMDIST(-J116,0,1,1) - B116*NORMDIST(-I116,0,1,1) ) - $G$5) * $P$5</f>
        <v>3.35634968814452</v>
      </c>
      <c r="I116" s="28" t="n">
        <f aca="false">(LN(B116/$B$5)+($H$5^2/2)*($J$5))/($H$5*SQRT($J$5))</f>
        <v>0.594009799238586</v>
      </c>
      <c r="J116" s="28" t="n">
        <f aca="false">I116 - $H$5*SQRT($J$5)</f>
        <v>0.463531982302798</v>
      </c>
    </row>
    <row r="117" customFormat="false" ht="13.5" hidden="false" customHeight="true" outlineLevel="0" collapsed="false">
      <c r="B117" s="29" t="n">
        <f aca="false">B88</f>
        <v>74</v>
      </c>
      <c r="C117" s="25" t="n">
        <f aca="false">IF($O$5="sell",-1,1) *  IF($K$5="call",  NORMDIST(I117,0,1,1),  NORMDIST(I117,0,1,1)-1  ) * $P$5</f>
        <v>-0.934997599622171</v>
      </c>
      <c r="D117" s="25" t="n">
        <f aca="false">IF($O$5="sell",-1,1) * NORMDIST(I117,0,1,0)/(B117*$H$5*SQRT($J$5)) * $P$5</f>
        <v>0.109871305417775</v>
      </c>
      <c r="E117" s="25" t="n">
        <f aca="false">IF($O$5="sell",-1,1) * (B117*NORMDIST(I117,0,1,0)*SQRT($J$5)/365) * $P$5</f>
        <v>0.0373371746863116</v>
      </c>
      <c r="F117" s="25" t="n">
        <f aca="false">IF($O$5="sell",-1,1) * (-(B117*NORMDIST(I117,0,1,0)*$H$5)/(2*SQRT($J$5))/365) *$P$5</f>
        <v>-0.465584385472482</v>
      </c>
      <c r="G117" s="25" t="n">
        <f aca="false">IF($O$5="buy",1,-1)*( IF($K$5="call",B117*NORMDIST(I117,0,1,1) - $B$5*NORMDIST(J117,0,1,1),$B$5*NORMDIST(-J117,0,1,1) - B117*NORMDIST(-I117,0,1,1) ) - $G$5) * $P$5</f>
        <v>4.23761483844116</v>
      </c>
      <c r="I117" s="28" t="n">
        <f aca="false">(LN(B117/$B$5)+($H$5^2/2)*($J$5))/($H$5*SQRT($J$5))</f>
        <v>0.491133918515147</v>
      </c>
      <c r="J117" s="28" t="n">
        <f aca="false">I117 - $H$5*SQRT($J$5)</f>
        <v>0.36065610157936</v>
      </c>
    </row>
    <row r="118" customFormat="false" ht="13.5" hidden="false" customHeight="true" outlineLevel="0" collapsed="false">
      <c r="B118" s="29" t="n">
        <f aca="false">B89</f>
        <v>73</v>
      </c>
      <c r="C118" s="25" t="n">
        <f aca="false">IF($O$5="sell",-1,1) *  IF($K$5="call",  NORMDIST(I118,0,1,1),  NORMDIST(I118,0,1,1)-1  ) * $P$5</f>
        <v>-1.04829164517192</v>
      </c>
      <c r="D118" s="25" t="n">
        <f aca="false">IF($O$5="sell",-1,1) * NORMDIST(I118,0,1,0)/(B118*$H$5*SQRT($J$5)) * $P$5</f>
        <v>0.116593317863968</v>
      </c>
      <c r="E118" s="25" t="n">
        <f aca="false">IF($O$5="sell",-1,1) * (B118*NORMDIST(I118,0,1,0)*SQRT($J$5)/365) * $P$5</f>
        <v>0.0385578765908857</v>
      </c>
      <c r="F118" s="25" t="n">
        <f aca="false">IF($O$5="sell",-1,1) * (-(B118*NORMDIST(I118,0,1,0)*$H$5)/(2*SQRT($J$5))/365) *$P$5</f>
        <v>-0.480806205303819</v>
      </c>
      <c r="G118" s="25" t="n">
        <f aca="false">IF($O$5="buy",1,-1)*( IF($K$5="call",B118*NORMDIST(I118,0,1,1) - $B$5*NORMDIST(J118,0,1,1),$B$5*NORMDIST(-J118,0,1,1) - B118*NORMDIST(-I118,0,1,1) ) - $G$5) * $P$5</f>
        <v>5.22869897768482</v>
      </c>
      <c r="I118" s="28" t="n">
        <f aca="false">(LN(B118/$B$5)+($H$5^2/2)*($J$5))/($H$5*SQRT($J$5))</f>
        <v>0.38685832305148</v>
      </c>
      <c r="J118" s="28" t="n">
        <f aca="false">I118 - $H$5*SQRT($J$5)</f>
        <v>0.256380506115693</v>
      </c>
    </row>
    <row r="119" customFormat="false" ht="13.5" hidden="false" customHeight="true" outlineLevel="0" collapsed="false">
      <c r="B119" s="29" t="n">
        <f aca="false">B90</f>
        <v>72</v>
      </c>
      <c r="C119" s="25" t="n">
        <f aca="false">IF($O$5="sell",-1,1) *  IF($K$5="call",  NORMDIST(I119,0,1,1),  NORMDIST(I119,0,1,1)-1  ) * $P$5</f>
        <v>-1.16789947353244</v>
      </c>
      <c r="D119" s="25" t="n">
        <f aca="false">IF($O$5="sell",-1,1) * NORMDIST(I119,0,1,0)/(B119*$H$5*SQRT($J$5)) * $P$5</f>
        <v>0.122461155402162</v>
      </c>
      <c r="E119" s="25" t="n">
        <f aca="false">IF($O$5="sell",-1,1) * (B119*NORMDIST(I119,0,1,0)*SQRT($J$5)/365) * $P$5</f>
        <v>0.0393964485203281</v>
      </c>
      <c r="F119" s="25" t="n">
        <f aca="false">IF($O$5="sell",-1,1) * (-(B119*NORMDIST(I119,0,1,0)*$H$5)/(2*SQRT($J$5))/365) *$P$5</f>
        <v>-0.491262968562531</v>
      </c>
      <c r="G119" s="25" t="n">
        <f aca="false">IF($O$5="buy",1,-1)*( IF($K$5="call",B119*NORMDIST(I119,0,1,1) - $B$5*NORMDIST(J119,0,1,1),$B$5*NORMDIST(-J119,0,1,1) - B119*NORMDIST(-I119,0,1,1) ) - $G$5) * $P$5</f>
        <v>6.33630523975742</v>
      </c>
      <c r="I119" s="28" t="n">
        <f aca="false">(LN(B119/$B$5)+($H$5^2/2)*($J$5))/($H$5*SQRT($J$5))</f>
        <v>0.28114439821532</v>
      </c>
      <c r="J119" s="28" t="n">
        <f aca="false">I119 - $H$5*SQRT($J$5)</f>
        <v>0.150666581279533</v>
      </c>
    </row>
    <row r="120" customFormat="false" ht="13.5" hidden="false" customHeight="true" outlineLevel="0" collapsed="false">
      <c r="B120" s="29" t="n">
        <f aca="false">B91</f>
        <v>71</v>
      </c>
      <c r="C120" s="25" t="n">
        <f aca="false">IF($O$5="sell",-1,1) *  IF($K$5="call",  NORMDIST(I120,0,1,1),  NORMDIST(I120,0,1,1)-1  ) * $P$5</f>
        <v>-1.29285488536228</v>
      </c>
      <c r="D120" s="25" t="n">
        <f aca="false">IF($O$5="sell",-1,1) * NORMDIST(I120,0,1,0)/(B120*$H$5*SQRT($J$5)) * $P$5</f>
        <v>0.1272522804006</v>
      </c>
      <c r="E120" s="25" t="n">
        <f aca="false">IF($O$5="sell",-1,1) * (B120*NORMDIST(I120,0,1,0)*SQRT($J$5)/365) * $P$5</f>
        <v>0.039808516992239</v>
      </c>
      <c r="F120" s="25" t="n">
        <f aca="false">IF($O$5="sell",-1,1) * (-(B120*NORMDIST(I120,0,1,0)*$H$5)/(2*SQRT($J$5))/365) *$P$5</f>
        <v>-0.49640135002495</v>
      </c>
      <c r="G120" s="25" t="n">
        <f aca="false">IF($O$5="buy",1,-1)*( IF($K$5="call",B120*NORMDIST(I120,0,1,1) - $B$5*NORMDIST(J120,0,1,1),$B$5*NORMDIST(-J120,0,1,1) - B120*NORMDIST(-I120,0,1,1) ) - $G$5) * $P$5</f>
        <v>7.56628286878964</v>
      </c>
      <c r="I120" s="28" t="n">
        <f aca="false">(LN(B120/$B$5)+($H$5^2/2)*($J$5))/($H$5*SQRT($J$5))</f>
        <v>0.17395190907655</v>
      </c>
      <c r="J120" s="28" t="n">
        <f aca="false">I120 - $H$5*SQRT($J$5)</f>
        <v>0.0434740921407629</v>
      </c>
    </row>
    <row r="121" customFormat="false" ht="13.5" hidden="false" customHeight="true" outlineLevel="0" collapsed="false">
      <c r="B121" s="29" t="n">
        <f aca="false">B92</f>
        <v>70</v>
      </c>
      <c r="C121" s="25" t="n">
        <f aca="false">IF($O$5="sell",-1,1) *  IF($K$5="call",  NORMDIST(I121,0,1,1),  NORMDIST(I121,0,1,1)-1  ) * $P$5</f>
        <v>-1.42197567392949</v>
      </c>
      <c r="D121" s="25" t="n">
        <f aca="false">IF($O$5="sell",-1,1) * NORMDIST(I121,0,1,0)/(B121*$H$5*SQRT($J$5)) * $P$5</f>
        <v>0.13075924222002</v>
      </c>
      <c r="E121" s="25" t="n">
        <f aca="false">IF($O$5="sell",-1,1) * (B121*NORMDIST(I121,0,1,0)*SQRT($J$5)/365) * $P$5</f>
        <v>0.0397614490057674</v>
      </c>
      <c r="F121" s="25" t="n">
        <f aca="false">IF($O$5="sell",-1,1) * (-(B121*NORMDIST(I121,0,1,0)*$H$5)/(2*SQRT($J$5))/365) *$P$5</f>
        <v>-0.495814425070372</v>
      </c>
      <c r="G121" s="25" t="n">
        <f aca="false">IF($O$5="buy",1,-1)*( IF($K$5="call",B121*NORMDIST(I121,0,1,1) - $B$5*NORMDIST(J121,0,1,1),$B$5*NORMDIST(-J121,0,1,1) - B121*NORMDIST(-I121,0,1,1) ) - $G$5) * $P$5</f>
        <v>8.92340564987151</v>
      </c>
      <c r="I121" s="28" t="n">
        <f aca="false">(LN(B121/$B$5)+($H$5^2/2)*($J$5))/($H$5*SQRT($J$5))</f>
        <v>0.0652389084678935</v>
      </c>
      <c r="J121" s="28" t="n">
        <f aca="false">I121 - $H$5*SQRT($J$5)</f>
        <v>-0.0652389084678935</v>
      </c>
    </row>
    <row r="122" customFormat="false" ht="13.5" hidden="false" customHeight="true" outlineLevel="0" collapsed="false">
      <c r="B122" s="29" t="n">
        <f aca="false">B93</f>
        <v>69</v>
      </c>
      <c r="C122" s="25" t="n">
        <f aca="false">IF($O$5="sell",-1,1) *  IF($K$5="call",  NORMDIST(I122,0,1,1),  NORMDIST(I122,0,1,1)-1  ) * $P$5</f>
        <v>-1.55388490222017</v>
      </c>
      <c r="D122" s="25" t="n">
        <f aca="false">IF($O$5="sell",-1,1) * NORMDIST(I122,0,1,0)/(B122*$H$5*SQRT($J$5)) * $P$5</f>
        <v>0.132802140439103</v>
      </c>
      <c r="E122" s="25" t="n">
        <f aca="false">IF($O$5="sell",-1,1) * (B122*NORMDIST(I122,0,1,0)*SQRT($J$5)/365) * $P$5</f>
        <v>0.0392371074658458</v>
      </c>
      <c r="F122" s="25" t="n">
        <f aca="false">IF($O$5="sell",-1,1) * (-(B122*NORMDIST(I122,0,1,0)*$H$5)/(2*SQRT($J$5))/365) *$P$5</f>
        <v>-0.489276029069788</v>
      </c>
      <c r="G122" s="25" t="n">
        <f aca="false">IF($O$5="buy",1,-1)*( IF($K$5="call",B122*NORMDIST(I122,0,1,1) - $B$5*NORMDIST(J122,0,1,1),$B$5*NORMDIST(-J122,0,1,1) - B122*NORMDIST(-I122,0,1,1) ) - $G$5) * $P$5</f>
        <v>10.4111655004649</v>
      </c>
      <c r="I122" s="28" t="n">
        <f aca="false">(LN(B122/$B$5)+($H$5^2/2)*($J$5))/($H$5*SQRT($J$5))</f>
        <v>-0.0450383615693633</v>
      </c>
      <c r="J122" s="28" t="n">
        <f aca="false">I122 - $H$5*SQRT($J$5)</f>
        <v>-0.17551617850515</v>
      </c>
    </row>
    <row r="123" customFormat="false" ht="13.5" hidden="false" customHeight="true" outlineLevel="0" collapsed="false">
      <c r="B123" s="29" t="n">
        <f aca="false">B94</f>
        <v>68</v>
      </c>
      <c r="C123" s="25" t="n">
        <f aca="false">IF($O$5="sell",-1,1) *  IF($K$5="call",  NORMDIST(I123,0,1,1),  NORMDIST(I123,0,1,1)-1  ) * $P$5</f>
        <v>-1.68704474518073</v>
      </c>
      <c r="D123" s="25" t="n">
        <f aca="false">IF($O$5="sell",-1,1) * NORMDIST(I123,0,1,0)/(B123*$H$5*SQRT($J$5)) * $P$5</f>
        <v>0.133241139160304</v>
      </c>
      <c r="E123" s="25" t="n">
        <f aca="false">IF($O$5="sell",-1,1) * (B123*NORMDIST(I123,0,1,0)*SQRT($J$5)/365) * $P$5</f>
        <v>0.0382340135888225</v>
      </c>
      <c r="F123" s="25" t="n">
        <f aca="false">IF($O$5="sell",-1,1) * (-(B123*NORMDIST(I123,0,1,0)*$H$5)/(2*SQRT($J$5))/365) *$P$5</f>
        <v>-0.476767721994365</v>
      </c>
      <c r="G123" s="25" t="n">
        <f aca="false">IF($O$5="buy",1,-1)*( IF($K$5="call",B123*NORMDIST(I123,0,1,1) - $B$5*NORMDIST(J123,0,1,1),$B$5*NORMDIST(-J123,0,1,1) - B123*NORMDIST(-I123,0,1,1) ) - $G$5) * $P$5</f>
        <v>12.0315936169997</v>
      </c>
      <c r="I123" s="28" t="n">
        <f aca="false">(LN(B123/$B$5)+($H$5^2/2)*($J$5))/($H$5*SQRT($J$5))</f>
        <v>-0.15692557553415</v>
      </c>
      <c r="J123" s="28" t="n">
        <f aca="false">I123 - $H$5*SQRT($J$5)</f>
        <v>-0.287403392469938</v>
      </c>
    </row>
    <row r="124" customFormat="false" ht="13.5" hidden="false" customHeight="true" outlineLevel="0" collapsed="false">
      <c r="B124" s="29" t="n">
        <f aca="false">B95</f>
        <v>67</v>
      </c>
      <c r="C124" s="25" t="n">
        <f aca="false">IF($O$5="sell",-1,1) *  IF($K$5="call",  NORMDIST(I124,0,1,1),  NORMDIST(I124,0,1,1)-1  ) * $P$5</f>
        <v>-1.81980246495281</v>
      </c>
      <c r="D124" s="25" t="n">
        <f aca="false">IF($O$5="sell",-1,1) * NORMDIST(I124,0,1,0)/(B124*$H$5*SQRT($J$5)) * $P$5</f>
        <v>0.131988043370928</v>
      </c>
      <c r="E124" s="25" t="n">
        <f aca="false">IF($O$5="sell",-1,1) * (B124*NORMDIST(I124,0,1,0)*SQRT($J$5)/365) * $P$5</f>
        <v>0.0367686702597828</v>
      </c>
      <c r="F124" s="25" t="n">
        <f aca="false">IF($O$5="sell",-1,1) * (-(B124*NORMDIST(I124,0,1,0)*$H$5)/(2*SQRT($J$5))/365) *$P$5</f>
        <v>-0.45849529032033</v>
      </c>
      <c r="G124" s="25" t="n">
        <f aca="false">IF($O$5="buy",1,-1)*( IF($K$5="call",B124*NORMDIST(I124,0,1,1) - $B$5*NORMDIST(J124,0,1,1),$B$5*NORMDIST(-J124,0,1,1) - B124*NORMDIST(-I124,0,1,1) ) - $G$5) * $P$5</f>
        <v>13.7851216082355</v>
      </c>
      <c r="I124" s="28" t="n">
        <f aca="false">(LN(B124/$B$5)+($H$5^2/2)*($J$5))/($H$5*SQRT($J$5))</f>
        <v>-0.270470438048455</v>
      </c>
      <c r="J124" s="28" t="n">
        <f aca="false">I124 - $H$5*SQRT($J$5)</f>
        <v>-0.400948254984242</v>
      </c>
    </row>
    <row r="125" customFormat="false" ht="13.5" hidden="false" customHeight="true" outlineLevel="0" collapsed="false">
      <c r="B125" s="29" t="n">
        <f aca="false">B96</f>
        <v>66</v>
      </c>
      <c r="C125" s="25" t="n">
        <f aca="false">IF($O$5="sell",-1,1) *  IF($K$5="call",  NORMDIST(I125,0,1,1),  NORMDIST(I125,0,1,1)-1  ) * $P$5</f>
        <v>-1.95044704386699</v>
      </c>
      <c r="D125" s="25" t="n">
        <f aca="false">IF($O$5="sell",-1,1) * NORMDIST(I125,0,1,0)/(B125*$H$5*SQRT($J$5)) * $P$5</f>
        <v>0.129015854863381</v>
      </c>
      <c r="E125" s="25" t="n">
        <f aca="false">IF($O$5="sell",-1,1) * (B125*NORMDIST(I125,0,1,0)*SQRT($J$5)/365) * $P$5</f>
        <v>0.0348758405265374</v>
      </c>
      <c r="F125" s="25" t="n">
        <f aca="false">IF($O$5="sell",-1,1) * (-(B125*NORMDIST(I125,0,1,0)*$H$5)/(2*SQRT($J$5))/365) *$P$5</f>
        <v>-0.434892219773051</v>
      </c>
      <c r="G125" s="25" t="n">
        <f aca="false">IF($O$5="buy",1,-1)*( IF($K$5="call",B125*NORMDIST(I125,0,1,1) - $B$5*NORMDIST(J125,0,1,1),$B$5*NORMDIST(-J125,0,1,1) - B125*NORMDIST(-I125,0,1,1) ) - $G$5) * $P$5</f>
        <v>15.670494101117</v>
      </c>
      <c r="I125" s="28" t="n">
        <f aca="false">(LN(B125/$B$5)+($H$5^2/2)*($J$5))/($H$5*SQRT($J$5))</f>
        <v>-0.385722805981169</v>
      </c>
      <c r="J125" s="28" t="n">
        <f aca="false">I125 - $H$5*SQRT($J$5)</f>
        <v>-0.516200622916956</v>
      </c>
    </row>
    <row r="126" customFormat="false" ht="13.5" hidden="false" customHeight="true" outlineLevel="0" collapsed="false">
      <c r="B126" s="29" t="n">
        <f aca="false">B97</f>
        <v>65</v>
      </c>
      <c r="C126" s="25" t="n">
        <f aca="false">IF($O$5="sell",-1,1) *  IF($K$5="call",  NORMDIST(I126,0,1,1),  NORMDIST(I126,0,1,1)-1  ) * $P$5</f>
        <v>-2.07727391201952</v>
      </c>
      <c r="D126" s="25" t="n">
        <f aca="false">IF($O$5="sell",-1,1) * NORMDIST(I126,0,1,0)/(B126*$H$5*SQRT($J$5)) * $P$5</f>
        <v>0.124365233381203</v>
      </c>
      <c r="E126" s="25" t="n">
        <f aca="false">IF($O$5="sell",-1,1) * (B126*NORMDIST(I126,0,1,0)*SQRT($J$5)/365) * $P$5</f>
        <v>0.0326076446973</v>
      </c>
      <c r="F126" s="25" t="n">
        <f aca="false">IF($O$5="sell",-1,1) * (-(B126*NORMDIST(I126,0,1,0)*$H$5)/(2*SQRT($J$5))/365) *$P$5</f>
        <v>-0.406608436381322</v>
      </c>
      <c r="G126" s="25" t="n">
        <f aca="false">IF($O$5="buy",1,-1)*( IF($K$5="call",B126*NORMDIST(I126,0,1,1) - $B$5*NORMDIST(J126,0,1,1),$B$5*NORMDIST(-J126,0,1,1) - B126*NORMDIST(-I126,0,1,1) ) - $G$5) * $P$5</f>
        <v>17.6847422849923</v>
      </c>
      <c r="I126" s="28" t="n">
        <f aca="false">(LN(B126/$B$5)+($H$5^2/2)*($J$5))/($H$5*SQRT($J$5))</f>
        <v>-0.502734819895397</v>
      </c>
      <c r="J126" s="28" t="n">
        <f aca="false">I126 - $H$5*SQRT($J$5)</f>
        <v>-0.633212636831184</v>
      </c>
    </row>
    <row r="127" customFormat="false" ht="13.5" hidden="false" customHeight="true" outlineLevel="0" collapsed="false">
      <c r="B127" s="29" t="n">
        <f aca="false">B98</f>
        <v>64</v>
      </c>
      <c r="C127" s="25" t="n">
        <f aca="false">IF($O$5="sell",-1,1) *  IF($K$5="call",  NORMDIST(I127,0,1,1),  NORMDIST(I127,0,1,1)-1  ) * $P$5</f>
        <v>-2.19865418679019</v>
      </c>
      <c r="D127" s="25" t="n">
        <f aca="false">IF($O$5="sell",-1,1) * NORMDIST(I127,0,1,0)/(B127*$H$5*SQRT($J$5)) * $P$5</f>
        <v>0.118146920168599</v>
      </c>
      <c r="E127" s="25" t="n">
        <f aca="false">IF($O$5="sell",-1,1) * (B127*NORMDIST(I127,0,1,0)*SQRT($J$5)/365) * $P$5</f>
        <v>0.0300314347198609</v>
      </c>
      <c r="F127" s="25" t="n">
        <f aca="false">IF($O$5="sell",-1,1) * (-(B127*NORMDIST(I127,0,1,0)*$H$5)/(2*SQRT($J$5))/365) *$P$5</f>
        <v>-0.374483800565378</v>
      </c>
      <c r="G127" s="25" t="n">
        <f aca="false">IF($O$5="buy",1,-1)*( IF($K$5="call",B127*NORMDIST(I127,0,1,1) - $B$5*NORMDIST(J127,0,1,1),$B$5*NORMDIST(-J127,0,1,1) - B127*NORMDIST(-I127,0,1,1) ) - $G$5) * $P$5</f>
        <v>19.8232247762132</v>
      </c>
      <c r="I127" s="28" t="n">
        <f aca="false">(LN(B127/$B$5)+($H$5^2/2)*($J$5))/($H$5*SQRT($J$5))</f>
        <v>-0.621561045686678</v>
      </c>
      <c r="J127" s="28" t="n">
        <f aca="false">I127 - $H$5*SQRT($J$5)</f>
        <v>-0.752038862622465</v>
      </c>
    </row>
    <row r="128" customFormat="false" ht="13.5" hidden="false" customHeight="true" outlineLevel="0" collapsed="false">
      <c r="B128" s="29" t="n">
        <f aca="false">B99</f>
        <v>63</v>
      </c>
      <c r="C128" s="25" t="n">
        <f aca="false">IF($O$5="sell",-1,1) *  IF($K$5="call",  NORMDIST(I128,0,1,1),  NORMDIST(I128,0,1,1)-1  ) * $P$5</f>
        <v>-2.31310401978414</v>
      </c>
      <c r="D128" s="25" t="n">
        <f aca="false">IF($O$5="sell",-1,1) * NORMDIST(I128,0,1,0)/(B128*$H$5*SQRT($J$5)) * $P$5</f>
        <v>0.110539444927812</v>
      </c>
      <c r="E128" s="25" t="n">
        <f aca="false">IF($O$5="sell",-1,1) * (B128*NORMDIST(I128,0,1,0)*SQRT($J$5)/365) * $P$5</f>
        <v>0.027226518192376</v>
      </c>
      <c r="F128" s="25" t="n">
        <f aca="false">IF($O$5="sell",-1,1) * (-(B128*NORMDIST(I128,0,1,0)*$H$5)/(2*SQRT($J$5))/365) *$P$5</f>
        <v>-0.339507256444876</v>
      </c>
      <c r="G128" s="25" t="n">
        <f aca="false">IF($O$5="buy",1,-1)*( IF($K$5="call",B128*NORMDIST(I128,0,1,1) - $B$5*NORMDIST(J128,0,1,1),$B$5*NORMDIST(-J128,0,1,1) - B128*NORMDIST(-I128,0,1,1) ) - $G$5) * $P$5</f>
        <v>22.0797381695576</v>
      </c>
      <c r="I128" s="28" t="n">
        <f aca="false">(LN(B128/$B$5)+($H$5^2/2)*($J$5))/($H$5*SQRT($J$5))</f>
        <v>-0.742258627375138</v>
      </c>
      <c r="J128" s="28" t="n">
        <f aca="false">I128 - $H$5*SQRT($J$5)</f>
        <v>-0.872736444310926</v>
      </c>
    </row>
    <row r="129" customFormat="false" ht="13.5" hidden="false" customHeight="true" outlineLevel="0" collapsed="false">
      <c r="B129" s="29" t="n">
        <f aca="false">B100</f>
        <v>62</v>
      </c>
      <c r="C129" s="25" t="n">
        <f aca="false">IF($O$5="sell",-1,1) *  IF($K$5="call",  NORMDIST(I129,0,1,1),  NORMDIST(I129,0,1,1)-1  ) * $P$5</f>
        <v>-2.41934915202342</v>
      </c>
      <c r="D129" s="25" t="n">
        <f aca="false">IF($O$5="sell",-1,1) * NORMDIST(I129,0,1,0)/(B129*$H$5*SQRT($J$5)) * $P$5</f>
        <v>0.1017818246931</v>
      </c>
      <c r="E129" s="25" t="n">
        <f aca="false">IF($O$5="sell",-1,1) * (B129*NORMDIST(I129,0,1,0)*SQRT($J$5)/365) * $P$5</f>
        <v>0.0242799248997772</v>
      </c>
      <c r="F129" s="25" t="n">
        <f aca="false">IF($O$5="sell",-1,1) * (-(B129*NORMDIST(I129,0,1,0)*$H$5)/(2*SQRT($J$5))/365) *$P$5</f>
        <v>-0.302764041702521</v>
      </c>
      <c r="G129" s="25" t="n">
        <f aca="false">IF($O$5="buy",1,-1)*( IF($K$5="call",B129*NORMDIST(I129,0,1,1) - $B$5*NORMDIST(J129,0,1,1),$B$5*NORMDIST(-J129,0,1,1) - B129*NORMDIST(-I129,0,1,1) ) - $G$5) * $P$5</f>
        <v>24.4466949587349</v>
      </c>
      <c r="I129" s="28" t="n">
        <f aca="false">(LN(B129/$B$5)+($H$5^2/2)*($J$5))/($H$5*SQRT($J$5))</f>
        <v>-0.864887452122532</v>
      </c>
      <c r="J129" s="28" t="n">
        <f aca="false">I129 - $H$5*SQRT($J$5)</f>
        <v>-0.99536526905832</v>
      </c>
    </row>
    <row r="130" customFormat="false" ht="13.5" hidden="false" customHeight="true" outlineLevel="0" collapsed="false">
      <c r="B130" s="29" t="n">
        <f aca="false">B101</f>
        <v>61</v>
      </c>
      <c r="C130" s="25" t="n">
        <f aca="false">IF($O$5="sell",-1,1) *  IF($K$5="call",  NORMDIST(I130,0,1,1),  NORMDIST(I130,0,1,1)-1  ) * $P$5</f>
        <v>-2.51637972160094</v>
      </c>
      <c r="D130" s="25" t="n">
        <f aca="false">IF($O$5="sell",-1,1) * NORMDIST(I130,0,1,0)/(B130*$H$5*SQRT($J$5)) * $P$5</f>
        <v>0.092161445070013</v>
      </c>
      <c r="E130" s="25" t="n">
        <f aca="false">IF($O$5="sell",-1,1) * (B130*NORMDIST(I130,0,1,0)*SQRT($J$5)/365) * $P$5</f>
        <v>0.0212815214658929</v>
      </c>
      <c r="F130" s="25" t="n">
        <f aca="false">IF($O$5="sell",-1,1) * (-(B130*NORMDIST(I130,0,1,0)*$H$5)/(2*SQRT($J$5))/365) *$P$5</f>
        <v>-0.265374768628376</v>
      </c>
      <c r="G130" s="25" t="n">
        <f aca="false">IF($O$5="buy",1,-1)*( IF($K$5="call",B130*NORMDIST(I130,0,1,1) - $B$5*NORMDIST(J130,0,1,1),$B$5*NORMDIST(-J130,0,1,1) - B130*NORMDIST(-I130,0,1,1) ) - $G$5) * $P$5</f>
        <v>26.9153615405254</v>
      </c>
      <c r="I130" s="28" t="n">
        <f aca="false">(LN(B130/$B$5)+($H$5^2/2)*($J$5))/($H$5*SQRT($J$5))</f>
        <v>-0.989510328667</v>
      </c>
      <c r="J130" s="28" t="n">
        <f aca="false">I130 - $H$5*SQRT($J$5)</f>
        <v>-1.11998814560279</v>
      </c>
    </row>
    <row r="131" customFormat="false" ht="13.5" hidden="false" customHeight="true" outlineLevel="0" collapsed="false">
      <c r="B131" s="29" t="n">
        <f aca="false">B102</f>
        <v>60</v>
      </c>
      <c r="C131" s="25" t="n">
        <f aca="false">IF($O$5="sell",-1,1) *  IF($K$5="call",  NORMDIST(I131,0,1,1),  NORMDIST(I131,0,1,1)-1  ) * $P$5</f>
        <v>-2.60349082058741</v>
      </c>
      <c r="D131" s="25" t="n">
        <f aca="false">IF($O$5="sell",-1,1) * NORMDIST(I131,0,1,0)/(B131*$H$5*SQRT($J$5)) * $P$5</f>
        <v>0.0819978408609705</v>
      </c>
      <c r="E131" s="25" t="n">
        <f aca="false">IF($O$5="sell",-1,1) * (B131*NORMDIST(I131,0,1,0)*SQRT($J$5)/365) * $P$5</f>
        <v>0.0183188685064198</v>
      </c>
      <c r="F131" s="25" t="n">
        <f aca="false">IF($O$5="sell",-1,1) * (-(B131*NORMDIST(I131,0,1,0)*$H$5)/(2*SQRT($J$5))/365) *$P$5</f>
        <v>-0.228431294220008</v>
      </c>
      <c r="G131" s="25" t="n">
        <f aca="false">IF($O$5="buy",1,-1)*( IF($K$5="call",B131*NORMDIST(I131,0,1,1) - $B$5*NORMDIST(J131,0,1,1),$B$5*NORMDIST(-J131,0,1,1) - B131*NORMDIST(-I131,0,1,1) ) - $G$5) * $P$5</f>
        <v>29.4761442436311</v>
      </c>
      <c r="I131" s="28" t="n">
        <f aca="false">(LN(B131/$B$5)+($H$5^2/2)*($J$5))/($H$5*SQRT($J$5))</f>
        <v>-1.11619318050645</v>
      </c>
      <c r="J131" s="28" t="n">
        <f aca="false">I131 - $H$5*SQRT($J$5)</f>
        <v>-1.24667099744223</v>
      </c>
    </row>
    <row r="132" customFormat="false" ht="13.5" hidden="false" customHeight="true" outlineLevel="0" collapsed="false">
      <c r="B132" s="29" t="n">
        <f aca="false">B103</f>
        <v>59</v>
      </c>
      <c r="C132" s="25" t="n">
        <f aca="false">IF($O$5="sell",-1,1) *  IF($K$5="call",  NORMDIST(I132,0,1,1),  NORMDIST(I132,0,1,1)-1  ) * $P$5</f>
        <v>-2.68030527229263</v>
      </c>
      <c r="D132" s="25" t="n">
        <f aca="false">IF($O$5="sell",-1,1) * NORMDIST(I132,0,1,0)/(B132*$H$5*SQRT($J$5)) * $P$5</f>
        <v>0.071623597915321</v>
      </c>
      <c r="E132" s="25" t="n">
        <f aca="false">IF($O$5="sell",-1,1) * (B132*NORMDIST(I132,0,1,0)*SQRT($J$5)/365) * $P$5</f>
        <v>0.0154722646164917</v>
      </c>
      <c r="F132" s="25" t="n">
        <f aca="false">IF($O$5="sell",-1,1) * (-(B132*NORMDIST(I132,0,1,0)*$H$5)/(2*SQRT($J$5))/365) *$P$5</f>
        <v>-0.19293492005912</v>
      </c>
      <c r="G132" s="25" t="n">
        <f aca="false">IF($O$5="buy",1,-1)*( IF($K$5="call",B132*NORMDIST(I132,0,1,1) - $B$5*NORMDIST(J132,0,1,1),$B$5*NORMDIST(-J132,0,1,1) - B132*NORMDIST(-I132,0,1,1) ) - $G$5) * $P$5</f>
        <v>32.1189072650857</v>
      </c>
      <c r="I132" s="28" t="n">
        <f aca="false">(LN(B132/$B$5)+($H$5^2/2)*($J$5))/($H$5*SQRT($J$5))</f>
        <v>-1.245005255318</v>
      </c>
      <c r="J132" s="28" t="n">
        <f aca="false">I132 - $H$5*SQRT($J$5)</f>
        <v>-1.37548307225379</v>
      </c>
    </row>
    <row r="133" customFormat="false" ht="13.5" hidden="false" customHeight="true" outlineLevel="0" collapsed="false">
      <c r="B133" s="29" t="n">
        <f aca="false">B104</f>
        <v>58</v>
      </c>
      <c r="C133" s="25" t="n">
        <f aca="false">IF($O$5="sell",-1,1) *  IF($K$5="call",  NORMDIST(I133,0,1,1),  NORMDIST(I133,0,1,1)-1  ) * $P$5</f>
        <v>-2.74677653713052</v>
      </c>
      <c r="D133" s="25" t="n">
        <f aca="false">IF($O$5="sell",-1,1) * NORMDIST(I133,0,1,0)/(B133*$H$5*SQRT($J$5)) * $P$5</f>
        <v>0.0613640063099495</v>
      </c>
      <c r="E133" s="25" t="n">
        <f aca="false">IF($O$5="sell",-1,1) * (B133*NORMDIST(I133,0,1,0)*SQRT($J$5)/365) * $P$5</f>
        <v>0.0128104215351715</v>
      </c>
      <c r="F133" s="25" t="n">
        <f aca="false">IF($O$5="sell",-1,1) * (-(B133*NORMDIST(I133,0,1,0)*$H$5)/(2*SQRT($J$5))/365) *$P$5</f>
        <v>-0.15974246279226</v>
      </c>
      <c r="G133" s="25" t="n">
        <f aca="false">IF($O$5="buy",1,-1)*( IF($K$5="call",B133*NORMDIST(I133,0,1,1) - $B$5*NORMDIST(J133,0,1,1),$B$5*NORMDIST(-J133,0,1,1) - B133*NORMDIST(-I133,0,1,1) ) - $G$5) * $P$5</f>
        <v>34.833303552626</v>
      </c>
      <c r="I133" s="28" t="n">
        <f aca="false">(LN(B133/$B$5)+($H$5^2/2)*($J$5))/($H$5*SQRT($J$5))</f>
        <v>-1.37601935227912</v>
      </c>
      <c r="J133" s="28" t="n">
        <f aca="false">I133 - $H$5*SQRT($J$5)</f>
        <v>-1.50649716921491</v>
      </c>
    </row>
    <row r="134" customFormat="false" ht="13.5" hidden="false" customHeight="true" outlineLevel="0" collapsed="false">
      <c r="B134" s="29" t="n">
        <f aca="false">B105</f>
        <v>57</v>
      </c>
      <c r="C134" s="25" t="n">
        <f aca="false">IF($O$5="sell",-1,1) *  IF($K$5="call",  NORMDIST(I134,0,1,1),  NORMDIST(I134,0,1,1)-1  ) * $P$5</f>
        <v>-2.80317142220978</v>
      </c>
      <c r="D134" s="25" t="n">
        <f aca="false">IF($O$5="sell",-1,1) * NORMDIST(I134,0,1,0)/(B134*$H$5*SQRT($J$5)) * $P$5</f>
        <v>0.0515173352276217</v>
      </c>
      <c r="E134" s="25" t="n">
        <f aca="false">IF($O$5="sell",-1,1) * (B134*NORMDIST(I134,0,1,0)*SQRT($J$5)/365) * $P$5</f>
        <v>0.0103871601999993</v>
      </c>
      <c r="F134" s="25" t="n">
        <f aca="false">IF($O$5="sell",-1,1) * (-(B134*NORMDIST(I134,0,1,0)*$H$5)/(2*SQRT($J$5))/365) *$P$5</f>
        <v>-0.129525054832118</v>
      </c>
      <c r="G134" s="25" t="n">
        <f aca="false">IF($O$5="buy",1,-1)*( IF($K$5="call",B134*NORMDIST(I134,0,1,1) - $B$5*NORMDIST(J134,0,1,1),$B$5*NORMDIST(-J134,0,1,1) - B134*NORMDIST(-I134,0,1,1) ) - $G$5) * $P$5</f>
        <v>37.6090984430115</v>
      </c>
      <c r="I134" s="28" t="n">
        <f aca="false">(LN(B134/$B$5)+($H$5^2/2)*($J$5))/($H$5*SQRT($J$5))</f>
        <v>-1.50931206915856</v>
      </c>
      <c r="J134" s="28" t="n">
        <f aca="false">I134 - $H$5*SQRT($J$5)</f>
        <v>-1.63978988609435</v>
      </c>
    </row>
    <row r="135" customFormat="false" ht="13.5" hidden="false" customHeight="true" outlineLevel="0" collapsed="false">
      <c r="B135" s="30"/>
      <c r="C135" s="22"/>
      <c r="D135" s="22"/>
      <c r="E135" s="22"/>
      <c r="F135" s="22"/>
      <c r="G135" s="22"/>
      <c r="I135" s="31"/>
      <c r="J135" s="31"/>
    </row>
    <row r="136" customFormat="false" ht="13.5" hidden="false" customHeight="true" outlineLevel="0" collapsed="false">
      <c r="B136" s="30"/>
      <c r="C136" s="22"/>
      <c r="D136" s="22"/>
      <c r="E136" s="22"/>
      <c r="F136" s="22"/>
      <c r="G136" s="22"/>
      <c r="I136" s="31"/>
      <c r="J136" s="31"/>
    </row>
    <row r="137" customFormat="false" ht="13.5" hidden="false" customHeight="true" outlineLevel="0" collapsed="false">
      <c r="B137" s="23"/>
      <c r="C137" s="19" t="s">
        <v>13</v>
      </c>
      <c r="D137" s="19" t="s">
        <v>14</v>
      </c>
      <c r="E137" s="19" t="s">
        <v>15</v>
      </c>
      <c r="F137" s="19" t="s">
        <v>16</v>
      </c>
      <c r="G137" s="19" t="s">
        <v>17</v>
      </c>
      <c r="I137" s="19" t="s">
        <v>158</v>
      </c>
      <c r="J137" s="19" t="s">
        <v>159</v>
      </c>
    </row>
    <row r="138" customFormat="false" ht="13.5" hidden="false" customHeight="true" outlineLevel="0" collapsed="false">
      <c r="A138" s="2" t="str">
        <f aca="false">A6</f>
        <v>SOL-24APR26-60-P-USDT</v>
      </c>
      <c r="B138" s="29" t="n">
        <f aca="false">B108</f>
        <v>83</v>
      </c>
      <c r="C138" s="25" t="e">
        <f aca="false">IF($O$6="sell",-1,1) *  IF($K$6="call",  NORMDIST(I138,0,1,1),  NORMDIST(I138,0,1,1)-1  ) * $P$6</f>
        <v>#N/A</v>
      </c>
      <c r="D138" s="25" t="e">
        <f aca="false">IF($O$6="sell",-1,1) * NORMDIST(I138,0,1,0)/(B138*$H$6*SQRT($J$6)) * $P$6</f>
        <v>#N/A</v>
      </c>
      <c r="E138" s="25" t="e">
        <f aca="false">IF($O$6="sell",-1,1) * (B138*NORMDIST(I138,0,1,0)*SQRT($J$6)/365) * $P$6</f>
        <v>#N/A</v>
      </c>
      <c r="F138" s="25" t="e">
        <f aca="false">IF($O$6="sell",-1,1) * (-(B138*NORMDIST(I138,0,1,0)*$H$6)/(2*SQRT($J$6))/365) *$P$6</f>
        <v>#N/A</v>
      </c>
      <c r="G138" s="25" t="e">
        <f aca="false">IF($O$6="buy",1,-1)*( IF($K$6="call",B138*NORMDIST(I138,0,1,1) - $B$6*NORMDIST(J138,0,1,1),$B$6*NORMDIST(-J138,0,1,1) - B138*NORMDIST(-I138,0,1,1) ) - $G$6) * $P$6</f>
        <v>#N/A</v>
      </c>
      <c r="I138" s="26" t="e">
        <f aca="false">(LN(B138/$B$6)+($H$6^2/2)*($J$6))/($H$6*SQRT($J$6))</f>
        <v>#N/A</v>
      </c>
      <c r="J138" s="28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82</v>
      </c>
      <c r="C139" s="25" t="e">
        <f aca="false">IF($O$6="sell",-1,1) *  IF($K$6="call",  NORMDIST(I139,0,1,1),  NORMDIST(I139,0,1,1)-1  ) * $P$6</f>
        <v>#N/A</v>
      </c>
      <c r="D139" s="25" t="e">
        <f aca="false">IF($O$6="sell",-1,1) * NORMDIST(I139,0,1,0)/(B139*$H$6*SQRT($J$6)) * $P$6</f>
        <v>#N/A</v>
      </c>
      <c r="E139" s="25" t="e">
        <f aca="false">IF($O$6="sell",-1,1) * (B139*NORMDIST(I139,0,1,0)*SQRT($J$6)/365) * $P$6</f>
        <v>#N/A</v>
      </c>
      <c r="F139" s="25" t="e">
        <f aca="false">IF($O$6="sell",-1,1) * (-(B139*NORMDIST(I139,0,1,0)*$H$6)/(2*SQRT($J$6))/365) *$P$6</f>
        <v>#N/A</v>
      </c>
      <c r="G139" s="25" t="e">
        <f aca="false">IF($O$6="buy",1,-1)*( IF($K$6="call",B139*NORMDIST(I139,0,1,1) - $B$6*NORMDIST(J139,0,1,1),$B$6*NORMDIST(-J139,0,1,1) - B139*NORMDIST(-I139,0,1,1) ) - $G$6) * $P$6</f>
        <v>#N/A</v>
      </c>
      <c r="I139" s="26" t="e">
        <f aca="false">(LN(B139/$B$6)+($H$6^2/2)*($J$6))/($H$6*SQRT($J$6))</f>
        <v>#N/A</v>
      </c>
      <c r="J139" s="28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81</v>
      </c>
      <c r="C140" s="25" t="e">
        <f aca="false">IF($O$6="sell",-1,1) *  IF($K$6="call",  NORMDIST(I140,0,1,1),  NORMDIST(I140,0,1,1)-1  ) * $P$6</f>
        <v>#N/A</v>
      </c>
      <c r="D140" s="25" t="e">
        <f aca="false">IF($O$6="sell",-1,1) * NORMDIST(I140,0,1,0)/(B140*$H$6*SQRT($J$6)) * $P$6</f>
        <v>#N/A</v>
      </c>
      <c r="E140" s="25" t="e">
        <f aca="false">IF($O$6="sell",-1,1) * (B140*NORMDIST(I140,0,1,0)*SQRT($J$6)/365) * $P$6</f>
        <v>#N/A</v>
      </c>
      <c r="F140" s="25" t="e">
        <f aca="false">IF($O$6="sell",-1,1) * (-(B140*NORMDIST(I140,0,1,0)*$H$6)/(2*SQRT($J$6))/365) *$P$6</f>
        <v>#N/A</v>
      </c>
      <c r="G140" s="25" t="e">
        <f aca="false">IF($O$6="buy",1,-1)*( IF($K$6="call",B140*NORMDIST(I140,0,1,1) - $B$6*NORMDIST(J140,0,1,1),$B$6*NORMDIST(-J140,0,1,1) - B140*NORMDIST(-I140,0,1,1) ) - $G$6) * $P$6</f>
        <v>#N/A</v>
      </c>
      <c r="I140" s="26" t="e">
        <f aca="false">(LN(B140/$B$6)+($H$6^2/2)*($J$6))/($H$6*SQRT($J$6))</f>
        <v>#N/A</v>
      </c>
      <c r="J140" s="28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80</v>
      </c>
      <c r="C141" s="25" t="e">
        <f aca="false">IF($O$6="sell",-1,1) *  IF($K$6="call",  NORMDIST(I141,0,1,1),  NORMDIST(I141,0,1,1)-1  ) * $P$6</f>
        <v>#N/A</v>
      </c>
      <c r="D141" s="25" t="e">
        <f aca="false">IF($O$6="sell",-1,1) * NORMDIST(I141,0,1,0)/(B141*$H$6*SQRT($J$6)) * $P$6</f>
        <v>#N/A</v>
      </c>
      <c r="E141" s="25" t="e">
        <f aca="false">IF($O$6="sell",-1,1) * (B141*NORMDIST(I141,0,1,0)*SQRT($J$6)/365) * $P$6</f>
        <v>#N/A</v>
      </c>
      <c r="F141" s="25" t="e">
        <f aca="false">IF($O$6="sell",-1,1) * (-(B141*NORMDIST(I141,0,1,0)*$H$6)/(2*SQRT($J$6))/365) *$P$6</f>
        <v>#N/A</v>
      </c>
      <c r="G141" s="25" t="e">
        <f aca="false">IF($O$6="buy",1,-1)*( IF($K$6="call",B141*NORMDIST(I141,0,1,1) - $B$6*NORMDIST(J141,0,1,1),$B$6*NORMDIST(-J141,0,1,1) - B141*NORMDIST(-I141,0,1,1) ) - $G$6) * $P$6</f>
        <v>#N/A</v>
      </c>
      <c r="I141" s="26" t="e">
        <f aca="false">(LN(B141/$B$6)+($H$6^2/2)*($J$6))/($H$6*SQRT($J$6))</f>
        <v>#N/A</v>
      </c>
      <c r="J141" s="28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79</v>
      </c>
      <c r="C142" s="25" t="e">
        <f aca="false">IF($O$6="sell",-1,1) *  IF($K$6="call",  NORMDIST(I142,0,1,1),  NORMDIST(I142,0,1,1)-1  ) * $P$6</f>
        <v>#N/A</v>
      </c>
      <c r="D142" s="25" t="e">
        <f aca="false">IF($O$6="sell",-1,1) * NORMDIST(I142,0,1,0)/(B142*$H$6*SQRT($J$6)) * $P$6</f>
        <v>#N/A</v>
      </c>
      <c r="E142" s="25" t="e">
        <f aca="false">IF($O$6="sell",-1,1) * (B142*NORMDIST(I142,0,1,0)*SQRT($J$6)/365) * $P$6</f>
        <v>#N/A</v>
      </c>
      <c r="F142" s="25" t="e">
        <f aca="false">IF($O$6="sell",-1,1) * (-(B142*NORMDIST(I142,0,1,0)*$H$6)/(2*SQRT($J$6))/365) *$P$6</f>
        <v>#N/A</v>
      </c>
      <c r="G142" s="25" t="e">
        <f aca="false">IF($O$6="buy",1,-1)*( IF($K$6="call",B142*NORMDIST(I142,0,1,1) - $B$6*NORMDIST(J142,0,1,1),$B$6*NORMDIST(-J142,0,1,1) - B142*NORMDIST(-I142,0,1,1) ) - $G$6) * $P$6</f>
        <v>#N/A</v>
      </c>
      <c r="I142" s="26" t="e">
        <f aca="false">(LN(B142/$B$6)+($H$6^2/2)*($J$6))/($H$6*SQRT($J$6))</f>
        <v>#N/A</v>
      </c>
      <c r="J142" s="28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78</v>
      </c>
      <c r="C143" s="25" t="e">
        <f aca="false">IF($O$6="sell",-1,1) *  IF($K$6="call",  NORMDIST(I143,0,1,1),  NORMDIST(I143,0,1,1)-1  ) * $P$6</f>
        <v>#N/A</v>
      </c>
      <c r="D143" s="25" t="e">
        <f aca="false">IF($O$6="sell",-1,1) * NORMDIST(I143,0,1,0)/(B143*$H$6*SQRT($J$6)) * $P$6</f>
        <v>#N/A</v>
      </c>
      <c r="E143" s="25" t="e">
        <f aca="false">IF($O$6="sell",-1,1) * (B143*NORMDIST(I143,0,1,0)*SQRT($J$6)/365) * $P$6</f>
        <v>#N/A</v>
      </c>
      <c r="F143" s="25" t="e">
        <f aca="false">IF($O$6="sell",-1,1) * (-(B143*NORMDIST(I143,0,1,0)*$H$6)/(2*SQRT($J$6))/365) *$P$6</f>
        <v>#N/A</v>
      </c>
      <c r="G143" s="25" t="e">
        <f aca="false">IF($O$6="buy",1,-1)*( IF($K$6="call",B143*NORMDIST(I143,0,1,1) - $B$6*NORMDIST(J143,0,1,1),$B$6*NORMDIST(-J143,0,1,1) - B143*NORMDIST(-I143,0,1,1) ) - $G$6) * $P$6</f>
        <v>#N/A</v>
      </c>
      <c r="I143" s="26" t="e">
        <f aca="false">(LN(B143/$B$6)+($H$6^2/2)*($J$6))/($H$6*SQRT($J$6))</f>
        <v>#N/A</v>
      </c>
      <c r="J143" s="28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77</v>
      </c>
      <c r="C144" s="25" t="e">
        <f aca="false">IF($O$6="sell",-1,1) *  IF($K$6="call",  NORMDIST(I144,0,1,1),  NORMDIST(I144,0,1,1)-1  ) * $P$6</f>
        <v>#N/A</v>
      </c>
      <c r="D144" s="25" t="e">
        <f aca="false">IF($O$6="sell",-1,1) * NORMDIST(I144,0,1,0)/(B144*$H$6*SQRT($J$6)) * $P$6</f>
        <v>#N/A</v>
      </c>
      <c r="E144" s="25" t="e">
        <f aca="false">IF($O$6="sell",-1,1) * (B144*NORMDIST(I144,0,1,0)*SQRT($J$6)/365) * $P$6</f>
        <v>#N/A</v>
      </c>
      <c r="F144" s="25" t="e">
        <f aca="false">IF($O$6="sell",-1,1) * (-(B144*NORMDIST(I144,0,1,0)*$H$6)/(2*SQRT($J$6))/365) *$P$6</f>
        <v>#N/A</v>
      </c>
      <c r="G144" s="25" t="e">
        <f aca="false">IF($O$6="buy",1,-1)*( IF($K$6="call",B144*NORMDIST(I144,0,1,1) - $B$6*NORMDIST(J144,0,1,1),$B$6*NORMDIST(-J144,0,1,1) - B144*NORMDIST(-I144,0,1,1) ) - $G$6) * $P$6</f>
        <v>#N/A</v>
      </c>
      <c r="I144" s="26" t="e">
        <f aca="false">(LN(B144/$B$6)+($H$6^2/2)*($J$6))/($H$6*SQRT($J$6))</f>
        <v>#N/A</v>
      </c>
      <c r="J144" s="28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76</v>
      </c>
      <c r="C145" s="25" t="e">
        <f aca="false">IF($O$6="sell",-1,1) *  IF($K$6="call",  NORMDIST(I145,0,1,1),  NORMDIST(I145,0,1,1)-1  ) * $P$6</f>
        <v>#N/A</v>
      </c>
      <c r="D145" s="25" t="e">
        <f aca="false">IF($O$6="sell",-1,1) * NORMDIST(I145,0,1,0)/(B145*$H$6*SQRT($J$6)) * $P$6</f>
        <v>#N/A</v>
      </c>
      <c r="E145" s="25" t="e">
        <f aca="false">IF($O$6="sell",-1,1) * (B145*NORMDIST(I145,0,1,0)*SQRT($J$6)/365) * $P$6</f>
        <v>#N/A</v>
      </c>
      <c r="F145" s="25" t="e">
        <f aca="false">IF($O$6="sell",-1,1) * (-(B145*NORMDIST(I145,0,1,0)*$H$6)/(2*SQRT($J$6))/365) *$P$6</f>
        <v>#N/A</v>
      </c>
      <c r="G145" s="25" t="e">
        <f aca="false">IF($O$6="buy",1,-1)*( IF($K$6="call",B145*NORMDIST(I145,0,1,1) - $B$6*NORMDIST(J145,0,1,1),$B$6*NORMDIST(-J145,0,1,1) - B145*NORMDIST(-I145,0,1,1) ) - $G$6) * $P$6</f>
        <v>#N/A</v>
      </c>
      <c r="I145" s="26" t="e">
        <f aca="false">(LN(B145/$B$6)+($H$6^2/2)*($J$6))/($H$6*SQRT($J$6))</f>
        <v>#N/A</v>
      </c>
      <c r="J145" s="28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75</v>
      </c>
      <c r="C146" s="25" t="e">
        <f aca="false">IF($O$6="sell",-1,1) *  IF($K$6="call",  NORMDIST(I146,0,1,1),  NORMDIST(I146,0,1,1)-1  ) * $P$6</f>
        <v>#N/A</v>
      </c>
      <c r="D146" s="25" t="e">
        <f aca="false">IF($O$6="sell",-1,1) * NORMDIST(I146,0,1,0)/(B146*$H$6*SQRT($J$6)) * $P$6</f>
        <v>#N/A</v>
      </c>
      <c r="E146" s="25" t="e">
        <f aca="false">IF($O$6="sell",-1,1) * (B146*NORMDIST(I146,0,1,0)*SQRT($J$6)/365) * $P$6</f>
        <v>#N/A</v>
      </c>
      <c r="F146" s="25" t="e">
        <f aca="false">IF($O$6="sell",-1,1) * (-(B146*NORMDIST(I146,0,1,0)*$H$6)/(2*SQRT($J$6))/365) *$P$6</f>
        <v>#N/A</v>
      </c>
      <c r="G146" s="25" t="e">
        <f aca="false">IF($O$6="buy",1,-1)*( IF($K$6="call",B146*NORMDIST(I146,0,1,1) - $B$6*NORMDIST(J146,0,1,1),$B$6*NORMDIST(-J146,0,1,1) - B146*NORMDIST(-I146,0,1,1) ) - $G$6) * $P$6</f>
        <v>#N/A</v>
      </c>
      <c r="I146" s="26" t="e">
        <f aca="false">(LN(B146/$B$6)+($H$6^2/2)*($J$6))/($H$6*SQRT($J$6))</f>
        <v>#N/A</v>
      </c>
      <c r="J146" s="28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74</v>
      </c>
      <c r="C147" s="25" t="e">
        <f aca="false">IF($O$6="sell",-1,1) *  IF($K$6="call",  NORMDIST(I147,0,1,1),  NORMDIST(I147,0,1,1)-1  ) * $P$6</f>
        <v>#N/A</v>
      </c>
      <c r="D147" s="25" t="e">
        <f aca="false">IF($O$6="sell",-1,1) * NORMDIST(I147,0,1,0)/(B147*$H$6*SQRT($J$6)) * $P$6</f>
        <v>#N/A</v>
      </c>
      <c r="E147" s="25" t="e">
        <f aca="false">IF($O$6="sell",-1,1) * (B147*NORMDIST(I147,0,1,0)*SQRT($J$6)/365) * $P$6</f>
        <v>#N/A</v>
      </c>
      <c r="F147" s="25" t="e">
        <f aca="false">IF($O$6="sell",-1,1) * (-(B147*NORMDIST(I147,0,1,0)*$H$6)/(2*SQRT($J$6))/365) *$P$6</f>
        <v>#N/A</v>
      </c>
      <c r="G147" s="25" t="e">
        <f aca="false">IF($O$6="buy",1,-1)*( IF($K$6="call",B147*NORMDIST(I147,0,1,1) - $B$6*NORMDIST(J147,0,1,1),$B$6*NORMDIST(-J147,0,1,1) - B147*NORMDIST(-I147,0,1,1) ) - $G$6) * $P$6</f>
        <v>#N/A</v>
      </c>
      <c r="I147" s="26" t="e">
        <f aca="false">(LN(B147/$B$6)+($H$6^2/2)*($J$6))/($H$6*SQRT($J$6))</f>
        <v>#N/A</v>
      </c>
      <c r="J147" s="28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73</v>
      </c>
      <c r="C148" s="25" t="e">
        <f aca="false">IF($O$6="sell",-1,1) *  IF($K$6="call",  NORMDIST(I148,0,1,1),  NORMDIST(I148,0,1,1)-1  ) * $P$6</f>
        <v>#N/A</v>
      </c>
      <c r="D148" s="25" t="e">
        <f aca="false">IF($O$6="sell",-1,1) * NORMDIST(I148,0,1,0)/(B148*$H$6*SQRT($J$6)) * $P$6</f>
        <v>#N/A</v>
      </c>
      <c r="E148" s="25" t="e">
        <f aca="false">IF($O$6="sell",-1,1) * (B148*NORMDIST(I148,0,1,0)*SQRT($J$6)/365) * $P$6</f>
        <v>#N/A</v>
      </c>
      <c r="F148" s="25" t="e">
        <f aca="false">IF($O$6="sell",-1,1) * (-(B148*NORMDIST(I148,0,1,0)*$H$6)/(2*SQRT($J$6))/365) *$P$6</f>
        <v>#N/A</v>
      </c>
      <c r="G148" s="25" t="e">
        <f aca="false">IF($O$6="buy",1,-1)*( IF($K$6="call",B148*NORMDIST(I148,0,1,1) - $B$6*NORMDIST(J148,0,1,1),$B$6*NORMDIST(-J148,0,1,1) - B148*NORMDIST(-I148,0,1,1) ) - $G$6) * $P$6</f>
        <v>#N/A</v>
      </c>
      <c r="I148" s="26" t="e">
        <f aca="false">(LN(B148/$B$6)+($H$6^2/2)*($J$6))/($H$6*SQRT($J$6))</f>
        <v>#N/A</v>
      </c>
      <c r="J148" s="28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72</v>
      </c>
      <c r="C149" s="25" t="e">
        <f aca="false">IF($O$6="sell",-1,1) *  IF($K$6="call",  NORMDIST(I149,0,1,1),  NORMDIST(I149,0,1,1)-1  ) * $P$6</f>
        <v>#N/A</v>
      </c>
      <c r="D149" s="25" t="e">
        <f aca="false">IF($O$6="sell",-1,1) * NORMDIST(I149,0,1,0)/(B149*$H$6*SQRT($J$6)) * $P$6</f>
        <v>#N/A</v>
      </c>
      <c r="E149" s="25" t="e">
        <f aca="false">IF($O$6="sell",-1,1) * (B149*NORMDIST(I149,0,1,0)*SQRT($J$6)/365) * $P$6</f>
        <v>#N/A</v>
      </c>
      <c r="F149" s="25" t="e">
        <f aca="false">IF($O$6="sell",-1,1) * (-(B149*NORMDIST(I149,0,1,0)*$H$6)/(2*SQRT($J$6))/365) *$P$6</f>
        <v>#N/A</v>
      </c>
      <c r="G149" s="25" t="e">
        <f aca="false">IF($O$6="buy",1,-1)*( IF($K$6="call",B149*NORMDIST(I149,0,1,1) - $B$6*NORMDIST(J149,0,1,1),$B$6*NORMDIST(-J149,0,1,1) - B149*NORMDIST(-I149,0,1,1) ) - $G$6) * $P$6</f>
        <v>#N/A</v>
      </c>
      <c r="I149" s="26" t="e">
        <f aca="false">(LN(B149/$B$6)+($H$6^2/2)*($J$6))/($H$6*SQRT($J$6))</f>
        <v>#N/A</v>
      </c>
      <c r="J149" s="28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71</v>
      </c>
      <c r="C150" s="25" t="e">
        <f aca="false">IF($O$6="sell",-1,1) *  IF($K$6="call",  NORMDIST(I150,0,1,1),  NORMDIST(I150,0,1,1)-1  ) * $P$6</f>
        <v>#N/A</v>
      </c>
      <c r="D150" s="25" t="e">
        <f aca="false">IF($O$6="sell",-1,1) * NORMDIST(I150,0,1,0)/(B150*$H$6*SQRT($J$6)) * $P$6</f>
        <v>#N/A</v>
      </c>
      <c r="E150" s="25" t="e">
        <f aca="false">IF($O$6="sell",-1,1) * (B150*NORMDIST(I150,0,1,0)*SQRT($J$6)/365) * $P$6</f>
        <v>#N/A</v>
      </c>
      <c r="F150" s="25" t="e">
        <f aca="false">IF($O$6="sell",-1,1) * (-(B150*NORMDIST(I150,0,1,0)*$H$6)/(2*SQRT($J$6))/365) *$P$6</f>
        <v>#N/A</v>
      </c>
      <c r="G150" s="25" t="e">
        <f aca="false">IF($O$6="buy",1,-1)*( IF($K$6="call",B150*NORMDIST(I150,0,1,1) - $B$6*NORMDIST(J150,0,1,1),$B$6*NORMDIST(-J150,0,1,1) - B150*NORMDIST(-I150,0,1,1) ) - $G$6) * $P$6</f>
        <v>#N/A</v>
      </c>
      <c r="I150" s="26" t="e">
        <f aca="false">(LN(B150/$B$6)+($H$6^2/2)*($J$6))/($H$6*SQRT($J$6))</f>
        <v>#N/A</v>
      </c>
      <c r="J150" s="28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70</v>
      </c>
      <c r="C151" s="25" t="e">
        <f aca="false">IF($O$6="sell",-1,1) *  IF($K$6="call",  NORMDIST(I151,0,1,1),  NORMDIST(I151,0,1,1)-1  ) * $P$6</f>
        <v>#N/A</v>
      </c>
      <c r="D151" s="25" t="e">
        <f aca="false">IF($O$6="sell",-1,1) * NORMDIST(I151,0,1,0)/(B151*$H$6*SQRT($J$6)) * $P$6</f>
        <v>#N/A</v>
      </c>
      <c r="E151" s="25" t="e">
        <f aca="false">IF($O$6="sell",-1,1) * (B151*NORMDIST(I151,0,1,0)*SQRT($J$6)/365) * $P$6</f>
        <v>#N/A</v>
      </c>
      <c r="F151" s="25" t="e">
        <f aca="false">IF($O$6="sell",-1,1) * (-(B151*NORMDIST(I151,0,1,0)*$H$6)/(2*SQRT($J$6))/365) *$P$6</f>
        <v>#N/A</v>
      </c>
      <c r="G151" s="25" t="e">
        <f aca="false">IF($O$6="buy",1,-1)*( IF($K$6="call",B151*NORMDIST(I151,0,1,1) - $B$6*NORMDIST(J151,0,1,1),$B$6*NORMDIST(-J151,0,1,1) - B151*NORMDIST(-I151,0,1,1) ) - $G$6) * $P$6</f>
        <v>#N/A</v>
      </c>
      <c r="I151" s="26" t="e">
        <f aca="false">(LN(B151/$B$6)+($H$6^2/2)*($J$6))/($H$6*SQRT($J$6))</f>
        <v>#N/A</v>
      </c>
      <c r="J151" s="28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69</v>
      </c>
      <c r="C152" s="25" t="e">
        <f aca="false">IF($O$6="sell",-1,1) *  IF($K$6="call",  NORMDIST(I152,0,1,1),  NORMDIST(I152,0,1,1)-1  ) * $P$6</f>
        <v>#N/A</v>
      </c>
      <c r="D152" s="25" t="e">
        <f aca="false">IF($O$6="sell",-1,1) * NORMDIST(I152,0,1,0)/(B152*$H$6*SQRT($J$6)) * $P$6</f>
        <v>#N/A</v>
      </c>
      <c r="E152" s="25" t="e">
        <f aca="false">IF($O$6="sell",-1,1) * (B152*NORMDIST(I152,0,1,0)*SQRT($J$6)/365) * $P$6</f>
        <v>#N/A</v>
      </c>
      <c r="F152" s="25" t="e">
        <f aca="false">IF($O$6="sell",-1,1) * (-(B152*NORMDIST(I152,0,1,0)*$H$6)/(2*SQRT($J$6))/365) *$P$6</f>
        <v>#N/A</v>
      </c>
      <c r="G152" s="25" t="e">
        <f aca="false">IF($O$6="buy",1,-1)*( IF($K$6="call",B152*NORMDIST(I152,0,1,1) - $B$6*NORMDIST(J152,0,1,1),$B$6*NORMDIST(-J152,0,1,1) - B152*NORMDIST(-I152,0,1,1) ) - $G$6) * $P$6</f>
        <v>#N/A</v>
      </c>
      <c r="I152" s="26" t="e">
        <f aca="false">(LN(B152/$B$6)+($H$6^2/2)*($J$6))/($H$6*SQRT($J$6))</f>
        <v>#N/A</v>
      </c>
      <c r="J152" s="28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68</v>
      </c>
      <c r="C153" s="25" t="e">
        <f aca="false">IF($O$6="sell",-1,1) *  IF($K$6="call",  NORMDIST(I153,0,1,1),  NORMDIST(I153,0,1,1)-1  ) * $P$6</f>
        <v>#N/A</v>
      </c>
      <c r="D153" s="25" t="e">
        <f aca="false">IF($O$6="sell",-1,1) * NORMDIST(I153,0,1,0)/(B153*$H$6*SQRT($J$6)) * $P$6</f>
        <v>#N/A</v>
      </c>
      <c r="E153" s="25" t="e">
        <f aca="false">IF($O$6="sell",-1,1) * (B153*NORMDIST(I153,0,1,0)*SQRT($J$6)/365) * $P$6</f>
        <v>#N/A</v>
      </c>
      <c r="F153" s="25" t="e">
        <f aca="false">IF($O$6="sell",-1,1) * (-(B153*NORMDIST(I153,0,1,0)*$H$6)/(2*SQRT($J$6))/365) *$P$6</f>
        <v>#N/A</v>
      </c>
      <c r="G153" s="25" t="e">
        <f aca="false">IF($O$6="buy",1,-1)*( IF($K$6="call",B153*NORMDIST(I153,0,1,1) - $B$6*NORMDIST(J153,0,1,1),$B$6*NORMDIST(-J153,0,1,1) - B153*NORMDIST(-I153,0,1,1) ) - $G$6) * $P$6</f>
        <v>#N/A</v>
      </c>
      <c r="I153" s="26" t="e">
        <f aca="false">(LN(B153/$B$6)+($H$6^2/2)*($J$6))/($H$6*SQRT($J$6))</f>
        <v>#N/A</v>
      </c>
      <c r="J153" s="28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67</v>
      </c>
      <c r="C154" s="25" t="e">
        <f aca="false">IF($O$6="sell",-1,1) *  IF($K$6="call",  NORMDIST(I154,0,1,1),  NORMDIST(I154,0,1,1)-1  ) * $P$6</f>
        <v>#N/A</v>
      </c>
      <c r="D154" s="25" t="e">
        <f aca="false">IF($O$6="sell",-1,1) * NORMDIST(I154,0,1,0)/(B154*$H$6*SQRT($J$6)) * $P$6</f>
        <v>#N/A</v>
      </c>
      <c r="E154" s="25" t="e">
        <f aca="false">IF($O$6="sell",-1,1) * (B154*NORMDIST(I154,0,1,0)*SQRT($J$6)/365) * $P$6</f>
        <v>#N/A</v>
      </c>
      <c r="F154" s="25" t="e">
        <f aca="false">IF($O$6="sell",-1,1) * (-(B154*NORMDIST(I154,0,1,0)*$H$6)/(2*SQRT($J$6))/365) *$P$6</f>
        <v>#N/A</v>
      </c>
      <c r="G154" s="25" t="e">
        <f aca="false">IF($O$6="buy",1,-1)*( IF($K$6="call",B154*NORMDIST(I154,0,1,1) - $B$6*NORMDIST(J154,0,1,1),$B$6*NORMDIST(-J154,0,1,1) - B154*NORMDIST(-I154,0,1,1) ) - $G$6) * $P$6</f>
        <v>#N/A</v>
      </c>
      <c r="I154" s="26" t="e">
        <f aca="false">(LN(B154/$B$6)+($H$6^2/2)*($J$6))/($H$6*SQRT($J$6))</f>
        <v>#N/A</v>
      </c>
      <c r="J154" s="28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66</v>
      </c>
      <c r="C155" s="25" t="e">
        <f aca="false">IF($O$6="sell",-1,1) *  IF($K$6="call",  NORMDIST(I155,0,1,1),  NORMDIST(I155,0,1,1)-1  ) * $P$6</f>
        <v>#N/A</v>
      </c>
      <c r="D155" s="25" t="e">
        <f aca="false">IF($O$6="sell",-1,1) * NORMDIST(I155,0,1,0)/(B155*$H$6*SQRT($J$6)) * $P$6</f>
        <v>#N/A</v>
      </c>
      <c r="E155" s="25" t="e">
        <f aca="false">IF($O$6="sell",-1,1) * (B155*NORMDIST(I155,0,1,0)*SQRT($J$6)/365) * $P$6</f>
        <v>#N/A</v>
      </c>
      <c r="F155" s="25" t="e">
        <f aca="false">IF($O$6="sell",-1,1) * (-(B155*NORMDIST(I155,0,1,0)*$H$6)/(2*SQRT($J$6))/365) *$P$6</f>
        <v>#N/A</v>
      </c>
      <c r="G155" s="25" t="e">
        <f aca="false">IF($O$6="buy",1,-1)*( IF($K$6="call",B155*NORMDIST(I155,0,1,1) - $B$6*NORMDIST(J155,0,1,1),$B$6*NORMDIST(-J155,0,1,1) - B155*NORMDIST(-I155,0,1,1) ) - $G$6) * $P$6</f>
        <v>#N/A</v>
      </c>
      <c r="I155" s="26" t="e">
        <f aca="false">(LN(B155/$B$6)+($H$6^2/2)*($J$6))/($H$6*SQRT($J$6))</f>
        <v>#N/A</v>
      </c>
      <c r="J155" s="28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65</v>
      </c>
      <c r="C156" s="25" t="e">
        <f aca="false">IF($O$6="sell",-1,1) *  IF($K$6="call",  NORMDIST(I156,0,1,1),  NORMDIST(I156,0,1,1)-1  ) * $P$6</f>
        <v>#N/A</v>
      </c>
      <c r="D156" s="25" t="e">
        <f aca="false">IF($O$6="sell",-1,1) * NORMDIST(I156,0,1,0)/(B156*$H$6*SQRT($J$6)) * $P$6</f>
        <v>#N/A</v>
      </c>
      <c r="E156" s="25" t="e">
        <f aca="false">IF($O$6="sell",-1,1) * (B156*NORMDIST(I156,0,1,0)*SQRT($J$6)/365) * $P$6</f>
        <v>#N/A</v>
      </c>
      <c r="F156" s="25" t="e">
        <f aca="false">IF($O$6="sell",-1,1) * (-(B156*NORMDIST(I156,0,1,0)*$H$6)/(2*SQRT($J$6))/365) *$P$6</f>
        <v>#N/A</v>
      </c>
      <c r="G156" s="25" t="e">
        <f aca="false">IF($O$6="buy",1,-1)*( IF($K$6="call",B156*NORMDIST(I156,0,1,1) - $B$6*NORMDIST(J156,0,1,1),$B$6*NORMDIST(-J156,0,1,1) - B156*NORMDIST(-I156,0,1,1) ) - $G$6) * $P$6</f>
        <v>#N/A</v>
      </c>
      <c r="I156" s="26" t="e">
        <f aca="false">(LN(B156/$B$6)+($H$6^2/2)*($J$6))/($H$6*SQRT($J$6))</f>
        <v>#N/A</v>
      </c>
      <c r="J156" s="28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64</v>
      </c>
      <c r="C157" s="25" t="e">
        <f aca="false">IF($O$6="sell",-1,1) *  IF($K$6="call",  NORMDIST(I157,0,1,1),  NORMDIST(I157,0,1,1)-1  ) * $P$6</f>
        <v>#N/A</v>
      </c>
      <c r="D157" s="25" t="e">
        <f aca="false">IF($O$6="sell",-1,1) * NORMDIST(I157,0,1,0)/(B157*$H$6*SQRT($J$6)) * $P$6</f>
        <v>#N/A</v>
      </c>
      <c r="E157" s="25" t="e">
        <f aca="false">IF($O$6="sell",-1,1) * (B157*NORMDIST(I157,0,1,0)*SQRT($J$6)/365) * $P$6</f>
        <v>#N/A</v>
      </c>
      <c r="F157" s="25" t="e">
        <f aca="false">IF($O$6="sell",-1,1) * (-(B157*NORMDIST(I157,0,1,0)*$H$6)/(2*SQRT($J$6))/365) *$P$6</f>
        <v>#N/A</v>
      </c>
      <c r="G157" s="25" t="e">
        <f aca="false">IF($O$6="buy",1,-1)*( IF($K$6="call",B157*NORMDIST(I157,0,1,1) - $B$6*NORMDIST(J157,0,1,1),$B$6*NORMDIST(-J157,0,1,1) - B157*NORMDIST(-I157,0,1,1) ) - $G$6) * $P$6</f>
        <v>#N/A</v>
      </c>
      <c r="I157" s="26" t="e">
        <f aca="false">(LN(B157/$B$6)+($H$6^2/2)*($J$6))/($H$6*SQRT($J$6))</f>
        <v>#N/A</v>
      </c>
      <c r="J157" s="28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63</v>
      </c>
      <c r="C158" s="25" t="e">
        <f aca="false">IF($O$6="sell",-1,1) *  IF($K$6="call",  NORMDIST(I158,0,1,1),  NORMDIST(I158,0,1,1)-1  ) * $P$6</f>
        <v>#N/A</v>
      </c>
      <c r="D158" s="25" t="e">
        <f aca="false">IF($O$6="sell",-1,1) * NORMDIST(I158,0,1,0)/(B158*$H$6*SQRT($J$6)) * $P$6</f>
        <v>#N/A</v>
      </c>
      <c r="E158" s="25" t="e">
        <f aca="false">IF($O$6="sell",-1,1) * (B158*NORMDIST(I158,0,1,0)*SQRT($J$6)/365) * $P$6</f>
        <v>#N/A</v>
      </c>
      <c r="F158" s="25" t="e">
        <f aca="false">IF($O$6="sell",-1,1) * (-(B158*NORMDIST(I158,0,1,0)*$H$6)/(2*SQRT($J$6))/365) *$P$6</f>
        <v>#N/A</v>
      </c>
      <c r="G158" s="25" t="e">
        <f aca="false">IF($O$6="buy",1,-1)*( IF($K$6="call",B158*NORMDIST(I158,0,1,1) - $B$6*NORMDIST(J158,0,1,1),$B$6*NORMDIST(-J158,0,1,1) - B158*NORMDIST(-I158,0,1,1) ) - $G$6) * $P$6</f>
        <v>#N/A</v>
      </c>
      <c r="I158" s="26" t="e">
        <f aca="false">(LN(B158/$B$6)+($H$6^2/2)*($J$6))/($H$6*SQRT($J$6))</f>
        <v>#N/A</v>
      </c>
      <c r="J158" s="28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62</v>
      </c>
      <c r="C159" s="25" t="e">
        <f aca="false">IF($O$6="sell",-1,1) *  IF($K$6="call",  NORMDIST(I159,0,1,1),  NORMDIST(I159,0,1,1)-1  ) * $P$6</f>
        <v>#N/A</v>
      </c>
      <c r="D159" s="25" t="e">
        <f aca="false">IF($O$6="sell",-1,1) * NORMDIST(I159,0,1,0)/(B159*$H$6*SQRT($J$6)) * $P$6</f>
        <v>#N/A</v>
      </c>
      <c r="E159" s="25" t="e">
        <f aca="false">IF($O$6="sell",-1,1) * (B159*NORMDIST(I159,0,1,0)*SQRT($J$6)/365) * $P$6</f>
        <v>#N/A</v>
      </c>
      <c r="F159" s="25" t="e">
        <f aca="false">IF($O$6="sell",-1,1) * (-(B159*NORMDIST(I159,0,1,0)*$H$6)/(2*SQRT($J$6))/365) *$P$6</f>
        <v>#N/A</v>
      </c>
      <c r="G159" s="25" t="e">
        <f aca="false">IF($O$6="buy",1,-1)*( IF($K$6="call",B159*NORMDIST(I159,0,1,1) - $B$6*NORMDIST(J159,0,1,1),$B$6*NORMDIST(-J159,0,1,1) - B159*NORMDIST(-I159,0,1,1) ) - $G$6) * $P$6</f>
        <v>#N/A</v>
      </c>
      <c r="I159" s="26" t="e">
        <f aca="false">(LN(B159/$B$6)+($H$6^2/2)*($J$6))/($H$6*SQRT($J$6))</f>
        <v>#N/A</v>
      </c>
      <c r="J159" s="28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61</v>
      </c>
      <c r="C160" s="25" t="e">
        <f aca="false">IF($O$6="sell",-1,1) *  IF($K$6="call",  NORMDIST(I160,0,1,1),  NORMDIST(I160,0,1,1)-1  ) * $P$6</f>
        <v>#N/A</v>
      </c>
      <c r="D160" s="25" t="e">
        <f aca="false">IF($O$6="sell",-1,1) * NORMDIST(I160,0,1,0)/(B160*$H$6*SQRT($J$6)) * $P$6</f>
        <v>#N/A</v>
      </c>
      <c r="E160" s="25" t="e">
        <f aca="false">IF($O$6="sell",-1,1) * (B160*NORMDIST(I160,0,1,0)*SQRT($J$6)/365) * $P$6</f>
        <v>#N/A</v>
      </c>
      <c r="F160" s="25" t="e">
        <f aca="false">IF($O$6="sell",-1,1) * (-(B160*NORMDIST(I160,0,1,0)*$H$6)/(2*SQRT($J$6))/365) *$P$6</f>
        <v>#N/A</v>
      </c>
      <c r="G160" s="25" t="e">
        <f aca="false">IF($O$6="buy",1,-1)*( IF($K$6="call",B160*NORMDIST(I160,0,1,1) - $B$6*NORMDIST(J160,0,1,1),$B$6*NORMDIST(-J160,0,1,1) - B160*NORMDIST(-I160,0,1,1) ) - $G$6) * $P$6</f>
        <v>#N/A</v>
      </c>
      <c r="I160" s="26" t="e">
        <f aca="false">(LN(B160/$B$6)+($H$6^2/2)*($J$6))/($H$6*SQRT($J$6))</f>
        <v>#N/A</v>
      </c>
      <c r="J160" s="28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60</v>
      </c>
      <c r="C161" s="25" t="e">
        <f aca="false">IF($O$6="sell",-1,1) *  IF($K$6="call",  NORMDIST(I161,0,1,1),  NORMDIST(I161,0,1,1)-1  ) * $P$6</f>
        <v>#N/A</v>
      </c>
      <c r="D161" s="25" t="e">
        <f aca="false">IF($O$6="sell",-1,1) * NORMDIST(I161,0,1,0)/(B161*$H$6*SQRT($J$6)) * $P$6</f>
        <v>#N/A</v>
      </c>
      <c r="E161" s="25" t="e">
        <f aca="false">IF($O$6="sell",-1,1) * (B161*NORMDIST(I161,0,1,0)*SQRT($J$6)/365) * $P$6</f>
        <v>#N/A</v>
      </c>
      <c r="F161" s="25" t="e">
        <f aca="false">IF($O$6="sell",-1,1) * (-(B161*NORMDIST(I161,0,1,0)*$H$6)/(2*SQRT($J$6))/365) *$P$6</f>
        <v>#N/A</v>
      </c>
      <c r="G161" s="25" t="e">
        <f aca="false">IF($O$6="buy",1,-1)*( IF($K$6="call",B161*NORMDIST(I161,0,1,1) - $B$6*NORMDIST(J161,0,1,1),$B$6*NORMDIST(-J161,0,1,1) - B161*NORMDIST(-I161,0,1,1) ) - $G$6) * $P$6</f>
        <v>#N/A</v>
      </c>
      <c r="I161" s="26" t="e">
        <f aca="false">(LN(B161/$B$6)+($H$6^2/2)*($J$6))/($H$6*SQRT($J$6))</f>
        <v>#N/A</v>
      </c>
      <c r="J161" s="28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59</v>
      </c>
      <c r="C162" s="25" t="e">
        <f aca="false">IF($O$6="sell",-1,1) *  IF($K$6="call",  NORMDIST(I162,0,1,1),  NORMDIST(I162,0,1,1)-1  ) * $P$6</f>
        <v>#N/A</v>
      </c>
      <c r="D162" s="25" t="e">
        <f aca="false">IF($O$6="sell",-1,1) * NORMDIST(I162,0,1,0)/(B162*$H$6*SQRT($J$6)) * $P$6</f>
        <v>#N/A</v>
      </c>
      <c r="E162" s="25" t="e">
        <f aca="false">IF($O$6="sell",-1,1) * (B162*NORMDIST(I162,0,1,0)*SQRT($J$6)/365) * $P$6</f>
        <v>#N/A</v>
      </c>
      <c r="F162" s="25" t="e">
        <f aca="false">IF($O$6="sell",-1,1) * (-(B162*NORMDIST(I162,0,1,0)*$H$6)/(2*SQRT($J$6))/365) *$P$6</f>
        <v>#N/A</v>
      </c>
      <c r="G162" s="25" t="e">
        <f aca="false">IF($O$6="buy",1,-1)*( IF($K$6="call",B162*NORMDIST(I162,0,1,1) - $B$6*NORMDIST(J162,0,1,1),$B$6*NORMDIST(-J162,0,1,1) - B162*NORMDIST(-I162,0,1,1) ) - $G$6) * $P$6</f>
        <v>#N/A</v>
      </c>
      <c r="I162" s="26" t="e">
        <f aca="false">(LN(B162/$B$6)+($H$6^2/2)*($J$6))/($H$6*SQRT($J$6))</f>
        <v>#N/A</v>
      </c>
      <c r="J162" s="28" t="e">
        <f aca="false">I162 - $H$6*SQRT($J$6)</f>
        <v>#N/A</v>
      </c>
    </row>
    <row r="163" customFormat="false" ht="13.5" hidden="false" customHeight="true" outlineLevel="0" collapsed="false">
      <c r="B163" s="29" t="n">
        <f aca="false">B133</f>
        <v>58</v>
      </c>
      <c r="C163" s="25" t="e">
        <f aca="false">IF($O$6="sell",-1,1) *  IF($K$6="call",  NORMDIST(I163,0,1,1),  NORMDIST(I163,0,1,1)-1  ) * $P$6</f>
        <v>#N/A</v>
      </c>
      <c r="D163" s="25" t="e">
        <f aca="false">IF($O$6="sell",-1,1) * NORMDIST(I163,0,1,0)/(B163*$H$6*SQRT($J$6)) * $P$6</f>
        <v>#N/A</v>
      </c>
      <c r="E163" s="25" t="e">
        <f aca="false">IF($O$6="sell",-1,1) * (B163*NORMDIST(I163,0,1,0)*SQRT($J$6)/365) * $P$6</f>
        <v>#N/A</v>
      </c>
      <c r="F163" s="25" t="e">
        <f aca="false">IF($O$6="sell",-1,1) * (-(B163*NORMDIST(I163,0,1,0)*$H$6)/(2*SQRT($J$6))/365) *$P$6</f>
        <v>#N/A</v>
      </c>
      <c r="G163" s="25" t="e">
        <f aca="false">IF($O$6="buy",1,-1)*( IF($K$6="call",B163*NORMDIST(I163,0,1,1) - $B$6*NORMDIST(J163,0,1,1),$B$6*NORMDIST(-J163,0,1,1) - B163*NORMDIST(-I163,0,1,1) ) - $G$6) * $P$6</f>
        <v>#N/A</v>
      </c>
      <c r="I163" s="26" t="e">
        <f aca="false">(LN(B163/$B$6)+($H$6^2/2)*($J$6))/($H$6*SQRT($J$6))</f>
        <v>#N/A</v>
      </c>
      <c r="J163" s="28" t="e">
        <f aca="false">I163 - $H$6*SQRT($J$6)</f>
        <v>#N/A</v>
      </c>
    </row>
    <row r="164" customFormat="false" ht="13.5" hidden="false" customHeight="true" outlineLevel="0" collapsed="false">
      <c r="B164" s="29" t="n">
        <f aca="false">B134</f>
        <v>57</v>
      </c>
      <c r="C164" s="25" t="e">
        <f aca="false">IF($O$6="sell",-1,1) *  IF($K$6="call",  NORMDIST(I164,0,1,1),  NORMDIST(I164,0,1,1)-1  ) * $P$6</f>
        <v>#N/A</v>
      </c>
      <c r="D164" s="25" t="e">
        <f aca="false">IF($O$6="sell",-1,1) * NORMDIST(I164,0,1,0)/(B164*$H$6*SQRT($J$6)) * $P$6</f>
        <v>#N/A</v>
      </c>
      <c r="E164" s="25" t="e">
        <f aca="false">IF($O$6="sell",-1,1) * (B164*NORMDIST(I164,0,1,0)*SQRT($J$6)/365) * $P$6</f>
        <v>#N/A</v>
      </c>
      <c r="F164" s="25" t="e">
        <f aca="false">IF($O$6="sell",-1,1) * (-(B164*NORMDIST(I164,0,1,0)*$H$6)/(2*SQRT($J$6))/365) *$P$6</f>
        <v>#N/A</v>
      </c>
      <c r="G164" s="25" t="e">
        <f aca="false">IF($O$6="buy",1,-1)*( IF($K$6="call",B164*NORMDIST(I164,0,1,1) - $B$6*NORMDIST(J164,0,1,1),$B$6*NORMDIST(-J164,0,1,1) - B164*NORMDIST(-I164,0,1,1) ) - $G$6) * $P$6</f>
        <v>#N/A</v>
      </c>
      <c r="I164" s="26" t="e">
        <f aca="false">(LN(B164/$B$6)+($H$6^2/2)*($J$6))/($H$6*SQRT($J$6))</f>
        <v>#N/A</v>
      </c>
      <c r="J164" s="28" t="e">
        <f aca="false">I164 - $H$6*SQRT($J$6)</f>
        <v>#N/A</v>
      </c>
    </row>
    <row r="165" customFormat="false" ht="13.5" hidden="false" customHeight="true" outlineLevel="0" collapsed="false">
      <c r="B165" s="30"/>
      <c r="C165" s="22"/>
      <c r="D165" s="22"/>
      <c r="E165" s="22"/>
      <c r="F165" s="22"/>
      <c r="G165" s="22"/>
      <c r="I165" s="31"/>
      <c r="J165" s="31"/>
    </row>
    <row r="166" customFormat="false" ht="13.5" hidden="false" customHeight="true" outlineLevel="0" collapsed="false">
      <c r="B166" s="30"/>
      <c r="C166" s="22"/>
      <c r="D166" s="22"/>
      <c r="E166" s="22"/>
      <c r="F166" s="22"/>
      <c r="G166" s="22"/>
      <c r="I166" s="31"/>
      <c r="J166" s="31"/>
    </row>
    <row r="167" customFormat="false" ht="13.5" hidden="false" customHeight="true" outlineLevel="0" collapsed="false">
      <c r="B167" s="23"/>
      <c r="C167" s="19" t="s">
        <v>13</v>
      </c>
      <c r="D167" s="19" t="s">
        <v>14</v>
      </c>
      <c r="E167" s="19" t="s">
        <v>15</v>
      </c>
      <c r="F167" s="19" t="s">
        <v>16</v>
      </c>
      <c r="G167" s="19" t="s">
        <v>17</v>
      </c>
      <c r="I167" s="19" t="s">
        <v>158</v>
      </c>
      <c r="J167" s="19" t="s">
        <v>159</v>
      </c>
    </row>
    <row r="168" customFormat="false" ht="13.5" hidden="false" customHeight="true" outlineLevel="0" collapsed="false">
      <c r="A168" s="2" t="str">
        <f aca="false">A7</f>
        <v>SOL-24APR26-65-P-USDT</v>
      </c>
      <c r="B168" s="29" t="n">
        <f aca="false">B138</f>
        <v>83</v>
      </c>
      <c r="C168" s="25" t="n">
        <f aca="false">IF($O$7="sell",-1,1) *  IF($K$7="call",  NORMDIST(I168,0,1,1),  NORMDIST(I168,0,1,1)-1  ) * $P$7</f>
        <v>-0.0693555339271024</v>
      </c>
      <c r="D168" s="25" t="n">
        <f aca="false">IF($O$7="sell",-1,1) * NORMDIST(I168,0,1,0)/(B168*$H$7*SQRT($J$7)) * $P$7</f>
        <v>0.0187044971561028</v>
      </c>
      <c r="E168" s="25" t="n">
        <f aca="false">IF($O$7="sell",-1,1) * (B168*NORMDIST(I168,0,1,0)*SQRT($J$7)/365) * $P$7</f>
        <v>0.00421389895186101</v>
      </c>
      <c r="F168" s="25" t="n">
        <f aca="false">IF($O$7="sell",-1,1) * (-(B168*NORMDIST(I168,0,1,0)*$H$7)/(2*SQRT($J$7))/365) *$P$7</f>
        <v>-0.209408654937995</v>
      </c>
      <c r="G168" s="25" t="n">
        <f aca="false">IF($O$7="buy",1,-1)*( IF($K$7="call",B168*NORMDIST(I168,0,1,1) - $B$7*NORMDIST(J168,0,1,1),$B$7*NORMDIST(-J168,0,1,1) - B168*NORMDIST(-I168,0,1,1) ) - $G$7) * $P$7</f>
        <v>-3.96057010771055</v>
      </c>
      <c r="I168" s="26" t="n">
        <f aca="false">(LN(B168/$B$7)+($H$7^2/2)*($J$7))/($H$7*SQRT($J$7))</f>
        <v>2.20091257447909</v>
      </c>
      <c r="J168" s="26" t="n">
        <f aca="false">I168 - $H$7*SQRT($J$7)</f>
        <v>2.08688990718204</v>
      </c>
    </row>
    <row r="169" customFormat="false" ht="13.5" hidden="false" customHeight="true" outlineLevel="0" collapsed="false">
      <c r="B169" s="29" t="n">
        <f aca="false">B139</f>
        <v>82</v>
      </c>
      <c r="C169" s="25" t="n">
        <f aca="false">IF($O$7="sell",-1,1) *  IF($K$7="call",  NORMDIST(I169,0,1,1),  NORMDIST(I169,0,1,1)-1  ) * $P$7</f>
        <v>-0.0905150811807948</v>
      </c>
      <c r="D169" s="25" t="n">
        <f aca="false">IF($O$7="sell",-1,1) * NORMDIST(I169,0,1,0)/(B169*$H$7*SQRT($J$7)) * $P$7</f>
        <v>0.0237885959174222</v>
      </c>
      <c r="E169" s="25" t="n">
        <f aca="false">IF($O$7="sell",-1,1) * (B169*NORMDIST(I169,0,1,0)*SQRT($J$7)/365) * $P$7</f>
        <v>0.00523092398690862</v>
      </c>
      <c r="F169" s="25" t="n">
        <f aca="false">IF($O$7="sell",-1,1) * (-(B169*NORMDIST(I169,0,1,0)*$H$7)/(2*SQRT($J$7))/365) *$P$7</f>
        <v>-0.259949459798427</v>
      </c>
      <c r="G169" s="25" t="n">
        <f aca="false">IF($O$7="buy",1,-1)*( IF($K$7="call",B169*NORMDIST(I169,0,1,1) - $B$7*NORMDIST(J169,0,1,1),$B$7*NORMDIST(-J169,0,1,1) - B169*NORMDIST(-I169,0,1,1) ) - $G$7) * $P$7</f>
        <v>-3.88105825486236</v>
      </c>
      <c r="I169" s="26" t="n">
        <f aca="false">(LN(B169/$B$7)+($H$7^2/2)*($J$7))/($H$7*SQRT($J$7))</f>
        <v>2.09460598808109</v>
      </c>
      <c r="J169" s="26" t="n">
        <f aca="false">I169 - $H$7*SQRT($J$7)</f>
        <v>1.98058332078404</v>
      </c>
    </row>
    <row r="170" customFormat="false" ht="13.5" hidden="false" customHeight="true" outlineLevel="0" collapsed="false">
      <c r="B170" s="29" t="n">
        <f aca="false">B140</f>
        <v>81</v>
      </c>
      <c r="C170" s="25" t="n">
        <f aca="false">IF($O$7="sell",-1,1) *  IF($K$7="call",  NORMDIST(I170,0,1,1),  NORMDIST(I170,0,1,1)-1  ) * $P$7</f>
        <v>-0.117307379034602</v>
      </c>
      <c r="D170" s="25" t="n">
        <f aca="false">IF($O$7="sell",-1,1) * NORMDIST(I170,0,1,0)/(B170*$H$7*SQRT($J$7)) * $P$7</f>
        <v>0.0299967476807838</v>
      </c>
      <c r="E170" s="25" t="n">
        <f aca="false">IF($O$7="sell",-1,1) * (B170*NORMDIST(I170,0,1,0)*SQRT($J$7)/365) * $P$7</f>
        <v>0.006436149195494</v>
      </c>
      <c r="F170" s="25" t="n">
        <f aca="false">IF($O$7="sell",-1,1) * (-(B170*NORMDIST(I170,0,1,0)*$H$7)/(2*SQRT($J$7))/365) *$P$7</f>
        <v>-0.319842825232775</v>
      </c>
      <c r="G170" s="25" t="n">
        <f aca="false">IF($O$7="buy",1,-1)*( IF($K$7="call",B170*NORMDIST(I170,0,1,1) - $B$7*NORMDIST(J170,0,1,1),$B$7*NORMDIST(-J170,0,1,1) - B170*NORMDIST(-I170,0,1,1) ) - $G$7) * $P$7</f>
        <v>-3.77766414670547</v>
      </c>
      <c r="I170" s="26" t="n">
        <f aca="false">(LN(B170/$B$7)+($H$7^2/2)*($J$7))/($H$7*SQRT($J$7))</f>
        <v>1.98699499385791</v>
      </c>
      <c r="J170" s="26" t="n">
        <f aca="false">I170 - $H$7*SQRT($J$7)</f>
        <v>1.87297232656086</v>
      </c>
    </row>
    <row r="171" customFormat="false" ht="13.5" hidden="false" customHeight="true" outlineLevel="0" collapsed="false">
      <c r="B171" s="29" t="n">
        <f aca="false">B141</f>
        <v>80</v>
      </c>
      <c r="C171" s="25" t="n">
        <f aca="false">IF($O$7="sell",-1,1) *  IF($K$7="call",  NORMDIST(I171,0,1,1),  NORMDIST(I171,0,1,1)-1  ) * $P$7</f>
        <v>-0.150936776840631</v>
      </c>
      <c r="D171" s="25" t="n">
        <f aca="false">IF($O$7="sell",-1,1) * NORMDIST(I171,0,1,0)/(B171*$H$7*SQRT($J$7)) * $P$7</f>
        <v>0.0374892950654494</v>
      </c>
      <c r="E171" s="25" t="n">
        <f aca="false">IF($O$7="sell",-1,1) * (B171*NORMDIST(I171,0,1,0)*SQRT($J$7)/365) * $P$7</f>
        <v>0.00784637649647859</v>
      </c>
      <c r="F171" s="25" t="n">
        <f aca="false">IF($O$7="sell",-1,1) * (-(B171*NORMDIST(I171,0,1,0)*$H$7)/(2*SQRT($J$7))/365) *$P$7</f>
        <v>-0.389923718398379</v>
      </c>
      <c r="G171" s="25" t="n">
        <f aca="false">IF($O$7="buy",1,-1)*( IF($K$7="call",B171*NORMDIST(I171,0,1,1) - $B$7*NORMDIST(J171,0,1,1),$B$7*NORMDIST(-J171,0,1,1) - B171*NORMDIST(-I171,0,1,1) ) - $G$7) * $P$7</f>
        <v>-3.64416623228846</v>
      </c>
      <c r="I171" s="26" t="n">
        <f aca="false">(LN(B171/$B$7)+($H$7^2/2)*($J$7))/($H$7*SQRT($J$7))</f>
        <v>1.87804718292665</v>
      </c>
      <c r="J171" s="26" t="n">
        <f aca="false">I171 - $H$7*SQRT($J$7)</f>
        <v>1.7640245156296</v>
      </c>
    </row>
    <row r="172" customFormat="false" ht="13.5" hidden="false" customHeight="true" outlineLevel="0" collapsed="false">
      <c r="B172" s="29" t="n">
        <f aca="false">B142</f>
        <v>79</v>
      </c>
      <c r="C172" s="25" t="n">
        <f aca="false">IF($O$7="sell",-1,1) *  IF($K$7="call",  NORMDIST(I172,0,1,1),  NORMDIST(I172,0,1,1)-1  ) * $P$7</f>
        <v>-0.192765580610873</v>
      </c>
      <c r="D172" s="25" t="n">
        <f aca="false">IF($O$7="sell",-1,1) * NORMDIST(I172,0,1,0)/(B172*$H$7*SQRT($J$7)) * $P$7</f>
        <v>0.0464200764102894</v>
      </c>
      <c r="E172" s="25" t="n">
        <f aca="false">IF($O$7="sell",-1,1) * (B172*NORMDIST(I172,0,1,0)*SQRT($J$7)/365) * $P$7</f>
        <v>0.00947418647965502</v>
      </c>
      <c r="F172" s="25" t="n">
        <f aca="false">IF($O$7="sell",-1,1) * (-(B172*NORMDIST(I172,0,1,0)*$H$7)/(2*SQRT($J$7))/365) *$P$7</f>
        <v>-0.470817328559836</v>
      </c>
      <c r="G172" s="25" t="n">
        <f aca="false">IF($O$7="buy",1,-1)*( IF($K$7="call",B172*NORMDIST(I172,0,1,1) - $B$7*NORMDIST(J172,0,1,1),$B$7*NORMDIST(-J172,0,1,1) - B172*NORMDIST(-I172,0,1,1) ) - $G$7) * $P$7</f>
        <v>-3.47305909497767</v>
      </c>
      <c r="I172" s="26" t="n">
        <f aca="false">(LN(B172/$B$7)+($H$7^2/2)*($J$7))/($H$7*SQRT($J$7))</f>
        <v>1.76772892336437</v>
      </c>
      <c r="J172" s="26" t="n">
        <f aca="false">I172 - $H$7*SQRT($J$7)</f>
        <v>1.65370625606732</v>
      </c>
    </row>
    <row r="173" customFormat="false" ht="13.5" hidden="false" customHeight="true" outlineLevel="0" collapsed="false">
      <c r="B173" s="29" t="n">
        <f aca="false">B143</f>
        <v>78</v>
      </c>
      <c r="C173" s="25" t="n">
        <f aca="false">IF($O$7="sell",-1,1) *  IF($K$7="call",  NORMDIST(I173,0,1,1),  NORMDIST(I173,0,1,1)-1  ) * $P$7</f>
        <v>-0.24430186486089</v>
      </c>
      <c r="D173" s="25" t="n">
        <f aca="false">IF($O$7="sell",-1,1) * NORMDIST(I173,0,1,0)/(B173*$H$7*SQRT($J$7)) * $P$7</f>
        <v>0.0569245708256536</v>
      </c>
      <c r="E173" s="25" t="n">
        <f aca="false">IF($O$7="sell",-1,1) * (B173*NORMDIST(I173,0,1,0)*SQRT($J$7)/365) * $P$7</f>
        <v>0.0113258515633987</v>
      </c>
      <c r="F173" s="25" t="n">
        <f aca="false">IF($O$7="sell",-1,1) * (-(B173*NORMDIST(I173,0,1,0)*$H$7)/(2*SQRT($J$7))/365) *$P$7</f>
        <v>-0.562835361980208</v>
      </c>
      <c r="G173" s="25" t="n">
        <f aca="false">IF($O$7="buy",1,-1)*( IF($K$7="call",B173*NORMDIST(I173,0,1,1) - $B$7*NORMDIST(J173,0,1,1),$B$7*NORMDIST(-J173,0,1,1) - B173*NORMDIST(-I173,0,1,1) ) - $G$7) * $P$7</f>
        <v>-3.25540060197825</v>
      </c>
      <c r="I173" s="26" t="n">
        <f aca="false">(LN(B173/$B$7)+($H$7^2/2)*($J$7))/($H$7*SQRT($J$7))</f>
        <v>1.65600529788346</v>
      </c>
      <c r="J173" s="26" t="n">
        <f aca="false">I173 - $H$7*SQRT($J$7)</f>
        <v>1.54198263058641</v>
      </c>
    </row>
    <row r="174" customFormat="false" ht="13.5" hidden="false" customHeight="true" outlineLevel="0" collapsed="false">
      <c r="B174" s="29" t="n">
        <f aca="false">B144</f>
        <v>77</v>
      </c>
      <c r="C174" s="25" t="n">
        <f aca="false">IF($O$7="sell",-1,1) *  IF($K$7="call",  NORMDIST(I174,0,1,1),  NORMDIST(I174,0,1,1)-1  ) * $P$7</f>
        <v>-0.307173981206553</v>
      </c>
      <c r="D174" s="25" t="n">
        <f aca="false">IF($O$7="sell",-1,1) * NORMDIST(I174,0,1,0)/(B174*$H$7*SQRT($J$7)) * $P$7</f>
        <v>0.0691051709024838</v>
      </c>
      <c r="E174" s="25" t="n">
        <f aca="false">IF($O$7="sell",-1,1) * (B174*NORMDIST(I174,0,1,0)*SQRT($J$7)/365) * $P$7</f>
        <v>0.0133990463915774</v>
      </c>
      <c r="F174" s="25" t="n">
        <f aca="false">IF($O$7="sell",-1,1) * (-(B174*NORMDIST(I174,0,1,0)*$H$7)/(2*SQRT($J$7))/365) *$P$7</f>
        <v>-0.665862260667843</v>
      </c>
      <c r="G174" s="25" t="n">
        <f aca="false">IF($O$7="buy",1,-1)*( IF($K$7="call",B174*NORMDIST(I174,0,1,1) - $B$7*NORMDIST(J174,0,1,1),$B$7*NORMDIST(-J174,0,1,1) - B174*NORMDIST(-I174,0,1,1) ) - $G$7) * $P$7</f>
        <v>-2.9806776538163</v>
      </c>
      <c r="I174" s="26" t="n">
        <f aca="false">(LN(B174/$B$7)+($H$7^2/2)*($J$7))/($H$7*SQRT($J$7))</f>
        <v>1.54284003748579</v>
      </c>
      <c r="J174" s="26" t="n">
        <f aca="false">I174 - $H$7*SQRT($J$7)</f>
        <v>1.42881737018874</v>
      </c>
    </row>
    <row r="175" customFormat="false" ht="13.5" hidden="false" customHeight="true" outlineLevel="0" collapsed="false">
      <c r="B175" s="29" t="n">
        <f aca="false">B145</f>
        <v>76</v>
      </c>
      <c r="C175" s="25" t="n">
        <f aca="false">IF($O$7="sell",-1,1) *  IF($K$7="call",  NORMDIST(I175,0,1,1),  NORMDIST(I175,0,1,1)-1  ) * $P$7</f>
        <v>-0.383089024167</v>
      </c>
      <c r="D175" s="25" t="n">
        <f aca="false">IF($O$7="sell",-1,1) * NORMDIST(I175,0,1,0)/(B175*$H$7*SQRT($J$7)) * $P$7</f>
        <v>0.0830139121092384</v>
      </c>
      <c r="E175" s="25" t="n">
        <f aca="false">IF($O$7="sell",-1,1) * (B175*NORMDIST(I175,0,1,0)*SQRT($J$7)/365) * $P$7</f>
        <v>0.0156805019396886</v>
      </c>
      <c r="F175" s="25" t="n">
        <f aca="false">IF($O$7="sell",-1,1) * (-(B175*NORMDIST(I175,0,1,0)*$H$7)/(2*SQRT($J$7))/365) *$P$7</f>
        <v>-0.779238623767339</v>
      </c>
      <c r="G175" s="25" t="n">
        <f aca="false">IF($O$7="buy",1,-1)*( IF($K$7="call",B175*NORMDIST(I175,0,1,1) - $B$7*NORMDIST(J175,0,1,1),$B$7*NORMDIST(-J175,0,1,1) - B175*NORMDIST(-I175,0,1,1) ) - $G$7) * $P$7</f>
        <v>-2.63670523407993</v>
      </c>
      <c r="I175" s="26" t="n">
        <f aca="false">(LN(B175/$B$7)+($H$7^2/2)*($J$7))/($H$7*SQRT($J$7))</f>
        <v>1.42819545078009</v>
      </c>
      <c r="J175" s="26" t="n">
        <f aca="false">I175 - $H$7*SQRT($J$7)</f>
        <v>1.31417278348303</v>
      </c>
    </row>
    <row r="176" customFormat="false" ht="13.5" hidden="false" customHeight="true" outlineLevel="0" collapsed="false">
      <c r="B176" s="29" t="n">
        <f aca="false">B146</f>
        <v>75</v>
      </c>
      <c r="C176" s="25" t="n">
        <f aca="false">IF($O$7="sell",-1,1) *  IF($K$7="call",  NORMDIST(I176,0,1,1),  NORMDIST(I176,0,1,1)-1  ) * $P$7</f>
        <v>-0.473773050280112</v>
      </c>
      <c r="D176" s="25" t="n">
        <f aca="false">IF($O$7="sell",-1,1) * NORMDIST(I176,0,1,0)/(B176*$H$7*SQRT($J$7)) * $P$7</f>
        <v>0.0986334168206657</v>
      </c>
      <c r="E176" s="25" t="n">
        <f aca="false">IF($O$7="sell",-1,1) * (B176*NORMDIST(I176,0,1,0)*SQRT($J$7)/365) * $P$7</f>
        <v>0.0181438104411639</v>
      </c>
      <c r="F176" s="25" t="n">
        <f aca="false">IF($O$7="sell",-1,1) * (-(B176*NORMDIST(I176,0,1,0)*$H$7)/(2*SQRT($J$7))/365) *$P$7</f>
        <v>-0.901652123921028</v>
      </c>
      <c r="G176" s="25" t="n">
        <f aca="false">IF($O$7="buy",1,-1)*( IF($K$7="call",B176*NORMDIST(I176,0,1,1) - $B$7*NORMDIST(J176,0,1,1),$B$7*NORMDIST(-J176,0,1,1) - B176*NORMDIST(-I176,0,1,1) ) - $G$7) * $P$7</f>
        <v>-2.20957596720688</v>
      </c>
      <c r="I176" s="26" t="n">
        <f aca="false">(LN(B176/$B$7)+($H$7^2/2)*($J$7))/($H$7*SQRT($J$7))</f>
        <v>1.312032348618</v>
      </c>
      <c r="J176" s="26" t="n">
        <f aca="false">I176 - $H$7*SQRT($J$7)</f>
        <v>1.19800968132095</v>
      </c>
    </row>
    <row r="177" customFormat="false" ht="13.5" hidden="false" customHeight="true" outlineLevel="0" collapsed="false">
      <c r="B177" s="29" t="n">
        <f aca="false">B147</f>
        <v>74</v>
      </c>
      <c r="C177" s="25" t="n">
        <f aca="false">IF($O$7="sell",-1,1) *  IF($K$7="call",  NORMDIST(I177,0,1,1),  NORMDIST(I177,0,1,1)-1  ) * $P$7</f>
        <v>-0.580891853884687</v>
      </c>
      <c r="D177" s="25" t="n">
        <f aca="false">IF($O$7="sell",-1,1) * NORMDIST(I177,0,1,0)/(B177*$H$7*SQRT($J$7)) * $P$7</f>
        <v>0.115857320083754</v>
      </c>
      <c r="E177" s="25" t="n">
        <f aca="false">IF($O$7="sell",-1,1) * (B177*NORMDIST(I177,0,1,0)*SQRT($J$7)/365) * $P$7</f>
        <v>0.0207476452215692</v>
      </c>
      <c r="F177" s="25" t="n">
        <f aca="false">IF($O$7="sell",-1,1) * (-(B177*NORMDIST(I177,0,1,0)*$H$7)/(2*SQRT($J$7))/365) *$P$7</f>
        <v>-1.03104904237457</v>
      </c>
      <c r="G177" s="25" t="n">
        <f aca="false">IF($O$7="buy",1,-1)*( IF($K$7="call",B177*NORMDIST(I177,0,1,1) - $B$7*NORMDIST(J177,0,1,1),$B$7*NORMDIST(-J177,0,1,1) - B177*NORMDIST(-I177,0,1,1) ) - $G$7) * $P$7</f>
        <v>-1.68367913486574</v>
      </c>
      <c r="I177" s="26" t="n">
        <f aca="false">(LN(B177/$B$7)+($H$7^2/2)*($J$7))/($H$7*SQRT($J$7))</f>
        <v>1.19430996367176</v>
      </c>
      <c r="J177" s="26" t="n">
        <f aca="false">I177 - $H$7*SQRT($J$7)</f>
        <v>1.08028729637471</v>
      </c>
    </row>
    <row r="178" customFormat="false" ht="13.5" hidden="false" customHeight="true" outlineLevel="0" collapsed="false">
      <c r="B178" s="29" t="n">
        <f aca="false">B148</f>
        <v>73</v>
      </c>
      <c r="C178" s="25" t="n">
        <f aca="false">IF($O$7="sell",-1,1) *  IF($K$7="call",  NORMDIST(I178,0,1,1),  NORMDIST(I178,0,1,1)-1  ) * $P$7</f>
        <v>-0.705952642503003</v>
      </c>
      <c r="D178" s="25" t="n">
        <f aca="false">IF($O$7="sell",-1,1) * NORMDIST(I178,0,1,0)/(B178*$H$7*SQRT($J$7)) * $P$7</f>
        <v>0.134471990326771</v>
      </c>
      <c r="E178" s="25" t="n">
        <f aca="false">IF($O$7="sell",-1,1) * (B178*NORMDIST(I178,0,1,0)*SQRT($J$7)/365) * $P$7</f>
        <v>0.0234347026982271</v>
      </c>
      <c r="F178" s="25" t="n">
        <f aca="false">IF($O$7="sell",-1,1) * (-(B178*NORMDIST(I178,0,1,0)*$H$7)/(2*SQRT($J$7))/365) *$P$7</f>
        <v>-1.16458169191272</v>
      </c>
      <c r="G178" s="25" t="n">
        <f aca="false">IF($O$7="buy",1,-1)*( IF($K$7="call",B178*NORMDIST(I178,0,1,1) - $B$7*NORMDIST(J178,0,1,1),$B$7*NORMDIST(-J178,0,1,1) - B178*NORMDIST(-I178,0,1,1) ) - $G$7) * $P$7</f>
        <v>-1.04180857394016</v>
      </c>
      <c r="I178" s="26" t="n">
        <f aca="false">(LN(B178/$B$7)+($H$7^2/2)*($J$7))/($H$7*SQRT($J$7))</f>
        <v>1.07498586454038</v>
      </c>
      <c r="J178" s="26" t="n">
        <f aca="false">I178 - $H$7*SQRT($J$7)</f>
        <v>0.960963197243323</v>
      </c>
    </row>
    <row r="179" customFormat="false" ht="13.5" hidden="false" customHeight="true" outlineLevel="0" collapsed="false">
      <c r="B179" s="29" t="n">
        <f aca="false">B149</f>
        <v>72</v>
      </c>
      <c r="C179" s="25" t="n">
        <f aca="false">IF($O$7="sell",-1,1) *  IF($K$7="call",  NORMDIST(I179,0,1,1),  NORMDIST(I179,0,1,1)-1  ) * $P$7</f>
        <v>-0.85018903081813</v>
      </c>
      <c r="D179" s="25" t="n">
        <f aca="false">IF($O$7="sell",-1,1) * NORMDIST(I179,0,1,0)/(B179*$H$7*SQRT($J$7)) * $P$7</f>
        <v>0.154141871108014</v>
      </c>
      <c r="E179" s="25" t="n">
        <f aca="false">IF($O$7="sell",-1,1) * (B179*NORMDIST(I179,0,1,0)*SQRT($J$7)/365) * $P$7</f>
        <v>0.0261316910201611</v>
      </c>
      <c r="F179" s="25" t="n">
        <f aca="false">IF($O$7="sell",-1,1) * (-(B179*NORMDIST(I179,0,1,0)*$H$7)/(2*SQRT($J$7))/365) *$P$7</f>
        <v>-1.29860785232415</v>
      </c>
      <c r="G179" s="25" t="n">
        <f aca="false">IF($O$7="buy",1,-1)*( IF($K$7="call",B179*NORMDIST(I179,0,1,1) - $B$7*NORMDIST(J179,0,1,1),$B$7*NORMDIST(-J179,0,1,1) - B179*NORMDIST(-I179,0,1,1) ) - $G$7) * $P$7</f>
        <v>-0.26537754103611</v>
      </c>
      <c r="I179" s="26" t="n">
        <f aca="false">(LN(B179/$B$7)+($H$7^2/2)*($J$7))/($H$7*SQRT($J$7))</f>
        <v>0.954015863931624</v>
      </c>
      <c r="J179" s="26" t="n">
        <f aca="false">I179 - $H$7*SQRT($J$7)</f>
        <v>0.839993196634572</v>
      </c>
    </row>
    <row r="180" customFormat="false" ht="13.5" hidden="false" customHeight="true" outlineLevel="0" collapsed="false">
      <c r="B180" s="29" t="n">
        <f aca="false">B150</f>
        <v>71</v>
      </c>
      <c r="C180" s="25" t="n">
        <f aca="false">IF($O$7="sell",-1,1) *  IF($K$7="call",  NORMDIST(I180,0,1,1),  NORMDIST(I180,0,1,1)-1  ) * $P$7</f>
        <v>-1.01443430543917</v>
      </c>
      <c r="D180" s="25" t="n">
        <f aca="false">IF($O$7="sell",-1,1) * NORMDIST(I180,0,1,0)/(B180*$H$7*SQRT($J$7)) * $P$7</f>
        <v>0.174401153417083</v>
      </c>
      <c r="E180" s="25" t="n">
        <f aca="false">IF($O$7="sell",-1,1) * (B180*NORMDIST(I180,0,1,0)*SQRT($J$7)/365) * $P$7</f>
        <v>0.0287506683789923</v>
      </c>
      <c r="F180" s="25" t="n">
        <f aca="false">IF($O$7="sell",-1,1) * (-(B180*NORMDIST(I180,0,1,0)*$H$7)/(2*SQRT($J$7))/365) *$P$7</f>
        <v>-1.42875727742693</v>
      </c>
      <c r="G180" s="25" t="n">
        <f aca="false">IF($O$7="buy",1,-1)*( IF($K$7="call",B180*NORMDIST(I180,0,1,1) - $B$7*NORMDIST(J180,0,1,1),$B$7*NORMDIST(-J180,0,1,1) - B180*NORMDIST(-I180,0,1,1) ) - $G$7) * $P$7</f>
        <v>0.665245025046531</v>
      </c>
      <c r="I180" s="26" t="n">
        <f aca="false">(LN(B180/$B$7)+($H$7^2/2)*($J$7))/($H$7*SQRT($J$7))</f>
        <v>0.831353920422594</v>
      </c>
      <c r="J180" s="26" t="n">
        <f aca="false">I180 - $H$7*SQRT($J$7)</f>
        <v>0.717331253125541</v>
      </c>
    </row>
    <row r="181" customFormat="false" ht="13.5" hidden="false" customHeight="true" outlineLevel="0" collapsed="false">
      <c r="B181" s="29" t="n">
        <f aca="false">B151</f>
        <v>70</v>
      </c>
      <c r="C181" s="25" t="n">
        <f aca="false">IF($O$7="sell",-1,1) *  IF($K$7="call",  NORMDIST(I181,0,1,1),  NORMDIST(I181,0,1,1)-1  ) * $P$7</f>
        <v>-1.19899071687414</v>
      </c>
      <c r="D181" s="25" t="n">
        <f aca="false">IF($O$7="sell",-1,1) * NORMDIST(I181,0,1,0)/(B181*$H$7*SQRT($J$7)) * $P$7</f>
        <v>0.194654626468904</v>
      </c>
      <c r="E181" s="25" t="n">
        <f aca="false">IF($O$7="sell",-1,1) * (B181*NORMDIST(I181,0,1,0)*SQRT($J$7)/365) * $P$7</f>
        <v>0.0311919628848838</v>
      </c>
      <c r="F181" s="25" t="n">
        <f aca="false">IF($O$7="sell",-1,1) * (-(B181*NORMDIST(I181,0,1,0)*$H$7)/(2*SQRT($J$7))/365) *$P$7</f>
        <v>-1.55007679757358</v>
      </c>
      <c r="G181" s="25" t="n">
        <f aca="false">IF($O$7="buy",1,-1)*( IF($K$7="call",B181*NORMDIST(I181,0,1,1) - $B$7*NORMDIST(J181,0,1,1),$B$7*NORMDIST(-J181,0,1,1) - B181*NORMDIST(-I181,0,1,1) ) - $G$7) * $P$7</f>
        <v>1.77026875403818</v>
      </c>
      <c r="I181" s="26" t="n">
        <f aca="false">(LN(B181/$B$7)+($H$7^2/2)*($J$7))/($H$7*SQRT($J$7))</f>
        <v>0.70695203325219</v>
      </c>
      <c r="J181" s="26" t="n">
        <f aca="false">I181 - $H$7*SQRT($J$7)</f>
        <v>0.592929365955138</v>
      </c>
    </row>
    <row r="182" customFormat="false" ht="13.5" hidden="false" customHeight="true" outlineLevel="0" collapsed="false">
      <c r="B182" s="29" t="n">
        <f aca="false">B152</f>
        <v>69</v>
      </c>
      <c r="C182" s="25" t="n">
        <f aca="false">IF($O$7="sell",-1,1) *  IF($K$7="call",  NORMDIST(I182,0,1,1),  NORMDIST(I182,0,1,1)-1  ) * $P$7</f>
        <v>-1.40350532488117</v>
      </c>
      <c r="D182" s="25" t="n">
        <f aca="false">IF($O$7="sell",-1,1) * NORMDIST(I182,0,1,0)/(B182*$H$7*SQRT($J$7)) * $P$7</f>
        <v>0.214190328227385</v>
      </c>
      <c r="E182" s="25" t="n">
        <f aca="false">IF($O$7="sell",-1,1) * (B182*NORMDIST(I182,0,1,0)*SQRT($J$7)/365) * $P$7</f>
        <v>0.0333487786319559</v>
      </c>
      <c r="F182" s="25" t="n">
        <f aca="false">IF($O$7="sell",-1,1) * (-(B182*NORMDIST(I182,0,1,0)*$H$7)/(2*SQRT($J$7))/365) *$P$7</f>
        <v>-1.65725921692039</v>
      </c>
      <c r="G182" s="25" t="n">
        <f aca="false">IF($O$7="buy",1,-1)*( IF($K$7="call",B182*NORMDIST(I182,0,1,1) - $B$7*NORMDIST(J182,0,1,1),$B$7*NORMDIST(-J182,0,1,1) - B182*NORMDIST(-I182,0,1,1) ) - $G$7) * $P$7</f>
        <v>3.06988767932001</v>
      </c>
      <c r="I182" s="26" t="n">
        <f aca="false">(LN(B182/$B$7)+($H$7^2/2)*($J$7))/($H$7*SQRT($J$7))</f>
        <v>0.580760129544009</v>
      </c>
      <c r="J182" s="26" t="n">
        <f aca="false">I182 - $H$7*SQRT($J$7)</f>
        <v>0.466737462246957</v>
      </c>
    </row>
    <row r="183" customFormat="false" ht="13.5" hidden="false" customHeight="true" outlineLevel="0" collapsed="false">
      <c r="B183" s="29" t="n">
        <f aca="false">B153</f>
        <v>68</v>
      </c>
      <c r="C183" s="25" t="n">
        <f aca="false">IF($O$7="sell",-1,1) *  IF($K$7="call",  NORMDIST(I183,0,1,1),  NORMDIST(I183,0,1,1)-1  ) * $P$7</f>
        <v>-1.62686523987088</v>
      </c>
      <c r="D183" s="25" t="n">
        <f aca="false">IF($O$7="sell",-1,1) * NORMDIST(I183,0,1,0)/(B183*$H$7*SQRT($J$7)) * $P$7</f>
        <v>0.232205923107138</v>
      </c>
      <c r="E183" s="25" t="n">
        <f aca="false">IF($O$7="sell",-1,1) * (B183*NORMDIST(I183,0,1,0)*SQRT($J$7)/365) * $P$7</f>
        <v>0.0351134105237579</v>
      </c>
      <c r="F183" s="25" t="n">
        <f aca="false">IF($O$7="sell",-1,1) * (-(B183*NORMDIST(I183,0,1,0)*$H$7)/(2*SQRT($J$7))/365) *$P$7</f>
        <v>-1.74495215762552</v>
      </c>
      <c r="G183" s="25" t="n">
        <f aca="false">IF($O$7="buy",1,-1)*( IF($K$7="call",B183*NORMDIST(I183,0,1,1) - $B$7*NORMDIST(J183,0,1,1),$B$7*NORMDIST(-J183,0,1,1) - B183*NORMDIST(-I183,0,1,1) ) - $G$7) * $P$7</f>
        <v>4.58357047079893</v>
      </c>
      <c r="I183" s="26" t="n">
        <f aca="false">(LN(B183/$B$7)+($H$7^2/2)*($J$7))/($H$7*SQRT($J$7))</f>
        <v>0.452725943296464</v>
      </c>
      <c r="J183" s="26" t="n">
        <f aca="false">I183 - $H$7*SQRT($J$7)</f>
        <v>0.338703275999411</v>
      </c>
    </row>
    <row r="184" customFormat="false" ht="13.5" hidden="false" customHeight="true" outlineLevel="0" collapsed="false">
      <c r="B184" s="29" t="n">
        <f aca="false">B154</f>
        <v>67</v>
      </c>
      <c r="C184" s="25" t="n">
        <f aca="false">IF($O$7="sell",-1,1) *  IF($K$7="call",  NORMDIST(I184,0,1,1),  NORMDIST(I184,0,1,1)-1  ) * $P$7</f>
        <v>-1.86712646673698</v>
      </c>
      <c r="D184" s="25" t="n">
        <f aca="false">IF($O$7="sell",-1,1) * NORMDIST(I184,0,1,0)/(B184*$H$7*SQRT($J$7)) * $P$7</f>
        <v>0.247849519108261</v>
      </c>
      <c r="E184" s="25" t="n">
        <f aca="false">IF($O$7="sell",-1,1) * (B184*NORMDIST(I184,0,1,0)*SQRT($J$7)/365) * $P$7</f>
        <v>0.0363847655709931</v>
      </c>
      <c r="F184" s="25" t="n">
        <f aca="false">IF($O$7="sell",-1,1) * (-(B184*NORMDIST(I184,0,1,0)*$H$7)/(2*SQRT($J$7))/365) *$P$7</f>
        <v>-1.80813182885911</v>
      </c>
      <c r="G184" s="25" t="n">
        <f aca="false">IF($O$7="buy",1,-1)*( IF($K$7="call",B184*NORMDIST(I184,0,1,1) - $B$7*NORMDIST(J184,0,1,1),$B$7*NORMDIST(-J184,0,1,1) - B184*NORMDIST(-I184,0,1,1) ) - $G$7) * $P$7</f>
        <v>6.32926150471665</v>
      </c>
      <c r="I184" s="26" t="n">
        <f aca="false">(LN(B184/$B$7)+($H$7^2/2)*($J$7))/($H$7*SQRT($J$7))</f>
        <v>0.322794885408259</v>
      </c>
      <c r="J184" s="26" t="n">
        <f aca="false">I184 - $H$7*SQRT($J$7)</f>
        <v>0.208772218111207</v>
      </c>
    </row>
    <row r="185" customFormat="false" ht="13.5" hidden="false" customHeight="true" outlineLevel="0" collapsed="false">
      <c r="B185" s="29" t="n">
        <f aca="false">B155</f>
        <v>66</v>
      </c>
      <c r="C185" s="25" t="n">
        <f aca="false">IF($O$7="sell",-1,1) *  IF($K$7="call",  NORMDIST(I185,0,1,1),  NORMDIST(I185,0,1,1)-1  ) * $P$7</f>
        <v>-2.12149045168099</v>
      </c>
      <c r="D185" s="25" t="n">
        <f aca="false">IF($O$7="sell",-1,1) * NORMDIST(I185,0,1,0)/(B185*$H$7*SQRT($J$7)) * $P$7</f>
        <v>0.260273925204108</v>
      </c>
      <c r="E185" s="25" t="n">
        <f aca="false">IF($O$7="sell",-1,1) * (B185*NORMDIST(I185,0,1,0)*SQRT($J$7)/365) * $P$7</f>
        <v>0.0370766449315537</v>
      </c>
      <c r="F185" s="25" t="n">
        <f aca="false">IF($O$7="sell",-1,1) * (-(B185*NORMDIST(I185,0,1,0)*$H$7)/(2*SQRT($J$7))/365) *$P$7</f>
        <v>-1.84251460071233</v>
      </c>
      <c r="G185" s="25" t="n">
        <f aca="false">IF($O$7="buy",1,-1)*( IF($K$7="call",B185*NORMDIST(I185,0,1,1) - $B$7*NORMDIST(J185,0,1,1),$B$7*NORMDIST(-J185,0,1,1) - B185*NORMDIST(-I185,0,1,1) ) - $G$7) * $P$7</f>
        <v>8.32253350584457</v>
      </c>
      <c r="I185" s="26" t="n">
        <f aca="false">(LN(B185/$B$7)+($H$7^2/2)*($J$7))/($H$7*SQRT($J$7))</f>
        <v>0.190909903930289</v>
      </c>
      <c r="J185" s="26" t="n">
        <f aca="false">I185 - $H$7*SQRT($J$7)</f>
        <v>0.0768872366332366</v>
      </c>
    </row>
    <row r="186" customFormat="false" ht="13.5" hidden="false" customHeight="true" outlineLevel="0" collapsed="false">
      <c r="B186" s="29" t="n">
        <f aca="false">B156</f>
        <v>65</v>
      </c>
      <c r="C186" s="25" t="n">
        <f aca="false">IF($O$7="sell",-1,1) *  IF($K$7="call",  NORMDIST(I186,0,1,1),  NORMDIST(I186,0,1,1)-1  ) * $P$7</f>
        <v>-2.38634041720211</v>
      </c>
      <c r="D186" s="25" t="n">
        <f aca="false">IF($O$7="sell",-1,1) * NORMDIST(I186,0,1,0)/(B186*$H$7*SQRT($J$7)) * $P$7</f>
        <v>0.268701273916739</v>
      </c>
      <c r="E186" s="25" t="n">
        <f aca="false">IF($O$7="sell",-1,1) * (B186*NORMDIST(I186,0,1,0)*SQRT($J$7)/365) * $P$7</f>
        <v>0.0371260148290253</v>
      </c>
      <c r="F186" s="25" t="n">
        <f aca="false">IF($O$7="sell",-1,1) * (-(B186*NORMDIST(I186,0,1,0)*$H$7)/(2*SQRT($J$7))/365) *$P$7</f>
        <v>-1.84496802542471</v>
      </c>
      <c r="G186" s="25" t="n">
        <f aca="false">IF($O$7="buy",1,-1)*( IF($K$7="call",B186*NORMDIST(I186,0,1,1) - $B$7*NORMDIST(J186,0,1,1),$B$7*NORMDIST(-J186,0,1,1) - B186*NORMDIST(-I186,0,1,1) ) - $G$7) * $P$7</f>
        <v>10.5757457637257</v>
      </c>
      <c r="I186" s="26" t="n">
        <f aca="false">(LN(B186/$B$7)+($H$7^2/2)*($J$7))/($H$7*SQRT($J$7))</f>
        <v>0.0570113336485261</v>
      </c>
      <c r="J186" s="26" t="n">
        <f aca="false">I186 - $H$7*SQRT($J$7)</f>
        <v>-0.0570113336485261</v>
      </c>
    </row>
    <row r="187" customFormat="false" ht="13.5" hidden="false" customHeight="true" outlineLevel="0" collapsed="false">
      <c r="B187" s="29" t="n">
        <f aca="false">B157</f>
        <v>64</v>
      </c>
      <c r="C187" s="25" t="n">
        <f aca="false">IF($O$7="sell",-1,1) *  IF($K$7="call",  NORMDIST(I187,0,1,1),  NORMDIST(I187,0,1,1)-1  ) * $P$7</f>
        <v>-2.65734539678719</v>
      </c>
      <c r="D187" s="25" t="n">
        <f aca="false">IF($O$7="sell",-1,1) * NORMDIST(I187,0,1,0)/(B187*$H$7*SQRT($J$7)) * $P$7</f>
        <v>0.272492745185782</v>
      </c>
      <c r="E187" s="25" t="n">
        <f aca="false">IF($O$7="sell",-1,1) * (B187*NORMDIST(I187,0,1,0)*SQRT($J$7)/365) * $P$7</f>
        <v>0.0365003296870355</v>
      </c>
      <c r="F187" s="25" t="n">
        <f aca="false">IF($O$7="sell",-1,1) * (-(B187*NORMDIST(I187,0,1,0)*$H$7)/(2*SQRT($J$7))/365) *$P$7</f>
        <v>-1.81387475871481</v>
      </c>
      <c r="G187" s="25" t="n">
        <f aca="false">IF($O$7="buy",1,-1)*( IF($K$7="call",B187*NORMDIST(I187,0,1,1) - $B$7*NORMDIST(J187,0,1,1),$B$7*NORMDIST(-J187,0,1,1) - B187*NORMDIST(-I187,0,1,1) ) - $G$7) * $P$7</f>
        <v>13.0972721058869</v>
      </c>
      <c r="I187" s="26" t="n">
        <f aca="false">(LN(B187/$B$7)+($H$7^2/2)*($J$7))/($H$7*SQRT($J$7))</f>
        <v>-0.0789632659946629</v>
      </c>
      <c r="J187" s="26" t="n">
        <f aca="false">I187 - $H$7*SQRT($J$7)</f>
        <v>-0.192985933291715</v>
      </c>
    </row>
    <row r="188" customFormat="false" ht="13.5" hidden="false" customHeight="true" outlineLevel="0" collapsed="false">
      <c r="B188" s="29" t="n">
        <f aca="false">B158</f>
        <v>63</v>
      </c>
      <c r="C188" s="25" t="n">
        <f aca="false">IF($O$7="sell",-1,1) *  IF($K$7="call",  NORMDIST(I188,0,1,1),  NORMDIST(I188,0,1,1)-1  ) * $P$7</f>
        <v>-2.92963360837741</v>
      </c>
      <c r="D188" s="25" t="n">
        <f aca="false">IF($O$7="sell",-1,1) * NORMDIST(I188,0,1,0)/(B188*$H$7*SQRT($J$7)) * $P$7</f>
        <v>0.271216186246376</v>
      </c>
      <c r="E188" s="25" t="n">
        <f aca="false">IF($O$7="sell",-1,1) * (B188*NORMDIST(I188,0,1,0)*SQRT($J$7)/365) * $P$7</f>
        <v>0.0352029127105683</v>
      </c>
      <c r="F188" s="25" t="n">
        <f aca="false">IF($O$7="sell",-1,1) * (-(B188*NORMDIST(I188,0,1,0)*$H$7)/(2*SQRT($J$7))/365) *$P$7</f>
        <v>-1.74939994642351</v>
      </c>
      <c r="G188" s="25" t="n">
        <f aca="false">IF($O$7="buy",1,-1)*( IF($K$7="call",B188*NORMDIST(I188,0,1,1) - $B$7*NORMDIST(J188,0,1,1),$B$7*NORMDIST(-J188,0,1,1) - B188*NORMDIST(-I188,0,1,1) ) - $G$7) * $P$7</f>
        <v>15.8908677486385</v>
      </c>
      <c r="I188" s="26" t="n">
        <f aca="false">(LN(B188/$B$7)+($H$7^2/2)*($J$7))/($H$7*SQRT($J$7))</f>
        <v>-0.217079285742838</v>
      </c>
      <c r="J188" s="26" t="n">
        <f aca="false">I188 - $H$7*SQRT($J$7)</f>
        <v>-0.33110195303989</v>
      </c>
    </row>
    <row r="189" customFormat="false" ht="13.5" hidden="false" customHeight="true" outlineLevel="0" collapsed="false">
      <c r="B189" s="29" t="n">
        <f aca="false">B159</f>
        <v>62</v>
      </c>
      <c r="C189" s="25" t="n">
        <f aca="false">IF($O$7="sell",-1,1) *  IF($K$7="call",  NORMDIST(I189,0,1,1),  NORMDIST(I189,0,1,1)-1  ) * $P$7</f>
        <v>-3.19802889244504</v>
      </c>
      <c r="D189" s="25" t="n">
        <f aca="false">IF($O$7="sell",-1,1) * NORMDIST(I189,0,1,0)/(B189*$H$7*SQRT($J$7)) * $P$7</f>
        <v>0.264703155261039</v>
      </c>
      <c r="E189" s="25" t="n">
        <f aca="false">IF($O$7="sell",-1,1) * (B189*NORMDIST(I189,0,1,0)*SQRT($J$7)/365) * $P$7</f>
        <v>0.0332754848496749</v>
      </c>
      <c r="F189" s="25" t="n">
        <f aca="false">IF($O$7="sell",-1,1) * (-(B189*NORMDIST(I189,0,1,0)*$H$7)/(2*SQRT($J$7))/365) *$P$7</f>
        <v>-1.65361690073338</v>
      </c>
      <c r="G189" s="25" t="n">
        <f aca="false">IF($O$7="buy",1,-1)*( IF($K$7="call",B189*NORMDIST(I189,0,1,1) - $B$7*NORMDIST(J189,0,1,1),$B$7*NORMDIST(-J189,0,1,1) - B189*NORMDIST(-I189,0,1,1) ) - $G$7) * $P$7</f>
        <v>18.9552419347082</v>
      </c>
      <c r="I189" s="26" t="n">
        <f aca="false">(LN(B189/$B$7)+($H$7^2/2)*($J$7))/($H$7*SQRT($J$7))</f>
        <v>-0.357405255356905</v>
      </c>
      <c r="J189" s="26" t="n">
        <f aca="false">I189 - $H$7*SQRT($J$7)</f>
        <v>-0.471427922653957</v>
      </c>
    </row>
    <row r="190" customFormat="false" ht="13.5" hidden="false" customHeight="true" outlineLevel="0" collapsed="false">
      <c r="B190" s="29" t="n">
        <f aca="false">B160</f>
        <v>61</v>
      </c>
      <c r="C190" s="25" t="n">
        <f aca="false">IF($O$7="sell",-1,1) *  IF($K$7="call",  NORMDIST(I190,0,1,1),  NORMDIST(I190,0,1,1)-1  ) * $P$7</f>
        <v>-3.45733527468614</v>
      </c>
      <c r="D190" s="25" t="n">
        <f aca="false">IF($O$7="sell",-1,1) * NORMDIST(I190,0,1,0)/(B190*$H$7*SQRT($J$7)) * $P$7</f>
        <v>0.253086742188574</v>
      </c>
      <c r="E190" s="25" t="n">
        <f aca="false">IF($O$7="sell",-1,1) * (B190*NORMDIST(I190,0,1,0)*SQRT($J$7)/365) * $P$7</f>
        <v>0.0307971806541135</v>
      </c>
      <c r="F190" s="25" t="n">
        <f aca="false">IF($O$7="sell",-1,1) * (-(B190*NORMDIST(I190,0,1,0)*$H$7)/(2*SQRT($J$7))/365) *$P$7</f>
        <v>-1.53045819331101</v>
      </c>
      <c r="G190" s="25" t="n">
        <f aca="false">IF($O$7="buy",1,-1)*( IF($K$7="call",B190*NORMDIST(I190,0,1,1) - $B$7*NORMDIST(J190,0,1,1),$B$7*NORMDIST(-J190,0,1,1) - B190*NORMDIST(-I190,0,1,1) ) - $G$7) * $P$7</f>
        <v>22.2838926748464</v>
      </c>
      <c r="I190" s="26" t="n">
        <f aca="false">(LN(B190/$B$7)+($H$7^2/2)*($J$7))/($H$7*SQRT($J$7))</f>
        <v>-0.500013047800652</v>
      </c>
      <c r="J190" s="26" t="n">
        <f aca="false">I190 - $H$7*SQRT($J$7)</f>
        <v>-0.614035715097704</v>
      </c>
    </row>
    <row r="191" customFormat="false" ht="13.5" hidden="false" customHeight="true" outlineLevel="0" collapsed="false">
      <c r="B191" s="29" t="n">
        <f aca="false">B161</f>
        <v>60</v>
      </c>
      <c r="C191" s="25" t="n">
        <f aca="false">IF($O$7="sell",-1,1) *  IF($K$7="call",  NORMDIST(I191,0,1,1),  NORMDIST(I191,0,1,1)-1  ) * $P$7</f>
        <v>-3.70264655581227</v>
      </c>
      <c r="D191" s="25" t="n">
        <f aca="false">IF($O$7="sell",-1,1) * NORMDIST(I191,0,1,0)/(B191*$H$7*SQRT($J$7)) * $P$7</f>
        <v>0.236812747869179</v>
      </c>
      <c r="E191" s="25" t="n">
        <f aca="false">IF($O$7="sell",-1,1) * (B191*NORMDIST(I191,0,1,0)*SQRT($J$7)/365) * $P$7</f>
        <v>0.0278797883858073</v>
      </c>
      <c r="F191" s="25" t="n">
        <f aca="false">IF($O$7="sell",-1,1) * (-(B191*NORMDIST(I191,0,1,0)*$H$7)/(2*SQRT($J$7))/365) *$P$7</f>
        <v>-1.3854791138856</v>
      </c>
      <c r="G191" s="25" t="n">
        <f aca="false">IF($O$7="buy",1,-1)*( IF($K$7="call",B191*NORMDIST(I191,0,1,1) - $B$7*NORMDIST(J191,0,1,1),$B$7*NORMDIST(-J191,0,1,1) - B191*NORMDIST(-I191,0,1,1) ) - $G$7) * $P$7</f>
        <v>25.8652407896324</v>
      </c>
      <c r="I191" s="26" t="n">
        <f aca="false">(LN(B191/$B$7)+($H$7^2/2)*($J$7))/($H$7*SQRT($J$7))</f>
        <v>-0.644978100303312</v>
      </c>
      <c r="J191" s="26" t="n">
        <f aca="false">I191 - $H$7*SQRT($J$7)</f>
        <v>-0.759000767600364</v>
      </c>
    </row>
    <row r="192" customFormat="false" ht="13.5" hidden="false" customHeight="true" outlineLevel="0" collapsed="false">
      <c r="B192" s="29" t="n">
        <f aca="false">B162</f>
        <v>59</v>
      </c>
      <c r="C192" s="25" t="n">
        <f aca="false">IF($O$7="sell",-1,1) *  IF($K$7="call",  NORMDIST(I192,0,1,1),  NORMDIST(I192,0,1,1)-1  ) * $P$7</f>
        <v>-3.9296516520127</v>
      </c>
      <c r="D192" s="25" t="n">
        <f aca="false">IF($O$7="sell",-1,1) * NORMDIST(I192,0,1,0)/(B192*$H$7*SQRT($J$7)) * $P$7</f>
        <v>0.216619524362449</v>
      </c>
      <c r="E192" s="25" t="n">
        <f aca="false">IF($O$7="sell",-1,1) * (B192*NORMDIST(I192,0,1,0)*SQRT($J$7)/365) * $P$7</f>
        <v>0.0246594574003904</v>
      </c>
      <c r="F192" s="25" t="n">
        <f aca="false">IF($O$7="sell",-1,1) * (-(B192*NORMDIST(I192,0,1,0)*$H$7)/(2*SQRT($J$7))/365) *$P$7</f>
        <v>-1.22544557064805</v>
      </c>
      <c r="G192" s="25" t="n">
        <f aca="false">IF($O$7="buy",1,-1)*( IF($K$7="call",B192*NORMDIST(I192,0,1,1) - $B$7*NORMDIST(J192,0,1,1),$B$7*NORMDIST(-J192,0,1,1) - B192*NORMDIST(-I192,0,1,1) ) - $G$7) * $P$7</f>
        <v>29.6830740336196</v>
      </c>
      <c r="I192" s="26" t="n">
        <f aca="false">(LN(B192/$B$7)+($H$7^2/2)*($J$7))/($H$7*SQRT($J$7))</f>
        <v>-0.792379654001362</v>
      </c>
      <c r="J192" s="26" t="n">
        <f aca="false">I192 - $H$7*SQRT($J$7)</f>
        <v>-0.906402321298414</v>
      </c>
    </row>
    <row r="193" customFormat="false" ht="13.5" hidden="false" customHeight="true" outlineLevel="0" collapsed="false">
      <c r="B193" s="29" t="n">
        <f aca="false">B163</f>
        <v>58</v>
      </c>
      <c r="C193" s="25" t="n">
        <f aca="false">IF($O$7="sell",-1,1) *  IF($K$7="call",  NORMDIST(I193,0,1,1),  NORMDIST(I193,0,1,1)-1  ) * $P$7</f>
        <v>-4.13490362715099</v>
      </c>
      <c r="D193" s="25" t="n">
        <f aca="false">IF($O$7="sell",-1,1) * NORMDIST(I193,0,1,0)/(B193*$H$7*SQRT($J$7)) * $P$7</f>
        <v>0.193485787764067</v>
      </c>
      <c r="E193" s="25" t="n">
        <f aca="false">IF($O$7="sell",-1,1) * (B193*NORMDIST(I193,0,1,0)*SQRT($J$7)/365) * $P$7</f>
        <v>0.0212856517377291</v>
      </c>
      <c r="F193" s="25" t="n">
        <f aca="false">IF($O$7="sell",-1,1) * (-(B193*NORMDIST(I193,0,1,0)*$H$7)/(2*SQRT($J$7))/365) *$P$7</f>
        <v>-1.05778514169351</v>
      </c>
      <c r="G193" s="25" t="n">
        <f aca="false">IF($O$7="buy",1,-1)*( IF($K$7="call",B193*NORMDIST(I193,0,1,1) - $B$7*NORMDIST(J193,0,1,1),$B$7*NORMDIST(-J193,0,1,1) - B193*NORMDIST(-I193,0,1,1) ) - $G$7) * $P$7</f>
        <v>33.7172810814967</v>
      </c>
      <c r="I193" s="26" t="n">
        <f aca="false">(LN(B193/$B$7)+($H$7^2/2)*($J$7))/($H$7*SQRT($J$7))</f>
        <v>-0.942301014065371</v>
      </c>
      <c r="J193" s="26" t="n">
        <f aca="false">I193 - $H$7*SQRT($J$7)</f>
        <v>-1.05632368136242</v>
      </c>
    </row>
    <row r="194" customFormat="false" ht="13.5" hidden="false" customHeight="true" outlineLevel="0" collapsed="false">
      <c r="B194" s="29" t="n">
        <f aca="false">B164</f>
        <v>57</v>
      </c>
      <c r="C194" s="25" t="n">
        <f aca="false">IF($O$7="sell",-1,1) *  IF($K$7="call",  NORMDIST(I194,0,1,1),  NORMDIST(I194,0,1,1)-1  ) * $P$7</f>
        <v>-4.3160220146333</v>
      </c>
      <c r="D194" s="25" t="n">
        <f aca="false">IF($O$7="sell",-1,1) * NORMDIST(I194,0,1,0)/(B194*$H$7*SQRT($J$7)) * $P$7</f>
        <v>0.168550468923551</v>
      </c>
      <c r="E194" s="25" t="n">
        <f aca="false">IF($O$7="sell",-1,1) * (B194*NORMDIST(I194,0,1,0)*SQRT($J$7)/365) * $P$7</f>
        <v>0.0179085973284811</v>
      </c>
      <c r="F194" s="25" t="n">
        <f aca="false">IF($O$7="sell",-1,1) * (-(B194*NORMDIST(I194,0,1,0)*$H$7)/(2*SQRT($J$7))/365) *$P$7</f>
        <v>-0.889963267089538</v>
      </c>
      <c r="G194" s="25" t="n">
        <f aca="false">IF($O$7="buy",1,-1)*( IF($K$7="call",B194*NORMDIST(I194,0,1,1) - $B$7*NORMDIST(J194,0,1,1),$B$7*NORMDIST(-J194,0,1,1) - B194*NORMDIST(-I194,0,1,1) ) - $G$7) * $P$7</f>
        <v>37.9448235281048</v>
      </c>
      <c r="I194" s="26" t="n">
        <f aca="false">(LN(B194/$B$7)+($H$7^2/2)*($J$7))/($H$7*SQRT($J$7))</f>
        <v>-1.09482983244988</v>
      </c>
      <c r="J194" s="26" t="n">
        <f aca="false">I194 - $H$7*SQRT($J$7)</f>
        <v>-1.20885249974693</v>
      </c>
    </row>
    <row r="195" customFormat="false" ht="13.5" hidden="false" customHeight="true" outlineLevel="0" collapsed="false">
      <c r="B195" s="30"/>
      <c r="C195" s="22"/>
      <c r="D195" s="22"/>
      <c r="E195" s="22"/>
      <c r="F195" s="22"/>
      <c r="G195" s="22"/>
      <c r="I195" s="31"/>
      <c r="J195" s="31"/>
    </row>
    <row r="196" customFormat="false" ht="13.5" hidden="false" customHeight="true" outlineLevel="0" collapsed="false">
      <c r="B196" s="30"/>
      <c r="C196" s="22"/>
      <c r="D196" s="22"/>
      <c r="E196" s="22"/>
      <c r="F196" s="22"/>
      <c r="G196" s="22"/>
      <c r="I196" s="31"/>
      <c r="J196" s="31"/>
    </row>
    <row r="197" customFormat="false" ht="13.5" hidden="false" customHeight="true" outlineLevel="0" collapsed="false">
      <c r="B197" s="23"/>
      <c r="C197" s="19" t="s">
        <v>13</v>
      </c>
      <c r="D197" s="19" t="s">
        <v>14</v>
      </c>
      <c r="E197" s="19" t="s">
        <v>15</v>
      </c>
      <c r="F197" s="19" t="s">
        <v>16</v>
      </c>
      <c r="G197" s="19" t="s">
        <v>17</v>
      </c>
      <c r="I197" s="19" t="s">
        <v>158</v>
      </c>
      <c r="J197" s="19" t="s">
        <v>159</v>
      </c>
    </row>
    <row r="198" customFormat="false" ht="13.5" hidden="false" customHeight="true" outlineLevel="0" collapsed="false">
      <c r="A198" s="2" t="str">
        <f aca="false">A8</f>
        <v>SOL-24APR26-70-P-USDT</v>
      </c>
      <c r="B198" s="29" t="n">
        <f aca="false">B168</f>
        <v>83</v>
      </c>
      <c r="C198" s="25" t="n">
        <f aca="false">IF($O$8="sell",-1,1) *  IF($K$8="call",  NORMDIST(I198,0,1,1),  NORMDIST(I198,0,1,1)-1  ) * $P$8</f>
        <v>-0.186694255388444</v>
      </c>
      <c r="D198" s="25" t="n">
        <f aca="false">IF($O$8="sell",-1,1) * NORMDIST(I198,0,1,0)/(B198*$H$8*SQRT($J$8)) * $P$8</f>
        <v>0.0499401013689517</v>
      </c>
      <c r="E198" s="25" t="n">
        <f aca="false">IF($O$8="sell",-1,1) * (B198*NORMDIST(I198,0,1,0)*SQRT($J$8)/365) * $P$8</f>
        <v>0.00969734725467048</v>
      </c>
      <c r="F198" s="25" t="n">
        <f aca="false">IF($O$8="sell",-1,1) * (-(B198*NORMDIST(I198,0,1,0)*$H$8)/(2*SQRT($J$8))/365) *$P$8</f>
        <v>-0.415364050622487</v>
      </c>
      <c r="G198" s="25" t="n">
        <f aca="false">IF($O$8="buy",1,-1)*( IF($K$8="call",B198*NORMDIST(I198,0,1,1) - $B$8*NORMDIST(J198,0,1,1),$B$8*NORMDIST(-J198,0,1,1) - B198*NORMDIST(-I198,0,1,1) ) - $G$8) * $P$8</f>
        <v>-5.66926637874949</v>
      </c>
      <c r="I198" s="28" t="n">
        <f aca="false">(LN(B198/$B$8)+($H$8^2/2)*($J$8))/($H$8*SQRT($J$8))</f>
        <v>1.78243880511346</v>
      </c>
      <c r="J198" s="28" t="n">
        <f aca="false">I198 - $H$8*SQRT($J$8)</f>
        <v>1.68416072940793</v>
      </c>
    </row>
    <row r="199" customFormat="false" ht="13.5" hidden="false" customHeight="true" outlineLevel="0" collapsed="false">
      <c r="B199" s="29" t="n">
        <f aca="false">B169</f>
        <v>82</v>
      </c>
      <c r="C199" s="25" t="n">
        <f aca="false">IF($O$8="sell",-1,1) *  IF($K$8="call",  NORMDIST(I199,0,1,1),  NORMDIST(I199,0,1,1)-1  ) * $P$8</f>
        <v>-0.242738391251831</v>
      </c>
      <c r="D199" s="25" t="n">
        <f aca="false">IF($O$8="sell",-1,1) * NORMDIST(I199,0,1,0)/(B199*$H$8*SQRT($J$8)) * $P$8</f>
        <v>0.0625008999310369</v>
      </c>
      <c r="E199" s="25" t="n">
        <f aca="false">IF($O$8="sell",-1,1) * (B199*NORMDIST(I199,0,1,0)*SQRT($J$8)/365) * $P$8</f>
        <v>0.0118457160685082</v>
      </c>
      <c r="F199" s="25" t="n">
        <f aca="false">IF($O$8="sell",-1,1) * (-(B199*NORMDIST(I199,0,1,0)*$H$8)/(2*SQRT($J$8))/365) *$P$8</f>
        <v>-0.507384594933394</v>
      </c>
      <c r="G199" s="25" t="n">
        <f aca="false">IF($O$8="buy",1,-1)*( IF($K$8="call",B199*NORMDIST(I199,0,1,1) - $B$8*NORMDIST(J199,0,1,1),$B$8*NORMDIST(-J199,0,1,1) - B199*NORMDIST(-I199,0,1,1) ) - $G$8) * $P$8</f>
        <v>-5.45559660283374</v>
      </c>
      <c r="I199" s="28" t="n">
        <f aca="false">(LN(B199/$B$8)+($H$8^2/2)*($J$8))/($H$8*SQRT($J$8))</f>
        <v>1.65910142345102</v>
      </c>
      <c r="J199" s="28" t="n">
        <f aca="false">I199 - $H$8*SQRT($J$8)</f>
        <v>1.56082334774548</v>
      </c>
    </row>
    <row r="200" customFormat="false" ht="13.5" hidden="false" customHeight="true" outlineLevel="0" collapsed="false">
      <c r="B200" s="29" t="n">
        <f aca="false">B170</f>
        <v>81</v>
      </c>
      <c r="C200" s="25" t="n">
        <f aca="false">IF($O$8="sell",-1,1) *  IF($K$8="call",  NORMDIST(I200,0,1,1),  NORMDIST(I200,0,1,1)-1  ) * $P$8</f>
        <v>-0.312419996114899</v>
      </c>
      <c r="D200" s="25" t="n">
        <f aca="false">IF($O$8="sell",-1,1) * NORMDIST(I200,0,1,0)/(B200*$H$8*SQRT($J$8)) * $P$8</f>
        <v>0.077230717112072</v>
      </c>
      <c r="E200" s="25" t="n">
        <f aca="false">IF($O$8="sell",-1,1) * (B200*NORMDIST(I200,0,1,0)*SQRT($J$8)/365) * $P$8</f>
        <v>0.0142826057569375</v>
      </c>
      <c r="F200" s="25" t="n">
        <f aca="false">IF($O$8="sell",-1,1) * (-(B200*NORMDIST(I200,0,1,0)*$H$8)/(2*SQRT($J$8))/365) *$P$8</f>
        <v>-0.611763281735465</v>
      </c>
      <c r="G200" s="25" t="n">
        <f aca="false">IF($O$8="buy",1,-1)*( IF($K$8="call",B200*NORMDIST(I200,0,1,1) - $B$8*NORMDIST(J200,0,1,1),$B$8*NORMDIST(-J200,0,1,1) - B200*NORMDIST(-I200,0,1,1) ) - $G$8) * $P$8</f>
        <v>-5.17924482497911</v>
      </c>
      <c r="I200" s="28" t="n">
        <f aca="false">(LN(B200/$B$8)+($H$8^2/2)*($J$8))/($H$8*SQRT($J$8))</f>
        <v>1.53425066193857</v>
      </c>
      <c r="J200" s="28" t="n">
        <f aca="false">I200 - $H$8*SQRT($J$8)</f>
        <v>1.43597258623303</v>
      </c>
    </row>
    <row r="201" customFormat="false" ht="13.5" hidden="false" customHeight="true" outlineLevel="0" collapsed="false">
      <c r="B201" s="29" t="n">
        <f aca="false">B171</f>
        <v>80</v>
      </c>
      <c r="C201" s="25" t="n">
        <f aca="false">IF($O$8="sell",-1,1) *  IF($K$8="call",  NORMDIST(I201,0,1,1),  NORMDIST(I201,0,1,1)-1  ) * $P$8</f>
        <v>-0.397939527991749</v>
      </c>
      <c r="D201" s="25" t="n">
        <f aca="false">IF($O$8="sell",-1,1) * NORMDIST(I201,0,1,0)/(B201*$H$8*SQRT($J$8)) * $P$8</f>
        <v>0.094175780801102</v>
      </c>
      <c r="E201" s="25" t="n">
        <f aca="false">IF($O$8="sell",-1,1) * (B201*NORMDIST(I201,0,1,0)*SQRT($J$8)/365) * $P$8</f>
        <v>0.0169889503412386</v>
      </c>
      <c r="F201" s="25" t="n">
        <f aca="false">IF($O$8="sell",-1,1) * (-(B201*NORMDIST(I201,0,1,0)*$H$8)/(2*SQRT($J$8))/365) *$P$8</f>
        <v>-0.727683462728686</v>
      </c>
      <c r="G201" s="25" t="n">
        <f aca="false">IF($O$8="buy",1,-1)*( IF($K$8="call",B201*NORMDIST(I201,0,1,1) - $B$8*NORMDIST(J201,0,1,1),$B$8*NORMDIST(-J201,0,1,1) - B201*NORMDIST(-I201,0,1,1) ) - $G$8) * $P$8</f>
        <v>-4.82547724349888</v>
      </c>
      <c r="I201" s="28" t="n">
        <f aca="false">(LN(B201/$B$8)+($H$8^2/2)*($J$8))/($H$8*SQRT($J$8))</f>
        <v>1.4078489196438</v>
      </c>
      <c r="J201" s="28" t="n">
        <f aca="false">I201 - $H$8*SQRT($J$8)</f>
        <v>1.30957084393827</v>
      </c>
    </row>
    <row r="202" customFormat="false" ht="13.5" hidden="false" customHeight="true" outlineLevel="0" collapsed="false">
      <c r="B202" s="29" t="n">
        <f aca="false">B172</f>
        <v>79</v>
      </c>
      <c r="C202" s="25" t="n">
        <f aca="false">IF($O$8="sell",-1,1) *  IF($K$8="call",  NORMDIST(I202,0,1,1),  NORMDIST(I202,0,1,1)-1  ) * $P$8</f>
        <v>-0.501488426839505</v>
      </c>
      <c r="D202" s="25" t="n">
        <f aca="false">IF($O$8="sell",-1,1) * NORMDIST(I202,0,1,0)/(B202*$H$8*SQRT($J$8)) * $P$8</f>
        <v>0.113266553410265</v>
      </c>
      <c r="E202" s="25" t="n">
        <f aca="false">IF($O$8="sell",-1,1) * (B202*NORMDIST(I202,0,1,0)*SQRT($J$8)/365) * $P$8</f>
        <v>0.0199252239556136</v>
      </c>
      <c r="F202" s="25" t="n">
        <f aca="false">IF($O$8="sell",-1,1) * (-(B202*NORMDIST(I202,0,1,0)*$H$8)/(2*SQRT($J$8))/365) *$P$8</f>
        <v>-0.853452136384807</v>
      </c>
      <c r="G202" s="25" t="n">
        <f aca="false">IF($O$8="buy",1,-1)*( IF($K$8="call",B202*NORMDIST(I202,0,1,1) - $B$8*NORMDIST(J202,0,1,1),$B$8*NORMDIST(-J202,0,1,1) - B202*NORMDIST(-I202,0,1,1) ) - $G$8) * $P$8</f>
        <v>-4.37735445976037</v>
      </c>
      <c r="I202" s="28" t="n">
        <f aca="false">(LN(B202/$B$8)+($H$8^2/2)*($J$8))/($H$8*SQRT($J$8))</f>
        <v>1.27985717665782</v>
      </c>
      <c r="J202" s="28" t="n">
        <f aca="false">I202 - $H$8*SQRT($J$8)</f>
        <v>1.18157910095228</v>
      </c>
    </row>
    <row r="203" customFormat="false" ht="13.5" hidden="false" customHeight="true" outlineLevel="0" collapsed="false">
      <c r="B203" s="29" t="n">
        <f aca="false">B173</f>
        <v>78</v>
      </c>
      <c r="C203" s="25" t="n">
        <f aca="false">IF($O$8="sell",-1,1) *  IF($K$8="call",  NORMDIST(I203,0,1,1),  NORMDIST(I203,0,1,1)-1  ) * $P$8</f>
        <v>-0.625117816280059</v>
      </c>
      <c r="D203" s="25" t="n">
        <f aca="false">IF($O$8="sell",-1,1) * NORMDIST(I203,0,1,0)/(B203*$H$8*SQRT($J$8)) * $P$8</f>
        <v>0.134287087888144</v>
      </c>
      <c r="E203" s="25" t="n">
        <f aca="false">IF($O$8="sell",-1,1) * (B203*NORMDIST(I203,0,1,0)*SQRT($J$8)/365) * $P$8</f>
        <v>0.0230287733076382</v>
      </c>
      <c r="F203" s="25" t="n">
        <f aca="false">IF($O$8="sell",-1,1) * (-(B203*NORMDIST(I203,0,1,0)*$H$8)/(2*SQRT($J$8))/365) *$P$8</f>
        <v>-0.986385689892742</v>
      </c>
      <c r="G203" s="25" t="n">
        <f aca="false">IF($O$8="buy",1,-1)*( IF($K$8="call",B203*NORMDIST(I203,0,1,1) - $B$8*NORMDIST(J203,0,1,1),$B$8*NORMDIST(-J203,0,1,1) - B203*NORMDIST(-I203,0,1,1) ) - $G$8) * $P$8</f>
        <v>-3.81580358614989</v>
      </c>
      <c r="I203" s="28" t="n">
        <f aca="false">(LN(B203/$B$8)+($H$8^2/2)*($J$8))/($H$8*SQRT($J$8))</f>
        <v>1.15023492178586</v>
      </c>
      <c r="J203" s="28" t="n">
        <f aca="false">I203 - $H$8*SQRT($J$8)</f>
        <v>1.05195684608032</v>
      </c>
    </row>
    <row r="204" customFormat="false" ht="13.5" hidden="false" customHeight="true" outlineLevel="0" collapsed="false">
      <c r="B204" s="29" t="n">
        <f aca="false">B174</f>
        <v>77</v>
      </c>
      <c r="C204" s="25" t="n">
        <f aca="false">IF($O$8="sell",-1,1) *  IF($K$8="call",  NORMDIST(I204,0,1,1),  NORMDIST(I204,0,1,1)-1  ) * $P$8</f>
        <v>-0.770578540944392</v>
      </c>
      <c r="D204" s="25" t="n">
        <f aca="false">IF($O$8="sell",-1,1) * NORMDIST(I204,0,1,0)/(B204*$H$8*SQRT($J$8)) * $P$8</f>
        <v>0.156849086218711</v>
      </c>
      <c r="E204" s="25" t="n">
        <f aca="false">IF($O$8="sell",-1,1) * (B204*NORMDIST(I204,0,1,0)*SQRT($J$8)/365) * $P$8</f>
        <v>0.0262126414225758</v>
      </c>
      <c r="F204" s="25" t="n">
        <f aca="false">IF($O$8="sell",-1,1) * (-(B204*NORMDIST(I204,0,1,0)*$H$8)/(2*SQRT($J$8))/365) *$P$8</f>
        <v>-1.12275951689283</v>
      </c>
      <c r="G204" s="25" t="n">
        <f aca="false">IF($O$8="buy",1,-1)*( IF($K$8="call",B204*NORMDIST(I204,0,1,1) - $B$8*NORMDIST(J204,0,1,1),$B$8*NORMDIST(-J204,0,1,1) - B204*NORMDIST(-I204,0,1,1) ) - $G$8) * $P$8</f>
        <v>-3.11983637519488</v>
      </c>
      <c r="I204" s="28" t="n">
        <f aca="false">(LN(B204/$B$8)+($H$8^2/2)*($J$8))/($H$8*SQRT($J$8))</f>
        <v>1.01894007557245</v>
      </c>
      <c r="J204" s="28" t="n">
        <f aca="false">I204 - $H$8*SQRT($J$8)</f>
        <v>0.920661999866915</v>
      </c>
    </row>
    <row r="205" customFormat="false" ht="13.5" hidden="false" customHeight="true" outlineLevel="0" collapsed="false">
      <c r="B205" s="29" t="n">
        <f aca="false">B175</f>
        <v>76</v>
      </c>
      <c r="C205" s="25" t="n">
        <f aca="false">IF($O$8="sell",-1,1) *  IF($K$8="call",  NORMDIST(I205,0,1,1),  NORMDIST(I205,0,1,1)-1  ) * $P$8</f>
        <v>-0.939139593188667</v>
      </c>
      <c r="D205" s="25" t="n">
        <f aca="false">IF($O$8="sell",-1,1) * NORMDIST(I205,0,1,0)/(B205*$H$8*SQRT($J$8)) * $P$8</f>
        <v>0.180375468396817</v>
      </c>
      <c r="E205" s="25" t="n">
        <f aca="false">IF($O$8="sell",-1,1) * (B205*NORMDIST(I205,0,1,0)*SQRT($J$8)/365) * $P$8</f>
        <v>0.0293664872114351</v>
      </c>
      <c r="F205" s="25" t="n">
        <f aca="false">IF($O$8="sell",-1,1) * (-(B205*NORMDIST(I205,0,1,0)*$H$8)/(2*SQRT($J$8))/365) *$P$8</f>
        <v>-1.2578474051056</v>
      </c>
      <c r="G205" s="25" t="n">
        <f aca="false">IF($O$8="buy",1,-1)*( IF($K$8="call",B205*NORMDIST(I205,0,1,1) - $B$8*NORMDIST(J205,0,1,1),$B$8*NORMDIST(-J205,0,1,1) - B205*NORMDIST(-I205,0,1,1) ) - $G$8) * $P$8</f>
        <v>-2.26693890867905</v>
      </c>
      <c r="I205" s="28" t="n">
        <f aca="false">(LN(B205/$B$8)+($H$8^2/2)*($J$8))/($H$8*SQRT($J$8))</f>
        <v>0.885928908295231</v>
      </c>
      <c r="J205" s="28" t="n">
        <f aca="false">I205 - $H$8*SQRT($J$8)</f>
        <v>0.787650832589692</v>
      </c>
    </row>
    <row r="206" customFormat="false" ht="13.5" hidden="false" customHeight="true" outlineLevel="0" collapsed="false">
      <c r="B206" s="29" t="n">
        <f aca="false">B176</f>
        <v>75</v>
      </c>
      <c r="C206" s="25" t="n">
        <f aca="false">IF($O$8="sell",-1,1) *  IF($K$8="call",  NORMDIST(I206,0,1,1),  NORMDIST(I206,0,1,1)-1  ) * $P$8</f>
        <v>-1.13139701365192</v>
      </c>
      <c r="D206" s="25" t="n">
        <f aca="false">IF($O$8="sell",-1,1) * NORMDIST(I206,0,1,0)/(B206*$H$8*SQRT($J$8)) * $P$8</f>
        <v>0.204098602651978</v>
      </c>
      <c r="E206" s="25" t="n">
        <f aca="false">IF($O$8="sell",-1,1) * (B206*NORMDIST(I206,0,1,0)*SQRT($J$8)/365) * $P$8</f>
        <v>0.0323601034626965</v>
      </c>
      <c r="F206" s="25" t="n">
        <f aca="false">IF($O$8="sell",-1,1) * (-(B206*NORMDIST(I206,0,1,0)*$H$8)/(2*SQRT($J$8))/365) *$P$8</f>
        <v>-1.38607222159181</v>
      </c>
      <c r="G206" s="25" t="n">
        <f aca="false">IF($O$8="buy",1,-1)*( IF($K$8="call",B206*NORMDIST(I206,0,1,1) - $B$8*NORMDIST(J206,0,1,1),$B$8*NORMDIST(-J206,0,1,1) - B206*NORMDIST(-I206,0,1,1) ) - $G$8) * $P$8</f>
        <v>-1.23364884541627</v>
      </c>
      <c r="I206" s="28" t="n">
        <f aca="false">(LN(B206/$B$8)+($H$8^2/2)*($J$8))/($H$8*SQRT($J$8))</f>
        <v>0.751155952527293</v>
      </c>
      <c r="J206" s="28" t="n">
        <f aca="false">I206 - $H$8*SQRT($J$8)</f>
        <v>0.652877876821755</v>
      </c>
    </row>
    <row r="207" customFormat="false" ht="13.5" hidden="false" customHeight="true" outlineLevel="0" collapsed="false">
      <c r="B207" s="29" t="n">
        <f aca="false">B177</f>
        <v>74</v>
      </c>
      <c r="C207" s="25" t="n">
        <f aca="false">IF($O$8="sell",-1,1) *  IF($K$8="call",  NORMDIST(I207,0,1,1),  NORMDIST(I207,0,1,1)-1  ) * $P$8</f>
        <v>-1.34709037211193</v>
      </c>
      <c r="D207" s="25" t="n">
        <f aca="false">IF($O$8="sell",-1,1) * NORMDIST(I207,0,1,0)/(B207*$H$8*SQRT($J$8)) * $P$8</f>
        <v>0.227077945530031</v>
      </c>
      <c r="E207" s="25" t="n">
        <f aca="false">IF($O$8="sell",-1,1) * (B207*NORMDIST(I207,0,1,0)*SQRT($J$8)/365) * $P$8</f>
        <v>0.0350498157355883</v>
      </c>
      <c r="F207" s="25" t="n">
        <f aca="false">IF($O$8="sell",-1,1) * (-(B207*NORMDIST(I207,0,1,0)*$H$8)/(2*SQRT($J$8))/365) *$P$8</f>
        <v>-1.50127999494852</v>
      </c>
      <c r="G207" s="25" t="n">
        <f aca="false">IF($O$8="buy",1,-1)*( IF($K$8="call",B207*NORMDIST(I207,0,1,1) - $B$8*NORMDIST(J207,0,1,1),$B$8*NORMDIST(-J207,0,1,1) - B207*NORMDIST(-I207,0,1,1) ) - $G$8) * $P$8</f>
        <v>0.00367840231848215</v>
      </c>
      <c r="I207" s="28" t="n">
        <f aca="false">(LN(B207/$B$8)+($H$8^2/2)*($J$8))/($H$8*SQRT($J$8))</f>
        <v>0.614573909830824</v>
      </c>
      <c r="J207" s="28" t="n">
        <f aca="false">I207 - $H$8*SQRT($J$8)</f>
        <v>0.516295834125286</v>
      </c>
    </row>
    <row r="208" customFormat="false" ht="13.5" hidden="false" customHeight="true" outlineLevel="0" collapsed="false">
      <c r="B208" s="29" t="n">
        <f aca="false">B178</f>
        <v>73</v>
      </c>
      <c r="C208" s="25" t="n">
        <f aca="false">IF($O$8="sell",-1,1) *  IF($K$8="call",  NORMDIST(I208,0,1,1),  NORMDIST(I208,0,1,1)-1  ) * $P$8</f>
        <v>-1.5849480891526</v>
      </c>
      <c r="D208" s="25" t="n">
        <f aca="false">IF($O$8="sell",-1,1) * NORMDIST(I208,0,1,0)/(B208*$H$8*SQRT($J$8)) * $P$8</f>
        <v>0.248240478834757</v>
      </c>
      <c r="E208" s="25" t="n">
        <f aca="false">IF($O$8="sell",-1,1) * (B208*NORMDIST(I208,0,1,0)*SQRT($J$8)/365) * $P$8</f>
        <v>0.0372877058448112</v>
      </c>
      <c r="F208" s="25" t="n">
        <f aca="false">IF($O$8="sell",-1,1) * (-(B208*NORMDIST(I208,0,1,0)*$H$8)/(2*SQRT($J$8))/365) *$P$8</f>
        <v>-1.59713498252434</v>
      </c>
      <c r="G208" s="25" t="n">
        <f aca="false">IF($O$8="buy",1,-1)*( IF($K$8="call",B208*NORMDIST(I208,0,1,1) - $B$8*NORMDIST(J208,0,1,1),$B$8*NORMDIST(-J208,0,1,1) - B208*NORMDIST(-I208,0,1,1) ) - $G$8) * $P$8</f>
        <v>1.46793249051556</v>
      </c>
      <c r="I208" s="28" t="n">
        <f aca="false">(LN(B208/$B$8)+($H$8^2/2)*($J$8))/($H$8*SQRT($J$8))</f>
        <v>0.47613355110276</v>
      </c>
      <c r="J208" s="28" t="n">
        <f aca="false">I208 - $H$8*SQRT($J$8)</f>
        <v>0.377855475397222</v>
      </c>
    </row>
    <row r="209" customFormat="false" ht="13.5" hidden="false" customHeight="true" outlineLevel="0" collapsed="false">
      <c r="B209" s="29" t="n">
        <f aca="false">B179</f>
        <v>72</v>
      </c>
      <c r="C209" s="25" t="n">
        <f aca="false">IF($O$8="sell",-1,1) *  IF($K$8="call",  NORMDIST(I209,0,1,1),  NORMDIST(I209,0,1,1)-1  ) * $P$8</f>
        <v>-1.84258512647235</v>
      </c>
      <c r="D209" s="25" t="n">
        <f aca="false">IF($O$8="sell",-1,1) * NORMDIST(I209,0,1,0)/(B209*$H$8*SQRT($J$8)) * $P$8</f>
        <v>0.266444917594966</v>
      </c>
      <c r="E209" s="25" t="n">
        <f aca="false">IF($O$8="sell",-1,1) * (B209*NORMDIST(I209,0,1,0)*SQRT($J$8)/365) * $P$8</f>
        <v>0.0389331709544061</v>
      </c>
      <c r="F209" s="25" t="n">
        <f aca="false">IF($O$8="sell",-1,1) * (-(B209*NORMDIST(I209,0,1,0)*$H$8)/(2*SQRT($J$8))/365) *$P$8</f>
        <v>-1.66761477819734</v>
      </c>
      <c r="G209" s="25" t="n">
        <f aca="false">IF($O$8="buy",1,-1)*( IF($K$8="call",B209*NORMDIST(I209,0,1,1) - $B$8*NORMDIST(J209,0,1,1),$B$8*NORMDIST(-J209,0,1,1) - B209*NORMDIST(-I209,0,1,1) ) - $G$8) * $P$8</f>
        <v>3.18018048550944</v>
      </c>
      <c r="I209" s="28" t="n">
        <f aca="false">(LN(B209/$B$8)+($H$8^2/2)*($J$8))/($H$8*SQRT($J$8))</f>
        <v>0.335783610047101</v>
      </c>
      <c r="J209" s="28" t="n">
        <f aca="false">I209 - $H$8*SQRT($J$8)</f>
        <v>0.237505534341562</v>
      </c>
    </row>
    <row r="210" customFormat="false" ht="13.5" hidden="false" customHeight="true" outlineLevel="0" collapsed="false">
      <c r="B210" s="29" t="n">
        <f aca="false">B180</f>
        <v>71</v>
      </c>
      <c r="C210" s="25" t="n">
        <f aca="false">IF($O$8="sell",-1,1) *  IF($K$8="call",  NORMDIST(I210,0,1,1),  NORMDIST(I210,0,1,1)-1  ) * $P$8</f>
        <v>-2.11647593666973</v>
      </c>
      <c r="D210" s="25" t="n">
        <f aca="false">IF($O$8="sell",-1,1) * NORMDIST(I210,0,1,0)/(B210*$H$8*SQRT($J$8)) * $P$8</f>
        <v>0.280567304939058</v>
      </c>
      <c r="E210" s="25" t="n">
        <f aca="false">IF($O$8="sell",-1,1) * (B210*NORMDIST(I210,0,1,0)*SQRT($J$8)/365) * $P$8</f>
        <v>0.0398658566907078</v>
      </c>
      <c r="F210" s="25" t="n">
        <f aca="false">IF($O$8="sell",-1,1) * (-(B210*NORMDIST(I210,0,1,0)*$H$8)/(2*SQRT($J$8))/365) *$P$8</f>
        <v>-1.70756427316892</v>
      </c>
      <c r="G210" s="25" t="n">
        <f aca="false">IF($O$8="buy",1,-1)*( IF($K$8="call",B210*NORMDIST(I210,0,1,1) - $B$8*NORMDIST(J210,0,1,1),$B$8*NORMDIST(-J210,0,1,1) - B210*NORMDIST(-I210,0,1,1) ) - $G$8) * $P$8</f>
        <v>5.15853273828786</v>
      </c>
      <c r="I210" s="28" t="n">
        <f aca="false">(LN(B210/$B$8)+($H$8^2/2)*($J$8))/($H$8*SQRT($J$8))</f>
        <v>0.193470669197043</v>
      </c>
      <c r="J210" s="28" t="n">
        <f aca="false">I210 - $H$8*SQRT($J$8)</f>
        <v>0.0951925934915042</v>
      </c>
    </row>
    <row r="211" customFormat="false" ht="13.5" hidden="false" customHeight="true" outlineLevel="0" collapsed="false">
      <c r="B211" s="29" t="n">
        <f aca="false">B181</f>
        <v>70</v>
      </c>
      <c r="C211" s="25" t="n">
        <f aca="false">IF($O$8="sell",-1,1) *  IF($K$8="call",  NORMDIST(I211,0,1,1),  NORMDIST(I211,0,1,1)-1  ) * $P$8</f>
        <v>-2.40202123315452</v>
      </c>
      <c r="D211" s="25" t="n">
        <f aca="false">IF($O$8="sell",-1,1) * NORMDIST(I211,0,1,0)/(B211*$H$8*SQRT($J$8)) * $P$8</f>
        <v>0.289601663573364</v>
      </c>
      <c r="E211" s="25" t="n">
        <f aca="false">IF($O$8="sell",-1,1) * (B211*NORMDIST(I211,0,1,0)*SQRT($J$8)/365) * $P$8</f>
        <v>0.0399985709780328</v>
      </c>
      <c r="F211" s="25" t="n">
        <f aca="false">IF($O$8="sell",-1,1) * (-(B211*NORMDIST(I211,0,1,0)*$H$8)/(2*SQRT($J$8))/365) *$P$8</f>
        <v>-1.71324879105933</v>
      </c>
      <c r="G211" s="25" t="n">
        <f aca="false">IF($O$8="buy",1,-1)*( IF($K$8="call",B211*NORMDIST(I211,0,1,1) - $B$8*NORMDIST(J211,0,1,1),$B$8*NORMDIST(-J211,0,1,1) - B211*NORMDIST(-I211,0,1,1) ) - $G$8) * $P$8</f>
        <v>7.41702735836777</v>
      </c>
      <c r="I211" s="28" t="n">
        <f aca="false">(LN(B211/$B$8)+($H$8^2/2)*($J$8))/($H$8*SQRT($J$8))</f>
        <v>0.0491390378527693</v>
      </c>
      <c r="J211" s="28" t="n">
        <f aca="false">I211 - $H$8*SQRT($J$8)</f>
        <v>-0.0491390378527693</v>
      </c>
    </row>
    <row r="212" customFormat="false" ht="13.5" hidden="false" customHeight="true" outlineLevel="0" collapsed="false">
      <c r="B212" s="29" t="n">
        <f aca="false">B182</f>
        <v>69</v>
      </c>
      <c r="C212" s="25" t="n">
        <f aca="false">IF($O$8="sell",-1,1) *  IF($K$8="call",  NORMDIST(I212,0,1,1),  NORMDIST(I212,0,1,1)-1  ) * $P$8</f>
        <v>-2.6937188178247</v>
      </c>
      <c r="D212" s="25" t="n">
        <f aca="false">IF($O$8="sell",-1,1) * NORMDIST(I212,0,1,0)/(B212*$H$8*SQRT($J$8)) * $P$8</f>
        <v>0.29276545653965</v>
      </c>
      <c r="E212" s="25" t="n">
        <f aca="false">IF($O$8="sell",-1,1) * (B212*NORMDIST(I212,0,1,0)*SQRT($J$8)/365) * $P$8</f>
        <v>0.0392884918195191</v>
      </c>
      <c r="F212" s="25" t="n">
        <f aca="false">IF($O$8="sell",-1,1) * (-(B212*NORMDIST(I212,0,1,0)*$H$8)/(2*SQRT($J$8))/365) *$P$8</f>
        <v>-1.68283414798251</v>
      </c>
      <c r="G212" s="25" t="n">
        <f aca="false">IF($O$8="buy",1,-1)*( IF($K$8="call",B212*NORMDIST(I212,0,1,1) - $B$8*NORMDIST(J212,0,1,1),$B$8*NORMDIST(-J212,0,1,1) - B212*NORMDIST(-I212,0,1,1) ) - $G$8) * $P$8</f>
        <v>9.96463308128994</v>
      </c>
      <c r="I212" s="28" t="n">
        <f aca="false">(LN(B212/$B$8)+($H$8^2/2)*($J$8))/($H$8*SQRT($J$8))</f>
        <v>-0.0972693787630708</v>
      </c>
      <c r="J212" s="28" t="n">
        <f aca="false">I212 - $H$8*SQRT($J$8)</f>
        <v>-0.195547454468609</v>
      </c>
    </row>
    <row r="213" customFormat="false" ht="13.5" hidden="false" customHeight="true" outlineLevel="0" collapsed="false">
      <c r="B213" s="29" t="n">
        <f aca="false">B183</f>
        <v>68</v>
      </c>
      <c r="C213" s="25" t="n">
        <f aca="false">IF($O$8="sell",-1,1) *  IF($K$8="call",  NORMDIST(I213,0,1,1),  NORMDIST(I213,0,1,1)-1  ) * $P$8</f>
        <v>-2.9854368131962</v>
      </c>
      <c r="D213" s="25" t="n">
        <f aca="false">IF($O$8="sell",-1,1) * NORMDIST(I213,0,1,0)/(B213*$H$8*SQRT($J$8)) * $P$8</f>
        <v>0.289596537155589</v>
      </c>
      <c r="E213" s="25" t="n">
        <f aca="false">IF($O$8="sell",-1,1) * (B213*NORMDIST(I213,0,1,0)*SQRT($J$8)/365) * $P$8</f>
        <v>0.0377449220874048</v>
      </c>
      <c r="F213" s="25" t="n">
        <f aca="false">IF($O$8="sell",-1,1) * (-(B213*NORMDIST(I213,0,1,0)*$H$8)/(2*SQRT($J$8))/365) *$P$8</f>
        <v>-1.61671881153929</v>
      </c>
      <c r="G213" s="25" t="n">
        <f aca="false">IF($O$8="buy",1,-1)*( IF($K$8="call",B213*NORMDIST(I213,0,1,1) - $B$8*NORMDIST(J213,0,1,1),$B$8*NORMDIST(-J213,0,1,1) - B213*NORMDIST(-I213,0,1,1) ) - $G$8) * $P$8</f>
        <v>12.8044748732552</v>
      </c>
      <c r="I213" s="28" t="n">
        <f aca="false">(LN(B213/$B$8)+($H$8^2/2)*($J$8))/($H$8*SQRT($J$8))</f>
        <v>-0.245815219901574</v>
      </c>
      <c r="J213" s="28" t="n">
        <f aca="false">I213 - $H$8*SQRT($J$8)</f>
        <v>-0.344093295607113</v>
      </c>
    </row>
    <row r="214" customFormat="false" ht="13.5" hidden="false" customHeight="true" outlineLevel="0" collapsed="false">
      <c r="B214" s="29" t="n">
        <f aca="false">B184</f>
        <v>67</v>
      </c>
      <c r="C214" s="25" t="n">
        <f aca="false">IF($O$8="sell",-1,1) *  IF($K$8="call",  NORMDIST(I214,0,1,1),  NORMDIST(I214,0,1,1)-1  ) * $P$8</f>
        <v>-3.27077347019075</v>
      </c>
      <c r="D214" s="25" t="n">
        <f aca="false">IF($O$8="sell",-1,1) * NORMDIST(I214,0,1,0)/(B214*$H$8*SQRT($J$8)) * $P$8</f>
        <v>0.280026911620977</v>
      </c>
      <c r="E214" s="25" t="n">
        <f aca="false">IF($O$8="sell",-1,1) * (B214*NORMDIST(I214,0,1,0)*SQRT($J$8)/365) * $P$8</f>
        <v>0.0354320858374345</v>
      </c>
      <c r="F214" s="25" t="n">
        <f aca="false">IF($O$8="sell",-1,1) * (-(B214*NORMDIST(I214,0,1,0)*$H$8)/(2*SQRT($J$8))/365) *$P$8</f>
        <v>-1.51765367465337</v>
      </c>
      <c r="G214" s="25" t="n">
        <f aca="false">IF($O$8="buy",1,-1)*( IF($K$8="call",B214*NORMDIST(I214,0,1,1) - $B$8*NORMDIST(J214,0,1,1),$B$8*NORMDIST(-J214,0,1,1) - B214*NORMDIST(-I214,0,1,1) ) - $G$8) * $P$8</f>
        <v>15.9333779894433</v>
      </c>
      <c r="I214" s="28" t="n">
        <f aca="false">(LN(B214/$B$8)+($H$8^2/2)*($J$8))/($H$8*SQRT($J$8))</f>
        <v>-0.396561820084607</v>
      </c>
      <c r="J214" s="28" t="n">
        <f aca="false">I214 - $H$8*SQRT($J$8)</f>
        <v>-0.494839895790145</v>
      </c>
    </row>
    <row r="215" customFormat="false" ht="13.5" hidden="false" customHeight="true" outlineLevel="0" collapsed="false">
      <c r="B215" s="29" t="n">
        <f aca="false">B185</f>
        <v>66</v>
      </c>
      <c r="C215" s="25" t="n">
        <f aca="false">IF($O$8="sell",-1,1) *  IF($K$8="call",  NORMDIST(I215,0,1,1),  NORMDIST(I215,0,1,1)-1  ) * $P$8</f>
        <v>-3.54347336193146</v>
      </c>
      <c r="D215" s="25" t="n">
        <f aca="false">IF($O$8="sell",-1,1) * NORMDIST(I215,0,1,0)/(B215*$H$8*SQRT($J$8)) * $P$8</f>
        <v>0.26441971839346</v>
      </c>
      <c r="E215" s="25" t="n">
        <f aca="false">IF($O$8="sell",-1,1) * (B215*NORMDIST(I215,0,1,0)*SQRT($J$8)/365) * $P$8</f>
        <v>0.0324660200704256</v>
      </c>
      <c r="F215" s="25" t="n">
        <f aca="false">IF($O$8="sell",-1,1) * (-(B215*NORMDIST(I215,0,1,0)*$H$8)/(2*SQRT($J$8))/365) *$P$8</f>
        <v>-1.39060892117152</v>
      </c>
      <c r="G215" s="25" t="n">
        <f aca="false">IF($O$8="buy",1,-1)*( IF($K$8="call",B215*NORMDIST(I215,0,1,1) - $B$8*NORMDIST(J215,0,1,1),$B$8*NORMDIST(-J215,0,1,1) - B215*NORMDIST(-I215,0,1,1) ) - $G$8) * $P$8</f>
        <v>19.3418031037782</v>
      </c>
      <c r="I215" s="28" t="n">
        <f aca="false">(LN(B215/$B$8)+($H$8^2/2)*($J$8))/($H$8*SQRT($J$8))</f>
        <v>-0.549575371241196</v>
      </c>
      <c r="J215" s="28" t="n">
        <f aca="false">I215 - $H$8*SQRT($J$8)</f>
        <v>-0.647853446946734</v>
      </c>
    </row>
    <row r="216" customFormat="false" ht="13.5" hidden="false" customHeight="true" outlineLevel="0" collapsed="false">
      <c r="B216" s="29" t="n">
        <f aca="false">B186</f>
        <v>65</v>
      </c>
      <c r="C216" s="25" t="n">
        <f aca="false">IF($O$8="sell",-1,1) *  IF($K$8="call",  NORMDIST(I216,0,1,1),  NORMDIST(I216,0,1,1)-1  ) * $P$8</f>
        <v>-3.79785787312357</v>
      </c>
      <c r="D216" s="25" t="n">
        <f aca="false">IF($O$8="sell",-1,1) * NORMDIST(I216,0,1,0)/(B216*$H$8*SQRT($J$8)) * $P$8</f>
        <v>0.243559679588582</v>
      </c>
      <c r="E216" s="25" t="n">
        <f aca="false">IF($O$8="sell",-1,1) * (B216*NORMDIST(I216,0,1,0)*SQRT($J$8)/365) * $P$8</f>
        <v>0.0290054395169237</v>
      </c>
      <c r="F216" s="25" t="n">
        <f aca="false">IF($O$8="sell",-1,1) * (-(B216*NORMDIST(I216,0,1,0)*$H$8)/(2*SQRT($J$8))/365) *$P$8</f>
        <v>-1.24238273946851</v>
      </c>
      <c r="G216" s="25" t="n">
        <f aca="false">IF($O$8="buy",1,-1)*( IF($K$8="call",B216*NORMDIST(I216,0,1,1) - $B$8*NORMDIST(J216,0,1,1),$B$8*NORMDIST(-J216,0,1,1) - B216*NORMDIST(-I216,0,1,1) ) - $G$8) * $P$8</f>
        <v>23.0142086665976</v>
      </c>
      <c r="I216" s="28" t="n">
        <f aca="false">(LN(B216/$B$8)+($H$8^2/2)*($J$8))/($H$8*SQRT($J$8))</f>
        <v>-0.704925097222125</v>
      </c>
      <c r="J216" s="28" t="n">
        <f aca="false">I216 - $H$8*SQRT($J$8)</f>
        <v>-0.803203172927663</v>
      </c>
    </row>
    <row r="217" customFormat="false" ht="13.5" hidden="false" customHeight="true" outlineLevel="0" collapsed="false">
      <c r="B217" s="29" t="n">
        <f aca="false">B187</f>
        <v>64</v>
      </c>
      <c r="C217" s="25" t="n">
        <f aca="false">IF($O$8="sell",-1,1) *  IF($K$8="call",  NORMDIST(I217,0,1,1),  NORMDIST(I217,0,1,1)-1  ) * $P$8</f>
        <v>-4.0292211531983</v>
      </c>
      <c r="D217" s="25" t="n">
        <f aca="false">IF($O$8="sell",-1,1) * NORMDIST(I217,0,1,0)/(B217*$H$8*SQRT($J$8)) * $P$8</f>
        <v>0.218593649746893</v>
      </c>
      <c r="E217" s="25" t="n">
        <f aca="false">IF($O$8="sell",-1,1) * (B217*NORMDIST(I217,0,1,0)*SQRT($J$8)/365) * $P$8</f>
        <v>0.0252374128727863</v>
      </c>
      <c r="F217" s="25" t="n">
        <f aca="false">IF($O$8="sell",-1,1) * (-(B217*NORMDIST(I217,0,1,0)*$H$8)/(2*SQRT($J$8))/365) *$P$8</f>
        <v>-1.08098779622684</v>
      </c>
      <c r="G217" s="25" t="n">
        <f aca="false">IF($O$8="buy",1,-1)*( IF($K$8="call",B217*NORMDIST(I217,0,1,1) - $B$8*NORMDIST(J217,0,1,1),$B$8*NORMDIST(-J217,0,1,1) - B217*NORMDIST(-I217,0,1,1) ) - $G$8) * $P$8</f>
        <v>26.9298306534351</v>
      </c>
      <c r="I217" s="28" t="n">
        <f aca="false">(LN(B217/$B$8)+($H$8^2/2)*($J$8))/($H$8*SQRT($J$8))</f>
        <v>-0.862683441844369</v>
      </c>
      <c r="J217" s="28" t="n">
        <f aca="false">I217 - $H$8*SQRT($J$8)</f>
        <v>-0.960961517549907</v>
      </c>
    </row>
    <row r="218" customFormat="false" ht="13.5" hidden="false" customHeight="true" outlineLevel="0" collapsed="false">
      <c r="B218" s="29" t="n">
        <f aca="false">B188</f>
        <v>63</v>
      </c>
      <c r="C218" s="25" t="n">
        <f aca="false">IF($O$8="sell",-1,1) *  IF($K$8="call",  NORMDIST(I218,0,1,1),  NORMDIST(I218,0,1,1)-1  ) * $P$8</f>
        <v>-4.23414323302709</v>
      </c>
      <c r="D218" s="25" t="n">
        <f aca="false">IF($O$8="sell",-1,1) * NORMDIST(I218,0,1,0)/(B218*$H$8*SQRT($J$8)) * $P$8</f>
        <v>0.190925856027556</v>
      </c>
      <c r="E218" s="25" t="n">
        <f aca="false">IF($O$8="sell",-1,1) * (B218*NORMDIST(I218,0,1,0)*SQRT($J$8)/365) * $P$8</f>
        <v>0.021359603604485</v>
      </c>
      <c r="F218" s="25" t="n">
        <f aca="false">IF($O$8="sell",-1,1) * (-(B218*NORMDIST(I218,0,1,0)*$H$8)/(2*SQRT($J$8))/365) *$P$8</f>
        <v>-0.914890561290006</v>
      </c>
      <c r="G218" s="25" t="n">
        <f aca="false">IF($O$8="buy",1,-1)*( IF($K$8="call",B218*NORMDIST(I218,0,1,1) - $B$8*NORMDIST(J218,0,1,1),$B$8*NORMDIST(-J218,0,1,1) - B218*NORMDIST(-I218,0,1,1) ) - $G$8) * $P$8</f>
        <v>31.0638206359318</v>
      </c>
      <c r="I218" s="28" t="n">
        <f aca="false">(LN(B218/$B$8)+($H$8^2/2)*($J$8))/($H$8*SQRT($J$8))</f>
        <v>-1.02292627174393</v>
      </c>
      <c r="J218" s="28" t="n">
        <f aca="false">I218 - $H$8*SQRT($J$8)</f>
        <v>-1.12120434744947</v>
      </c>
    </row>
    <row r="219" customFormat="false" ht="13.5" hidden="false" customHeight="true" outlineLevel="0" collapsed="false">
      <c r="B219" s="29" t="n">
        <f aca="false">B189</f>
        <v>62</v>
      </c>
      <c r="C219" s="25" t="n">
        <f aca="false">IF($O$8="sell",-1,1) *  IF($K$8="call",  NORMDIST(I219,0,1,1),  NORMDIST(I219,0,1,1)-1  ) * $P$8</f>
        <v>-4.41068069918366</v>
      </c>
      <c r="D219" s="25" t="n">
        <f aca="false">IF($O$8="sell",-1,1) * NORMDIST(I219,0,1,0)/(B219*$H$8*SQRT($J$8)) * $P$8</f>
        <v>0.162080495490559</v>
      </c>
      <c r="E219" s="25" t="n">
        <f aca="false">IF($O$8="sell",-1,1) * (B219*NORMDIST(I219,0,1,0)*SQRT($J$8)/365) * $P$8</f>
        <v>0.0175614947427635</v>
      </c>
      <c r="F219" s="25" t="n">
        <f aca="false">IF($O$8="sell",-1,1) * (-(B219*NORMDIST(I219,0,1,0)*$H$8)/(2*SQRT($J$8))/365) *$P$8</f>
        <v>-0.752207113943102</v>
      </c>
      <c r="G219" s="25" t="n">
        <f aca="false">IF($O$8="buy",1,-1)*( IF($K$8="call",B219*NORMDIST(I219,0,1,1) - $B$8*NORMDIST(J219,0,1,1),$B$8*NORMDIST(-J219,0,1,1) - B219*NORMDIST(-I219,0,1,1) ) - $G$8) * $P$8</f>
        <v>35.3886384776097</v>
      </c>
      <c r="I219" s="28" t="n">
        <f aca="false">(LN(B219/$B$8)+($H$8^2/2)*($J$8))/($H$8*SQRT($J$8))</f>
        <v>-1.18573309545893</v>
      </c>
      <c r="J219" s="28" t="n">
        <f aca="false">I219 - $H$8*SQRT($J$8)</f>
        <v>-1.28401117116447</v>
      </c>
    </row>
    <row r="220" customFormat="false" ht="13.5" hidden="false" customHeight="true" outlineLevel="0" collapsed="false">
      <c r="B220" s="29" t="n">
        <f aca="false">B190</f>
        <v>61</v>
      </c>
      <c r="C220" s="25" t="n">
        <f aca="false">IF($O$8="sell",-1,1) *  IF($K$8="call",  NORMDIST(I220,0,1,1),  NORMDIST(I220,0,1,1)-1  ) * $P$8</f>
        <v>-4.55841139582966</v>
      </c>
      <c r="D220" s="25" t="n">
        <f aca="false">IF($O$8="sell",-1,1) * NORMDIST(I220,0,1,0)/(B220*$H$8*SQRT($J$8)) * $P$8</f>
        <v>0.133550748608205</v>
      </c>
      <c r="E220" s="25" t="n">
        <f aca="false">IF($O$8="sell",-1,1) * (B220*NORMDIST(I220,0,1,0)*SQRT($J$8)/365) * $P$8</f>
        <v>0.0140072648417092</v>
      </c>
      <c r="F220" s="25" t="n">
        <f aca="false">IF($O$8="sell",-1,1) * (-(B220*NORMDIST(I220,0,1,0)*$H$8)/(2*SQRT($J$8))/365) *$P$8</f>
        <v>-0.599969673148718</v>
      </c>
      <c r="G220" s="25" t="n">
        <f aca="false">IF($O$8="buy",1,-1)*( IF($K$8="call",B220*NORMDIST(I220,0,1,1) - $B$8*NORMDIST(J220,0,1,1),$B$8*NORMDIST(-J220,0,1,1) - B220*NORMDIST(-I220,0,1,1) ) - $G$8) * $P$8</f>
        <v>39.8755638541509</v>
      </c>
      <c r="I220" s="28" t="n">
        <f aca="false">(LN(B220/$B$8)+($H$8^2/2)*($J$8))/($H$8*SQRT($J$8))</f>
        <v>-1.35118730032656</v>
      </c>
      <c r="J220" s="28" t="n">
        <f aca="false">I220 - $H$8*SQRT($J$8)</f>
        <v>-1.4494653760321</v>
      </c>
    </row>
    <row r="221" customFormat="false" ht="13.5" hidden="false" customHeight="true" outlineLevel="0" collapsed="false">
      <c r="B221" s="29" t="n">
        <f aca="false">B191</f>
        <v>60</v>
      </c>
      <c r="C221" s="25" t="n">
        <f aca="false">IF($O$8="sell",-1,1) *  IF($K$8="call",  NORMDIST(I221,0,1,1),  NORMDIST(I221,0,1,1)-1  ) * $P$8</f>
        <v>-4.67833055847149</v>
      </c>
      <c r="D221" s="25" t="n">
        <f aca="false">IF($O$8="sell",-1,1) * NORMDIST(I221,0,1,0)/(B221*$H$8*SQRT($J$8)) * $P$8</f>
        <v>0.106656359329711</v>
      </c>
      <c r="E221" s="25" t="n">
        <f aca="false">IF($O$8="sell",-1,1) * (B221*NORMDIST(I221,0,1,0)*SQRT($J$8)/365) * $P$8</f>
        <v>0.010822724398557</v>
      </c>
      <c r="F221" s="25" t="n">
        <f aca="false">IF($O$8="sell",-1,1) * (-(B221*NORMDIST(I221,0,1,0)*$H$8)/(2*SQRT($J$8))/365) *$P$8</f>
        <v>-0.463567048482292</v>
      </c>
      <c r="G221" s="25" t="n">
        <f aca="false">IF($O$8="buy",1,-1)*( IF($K$8="call",B221*NORMDIST(I221,0,1,1) - $B$8*NORMDIST(J221,0,1,1),$B$8*NORMDIST(-J221,0,1,1) - B221*NORMDIST(-I221,0,1,1) ) - $G$8) * $P$8</f>
        <v>44.4961774759534</v>
      </c>
      <c r="I221" s="28" t="n">
        <f aca="false">(LN(B221/$B$8)+($H$8^2/2)*($J$8))/($H$8*SQRT($J$8))</f>
        <v>-1.51937640896088</v>
      </c>
      <c r="J221" s="28" t="n">
        <f aca="false">I221 - $H$8*SQRT($J$8)</f>
        <v>-1.61765448466642</v>
      </c>
    </row>
    <row r="222" customFormat="false" ht="13.5" hidden="false" customHeight="true" outlineLevel="0" collapsed="false">
      <c r="B222" s="29" t="n">
        <f aca="false">B192</f>
        <v>59</v>
      </c>
      <c r="C222" s="25" t="n">
        <f aca="false">IF($O$8="sell",-1,1) *  IF($K$8="call",  NORMDIST(I222,0,1,1),  NORMDIST(I222,0,1,1)-1  ) * $P$8</f>
        <v>-4.77261770938943</v>
      </c>
      <c r="D222" s="25" t="n">
        <f aca="false">IF($O$8="sell",-1,1) * NORMDIST(I222,0,1,0)/(B222*$H$8*SQRT($J$8)) * $P$8</f>
        <v>0.0824307349847082</v>
      </c>
      <c r="E222" s="25" t="n">
        <f aca="false">IF($O$8="sell",-1,1) * (B222*NORMDIST(I222,0,1,0)*SQRT($J$8)/365) * $P$8</f>
        <v>0.00808798875606485</v>
      </c>
      <c r="F222" s="25" t="n">
        <f aca="false">IF($O$8="sell",-1,1) * (-(B222*NORMDIST(I222,0,1,0)*$H$8)/(2*SQRT($J$8))/365) *$P$8</f>
        <v>-0.346430800391337</v>
      </c>
      <c r="G222" s="25" t="n">
        <f aca="false">IF($O$8="buy",1,-1)*( IF($K$8="call",B222*NORMDIST(I222,0,1,1) - $B$8*NORMDIST(J222,0,1,1),$B$8*NORMDIST(-J222,0,1,1) - B222*NORMDIST(-I222,0,1,1) ) - $G$8) * $P$8</f>
        <v>49.2236713575289</v>
      </c>
      <c r="I222" s="28" t="n">
        <f aca="false">(LN(B222/$B$8)+($H$8^2/2)*($J$8))/($H$8*SQRT($J$8))</f>
        <v>-1.69039235728631</v>
      </c>
      <c r="J222" s="28" t="n">
        <f aca="false">I222 - $H$8*SQRT($J$8)</f>
        <v>-1.78867043299185</v>
      </c>
    </row>
    <row r="223" customFormat="false" ht="13.5" hidden="false" customHeight="true" outlineLevel="0" collapsed="false">
      <c r="B223" s="29" t="n">
        <f aca="false">B193</f>
        <v>58</v>
      </c>
      <c r="C223" s="25" t="n">
        <f aca="false">IF($O$8="sell",-1,1) *  IF($K$8="call",  NORMDIST(I223,0,1,1),  NORMDIST(I223,0,1,1)-1  ) * $P$8</f>
        <v>-4.84431218932968</v>
      </c>
      <c r="D223" s="25" t="n">
        <f aca="false">IF($O$8="sell",-1,1) * NORMDIST(I223,0,1,0)/(B223*$H$8*SQRT($J$8)) * $P$8</f>
        <v>0.061553051900252</v>
      </c>
      <c r="E223" s="25" t="n">
        <f aca="false">IF($O$8="sell",-1,1) * (B223*NORMDIST(I223,0,1,0)*SQRT($J$8)/365) * $P$8</f>
        <v>0.00583650579807063</v>
      </c>
      <c r="F223" s="25" t="n">
        <f aca="false">IF($O$8="sell",-1,1) * (-(B223*NORMDIST(I223,0,1,0)*$H$8)/(2*SQRT($J$8))/365) *$P$8</f>
        <v>-0.24999359372231</v>
      </c>
      <c r="G223" s="25" t="n">
        <f aca="false">IF($O$8="buy",1,-1)*( IF($K$8="call",B223*NORMDIST(I223,0,1,1) - $B$8*NORMDIST(J223,0,1,1),$B$8*NORMDIST(-J223,0,1,1) - B223*NORMDIST(-I223,0,1,1) ) - $G$8) * $P$8</f>
        <v>54.033876537712</v>
      </c>
      <c r="I223" s="28" t="n">
        <f aca="false">(LN(B223/$B$8)+($H$8^2/2)*($J$8))/($H$8*SQRT($J$8))</f>
        <v>-1.86433179633799</v>
      </c>
      <c r="J223" s="28" t="n">
        <f aca="false">I223 - $H$8*SQRT($J$8)</f>
        <v>-1.96260987204353</v>
      </c>
    </row>
    <row r="224" customFormat="false" ht="13.5" hidden="false" customHeight="true" outlineLevel="0" collapsed="false">
      <c r="B224" s="29" t="n">
        <f aca="false">B194</f>
        <v>57</v>
      </c>
      <c r="C224" s="25" t="n">
        <f aca="false">IF($O$8="sell",-1,1) *  IF($K$8="call",  NORMDIST(I224,0,1,1),  NORMDIST(I224,0,1,1)-1  ) * $P$8</f>
        <v>-4.89694656831486</v>
      </c>
      <c r="D224" s="25" t="n">
        <f aca="false">IF($O$8="sell",-1,1) * NORMDIST(I224,0,1,0)/(B224*$H$8*SQRT($J$8)) * $P$8</f>
        <v>0.0443322393897263</v>
      </c>
      <c r="E224" s="25" t="n">
        <f aca="false">IF($O$8="sell",-1,1) * (B224*NORMDIST(I224,0,1,0)*SQRT($J$8)/365) * $P$8</f>
        <v>0.00405991297416115</v>
      </c>
      <c r="F224" s="25" t="n">
        <f aca="false">IF($O$8="sell",-1,1) * (-(B224*NORMDIST(I224,0,1,0)*$H$8)/(2*SQRT($J$8))/365) *$P$8</f>
        <v>-0.173897237444001</v>
      </c>
      <c r="G224" s="25" t="n">
        <f aca="false">IF($O$8="buy",1,-1)*( IF($K$8="call",B224*NORMDIST(I224,0,1,1) - $B$8*NORMDIST(J224,0,1,1),$B$8*NORMDIST(-J224,0,1,1) - B224*NORMDIST(-I224,0,1,1) ) - $G$8) * $P$8</f>
        <v>58.9059409340005</v>
      </c>
      <c r="I224" s="28" t="n">
        <f aca="false">(LN(B224/$B$8)+($H$8^2/2)*($J$8))/($H$8*SQRT($J$8))</f>
        <v>-2.04129642030945</v>
      </c>
      <c r="J224" s="28" t="n">
        <f aca="false">I224 - $H$8*SQRT($J$8)</f>
        <v>-2.13957449601499</v>
      </c>
    </row>
    <row r="225" customFormat="false" ht="13.5" hidden="false" customHeight="true" outlineLevel="0" collapsed="false">
      <c r="B225" s="30"/>
      <c r="C225" s="22"/>
      <c r="D225" s="22"/>
      <c r="E225" s="22"/>
      <c r="F225" s="22"/>
      <c r="G225" s="22"/>
      <c r="I225" s="31"/>
      <c r="J225" s="31"/>
    </row>
    <row r="226" customFormat="false" ht="13.5" hidden="false" customHeight="true" outlineLevel="0" collapsed="false">
      <c r="B226" s="30"/>
      <c r="C226" s="22"/>
      <c r="D226" s="22"/>
      <c r="E226" s="22"/>
      <c r="F226" s="22"/>
      <c r="G226" s="22"/>
      <c r="I226" s="31"/>
      <c r="J226" s="31"/>
    </row>
    <row r="227" customFormat="false" ht="13.5" hidden="false" customHeight="true" outlineLevel="0" collapsed="false">
      <c r="B227" s="23"/>
      <c r="C227" s="19" t="s">
        <v>13</v>
      </c>
      <c r="D227" s="19" t="s">
        <v>14</v>
      </c>
      <c r="E227" s="19" t="s">
        <v>15</v>
      </c>
      <c r="F227" s="19" t="s">
        <v>16</v>
      </c>
      <c r="G227" s="19" t="s">
        <v>17</v>
      </c>
      <c r="I227" s="19" t="s">
        <v>158</v>
      </c>
      <c r="J227" s="19" t="s">
        <v>159</v>
      </c>
    </row>
    <row r="228" customFormat="false" ht="13.5" hidden="false" customHeight="true" outlineLevel="0" collapsed="false">
      <c r="A228" s="2" t="str">
        <f aca="false">A9</f>
        <v>SOL-24APR26-75-P-USDT</v>
      </c>
      <c r="B228" s="29" t="n">
        <f aca="false">B198</f>
        <v>83</v>
      </c>
      <c r="C228" s="25" t="n">
        <f aca="false">IF($O$9="sell",-1,1) *  IF($K$9="call",  NORMDIST(I228,0,1,1),  NORMDIST(I228,0,1,1)-1  ) * $P$9</f>
        <v>-0.314371048688669</v>
      </c>
      <c r="D228" s="25" t="n">
        <f aca="false">IF($O$9="sell",-1,1) * NORMDIST(I228,0,1,0)/(B228*$H$9*SQRT($J$9)) * $P$9</f>
        <v>0.0785413961210276</v>
      </c>
      <c r="E228" s="25" t="n">
        <f aca="false">IF($O$9="sell",-1,1) * (B228*NORMDIST(I228,0,1,0)*SQRT($J$9)/365) * $P$9</f>
        <v>0.0129670381169308</v>
      </c>
      <c r="F228" s="25" t="n">
        <f aca="false">IF($O$9="sell",-1,1) * (-(B228*NORMDIST(I228,0,1,0)*$H$9)/(2*SQRT($J$9))/365) *$P$9</f>
        <v>-0.472231973262622</v>
      </c>
      <c r="G228" s="25" t="n">
        <f aca="false">IF($O$9="buy",1,-1)*( IF($K$9="call",B228*NORMDIST(I228,0,1,1) - $B$9*NORMDIST(J228,0,1,1),$B$9*NORMDIST(-J228,0,1,1) - B228*NORMDIST(-I228,0,1,1) ) - $G$9) * $P$9</f>
        <v>-4.20016209352944</v>
      </c>
      <c r="I228" s="28" t="n">
        <f aca="false">(LN(B228/$B$9)+($H$9^2/2)*($J$9))/($H$9*SQRT($J$9))</f>
        <v>1.25471923897935</v>
      </c>
      <c r="J228" s="28" t="n">
        <f aca="false">I228 - $H$9*SQRT($J$9)</f>
        <v>1.17115984397705</v>
      </c>
    </row>
    <row r="229" customFormat="false" ht="13.5" hidden="false" customHeight="true" outlineLevel="0" collapsed="false">
      <c r="B229" s="29" t="n">
        <f aca="false">B199</f>
        <v>82</v>
      </c>
      <c r="C229" s="25" t="n">
        <f aca="false">IF($O$9="sell",-1,1) *  IF($K$9="call",  NORMDIST(I229,0,1,1),  NORMDIST(I229,0,1,1)-1  ) * $P$9</f>
        <v>-0.400720656776374</v>
      </c>
      <c r="D229" s="25" t="n">
        <f aca="false">IF($O$9="sell",-1,1) * NORMDIST(I229,0,1,0)/(B229*$H$9*SQRT($J$9)) * $P$9</f>
        <v>0.0943714577557127</v>
      </c>
      <c r="E229" s="25" t="n">
        <f aca="false">IF($O$9="sell",-1,1) * (B229*NORMDIST(I229,0,1,0)*SQRT($J$9)/365) * $P$9</f>
        <v>0.0152073784629618</v>
      </c>
      <c r="F229" s="25" t="n">
        <f aca="false">IF($O$9="sell",-1,1) * (-(B229*NORMDIST(I229,0,1,0)*$H$9)/(2*SQRT($J$9))/365) *$P$9</f>
        <v>-0.553820407941834</v>
      </c>
      <c r="G229" s="25" t="n">
        <f aca="false">IF($O$9="buy",1,-1)*( IF($K$9="call",B229*NORMDIST(I229,0,1,1) - $B$9*NORMDIST(J229,0,1,1),$B$9*NORMDIST(-J229,0,1,1) - B229*NORMDIST(-I229,0,1,1) ) - $G$9) * $P$9</f>
        <v>-3.8439359983015</v>
      </c>
      <c r="I229" s="28" t="n">
        <f aca="false">(LN(B229/$B$9)+($H$9^2/2)*($J$9))/($H$9*SQRT($J$9))</f>
        <v>1.10965643027889</v>
      </c>
      <c r="J229" s="28" t="n">
        <f aca="false">I229 - $H$9*SQRT($J$9)</f>
        <v>1.02609703527659</v>
      </c>
    </row>
    <row r="230" customFormat="false" ht="13.5" hidden="false" customHeight="true" outlineLevel="0" collapsed="false">
      <c r="B230" s="29" t="n">
        <f aca="false">B200</f>
        <v>81</v>
      </c>
      <c r="C230" s="25" t="n">
        <f aca="false">IF($O$9="sell",-1,1) *  IF($K$9="call",  NORMDIST(I230,0,1,1),  NORMDIST(I230,0,1,1)-1  ) * $P$9</f>
        <v>-0.503461562434223</v>
      </c>
      <c r="D230" s="25" t="n">
        <f aca="false">IF($O$9="sell",-1,1) * NORMDIST(I230,0,1,0)/(B230*$H$9*SQRT($J$9)) * $P$9</f>
        <v>0.111238037281339</v>
      </c>
      <c r="E230" s="25" t="n">
        <f aca="false">IF($O$9="sell",-1,1) * (B230*NORMDIST(I230,0,1,0)*SQRT($J$9)/365) * $P$9</f>
        <v>0.0174907865973985</v>
      </c>
      <c r="F230" s="25" t="n">
        <f aca="false">IF($O$9="sell",-1,1) * (-(B230*NORMDIST(I230,0,1,0)*$H$9)/(2*SQRT($J$9))/365) *$P$9</f>
        <v>-0.636977279955735</v>
      </c>
      <c r="G230" s="25" t="n">
        <f aca="false">IF($O$9="buy",1,-1)*( IF($K$9="call",B230*NORMDIST(I230,0,1,1) - $B$9*NORMDIST(J230,0,1,1),$B$9*NORMDIST(-J230,0,1,1) - B230*NORMDIST(-I230,0,1,1) ) - $G$9) * $P$9</f>
        <v>-3.39325128387361</v>
      </c>
      <c r="I230" s="28" t="n">
        <f aca="false">(LN(B230/$B$9)+($H$9^2/2)*($J$9))/($H$9*SQRT($J$9))</f>
        <v>0.962813665423112</v>
      </c>
      <c r="J230" s="28" t="n">
        <f aca="false">I230 - $H$9*SQRT($J$9)</f>
        <v>0.87925427042081</v>
      </c>
    </row>
    <row r="231" customFormat="false" ht="13.5" hidden="false" customHeight="true" outlineLevel="0" collapsed="false">
      <c r="B231" s="29" t="n">
        <f aca="false">B201</f>
        <v>80</v>
      </c>
      <c r="C231" s="25" t="n">
        <f aca="false">IF($O$9="sell",-1,1) *  IF($K$9="call",  NORMDIST(I231,0,1,1),  NORMDIST(I231,0,1,1)-1  ) * $P$9</f>
        <v>-0.623341355666511</v>
      </c>
      <c r="D231" s="25" t="n">
        <f aca="false">IF($O$9="sell",-1,1) * NORMDIST(I231,0,1,0)/(B231*$H$9*SQRT($J$9)) * $P$9</f>
        <v>0.128532596490482</v>
      </c>
      <c r="E231" s="25" t="n">
        <f aca="false">IF($O$9="sell",-1,1) * (B231*NORMDIST(I231,0,1,0)*SQRT($J$9)/365) * $P$9</f>
        <v>0.0197142037461346</v>
      </c>
      <c r="F231" s="25" t="n">
        <f aca="false">IF($O$9="sell",-1,1) * (-(B231*NORMDIST(I231,0,1,0)*$H$9)/(2*SQRT($J$9))/365) *$P$9</f>
        <v>-0.717949407751262</v>
      </c>
      <c r="G231" s="25" t="n">
        <f aca="false">IF($O$9="buy",1,-1)*( IF($K$9="call",B231*NORMDIST(I231,0,1,1) - $B$9*NORMDIST(J231,0,1,1),$B$9*NORMDIST(-J231,0,1,1) - B231*NORMDIST(-I231,0,1,1) ) - $G$9) * $P$9</f>
        <v>-2.83129213009358</v>
      </c>
      <c r="I231" s="28" t="n">
        <f aca="false">(LN(B231/$B$9)+($H$9^2/2)*($J$9))/($H$9*SQRT($J$9))</f>
        <v>0.814146720213479</v>
      </c>
      <c r="J231" s="28" t="n">
        <f aca="false">I231 - $H$9*SQRT($J$9)</f>
        <v>0.730587325211177</v>
      </c>
    </row>
    <row r="232" customFormat="false" ht="13.5" hidden="false" customHeight="true" outlineLevel="0" collapsed="false">
      <c r="B232" s="29" t="n">
        <f aca="false">B202</f>
        <v>79</v>
      </c>
      <c r="C232" s="25" t="n">
        <f aca="false">IF($O$9="sell",-1,1) *  IF($K$9="call",  NORMDIST(I232,0,1,1),  NORMDIST(I232,0,1,1)-1  ) * $P$9</f>
        <v>-0.760410219603033</v>
      </c>
      <c r="D232" s="25" t="n">
        <f aca="false">IF($O$9="sell",-1,1) * NORMDIST(I232,0,1,0)/(B232*$H$9*SQRT($J$9)) * $P$9</f>
        <v>0.145472904601045</v>
      </c>
      <c r="E232" s="25" t="n">
        <f aca="false">IF($O$9="sell",-1,1) * (B232*NORMDIST(I232,0,1,0)*SQRT($J$9)/365) * $P$9</f>
        <v>0.0217581656468798</v>
      </c>
      <c r="F232" s="25" t="n">
        <f aca="false">IF($O$9="sell",-1,1) * (-(B232*NORMDIST(I232,0,1,0)*$H$9)/(2*SQRT($J$9))/365) *$P$9</f>
        <v>-0.792386156757365</v>
      </c>
      <c r="G232" s="25" t="n">
        <f aca="false">IF($O$9="buy",1,-1)*( IF($K$9="call",B232*NORMDIST(I232,0,1,1) - $B$9*NORMDIST(J232,0,1,1),$B$9*NORMDIST(-J232,0,1,1) - B232*NORMDIST(-I232,0,1,1) ) - $G$9) * $P$9</f>
        <v>-2.14082931982545</v>
      </c>
      <c r="I232" s="28" t="n">
        <f aca="false">(LN(B232/$B$9)+($H$9^2/2)*($J$9))/($H$9*SQRT($J$9))</f>
        <v>0.663609701527385</v>
      </c>
      <c r="J232" s="28" t="n">
        <f aca="false">I232 - $H$9*SQRT($J$9)</f>
        <v>0.580050306525083</v>
      </c>
    </row>
    <row r="233" customFormat="false" ht="13.5" hidden="false" customHeight="true" outlineLevel="0" collapsed="false">
      <c r="B233" s="29" t="n">
        <f aca="false">B203</f>
        <v>78</v>
      </c>
      <c r="C233" s="25" t="n">
        <f aca="false">IF($O$9="sell",-1,1) *  IF($K$9="call",  NORMDIST(I233,0,1,1),  NORMDIST(I233,0,1,1)-1  ) * $P$9</f>
        <v>-0.913863828640137</v>
      </c>
      <c r="D233" s="25" t="n">
        <f aca="false">IF($O$9="sell",-1,1) * NORMDIST(I233,0,1,0)/(B233*$H$9*SQRT($J$9)) * $P$9</f>
        <v>0.161140731622088</v>
      </c>
      <c r="E233" s="25" t="n">
        <f aca="false">IF($O$9="sell",-1,1) * (B233*NORMDIST(I233,0,1,0)*SQRT($J$9)/365) * $P$9</f>
        <v>0.0234952744476153</v>
      </c>
      <c r="F233" s="25" t="n">
        <f aca="false">IF($O$9="sell",-1,1) * (-(B233*NORMDIST(I233,0,1,0)*$H$9)/(2*SQRT($J$9))/365) *$P$9</f>
        <v>-0.85564796792395</v>
      </c>
      <c r="G233" s="25" t="n">
        <f aca="false">IF($O$9="buy",1,-1)*( IF($K$9="call",B233*NORMDIST(I233,0,1,1) - $B$9*NORMDIST(J233,0,1,1),$B$9*NORMDIST(-J233,0,1,1) - B233*NORMDIST(-I233,0,1,1) ) - $G$9) * $P$9</f>
        <v>-1.30499933557917</v>
      </c>
      <c r="I233" s="28" t="n">
        <f aca="false">(LN(B233/$B$9)+($H$9^2/2)*($J$9))/($H$9*SQRT($J$9))</f>
        <v>0.511154962271809</v>
      </c>
      <c r="J233" s="28" t="n">
        <f aca="false">I233 - $H$9*SQRT($J$9)</f>
        <v>0.427595567269507</v>
      </c>
    </row>
    <row r="234" customFormat="false" ht="13.5" hidden="false" customHeight="true" outlineLevel="0" collapsed="false">
      <c r="B234" s="29" t="n">
        <f aca="false">B204</f>
        <v>77</v>
      </c>
      <c r="C234" s="25" t="n">
        <f aca="false">IF($O$9="sell",-1,1) *  IF($K$9="call",  NORMDIST(I234,0,1,1),  NORMDIST(I234,0,1,1)-1  ) * $P$9</f>
        <v>-1.08193753538713</v>
      </c>
      <c r="D234" s="25" t="n">
        <f aca="false">IF($O$9="sell",-1,1) * NORMDIST(I234,0,1,0)/(B234*$H$9*SQRT($J$9)) * $P$9</f>
        <v>0.174546638395689</v>
      </c>
      <c r="E234" s="25" t="n">
        <f aca="false">IF($O$9="sell",-1,1) * (B234*NORMDIST(I234,0,1,0)*SQRT($J$9)/365) * $P$9</f>
        <v>0.0248015558222299</v>
      </c>
      <c r="F234" s="25" t="n">
        <f aca="false">IF($O$9="sell",-1,1) * (-(B234*NORMDIST(I234,0,1,0)*$H$9)/(2*SQRT($J$9))/365) *$P$9</f>
        <v>-0.90321995973949</v>
      </c>
      <c r="G234" s="25" t="n">
        <f aca="false">IF($O$9="buy",1,-1)*( IF($K$9="call",B234*NORMDIST(I234,0,1,1) - $B$9*NORMDIST(J234,0,1,1),$B$9*NORMDIST(-J234,0,1,1) - B234*NORMDIST(-I234,0,1,1) ) - $G$9) * $P$9</f>
        <v>-0.308217178052778</v>
      </c>
      <c r="I234" s="28" t="n">
        <f aca="false">(LN(B234/$B$9)+($H$9^2/2)*($J$9))/($H$9*SQRT($J$9))</f>
        <v>0.356733010849679</v>
      </c>
      <c r="J234" s="28" t="n">
        <f aca="false">I234 - $H$9*SQRT($J$9)</f>
        <v>0.273173615847377</v>
      </c>
    </row>
    <row r="235" customFormat="false" ht="13.5" hidden="false" customHeight="true" outlineLevel="0" collapsed="false">
      <c r="B235" s="29" t="n">
        <f aca="false">B205</f>
        <v>76</v>
      </c>
      <c r="C235" s="25" t="n">
        <f aca="false">IF($O$9="sell",-1,1) *  IF($K$9="call",  NORMDIST(I235,0,1,1),  NORMDIST(I235,0,1,1)-1  ) * $P$9</f>
        <v>-1.26187784181221</v>
      </c>
      <c r="D235" s="25" t="n">
        <f aca="false">IF($O$9="sell",-1,1) * NORMDIST(I235,0,1,0)/(B235*$H$9*SQRT($J$9)) * $P$9</f>
        <v>0.184718815212845</v>
      </c>
      <c r="E235" s="25" t="n">
        <f aca="false">IF($O$9="sell",-1,1) * (B235*NORMDIST(I235,0,1,0)*SQRT($J$9)/365) * $P$9</f>
        <v>0.0255696218204543</v>
      </c>
      <c r="F235" s="25" t="n">
        <f aca="false">IF($O$9="sell",-1,1) * (-(B235*NORMDIST(I235,0,1,0)*$H$9)/(2*SQRT($J$9))/365) *$P$9</f>
        <v>-0.931191291254579</v>
      </c>
      <c r="G235" s="25" t="n">
        <f aca="false">IF($O$9="buy",1,-1)*( IF($K$9="call",B235*NORMDIST(I235,0,1,1) - $B$9*NORMDIST(J235,0,1,1),$B$9*NORMDIST(-J235,0,1,1) - B235*NORMDIST(-I235,0,1,1) ) - $G$9) * $P$9</f>
        <v>0.862841632812491</v>
      </c>
      <c r="I235" s="28" t="n">
        <f aca="false">(LN(B235/$B$9)+($H$9^2/2)*($J$9))/($H$9*SQRT($J$9))</f>
        <v>0.200292414708544</v>
      </c>
      <c r="J235" s="28" t="n">
        <f aca="false">I235 - $H$9*SQRT($J$9)</f>
        <v>0.116733019706242</v>
      </c>
    </row>
    <row r="236" customFormat="false" ht="13.5" hidden="false" customHeight="true" outlineLevel="0" collapsed="false">
      <c r="B236" s="29" t="n">
        <f aca="false">B206</f>
        <v>75</v>
      </c>
      <c r="C236" s="25" t="n">
        <f aca="false">IF($O$9="sell",-1,1) *  IF($K$9="call",  NORMDIST(I236,0,1,1),  NORMDIST(I236,0,1,1)-1  ) * $P$9</f>
        <v>-1.45001147988904</v>
      </c>
      <c r="D236" s="25" t="n">
        <f aca="false">IF($O$9="sell",-1,1) * NORMDIST(I236,0,1,0)/(B236*$H$9*SQRT($J$9)) * $P$9</f>
        <v>0.190807626987906</v>
      </c>
      <c r="E236" s="25" t="n">
        <f aca="false">IF($O$9="sell",-1,1) * (B236*NORMDIST(I236,0,1,0)*SQRT($J$9)/365) * $P$9</f>
        <v>0.0257219709280488</v>
      </c>
      <c r="F236" s="25" t="n">
        <f aca="false">IF($O$9="sell",-1,1) * (-(B236*NORMDIST(I236,0,1,0)*$H$9)/(2*SQRT($J$9))/365) *$P$9</f>
        <v>-0.936739522011316</v>
      </c>
      <c r="G236" s="25" t="n">
        <f aca="false">IF($O$9="buy",1,-1)*( IF($K$9="call",B236*NORMDIST(I236,0,1,1) - $B$9*NORMDIST(J236,0,1,1),$B$9*NORMDIST(-J236,0,1,1) - B236*NORMDIST(-I236,0,1,1) ) - $G$9) * $P$9</f>
        <v>2.21827801664401</v>
      </c>
      <c r="I236" s="28" t="n">
        <f aca="false">(LN(B236/$B$9)+($H$9^2/2)*($J$9))/($H$9*SQRT($J$9))</f>
        <v>0.0417796975011509</v>
      </c>
      <c r="J236" s="28" t="n">
        <f aca="false">I236 - $H$9*SQRT($J$9)</f>
        <v>-0.0417796975011509</v>
      </c>
    </row>
    <row r="237" customFormat="false" ht="13.5" hidden="false" customHeight="true" outlineLevel="0" collapsed="false">
      <c r="B237" s="29" t="n">
        <f aca="false">B207</f>
        <v>74</v>
      </c>
      <c r="C237" s="25" t="n">
        <f aca="false">IF($O$9="sell",-1,1) *  IF($K$9="call",  NORMDIST(I237,0,1,1),  NORMDIST(I237,0,1,1)-1  ) * $P$9</f>
        <v>-1.6419215072224</v>
      </c>
      <c r="D237" s="25" t="n">
        <f aca="false">IF($O$9="sell",-1,1) * NORMDIST(I237,0,1,0)/(B237*$H$9*SQRT($J$9)) * $P$9</f>
        <v>0.192192520856173</v>
      </c>
      <c r="E237" s="25" t="n">
        <f aca="false">IF($O$9="sell",-1,1) * (B237*NORMDIST(I237,0,1,0)*SQRT($J$9)/365) * $P$9</f>
        <v>0.0252223709402034</v>
      </c>
      <c r="F237" s="25" t="n">
        <f aca="false">IF($O$9="sell",-1,1) * (-(B237*NORMDIST(I237,0,1,0)*$H$9)/(2*SQRT($J$9))/365) *$P$9</f>
        <v>-0.918545152103958</v>
      </c>
      <c r="G237" s="25" t="n">
        <f aca="false">IF($O$9="buy",1,-1)*( IF($K$9="call",B237*NORMDIST(I237,0,1,1) - $B$9*NORMDIST(J237,0,1,1),$B$9*NORMDIST(-J237,0,1,1) - B237*NORMDIST(-I237,0,1,1) ) - $G$9) * $P$9</f>
        <v>3.764128677796</v>
      </c>
      <c r="I237" s="28" t="n">
        <f aca="false">(LN(B237/$B$9)+($H$9^2/2)*($J$9))/($H$9*SQRT($J$9))</f>
        <v>-0.11886077065651</v>
      </c>
      <c r="J237" s="28" t="n">
        <f aca="false">I237 - $H$9*SQRT($J$9)</f>
        <v>-0.202420165658812</v>
      </c>
    </row>
    <row r="238" customFormat="false" ht="13.5" hidden="false" customHeight="true" outlineLevel="0" collapsed="false">
      <c r="B238" s="29" t="n">
        <f aca="false">B208</f>
        <v>73</v>
      </c>
      <c r="C238" s="25" t="n">
        <f aca="false">IF($O$9="sell",-1,1) *  IF($K$9="call",  NORMDIST(I238,0,1,1),  NORMDIST(I238,0,1,1)-1  ) * $P$9</f>
        <v>-1.83272458865863</v>
      </c>
      <c r="D238" s="25" t="n">
        <f aca="false">IF($O$9="sell",-1,1) * NORMDIST(I238,0,1,0)/(B238*$H$9*SQRT($J$9)) * $P$9</f>
        <v>0.188574550823667</v>
      </c>
      <c r="E238" s="25" t="n">
        <f aca="false">IF($O$9="sell",-1,1) * (B238*NORMDIST(I238,0,1,0)*SQRT($J$9)/365) * $P$9</f>
        <v>0.0240832330347921</v>
      </c>
      <c r="F238" s="25" t="n">
        <f aca="false">IF($O$9="sell",-1,1) * (-(B238*NORMDIST(I238,0,1,0)*$H$9)/(2*SQRT($J$9))/365) *$P$9</f>
        <v>-0.87706017025693</v>
      </c>
      <c r="G238" s="25" t="n">
        <f aca="false">IF($O$9="buy",1,-1)*( IF($K$9="call",B238*NORMDIST(I238,0,1,1) - $B$9*NORMDIST(J238,0,1,1),$B$9*NORMDIST(-J238,0,1,1) - B238*NORMDIST(-I238,0,1,1) ) - $G$9) * $P$9</f>
        <v>5.5017533368308</v>
      </c>
      <c r="I238" s="28" t="n">
        <f aca="false">(LN(B238/$B$9)+($H$9^2/2)*($J$9))/($H$9*SQRT($J$9))</f>
        <v>-0.281686890393301</v>
      </c>
      <c r="J238" s="28" t="n">
        <f aca="false">I238 - $H$9*SQRT($J$9)</f>
        <v>-0.365246285395603</v>
      </c>
    </row>
    <row r="239" customFormat="false" ht="13.5" hidden="false" customHeight="true" outlineLevel="0" collapsed="false">
      <c r="B239" s="29" t="n">
        <f aca="false">B209</f>
        <v>72</v>
      </c>
      <c r="C239" s="25" t="n">
        <f aca="false">IF($O$9="sell",-1,1) *  IF($K$9="call",  NORMDIST(I239,0,1,1),  NORMDIST(I239,0,1,1)-1  ) * $P$9</f>
        <v>-2.01742633906643</v>
      </c>
      <c r="D239" s="25" t="n">
        <f aca="false">IF($O$9="sell",-1,1) * NORMDIST(I239,0,1,0)/(B239*$H$9*SQRT($J$9)) * $P$9</f>
        <v>0.180037239316504</v>
      </c>
      <c r="E239" s="25" t="n">
        <f aca="false">IF($O$9="sell",-1,1) * (B239*NORMDIST(I239,0,1,0)*SQRT($J$9)/365) * $P$9</f>
        <v>0.0223672876834197</v>
      </c>
      <c r="F239" s="25" t="n">
        <f aca="false">IF($O$9="sell",-1,1) * (-(B239*NORMDIST(I239,0,1,0)*$H$9)/(2*SQRT($J$9))/365) *$P$9</f>
        <v>-0.814569086943817</v>
      </c>
      <c r="G239" s="25" t="n">
        <f aca="false">IF($O$9="buy",1,-1)*( IF($K$9="call",B239*NORMDIST(I239,0,1,1) - $B$9*NORMDIST(J239,0,1,1),$B$9*NORMDIST(-J239,0,1,1) - B239*NORMDIST(-I239,0,1,1) ) - $G$9) * $P$9</f>
        <v>7.4275409171613</v>
      </c>
      <c r="I239" s="28" t="n">
        <f aca="false">(LN(B239/$B$9)+($H$9^2/2)*($J$9))/($H$9*SQRT($J$9))</f>
        <v>-0.446758958375076</v>
      </c>
      <c r="J239" s="28" t="n">
        <f aca="false">I239 - $H$9*SQRT($J$9)</f>
        <v>-0.530318353377378</v>
      </c>
    </row>
    <row r="240" customFormat="false" ht="13.5" hidden="false" customHeight="true" outlineLevel="0" collapsed="false">
      <c r="B240" s="29" t="n">
        <f aca="false">B210</f>
        <v>71</v>
      </c>
      <c r="C240" s="25" t="n">
        <f aca="false">IF($O$9="sell",-1,1) *  IF($K$9="call",  NORMDIST(I240,0,1,1),  NORMDIST(I240,0,1,1)-1  ) * $P$9</f>
        <v>-2.19131557638958</v>
      </c>
      <c r="D240" s="25" t="n">
        <f aca="false">IF($O$9="sell",-1,1) * NORMDIST(I240,0,1,0)/(B240*$H$9*SQRT($J$9)) * $P$9</f>
        <v>0.167061647698931</v>
      </c>
      <c r="E240" s="25" t="n">
        <f aca="false">IF($O$9="sell",-1,1) * (B240*NORMDIST(I240,0,1,0)*SQRT($J$9)/365) * $P$9</f>
        <v>0.0201827083163477</v>
      </c>
      <c r="F240" s="25" t="n">
        <f aca="false">IF($O$9="sell",-1,1) * (-(B240*NORMDIST(I240,0,1,0)*$H$9)/(2*SQRT($J$9))/365) *$P$9</f>
        <v>-0.735011348626213</v>
      </c>
      <c r="G240" s="25" t="n">
        <f aca="false">IF($O$9="buy",1,-1)*( IF($K$9="call",B240*NORMDIST(I240,0,1,1) - $B$9*NORMDIST(J240,0,1,1),$B$9*NORMDIST(-J240,0,1,1) - B240*NORMDIST(-I240,0,1,1) ) - $G$9) * $P$9</f>
        <v>9.53299435517809</v>
      </c>
      <c r="I240" s="28" t="n">
        <f aca="false">(LN(B240/$B$9)+($H$9^2/2)*($J$9))/($H$9*SQRT($J$9))</f>
        <v>-0.614139801359334</v>
      </c>
      <c r="J240" s="28" t="n">
        <f aca="false">I240 - $H$9*SQRT($J$9)</f>
        <v>-0.697699196361636</v>
      </c>
    </row>
    <row r="241" customFormat="false" ht="13.5" hidden="false" customHeight="true" outlineLevel="0" collapsed="false">
      <c r="B241" s="29" t="n">
        <f aca="false">B211</f>
        <v>70</v>
      </c>
      <c r="C241" s="25" t="n">
        <f aca="false">IF($O$9="sell",-1,1) *  IF($K$9="call",  NORMDIST(I241,0,1,1),  NORMDIST(I241,0,1,1)-1  ) * $P$9</f>
        <v>-2.35034734355184</v>
      </c>
      <c r="D241" s="25" t="n">
        <f aca="false">IF($O$9="sell",-1,1) * NORMDIST(I241,0,1,0)/(B241*$H$9*SQRT($J$9)) * $P$9</f>
        <v>0.150488362013302</v>
      </c>
      <c r="E241" s="25" t="n">
        <f aca="false">IF($O$9="sell",-1,1) * (B241*NORMDIST(I241,0,1,0)*SQRT($J$9)/365) * $P$9</f>
        <v>0.0176719706283111</v>
      </c>
      <c r="F241" s="25" t="n">
        <f aca="false">IF($O$9="sell",-1,1) * (-(B241*NORMDIST(I241,0,1,0)*$H$9)/(2*SQRT($J$9))/365) *$P$9</f>
        <v>-0.643575617345504</v>
      </c>
      <c r="G241" s="25" t="n">
        <f aca="false">IF($O$9="buy",1,-1)*( IF($K$9="call",B241*NORMDIST(I241,0,1,1) - $B$9*NORMDIST(J241,0,1,1),$B$9*NORMDIST(-J241,0,1,1) - B241*NORMDIST(-I241,0,1,1) ) - $G$9) * $P$9</f>
        <v>11.8052084850515</v>
      </c>
      <c r="I241" s="28" t="n">
        <f aca="false">(LN(B241/$B$9)+($H$9^2/2)*($J$9))/($H$9*SQRT($J$9))</f>
        <v>-0.783894919758237</v>
      </c>
      <c r="J241" s="28" t="n">
        <f aca="false">I241 - $H$9*SQRT($J$9)</f>
        <v>-0.867454314760538</v>
      </c>
    </row>
    <row r="242" customFormat="false" ht="13.5" hidden="false" customHeight="true" outlineLevel="0" collapsed="false">
      <c r="B242" s="29" t="n">
        <f aca="false">B212</f>
        <v>69</v>
      </c>
      <c r="C242" s="25" t="n">
        <f aca="false">IF($O$9="sell",-1,1) *  IF($K$9="call",  NORMDIST(I242,0,1,1),  NORMDIST(I242,0,1,1)-1  ) * $P$9</f>
        <v>-2.49146185182731</v>
      </c>
      <c r="D242" s="25" t="n">
        <f aca="false">IF($O$9="sell",-1,1) * NORMDIST(I242,0,1,0)/(B242*$H$9*SQRT($J$9)) * $P$9</f>
        <v>0.1314285743022</v>
      </c>
      <c r="E242" s="25" t="n">
        <f aca="false">IF($O$9="sell",-1,1) * (B242*NORMDIST(I242,0,1,0)*SQRT($J$9)/365) * $P$9</f>
        <v>0.0149959493250115</v>
      </c>
      <c r="F242" s="25" t="n">
        <f aca="false">IF($O$9="sell",-1,1) * (-(B242*NORMDIST(I242,0,1,0)*$H$9)/(2*SQRT($J$9))/365) *$P$9</f>
        <v>-0.546120608024604</v>
      </c>
      <c r="G242" s="25" t="n">
        <f aca="false">IF($O$9="buy",1,-1)*( IF($K$9="call",B242*NORMDIST(I242,0,1,1) - $B$9*NORMDIST(J242,0,1,1),$B$9*NORMDIST(-J242,0,1,1) - B242*NORMDIST(-I242,0,1,1) ) - $G$9) * $P$9</f>
        <v>14.2277031626546</v>
      </c>
      <c r="I242" s="28" t="n">
        <f aca="false">(LN(B242/$B$9)+($H$9^2/2)*($J$9))/($H$9*SQRT($J$9))</f>
        <v>-0.956092641530914</v>
      </c>
      <c r="J242" s="28" t="n">
        <f aca="false">I242 - $H$9*SQRT($J$9)</f>
        <v>-1.03965203653322</v>
      </c>
    </row>
    <row r="243" customFormat="false" ht="13.5" hidden="false" customHeight="true" outlineLevel="0" collapsed="false">
      <c r="B243" s="29" t="n">
        <f aca="false">B213</f>
        <v>68</v>
      </c>
      <c r="C243" s="25" t="n">
        <f aca="false">IF($O$9="sell",-1,1) *  IF($K$9="call",  NORMDIST(I243,0,1,1),  NORMDIST(I243,0,1,1)-1  ) * $P$9</f>
        <v>-2.61279378743417</v>
      </c>
      <c r="D243" s="25" t="n">
        <f aca="false">IF($O$9="sell",-1,1) * NORMDIST(I243,0,1,0)/(B243*$H$9*SQRT($J$9)) * $P$9</f>
        <v>0.11113656315058</v>
      </c>
      <c r="E243" s="25" t="n">
        <f aca="false">IF($O$9="sell",-1,1) * (B243*NORMDIST(I243,0,1,0)*SQRT($J$9)/365) * $P$9</f>
        <v>0.0123157474217065</v>
      </c>
      <c r="F243" s="25" t="n">
        <f aca="false">IF($O$9="sell",-1,1) * (-(B243*NORMDIST(I243,0,1,0)*$H$9)/(2*SQRT($J$9))/365) *$P$9</f>
        <v>-0.448513350135278</v>
      </c>
      <c r="G243" s="25" t="n">
        <f aca="false">IF($O$9="buy",1,-1)*( IF($K$9="call",B243*NORMDIST(I243,0,1,1) - $B$9*NORMDIST(J243,0,1,1),$B$9*NORMDIST(-J243,0,1,1) - B243*NORMDIST(-I243,0,1,1) ) - $G$9) * $P$9</f>
        <v>16.7815237430477</v>
      </c>
      <c r="I243" s="28" t="n">
        <f aca="false">(LN(B243/$B$9)+($H$9^2/2)*($J$9))/($H$9*SQRT($J$9))</f>
        <v>-1.13080428730995</v>
      </c>
      <c r="J243" s="28" t="n">
        <f aca="false">I243 - $H$9*SQRT($J$9)</f>
        <v>-1.21436368231225</v>
      </c>
    </row>
    <row r="244" customFormat="false" ht="13.5" hidden="false" customHeight="true" outlineLevel="0" collapsed="false">
      <c r="B244" s="29" t="n">
        <f aca="false">B214</f>
        <v>67</v>
      </c>
      <c r="C244" s="25" t="n">
        <f aca="false">IF($O$9="sell",-1,1) *  IF($K$9="call",  NORMDIST(I244,0,1,1),  NORMDIST(I244,0,1,1)-1  ) * $P$9</f>
        <v>-2.71374312151109</v>
      </c>
      <c r="D244" s="25" t="n">
        <f aca="false">IF($O$9="sell",-1,1) * NORMDIST(I244,0,1,0)/(B244*$H$9*SQRT($J$9)) * $P$9</f>
        <v>0.0908641473999768</v>
      </c>
      <c r="E244" s="25" t="n">
        <f aca="false">IF($O$9="sell",-1,1) * (B244*NORMDIST(I244,0,1,0)*SQRT($J$9)/365) * $P$9</f>
        <v>0.00977525616540365</v>
      </c>
      <c r="F244" s="25" t="n">
        <f aca="false">IF($O$9="sell",-1,1) * (-(B244*NORMDIST(I244,0,1,0)*$H$9)/(2*SQRT($J$9))/365) *$P$9</f>
        <v>-0.355994057124649</v>
      </c>
      <c r="G244" s="25" t="n">
        <f aca="false">IF($O$9="buy",1,-1)*( IF($K$9="call",B244*NORMDIST(I244,0,1,1) - $B$9*NORMDIST(J244,0,1,1),$B$9*NORMDIST(-J244,0,1,1) - B244*NORMDIST(-I244,0,1,1) ) - $G$9) * $P$9</f>
        <v>19.4464831244054</v>
      </c>
      <c r="I244" s="28" t="n">
        <f aca="false">(LN(B244/$B$9)+($H$9^2/2)*($J$9))/($H$9*SQRT($J$9))</f>
        <v>-1.30810434776075</v>
      </c>
      <c r="J244" s="28" t="n">
        <f aca="false">I244 - $H$9*SQRT($J$9)</f>
        <v>-1.39166374276306</v>
      </c>
    </row>
    <row r="245" customFormat="false" ht="13.5" hidden="false" customHeight="true" outlineLevel="0" collapsed="false">
      <c r="B245" s="29" t="n">
        <f aca="false">B215</f>
        <v>66</v>
      </c>
      <c r="C245" s="25" t="n">
        <f aca="false">IF($O$9="sell",-1,1) *  IF($K$9="call",  NORMDIST(I245,0,1,1),  NORMDIST(I245,0,1,1)-1  ) * $P$9</f>
        <v>-2.79490161552386</v>
      </c>
      <c r="D245" s="25" t="n">
        <f aca="false">IF($O$9="sell",-1,1) * NORMDIST(I245,0,1,0)/(B245*$H$9*SQRT($J$9)) * $P$9</f>
        <v>0.0717217973585988</v>
      </c>
      <c r="E245" s="25" t="n">
        <f aca="false">IF($O$9="sell",-1,1) * (B245*NORMDIST(I245,0,1,0)*SQRT($J$9)/365) * $P$9</f>
        <v>0.00748729632325812</v>
      </c>
      <c r="F245" s="25" t="n">
        <f aca="false">IF($O$9="sell",-1,1) * (-(B245*NORMDIST(I245,0,1,0)*$H$9)/(2*SQRT($J$9))/365) *$P$9</f>
        <v>-0.272671421588374</v>
      </c>
      <c r="G245" s="25" t="n">
        <f aca="false">IF($O$9="buy",1,-1)*( IF($K$9="call",B245*NORMDIST(I245,0,1,1) - $B$9*NORMDIST(J245,0,1,1),$B$9*NORMDIST(-J245,0,1,1) - B245*NORMDIST(-I245,0,1,1) ) - $G$9) * $P$9</f>
        <v>22.2024018928834</v>
      </c>
      <c r="I245" s="28" t="n">
        <f aca="false">(LN(B245/$B$9)+($H$9^2/2)*($J$9))/($H$9*SQRT($J$9))</f>
        <v>-1.48807067427767</v>
      </c>
      <c r="J245" s="28" t="n">
        <f aca="false">I245 - $H$9*SQRT($J$9)</f>
        <v>-1.57163006927998</v>
      </c>
    </row>
    <row r="246" customFormat="false" ht="13.5" hidden="false" customHeight="true" outlineLevel="0" collapsed="false">
      <c r="B246" s="29" t="n">
        <f aca="false">B216</f>
        <v>65</v>
      </c>
      <c r="C246" s="25" t="n">
        <f aca="false">IF($O$9="sell",-1,1) *  IF($K$9="call",  NORMDIST(I246,0,1,1),  NORMDIST(I246,0,1,1)-1  ) * $P$9</f>
        <v>-2.85785367782414</v>
      </c>
      <c r="D246" s="25" t="n">
        <f aca="false">IF($O$9="sell",-1,1) * NORMDIST(I246,0,1,0)/(B246*$H$9*SQRT($J$9)) * $P$9</f>
        <v>0.054569690884051</v>
      </c>
      <c r="E246" s="25" t="n">
        <f aca="false">IF($O$9="sell",-1,1) * (B246*NORMDIST(I246,0,1,0)*SQRT($J$9)/365) * $P$9</f>
        <v>0.00552540597302066</v>
      </c>
      <c r="F246" s="25" t="n">
        <f aca="false">IF($O$9="sell",-1,1) * (-(B246*NORMDIST(I246,0,1,0)*$H$9)/(2*SQRT($J$9))/365) *$P$9</f>
        <v>-0.20122354404972</v>
      </c>
      <c r="G246" s="25" t="n">
        <f aca="false">IF($O$9="buy",1,-1)*( IF($K$9="call",B246*NORMDIST(I246,0,1,1) - $B$9*NORMDIST(J246,0,1,1),$B$9*NORMDIST(-J246,0,1,1) - B246*NORMDIST(-I246,0,1,1) ) - $G$9) * $P$9</f>
        <v>25.0302096434159</v>
      </c>
      <c r="I246" s="28" t="n">
        <f aca="false">(LN(B246/$B$9)+($H$9^2/2)*($J$9))/($H$9*SQRT($J$9))</f>
        <v>-1.67078468423871</v>
      </c>
      <c r="J246" s="28" t="n">
        <f aca="false">I246 - $H$9*SQRT($J$9)</f>
        <v>-1.75434407924101</v>
      </c>
    </row>
    <row r="247" customFormat="false" ht="13.5" hidden="false" customHeight="true" outlineLevel="0" collapsed="false">
      <c r="B247" s="29" t="n">
        <f aca="false">B217</f>
        <v>64</v>
      </c>
      <c r="C247" s="25" t="n">
        <f aca="false">IF($O$9="sell",-1,1) *  IF($K$9="call",  NORMDIST(I247,0,1,1),  NORMDIST(I247,0,1,1)-1  ) * $P$9</f>
        <v>-2.90489053479304</v>
      </c>
      <c r="D247" s="25" t="n">
        <f aca="false">IF($O$9="sell",-1,1) * NORMDIST(I247,0,1,0)/(B247*$H$9*SQRT($J$9)) * $P$9</f>
        <v>0.0399552493747701</v>
      </c>
      <c r="E247" s="25" t="n">
        <f aca="false">IF($O$9="sell",-1,1) * (B247*NORMDIST(I247,0,1,0)*SQRT($J$9)/365) * $P$9</f>
        <v>0.00392211008710547</v>
      </c>
      <c r="F247" s="25" t="n">
        <f aca="false">IF($O$9="sell",-1,1) * (-(B247*NORMDIST(I247,0,1,0)*$H$9)/(2*SQRT($J$9))/365) *$P$9</f>
        <v>-0.142834914888446</v>
      </c>
      <c r="G247" s="25" t="n">
        <f aca="false">IF($O$9="buy",1,-1)*( IF($K$9="call",B247*NORMDIST(I247,0,1,1) - $B$9*NORMDIST(J247,0,1,1),$B$9*NORMDIST(-J247,0,1,1) - B247*NORMDIST(-I247,0,1,1) ) - $G$9) * $P$9</f>
        <v>27.9127999261757</v>
      </c>
      <c r="I247" s="28" t="n">
        <f aca="false">(LN(B247/$B$9)+($H$9^2/2)*($J$9))/($H$9*SQRT($J$9))</f>
        <v>-1.85633158217326</v>
      </c>
      <c r="J247" s="28" t="n">
        <f aca="false">I247 - $H$9*SQRT($J$9)</f>
        <v>-1.93989097717556</v>
      </c>
    </row>
    <row r="248" customFormat="false" ht="13.5" hidden="false" customHeight="true" outlineLevel="0" collapsed="false">
      <c r="B248" s="29" t="n">
        <f aca="false">B218</f>
        <v>63</v>
      </c>
      <c r="C248" s="25" t="n">
        <f aca="false">IF($O$9="sell",-1,1) *  IF($K$9="call",  NORMDIST(I248,0,1,1),  NORMDIST(I248,0,1,1)-1  ) * $P$9</f>
        <v>-2.93868821885889</v>
      </c>
      <c r="D248" s="25" t="n">
        <f aca="false">IF($O$9="sell",-1,1) * NORMDIST(I248,0,1,0)/(B248*$H$9*SQRT($J$9)) * $P$9</f>
        <v>0.0281033039340772</v>
      </c>
      <c r="E248" s="25" t="n">
        <f aca="false">IF($O$9="sell",-1,1) * (B248*NORMDIST(I248,0,1,0)*SQRT($J$9)/365) * $P$9</f>
        <v>0.00267315699088057</v>
      </c>
      <c r="F248" s="25" t="n">
        <f aca="false">IF($O$9="sell",-1,1) * (-(B248*NORMDIST(I248,0,1,0)*$H$9)/(2*SQRT($J$9))/365) *$P$9</f>
        <v>-0.0973506971492647</v>
      </c>
      <c r="G248" s="25" t="n">
        <f aca="false">IF($O$9="buy",1,-1)*( IF($K$9="call",B248*NORMDIST(I248,0,1,1) - $B$9*NORMDIST(J248,0,1,1),$B$9*NORMDIST(-J248,0,1,1) - B248*NORMDIST(-I248,0,1,1) ) - $G$9) * $P$9</f>
        <v>30.8355768707354</v>
      </c>
      <c r="I248" s="28" t="n">
        <f aca="false">(LN(B248/$B$9)+($H$9^2/2)*($J$9))/($H$9*SQRT($J$9))</f>
        <v>-2.04480059834679</v>
      </c>
      <c r="J248" s="28" t="n">
        <f aca="false">I248 - $H$9*SQRT($J$9)</f>
        <v>-2.12835999334909</v>
      </c>
    </row>
    <row r="249" customFormat="false" ht="13.5" hidden="false" customHeight="true" outlineLevel="0" collapsed="false">
      <c r="B249" s="29" t="n">
        <f aca="false">B219</f>
        <v>62</v>
      </c>
      <c r="C249" s="25" t="n">
        <f aca="false">IF($O$9="sell",-1,1) *  IF($K$9="call",  NORMDIST(I249,0,1,1),  NORMDIST(I249,0,1,1)-1  ) * $P$9</f>
        <v>-2.962000361632</v>
      </c>
      <c r="D249" s="25" t="n">
        <f aca="false">IF($O$9="sell",-1,1) * NORMDIST(I249,0,1,0)/(B249*$H$9*SQRT($J$9)) * $P$9</f>
        <v>0.0189538367923743</v>
      </c>
      <c r="E249" s="25" t="n">
        <f aca="false">IF($O$9="sell",-1,1) * (B249*NORMDIST(I249,0,1,0)*SQRT($J$9)/365) * $P$9</f>
        <v>0.00174608950321263</v>
      </c>
      <c r="F249" s="25" t="n">
        <f aca="false">IF($O$9="sell",-1,1) * (-(B249*NORMDIST(I249,0,1,0)*$H$9)/(2*SQRT($J$9))/365) *$P$9</f>
        <v>-0.0635888692668098</v>
      </c>
      <c r="G249" s="25" t="n">
        <f aca="false">IF($O$9="buy",1,-1)*( IF($K$9="call",B249*NORMDIST(I249,0,1,1) - $B$9*NORMDIST(J249,0,1,1),$B$9*NORMDIST(-J249,0,1,1) - B249*NORMDIST(-I249,0,1,1) ) - $G$9) * $P$9</f>
        <v>33.7866832233228</v>
      </c>
      <c r="I249" s="28" t="n">
        <f aca="false">(LN(B249/$B$9)+($H$9^2/2)*($J$9))/($H$9*SQRT($J$9))</f>
        <v>-2.23628524643454</v>
      </c>
      <c r="J249" s="28" t="n">
        <f aca="false">I249 - $H$9*SQRT($J$9)</f>
        <v>-2.31984464143684</v>
      </c>
    </row>
    <row r="250" customFormat="false" ht="13.5" hidden="false" customHeight="true" outlineLevel="0" collapsed="false">
      <c r="B250" s="29" t="n">
        <f aca="false">B220</f>
        <v>61</v>
      </c>
      <c r="C250" s="25" t="n">
        <f aca="false">IF($O$9="sell",-1,1) *  IF($K$9="call",  NORMDIST(I250,0,1,1),  NORMDIST(I250,0,1,1)-1  ) * $P$9</f>
        <v>-2.97740692128822</v>
      </c>
      <c r="D250" s="25" t="n">
        <f aca="false">IF($O$9="sell",-1,1) * NORMDIST(I250,0,1,0)/(B250*$H$9*SQRT($J$9)) * $P$9</f>
        <v>0.0122332200884832</v>
      </c>
      <c r="E250" s="25" t="n">
        <f aca="false">IF($O$9="sell",-1,1) * (B250*NORMDIST(I250,0,1,0)*SQRT($J$9)/365) * $P$9</f>
        <v>0.00109090377625485</v>
      </c>
      <c r="F250" s="25" t="n">
        <f aca="false">IF($O$9="sell",-1,1) * (-(B250*NORMDIST(I250,0,1,0)*$H$9)/(2*SQRT($J$9))/365) *$P$9</f>
        <v>-0.039728397360677</v>
      </c>
      <c r="G250" s="25" t="n">
        <f aca="false">IF($O$9="buy",1,-1)*( IF($K$9="call",B250*NORMDIST(I250,0,1,1) - $B$9*NORMDIST(J250,0,1,1),$B$9*NORMDIST(-J250,0,1,1) - B250*NORMDIST(-I250,0,1,1) ) - $G$9) * $P$9</f>
        <v>36.7569463463422</v>
      </c>
      <c r="I250" s="28" t="n">
        <f aca="false">(LN(B250/$B$9)+($H$9^2/2)*($J$9))/($H$9*SQRT($J$9))</f>
        <v>-2.43088360214706</v>
      </c>
      <c r="J250" s="28" t="n">
        <f aca="false">I250 - $H$9*SQRT($J$9)</f>
        <v>-2.51444299714936</v>
      </c>
    </row>
    <row r="251" customFormat="false" ht="13.5" hidden="false" customHeight="true" outlineLevel="0" collapsed="false">
      <c r="B251" s="29" t="n">
        <f aca="false">B221</f>
        <v>60</v>
      </c>
      <c r="C251" s="25" t="n">
        <f aca="false">IF($O$9="sell",-1,1) *  IF($K$9="call",  NORMDIST(I251,0,1,1),  NORMDIST(I251,0,1,1)-1  ) * $P$9</f>
        <v>-2.98714315659283</v>
      </c>
      <c r="D251" s="25" t="n">
        <f aca="false">IF($O$9="sell",-1,1) * NORMDIST(I251,0,1,0)/(B251*$H$9*SQRT($J$9)) * $P$9</f>
        <v>0.00754023898513304</v>
      </c>
      <c r="E251" s="25" t="n">
        <f aca="false">IF($O$9="sell",-1,1) * (B251*NORMDIST(I251,0,1,0)*SQRT($J$9)/365) * $P$9</f>
        <v>0.000650539389110437</v>
      </c>
      <c r="F251" s="25" t="n">
        <f aca="false">IF($O$9="sell",-1,1) * (-(B251*NORMDIST(I251,0,1,0)*$H$9)/(2*SQRT($J$9))/365) *$P$9</f>
        <v>-0.0236912621552003</v>
      </c>
      <c r="G251" s="25" t="n">
        <f aca="false">IF($O$9="buy",1,-1)*( IF($K$9="call",B251*NORMDIST(I251,0,1,1) - $B$9*NORMDIST(J251,0,1,1),$B$9*NORMDIST(-J251,0,1,1) - B251*NORMDIST(-I251,0,1,1) ) - $G$9) * $P$9</f>
        <v>39.7396118373696</v>
      </c>
      <c r="I251" s="28" t="n">
        <f aca="false">(LN(B251/$B$9)+($H$9^2/2)*($J$9))/($H$9*SQRT($J$9))</f>
        <v>-2.62869860488559</v>
      </c>
      <c r="J251" s="28" t="n">
        <f aca="false">I251 - $H$9*SQRT($J$9)</f>
        <v>-2.71225799988789</v>
      </c>
    </row>
    <row r="252" customFormat="false" ht="13.5" hidden="false" customHeight="true" outlineLevel="0" collapsed="false">
      <c r="B252" s="29" t="n">
        <f aca="false">B222</f>
        <v>59</v>
      </c>
      <c r="C252" s="25" t="n">
        <f aca="false">IF($O$9="sell",-1,1) *  IF($K$9="call",  NORMDIST(I252,0,1,1),  NORMDIST(I252,0,1,1)-1  ) * $P$9</f>
        <v>-2.99301427159213</v>
      </c>
      <c r="D252" s="25" t="n">
        <f aca="false">IF($O$9="sell",-1,1) * NORMDIST(I252,0,1,0)/(B252*$H$9*SQRT($J$9)) * $P$9</f>
        <v>0.00442865767940966</v>
      </c>
      <c r="E252" s="25" t="n">
        <f aca="false">IF($O$9="sell",-1,1) * (B252*NORMDIST(I252,0,1,0)*SQRT($J$9)/365) * $P$9</f>
        <v>0.000369455487253364</v>
      </c>
      <c r="F252" s="25" t="n">
        <f aca="false">IF($O$9="sell",-1,1) * (-(B252*NORMDIST(I252,0,1,0)*$H$9)/(2*SQRT($J$9))/365) *$P$9</f>
        <v>-0.0134547837528571</v>
      </c>
      <c r="G252" s="25" t="n">
        <f aca="false">IF($O$9="buy",1,-1)*( IF($K$9="call",B252*NORMDIST(I252,0,1,1) - $B$9*NORMDIST(J252,0,1,1),$B$9*NORMDIST(-J252,0,1,1) - B252*NORMDIST(-I252,0,1,1) ) - $G$9) * $P$9</f>
        <v>42.729949252432</v>
      </c>
      <c r="I252" s="28" t="n">
        <f aca="false">(LN(B252/$B$9)+($H$9^2/2)*($J$9))/($H$9*SQRT($J$9))</f>
        <v>-2.82983838475018</v>
      </c>
      <c r="J252" s="28" t="n">
        <f aca="false">I252 - $H$9*SQRT($J$9)</f>
        <v>-2.91339777975248</v>
      </c>
    </row>
    <row r="253" customFormat="false" ht="13.5" hidden="false" customHeight="true" outlineLevel="0" collapsed="false">
      <c r="B253" s="29" t="n">
        <f aca="false">B223</f>
        <v>58</v>
      </c>
      <c r="C253" s="25" t="n">
        <f aca="false">IF($O$9="sell",-1,1) *  IF($K$9="call",  NORMDIST(I253,0,1,1),  NORMDIST(I253,0,1,1)-1  ) * $P$9</f>
        <v>-2.99638497952384</v>
      </c>
      <c r="D253" s="25" t="n">
        <f aca="false">IF($O$9="sell",-1,1) * NORMDIST(I253,0,1,0)/(B253*$H$9*SQRT($J$9)) * $P$9</f>
        <v>0.00247277623744344</v>
      </c>
      <c r="E253" s="25" t="n">
        <f aca="false">IF($O$9="sell",-1,1) * (B253*NORMDIST(I253,0,1,0)*SQRT($J$9)/365) * $P$9</f>
        <v>0.000199354843476369</v>
      </c>
      <c r="F253" s="25" t="n">
        <f aca="false">IF($O$9="sell",-1,1) * (-(B253*NORMDIST(I253,0,1,0)*$H$9)/(2*SQRT($J$9))/365) *$P$9</f>
        <v>-0.00726007977036698</v>
      </c>
      <c r="G253" s="25" t="n">
        <f aca="false">IF($O$9="buy",1,-1)*( IF($K$9="call",B253*NORMDIST(I253,0,1,1) - $B$9*NORMDIST(J253,0,1,1),$B$9*NORMDIST(-J253,0,1,1) - B253*NORMDIST(-I253,0,1,1) ) - $G$9) * $P$9</f>
        <v>45.7248113609445</v>
      </c>
      <c r="I253" s="28" t="n">
        <f aca="false">(LN(B253/$B$9)+($H$9^2/2)*($J$9))/($H$9*SQRT($J$9))</f>
        <v>-3.03441661750102</v>
      </c>
      <c r="J253" s="28" t="n">
        <f aca="false">I253 - $H$9*SQRT($J$9)</f>
        <v>-3.11797601250332</v>
      </c>
    </row>
    <row r="254" customFormat="false" ht="13.5" hidden="false" customHeight="true" outlineLevel="0" collapsed="false">
      <c r="B254" s="29" t="n">
        <f aca="false">B224</f>
        <v>57</v>
      </c>
      <c r="C254" s="25" t="n">
        <f aca="false">IF($O$9="sell",-1,1) *  IF($K$9="call",  NORMDIST(I254,0,1,1),  NORMDIST(I254,0,1,1)-1  ) * $P$9</f>
        <v>-2.99822304075854</v>
      </c>
      <c r="D254" s="25" t="n">
        <f aca="false">IF($O$9="sell",-1,1) * NORMDIST(I254,0,1,0)/(B254*$H$9*SQRT($J$9)) * $P$9</f>
        <v>0.00130931049750831</v>
      </c>
      <c r="E254" s="25" t="n">
        <f aca="false">IF($O$9="sell",-1,1) * (B254*NORMDIST(I254,0,1,0)*SQRT($J$9)/365) * $P$9</f>
        <v>0.000101947914744893</v>
      </c>
      <c r="F254" s="25" t="n">
        <f aca="false">IF($O$9="sell",-1,1) * (-(B254*NORMDIST(I254,0,1,0)*$H$9)/(2*SQRT($J$9))/365) *$P$9</f>
        <v>-0.00371272641569016</v>
      </c>
      <c r="G254" s="25" t="n">
        <f aca="false">IF($O$9="buy",1,-1)*( IF($K$9="call",B254*NORMDIST(I254,0,1,1) - $B$9*NORMDIST(J254,0,1,1),$B$9*NORMDIST(-J254,0,1,1) - B254*NORMDIST(-I254,0,1,1) ) - $G$9) * $P$9</f>
        <v>48.7222119343169</v>
      </c>
      <c r="I254" s="28" t="n">
        <f aca="false">(LN(B254/$B$9)+($H$9^2/2)*($J$9))/($H$9*SQRT($J$9))</f>
        <v>-3.24255291039053</v>
      </c>
      <c r="J254" s="28" t="n">
        <f aca="false">I254 - $H$9*SQRT($J$9)</f>
        <v>-3.32611230539283</v>
      </c>
    </row>
    <row r="255" customFormat="false" ht="13.5" hidden="false" customHeight="true" outlineLevel="0" collapsed="false">
      <c r="B255" s="30"/>
      <c r="C255" s="22"/>
      <c r="D255" s="22"/>
      <c r="E255" s="22"/>
      <c r="F255" s="22"/>
      <c r="G255" s="22"/>
      <c r="I255" s="31"/>
      <c r="J255" s="31"/>
    </row>
    <row r="256" customFormat="false" ht="13.5" hidden="false" customHeight="true" outlineLevel="0" collapsed="false">
      <c r="B256" s="30"/>
      <c r="C256" s="22"/>
      <c r="D256" s="22"/>
      <c r="E256" s="22"/>
      <c r="F256" s="22"/>
      <c r="G256" s="22"/>
      <c r="I256" s="31"/>
      <c r="J256" s="31"/>
    </row>
    <row r="257" customFormat="false" ht="13.5" hidden="false" customHeight="true" outlineLevel="0" collapsed="false">
      <c r="B257" s="23"/>
      <c r="C257" s="19" t="s">
        <v>13</v>
      </c>
      <c r="D257" s="19" t="s">
        <v>14</v>
      </c>
      <c r="E257" s="19" t="s">
        <v>15</v>
      </c>
      <c r="F257" s="19" t="s">
        <v>16</v>
      </c>
      <c r="G257" s="19" t="s">
        <v>17</v>
      </c>
      <c r="I257" s="19" t="s">
        <v>158</v>
      </c>
      <c r="J257" s="19" t="s">
        <v>159</v>
      </c>
    </row>
    <row r="258" customFormat="false" ht="13.5" hidden="false" customHeight="true" outlineLevel="0" collapsed="false">
      <c r="A258" s="2" t="str">
        <f aca="false">A10</f>
        <v>SOL-24APR26-78-P-USDT</v>
      </c>
      <c r="B258" s="29" t="n">
        <f aca="false">B228</f>
        <v>83</v>
      </c>
      <c r="C258" s="25" t="n">
        <f aca="false">IF($O$10="sell",-1,1) *  IF($K$10="call",  NORMDIST(I258,0,1,1),  NORMDIST(I258,0,1,1)-1  ) * $P$10</f>
        <v>-0.58392383764914</v>
      </c>
      <c r="D258" s="25" t="n">
        <f aca="false">IF($O$10="sell",-1,1) * NORMDIST(I258,0,1,0)/(B258*$H$10*SQRT($J$10)) * $P$10</f>
        <v>0.13188299779992</v>
      </c>
      <c r="E258" s="25" t="n">
        <f aca="false">IF($O$10="sell",-1,1) * (B258*NORMDIST(I258,0,1,0)*SQRT($J$10)/365) * $P$10</f>
        <v>0.0196677428920779</v>
      </c>
      <c r="F258" s="25" t="n">
        <f aca="false">IF($O$10="sell",-1,1) * (-(B258*NORMDIST(I258,0,1,0)*$H$10)/(2*SQRT($J$10))/365) *$P$10</f>
        <v>-0.646982694774211</v>
      </c>
      <c r="G258" s="25" t="n">
        <f aca="false">IF($O$10="buy",1,-1)*( IF($K$10="call",B258*NORMDIST(I258,0,1,1) - $B$10*NORMDIST(J258,0,1,1),$B$10*NORMDIST(-J258,0,1,1) - B258*NORMDIST(-I258,0,1,1) ) - $G$10) * $P$10</f>
        <v>-4.34888841666186</v>
      </c>
      <c r="I258" s="26" t="n">
        <f aca="false">(LN(B258/$B$10)+($H$10^2/2)*($J$10))/($H$10*SQRT($J$10))</f>
        <v>0.860919177811763</v>
      </c>
      <c r="J258" s="26" t="n">
        <f aca="false">I258 - $H$10*SQRT($J$10)</f>
        <v>0.785441448174254</v>
      </c>
    </row>
    <row r="259" customFormat="false" ht="13.5" hidden="false" customHeight="true" outlineLevel="0" collapsed="false">
      <c r="B259" s="29" t="n">
        <f aca="false">B229</f>
        <v>82</v>
      </c>
      <c r="C259" s="25" t="n">
        <f aca="false">IF($O$10="sell",-1,1) *  IF($K$10="call",  NORMDIST(I259,0,1,1),  NORMDIST(I259,0,1,1)-1  ) * $P$10</f>
        <v>-0.725587494168829</v>
      </c>
      <c r="D259" s="25" t="n">
        <f aca="false">IF($O$10="sell",-1,1) * NORMDIST(I259,0,1,0)/(B259*$H$10*SQRT($J$10)) * $P$10</f>
        <v>0.15132057248285</v>
      </c>
      <c r="E259" s="25" t="n">
        <f aca="false">IF($O$10="sell",-1,1) * (B259*NORMDIST(I259,0,1,0)*SQRT($J$10)/365) * $P$10</f>
        <v>0.0220259783277657</v>
      </c>
      <c r="F259" s="25" t="n">
        <f aca="false">IF($O$10="sell",-1,1) * (-(B259*NORMDIST(I259,0,1,0)*$H$10)/(2*SQRT($J$10))/365) *$P$10</f>
        <v>-0.724558323328308</v>
      </c>
      <c r="G259" s="25" t="n">
        <f aca="false">IF($O$10="buy",1,-1)*( IF($K$10="call",B259*NORMDIST(I259,0,1,1) - $B$10*NORMDIST(J259,0,1,1),$B$10*NORMDIST(-J259,0,1,1) - B259*NORMDIST(-I259,0,1,1) ) - $G$10) * $P$10</f>
        <v>-3.69575416978373</v>
      </c>
      <c r="I259" s="26" t="n">
        <f aca="false">(LN(B259/$B$10)+($H$10^2/2)*($J$10))/($H$10*SQRT($J$10))</f>
        <v>0.70032398515614</v>
      </c>
      <c r="J259" s="26" t="n">
        <f aca="false">I259 - $H$10*SQRT($J$10)</f>
        <v>0.624846255518631</v>
      </c>
    </row>
    <row r="260" customFormat="false" ht="13.5" hidden="false" customHeight="true" outlineLevel="0" collapsed="false">
      <c r="B260" s="29" t="n">
        <f aca="false">B230</f>
        <v>81</v>
      </c>
      <c r="C260" s="25" t="n">
        <f aca="false">IF($O$10="sell",-1,1) *  IF($K$10="call",  NORMDIST(I260,0,1,1),  NORMDIST(I260,0,1,1)-1  ) * $P$10</f>
        <v>-0.886115937952294</v>
      </c>
      <c r="D260" s="25" t="n">
        <f aca="false">IF($O$10="sell",-1,1) * NORMDIST(I260,0,1,0)/(B260*$H$10*SQRT($J$10)) * $P$10</f>
        <v>0.169407244996181</v>
      </c>
      <c r="E260" s="25" t="n">
        <f aca="false">IF($O$10="sell",-1,1) * (B260*NORMDIST(I260,0,1,0)*SQRT($J$10)/365) * $P$10</f>
        <v>0.0240608820781919</v>
      </c>
      <c r="F260" s="25" t="n">
        <f aca="false">IF($O$10="sell",-1,1) * (-(B260*NORMDIST(I260,0,1,0)*$H$10)/(2*SQRT($J$10))/365) *$P$10</f>
        <v>-0.791497754013423</v>
      </c>
      <c r="G260" s="25" t="n">
        <f aca="false">IF($O$10="buy",1,-1)*( IF($K$10="call",B260*NORMDIST(I260,0,1,1) - $B$10*NORMDIST(J260,0,1,1),$B$10*NORMDIST(-J260,0,1,1) - B260*NORMDIST(-I260,0,1,1) ) - $G$10) * $P$10</f>
        <v>-2.89141145392869</v>
      </c>
      <c r="I260" s="26" t="n">
        <f aca="false">(LN(B260/$B$10)+($H$10^2/2)*($J$10))/($H$10*SQRT($J$10))</f>
        <v>0.537758250193748</v>
      </c>
      <c r="J260" s="26" t="n">
        <f aca="false">I260 - $H$10*SQRT($J$10)</f>
        <v>0.462280520556239</v>
      </c>
    </row>
    <row r="261" customFormat="false" ht="13.5" hidden="false" customHeight="true" outlineLevel="0" collapsed="false">
      <c r="B261" s="29" t="n">
        <f aca="false">B231</f>
        <v>80</v>
      </c>
      <c r="C261" s="25" t="n">
        <f aca="false">IF($O$10="sell",-1,1) *  IF($K$10="call",  NORMDIST(I261,0,1,1),  NORMDIST(I261,0,1,1)-1  ) * $P$10</f>
        <v>-1.0635295199112</v>
      </c>
      <c r="D261" s="25" t="n">
        <f aca="false">IF($O$10="sell",-1,1) * NORMDIST(I261,0,1,0)/(B261*$H$10*SQRT($J$10)) * $P$10</f>
        <v>0.184877046147208</v>
      </c>
      <c r="E261" s="25" t="n">
        <f aca="false">IF($O$10="sell",-1,1) * (B261*NORMDIST(I261,0,1,0)*SQRT($J$10)/365) * $P$10</f>
        <v>0.0256137103919437</v>
      </c>
      <c r="F261" s="25" t="n">
        <f aca="false">IF($O$10="sell",-1,1) * (-(B261*NORMDIST(I261,0,1,0)*$H$10)/(2*SQRT($J$10))/365) *$P$10</f>
        <v>-0.842579011911983</v>
      </c>
      <c r="G261" s="25" t="n">
        <f aca="false">IF($O$10="buy",1,-1)*( IF($K$10="call",B261*NORMDIST(I261,0,1,1) - $B$10*NORMDIST(J261,0,1,1),$B$10*NORMDIST(-J261,0,1,1) - B261*NORMDIST(-I261,0,1,1) ) - $G$10) * $P$10</f>
        <v>-1.9178796304392</v>
      </c>
      <c r="I261" s="26" t="n">
        <f aca="false">(LN(B261/$B$10)+($H$10^2/2)*($J$10))/($H$10*SQRT($J$10))</f>
        <v>0.37317301348594</v>
      </c>
      <c r="J261" s="26" t="n">
        <f aca="false">I261 - $H$10*SQRT($J$10)</f>
        <v>0.297695283848431</v>
      </c>
    </row>
    <row r="262" customFormat="false" ht="13.5" hidden="false" customHeight="true" outlineLevel="0" collapsed="false">
      <c r="B262" s="29" t="n">
        <f aca="false">B232</f>
        <v>79</v>
      </c>
      <c r="C262" s="25" t="n">
        <f aca="false">IF($O$10="sell",-1,1) *  IF($K$10="call",  NORMDIST(I262,0,1,1),  NORMDIST(I262,0,1,1)-1  ) * $P$10</f>
        <v>-1.25458008203435</v>
      </c>
      <c r="D262" s="25" t="n">
        <f aca="false">IF($O$10="sell",-1,1) * NORMDIST(I262,0,1,0)/(B262*$H$10*SQRT($J$10)) * $P$10</f>
        <v>0.19648264123147</v>
      </c>
      <c r="E262" s="25" t="n">
        <f aca="false">IF($O$10="sell",-1,1) * (B262*NORMDIST(I262,0,1,0)*SQRT($J$10)/365) * $P$10</f>
        <v>0.0265453158548428</v>
      </c>
      <c r="F262" s="25" t="n">
        <f aca="false">IF($O$10="sell",-1,1) * (-(B262*NORMDIST(I262,0,1,0)*$H$10)/(2*SQRT($J$10))/365) *$P$10</f>
        <v>-0.873224755867464</v>
      </c>
      <c r="G262" s="25" t="n">
        <f aca="false">IF($O$10="buy",1,-1)*( IF($K$10="call",B262*NORMDIST(I262,0,1,1) - $B$10*NORMDIST(J262,0,1,1),$B$10*NORMDIST(-J262,0,1,1) - B262*NORMDIST(-I262,0,1,1) ) - $G$10) * $P$10</f>
        <v>-0.759793482746691</v>
      </c>
      <c r="I262" s="26" t="n">
        <f aca="false">(LN(B262/$B$10)+($H$10^2/2)*($J$10))/($H$10*SQRT($J$10))</f>
        <v>0.206517467972433</v>
      </c>
      <c r="J262" s="26" t="n">
        <f aca="false">I262 - $H$10*SQRT($J$10)</f>
        <v>0.131039738334924</v>
      </c>
    </row>
    <row r="263" customFormat="false" ht="13.5" hidden="false" customHeight="true" outlineLevel="0" collapsed="false">
      <c r="B263" s="29" t="n">
        <f aca="false">B233</f>
        <v>78</v>
      </c>
      <c r="C263" s="25" t="n">
        <f aca="false">IF($O$10="sell",-1,1) *  IF($K$10="call",  NORMDIST(I263,0,1,1),  NORMDIST(I263,0,1,1)-1  ) * $P$10</f>
        <v>-1.45484383261656</v>
      </c>
      <c r="D263" s="25" t="n">
        <f aca="false">IF($O$10="sell",-1,1) * NORMDIST(I263,0,1,0)/(B263*$H$10*SQRT($J$10)) * $P$10</f>
        <v>0.203146162998322</v>
      </c>
      <c r="E263" s="25" t="n">
        <f aca="false">IF($O$10="sell",-1,1) * (B263*NORMDIST(I263,0,1,0)*SQRT($J$10)/365) * $P$10</f>
        <v>0.0267551479180805</v>
      </c>
      <c r="F263" s="25" t="n">
        <f aca="false">IF($O$10="sell",-1,1) * (-(B263*NORMDIST(I263,0,1,0)*$H$10)/(2*SQRT($J$10))/365) *$P$10</f>
        <v>-0.880127312732708</v>
      </c>
      <c r="G263" s="25" t="n">
        <f aca="false">IF($O$10="buy",1,-1)*( IF($K$10="call",B263*NORMDIST(I263,0,1,1) - $B$10*NORMDIST(J263,0,1,1),$B$10*NORMDIST(-J263,0,1,1) - B263*NORMDIST(-I263,0,1,1) ) - $G$10) * $P$10</f>
        <v>0.59436211181735</v>
      </c>
      <c r="I263" s="26" t="n">
        <f aca="false">(LN(B263/$B$10)+($H$10^2/2)*($J$10))/($H$10*SQRT($J$10))</f>
        <v>0.0377388648187544</v>
      </c>
      <c r="J263" s="26" t="n">
        <f aca="false">I263 - $H$10*SQRT($J$10)</f>
        <v>-0.0377388648187544</v>
      </c>
    </row>
    <row r="264" customFormat="false" ht="13.5" hidden="false" customHeight="true" outlineLevel="0" collapsed="false">
      <c r="B264" s="29" t="n">
        <f aca="false">B234</f>
        <v>77</v>
      </c>
      <c r="C264" s="25" t="n">
        <f aca="false">IF($O$10="sell",-1,1) *  IF($K$10="call",  NORMDIST(I264,0,1,1),  NORMDIST(I264,0,1,1)-1  ) * $P$10</f>
        <v>-1.65896804617539</v>
      </c>
      <c r="D264" s="25" t="n">
        <f aca="false">IF($O$10="sell",-1,1) * NORMDIST(I264,0,1,0)/(B264*$H$10*SQRT($J$10)) * $P$10</f>
        <v>0.204111780581056</v>
      </c>
      <c r="E264" s="25" t="n">
        <f aca="false">IF($O$10="sell",-1,1) * (B264*NORMDIST(I264,0,1,0)*SQRT($J$10)/365) * $P$10</f>
        <v>0.0261974517285471</v>
      </c>
      <c r="F264" s="25" t="n">
        <f aca="false">IF($O$10="sell",-1,1) * (-(B264*NORMDIST(I264,0,1,0)*$H$10)/(2*SQRT($J$10))/365) *$P$10</f>
        <v>-0.861781548017888</v>
      </c>
      <c r="G264" s="25" t="n">
        <f aca="false">IF($O$10="buy",1,-1)*( IF($K$10="call",B264*NORMDIST(I264,0,1,1) - $B$10*NORMDIST(J264,0,1,1),$B$10*NORMDIST(-J264,0,1,1) - B264*NORMDIST(-I264,0,1,1) ) - $G$10) * $P$10</f>
        <v>2.151187145463</v>
      </c>
      <c r="I264" s="26" t="n">
        <f aca="false">(LN(B264/$B$10)+($H$10^2/2)*($J$10))/($H$10*SQRT($J$10))</f>
        <v>-0.133217586811124</v>
      </c>
      <c r="J264" s="26" t="n">
        <f aca="false">I264 - $H$10*SQRT($J$10)</f>
        <v>-0.208695316448633</v>
      </c>
    </row>
    <row r="265" customFormat="false" ht="13.5" hidden="false" customHeight="true" outlineLevel="0" collapsed="false">
      <c r="B265" s="29" t="n">
        <f aca="false">B235</f>
        <v>76</v>
      </c>
      <c r="C265" s="25" t="n">
        <f aca="false">IF($O$10="sell",-1,1) *  IF($K$10="call",  NORMDIST(I265,0,1,1),  NORMDIST(I265,0,1,1)-1  ) * $P$10</f>
        <v>-1.86105991686883</v>
      </c>
      <c r="D265" s="25" t="n">
        <f aca="false">IF($O$10="sell",-1,1) * NORMDIST(I265,0,1,0)/(B265*$H$10*SQRT($J$10)) * $P$10</f>
        <v>0.199072712532975</v>
      </c>
      <c r="E265" s="25" t="n">
        <f aca="false">IF($O$10="sell",-1,1) * (B265*NORMDIST(I265,0,1,0)*SQRT($J$10)/365) * $P$10</f>
        <v>0.0248913496731912</v>
      </c>
      <c r="F265" s="25" t="n">
        <f aca="false">IF($O$10="sell",-1,1) * (-(B265*NORMDIST(I265,0,1,0)*$H$10)/(2*SQRT($J$10))/365) *$P$10</f>
        <v>-0.81881650459317</v>
      </c>
      <c r="G265" s="25" t="n">
        <f aca="false">IF($O$10="buy",1,-1)*( IF($K$10="call",B265*NORMDIST(I265,0,1,1) - $B$10*NORMDIST(J265,0,1,1),$B$10*NORMDIST(-J265,0,1,1) - B265*NORMDIST(-I265,0,1,1) ) - $G$10) * $P$10</f>
        <v>3.91162134983167</v>
      </c>
      <c r="I265" s="26" t="n">
        <f aca="false">(LN(B265/$B$10)+($H$10^2/2)*($J$10))/($H$10*SQRT($J$10))</f>
        <v>-0.306408826533532</v>
      </c>
      <c r="J265" s="26" t="n">
        <f aca="false">I265 - $H$10*SQRT($J$10)</f>
        <v>-0.38188655617104</v>
      </c>
    </row>
    <row r="266" customFormat="false" ht="13.5" hidden="false" customHeight="true" outlineLevel="0" collapsed="false">
      <c r="B266" s="29" t="n">
        <f aca="false">B236</f>
        <v>75</v>
      </c>
      <c r="C266" s="25" t="n">
        <f aca="false">IF($O$10="sell",-1,1) *  IF($K$10="call",  NORMDIST(I266,0,1,1),  NORMDIST(I266,0,1,1)-1  ) * $P$10</f>
        <v>-2.05517818738666</v>
      </c>
      <c r="D266" s="25" t="n">
        <f aca="false">IF($O$10="sell",-1,1) * NORMDIST(I266,0,1,0)/(B266*$H$10*SQRT($J$10)) * $P$10</f>
        <v>0.188245623476801</v>
      </c>
      <c r="E266" s="25" t="n">
        <f aca="false">IF($O$10="sell",-1,1) * (B266*NORMDIST(I266,0,1,0)*SQRT($J$10)/365) * $P$10</f>
        <v>0.0229222340165315</v>
      </c>
      <c r="F266" s="25" t="n">
        <f aca="false">IF($O$10="sell",-1,1) * (-(B266*NORMDIST(I266,0,1,0)*$H$10)/(2*SQRT($J$10))/365) *$P$10</f>
        <v>-0.754041214370063</v>
      </c>
      <c r="G266" s="25" t="n">
        <f aca="false">IF($O$10="buy",1,-1)*( IF($K$10="call",B266*NORMDIST(I266,0,1,1) - $B$10*NORMDIST(J266,0,1,1),$B$10*NORMDIST(-J266,0,1,1) - B266*NORMDIST(-I266,0,1,1) ) - $G$10) * $P$10</f>
        <v>5.8706437014475</v>
      </c>
      <c r="I266" s="26" t="n">
        <f aca="false">(LN(B266/$B$10)+($H$10^2/2)*($J$10))/($H$10*SQRT($J$10))</f>
        <v>-0.481894056595862</v>
      </c>
      <c r="J266" s="26" t="n">
        <f aca="false">I266 - $H$10*SQRT($J$10)</f>
        <v>-0.557371786233371</v>
      </c>
    </row>
    <row r="267" customFormat="false" ht="13.5" hidden="false" customHeight="true" outlineLevel="0" collapsed="false">
      <c r="B267" s="29" t="n">
        <f aca="false">B237</f>
        <v>74</v>
      </c>
      <c r="C267" s="25" t="n">
        <f aca="false">IF($O$10="sell",-1,1) *  IF($K$10="call",  NORMDIST(I267,0,1,1),  NORMDIST(I267,0,1,1)-1  ) * $P$10</f>
        <v>-2.23586401541353</v>
      </c>
      <c r="D267" s="25" t="n">
        <f aca="false">IF($O$10="sell",-1,1) * NORMDIST(I267,0,1,0)/(B267*$H$10*SQRT($J$10)) * $P$10</f>
        <v>0.172372276166278</v>
      </c>
      <c r="E267" s="25" t="n">
        <f aca="false">IF($O$10="sell",-1,1) * (B267*NORMDIST(I267,0,1,0)*SQRT($J$10)/365) * $P$10</f>
        <v>0.0204333880659214</v>
      </c>
      <c r="F267" s="25" t="n">
        <f aca="false">IF($O$10="sell",-1,1) * (-(B267*NORMDIST(I267,0,1,0)*$H$10)/(2*SQRT($J$10))/365) *$P$10</f>
        <v>-0.672169071296024</v>
      </c>
      <c r="G267" s="25" t="n">
        <f aca="false">IF($O$10="buy",1,-1)*( IF($K$10="call",B267*NORMDIST(I267,0,1,1) - $B$10*NORMDIST(J267,0,1,1),$B$10*NORMDIST(-J267,0,1,1) - B267*NORMDIST(-I267,0,1,1) ) - $G$10) * $P$10</f>
        <v>8.01748925542395</v>
      </c>
      <c r="I267" s="26" t="n">
        <f aca="false">(LN(B267/$B$10)+($H$10^2/2)*($J$10))/($H$10*SQRT($J$10))</f>
        <v>-0.659734863369018</v>
      </c>
      <c r="J267" s="26" t="n">
        <f aca="false">I267 - $H$10*SQRT($J$10)</f>
        <v>-0.735212593006527</v>
      </c>
    </row>
    <row r="268" customFormat="false" ht="13.5" hidden="false" customHeight="true" outlineLevel="0" collapsed="false">
      <c r="B268" s="29" t="n">
        <f aca="false">B238</f>
        <v>73</v>
      </c>
      <c r="C268" s="25" t="n">
        <f aca="false">IF($O$10="sell",-1,1) *  IF($K$10="call",  NORMDIST(I268,0,1,1),  NORMDIST(I268,0,1,1)-1  ) * $P$10</f>
        <v>-2.39863350698036</v>
      </c>
      <c r="D268" s="25" t="n">
        <f aca="false">IF($O$10="sell",-1,1) * NORMDIST(I268,0,1,0)/(B268*$H$10*SQRT($J$10)) * $P$10</f>
        <v>0.152641363378382</v>
      </c>
      <c r="E268" s="25" t="n">
        <f aca="false">IF($O$10="sell",-1,1) * (B268*NORMDIST(I268,0,1,0)*SQRT($J$10)/365) * $P$10</f>
        <v>0.0176087076793301</v>
      </c>
      <c r="F268" s="25" t="n">
        <f aca="false">IF($O$10="sell",-1,1) * (-(B268*NORMDIST(I268,0,1,0)*$H$10)/(2*SQRT($J$10))/365) *$P$10</f>
        <v>-0.579249444553864</v>
      </c>
      <c r="G268" s="25" t="n">
        <f aca="false">IF($O$10="buy",1,-1)*( IF($K$10="call",B268*NORMDIST(I268,0,1,1) - $B$10*NORMDIST(J268,0,1,1),$B$10*NORMDIST(-J268,0,1,1) - B268*NORMDIST(-I268,0,1,1) ) - $G$10) * $P$10</f>
        <v>10.3363843543999</v>
      </c>
      <c r="I268" s="26" t="n">
        <f aca="false">(LN(B268/$B$10)+($H$10^2/2)*($J$10))/($H$10*SQRT($J$10))</f>
        <v>-0.839995347105366</v>
      </c>
      <c r="J268" s="26" t="n">
        <f aca="false">I268 - $H$10*SQRT($J$10)</f>
        <v>-0.915473076742875</v>
      </c>
    </row>
    <row r="269" customFormat="false" ht="13.5" hidden="false" customHeight="true" outlineLevel="0" collapsed="false">
      <c r="B269" s="29" t="n">
        <f aca="false">B239</f>
        <v>72</v>
      </c>
      <c r="C269" s="25" t="n">
        <f aca="false">IF($O$10="sell",-1,1) *  IF($K$10="call",  NORMDIST(I269,0,1,1),  NORMDIST(I269,0,1,1)-1  ) * $P$10</f>
        <v>-2.54035541350096</v>
      </c>
      <c r="D269" s="25" t="n">
        <f aca="false">IF($O$10="sell",-1,1) * NORMDIST(I269,0,1,0)/(B269*$H$10*SQRT($J$10)) * $P$10</f>
        <v>0.13053999925526</v>
      </c>
      <c r="E269" s="25" t="n">
        <f aca="false">IF($O$10="sell",-1,1) * (B269*NORMDIST(I269,0,1,0)*SQRT($J$10)/365) * $P$10</f>
        <v>0.0146493422638818</v>
      </c>
      <c r="F269" s="25" t="n">
        <f aca="false">IF($O$10="sell",-1,1) * (-(B269*NORMDIST(I269,0,1,0)*$H$10)/(2*SQRT($J$10))/365) *$P$10</f>
        <v>-0.481899269609307</v>
      </c>
      <c r="G269" s="25" t="n">
        <f aca="false">IF($O$10="buy",1,-1)*( IF($K$10="call",B269*NORMDIST(I269,0,1,1) - $B$10*NORMDIST(J269,0,1,1),$B$10*NORMDIST(-J269,0,1,1) - B269*NORMDIST(-I269,0,1,1) ) - $G$10) * $P$10</f>
        <v>12.8077228371526</v>
      </c>
      <c r="I269" s="26" t="n">
        <f aca="false">(LN(B269/$B$10)+($H$10^2/2)*($J$10))/($H$10*SQRT($J$10))</f>
        <v>-1.02274226064635</v>
      </c>
      <c r="J269" s="26" t="n">
        <f aca="false">I269 - $H$10*SQRT($J$10)</f>
        <v>-1.09821999028386</v>
      </c>
    </row>
    <row r="270" customFormat="false" ht="13.5" hidden="false" customHeight="true" outlineLevel="0" collapsed="false">
      <c r="B270" s="29" t="n">
        <f aca="false">B240</f>
        <v>71</v>
      </c>
      <c r="C270" s="25" t="n">
        <f aca="false">IF($O$10="sell",-1,1) *  IF($K$10="call",  NORMDIST(I270,0,1,1),  NORMDIST(I270,0,1,1)-1  ) * $P$10</f>
        <v>-2.65945516065882</v>
      </c>
      <c r="D270" s="25" t="n">
        <f aca="false">IF($O$10="sell",-1,1) * NORMDIST(I270,0,1,0)/(B270*$H$10*SQRT($J$10)) * $P$10</f>
        <v>0.107660229372096</v>
      </c>
      <c r="E270" s="25" t="n">
        <f aca="false">IF($O$10="sell",-1,1) * (B270*NORMDIST(I270,0,1,0)*SQRT($J$10)/365) * $P$10</f>
        <v>0.0117484757643648</v>
      </c>
      <c r="F270" s="25" t="n">
        <f aca="false">IF($O$10="sell",-1,1) * (-(B270*NORMDIST(I270,0,1,0)*$H$10)/(2*SQRT($J$10))/365) *$P$10</f>
        <v>-0.386473453066131</v>
      </c>
      <c r="G270" s="25" t="n">
        <f aca="false">IF($O$10="buy",1,-1)*( IF($K$10="call",B270*NORMDIST(I270,0,1,1) - $B$10*NORMDIST(J270,0,1,1),$B$10*NORMDIST(-J270,0,1,1) - B270*NORMDIST(-I270,0,1,1) ) - $G$10) * $P$10</f>
        <v>15.4095368739304</v>
      </c>
      <c r="I270" s="26" t="n">
        <f aca="false">(LN(B270/$B$10)+($H$10^2/2)*($J$10))/($H$10*SQRT($J$10))</f>
        <v>-1.20804515783087</v>
      </c>
      <c r="J270" s="26" t="n">
        <f aca="false">I270 - $H$10*SQRT($J$10)</f>
        <v>-1.28352288746838</v>
      </c>
    </row>
    <row r="271" customFormat="false" ht="13.5" hidden="false" customHeight="true" outlineLevel="0" collapsed="false">
      <c r="B271" s="29" t="n">
        <f aca="false">B241</f>
        <v>70</v>
      </c>
      <c r="C271" s="25" t="n">
        <f aca="false">IF($O$10="sell",-1,1) *  IF($K$10="call",  NORMDIST(I271,0,1,1),  NORMDIST(I271,0,1,1)-1  ) * $P$10</f>
        <v>-2.75591766580532</v>
      </c>
      <c r="D271" s="25" t="n">
        <f aca="false">IF($O$10="sell",-1,1) * NORMDIST(I271,0,1,0)/(B271*$H$10*SQRT($J$10)) * $P$10</f>
        <v>0.0854965618503416</v>
      </c>
      <c r="E271" s="25" t="n">
        <f aca="false">IF($O$10="sell",-1,1) * (B271*NORMDIST(I271,0,1,0)*SQRT($J$10)/365) * $P$10</f>
        <v>0.00906889257605019</v>
      </c>
      <c r="F271" s="25" t="n">
        <f aca="false">IF($O$10="sell",-1,1) * (-(B271*NORMDIST(I271,0,1,0)*$H$10)/(2*SQRT($J$10))/365) *$P$10</f>
        <v>-0.298326889347031</v>
      </c>
      <c r="G271" s="25" t="n">
        <f aca="false">IF($O$10="buy",1,-1)*( IF($K$10="call",B271*NORMDIST(I271,0,1,1) - $B$10*NORMDIST(J271,0,1,1),$B$10*NORMDIST(-J271,0,1,1) - B271*NORMDIST(-I271,0,1,1) ) - $G$10) * $P$10</f>
        <v>18.1190719761078</v>
      </c>
      <c r="I271" s="26" t="n">
        <f aca="false">(LN(B271/$B$10)+($H$10^2/2)*($J$10))/($H$10*SQRT($J$10))</f>
        <v>-1.39597655243004</v>
      </c>
      <c r="J271" s="26" t="n">
        <f aca="false">I271 - $H$10*SQRT($J$10)</f>
        <v>-1.47145428206755</v>
      </c>
    </row>
    <row r="272" customFormat="false" ht="13.5" hidden="false" customHeight="true" outlineLevel="0" collapsed="false">
      <c r="B272" s="29" t="n">
        <f aca="false">B242</f>
        <v>69</v>
      </c>
      <c r="C272" s="25" t="n">
        <f aca="false">IF($O$10="sell",-1,1) *  IF($K$10="call",  NORMDIST(I272,0,1,1),  NORMDIST(I272,0,1,1)-1  ) * $P$10</f>
        <v>-2.83109920820159</v>
      </c>
      <c r="D272" s="25" t="n">
        <f aca="false">IF($O$10="sell",-1,1) * NORMDIST(I272,0,1,0)/(B272*$H$10*SQRT($J$10)) * $P$10</f>
        <v>0.0652725256986019</v>
      </c>
      <c r="E272" s="25" t="n">
        <f aca="false">IF($O$10="sell",-1,1) * (B272*NORMDIST(I272,0,1,0)*SQRT($J$10)/365) * $P$10</f>
        <v>0.00672725866129037</v>
      </c>
      <c r="F272" s="25" t="n">
        <f aca="false">IF($O$10="sell",-1,1) * (-(B272*NORMDIST(I272,0,1,0)*$H$10)/(2*SQRT($J$10))/365) *$P$10</f>
        <v>-0.22129737819981</v>
      </c>
      <c r="G272" s="25" t="n">
        <f aca="false">IF($O$10="buy",1,-1)*( IF($K$10="call",B272*NORMDIST(I272,0,1,1) - $B$10*NORMDIST(J272,0,1,1),$B$10*NORMDIST(-J272,0,1,1) - B272*NORMDIST(-I272,0,1,1) ) - $G$10) * $P$10</f>
        <v>20.9142669199098</v>
      </c>
      <c r="I272" s="26" t="n">
        <f aca="false">(LN(B272/$B$10)+($H$10^2/2)*($J$10))/($H$10*SQRT($J$10))</f>
        <v>-1.58661208851735</v>
      </c>
      <c r="J272" s="26" t="n">
        <f aca="false">I272 - $H$10*SQRT($J$10)</f>
        <v>-1.66208981815486</v>
      </c>
    </row>
    <row r="273" customFormat="false" ht="13.5" hidden="false" customHeight="true" outlineLevel="0" collapsed="false">
      <c r="B273" s="29" t="n">
        <f aca="false">B243</f>
        <v>68</v>
      </c>
      <c r="C273" s="25" t="n">
        <f aca="false">IF($O$10="sell",-1,1) *  IF($K$10="call",  NORMDIST(I273,0,1,1),  NORMDIST(I273,0,1,1)-1  ) * $P$10</f>
        <v>-2.88739360080021</v>
      </c>
      <c r="D273" s="25" t="n">
        <f aca="false">IF($O$10="sell",-1,1) * NORMDIST(I273,0,1,0)/(B273*$H$10*SQRT($J$10)) * $P$10</f>
        <v>0.0478267104423934</v>
      </c>
      <c r="E273" s="25" t="n">
        <f aca="false">IF($O$10="sell",-1,1) * (B273*NORMDIST(I273,0,1,0)*SQRT($J$10)/365) * $P$10</f>
        <v>0.00478737958343365</v>
      </c>
      <c r="F273" s="25" t="n">
        <f aca="false">IF($O$10="sell",-1,1) * (-(B273*NORMDIST(I273,0,1,0)*$H$10)/(2*SQRT($J$10))/365) *$P$10</f>
        <v>-0.15748384350929</v>
      </c>
      <c r="G273" s="25" t="n">
        <f aca="false">IF($O$10="buy",1,-1)*( IF($K$10="call",B273*NORMDIST(I273,0,1,1) - $B$10*NORMDIST(J273,0,1,1),$B$10*NORMDIST(-J273,0,1,1) - B273*NORMDIST(-I273,0,1,1) ) - $G$10) * $P$10</f>
        <v>23.7749677128114</v>
      </c>
      <c r="I273" s="26" t="n">
        <f aca="false">(LN(B273/$B$10)+($H$10^2/2)*($J$10))/($H$10*SQRT($J$10))</f>
        <v>-1.78003072327578</v>
      </c>
      <c r="J273" s="26" t="n">
        <f aca="false">I273 - $H$10*SQRT($J$10)</f>
        <v>-1.85550845291329</v>
      </c>
    </row>
    <row r="274" customFormat="false" ht="13.5" hidden="false" customHeight="true" outlineLevel="0" collapsed="false">
      <c r="B274" s="29" t="n">
        <f aca="false">B244</f>
        <v>67</v>
      </c>
      <c r="C274" s="25" t="n">
        <f aca="false">IF($O$10="sell",-1,1) *  IF($K$10="call",  NORMDIST(I274,0,1,1),  NORMDIST(I274,0,1,1)-1  ) * $P$10</f>
        <v>-2.92782131933711</v>
      </c>
      <c r="D274" s="25" t="n">
        <f aca="false">IF($O$10="sell",-1,1) * NORMDIST(I274,0,1,0)/(B274*$H$10*SQRT($J$10)) * $P$10</f>
        <v>0.0335737232492997</v>
      </c>
      <c r="E274" s="25" t="n">
        <f aca="false">IF($O$10="sell",-1,1) * (B274*NORMDIST(I274,0,1,0)*SQRT($J$10)/365) * $P$10</f>
        <v>0.00326256098730006</v>
      </c>
      <c r="F274" s="25" t="n">
        <f aca="false">IF($O$10="sell",-1,1) * (-(B274*NORMDIST(I274,0,1,0)*$H$10)/(2*SQRT($J$10))/365) *$P$10</f>
        <v>-0.107323982777852</v>
      </c>
      <c r="G274" s="25" t="n">
        <f aca="false">IF($O$10="buy",1,-1)*( IF($K$10="call",B274*NORMDIST(I274,0,1,1) - $B$10*NORMDIST(J274,0,1,1),$B$10*NORMDIST(-J274,0,1,1) - B274*NORMDIST(-I274,0,1,1) ) - $G$10) * $P$10</f>
        <v>26.6837629414263</v>
      </c>
      <c r="I274" s="26" t="n">
        <f aca="false">(LN(B274/$B$10)+($H$10^2/2)*($J$10))/($H$10*SQRT($J$10))</f>
        <v>-1.97631492334767</v>
      </c>
      <c r="J274" s="26" t="n">
        <f aca="false">I274 - $H$10*SQRT($J$10)</f>
        <v>-2.05179265298518</v>
      </c>
    </row>
    <row r="275" customFormat="false" ht="13.5" hidden="false" customHeight="true" outlineLevel="0" collapsed="false">
      <c r="B275" s="29" t="n">
        <f aca="false">B245</f>
        <v>66</v>
      </c>
      <c r="C275" s="25" t="n">
        <f aca="false">IF($O$10="sell",-1,1) *  IF($K$10="call",  NORMDIST(I275,0,1,1),  NORMDIST(I275,0,1,1)-1  ) * $P$10</f>
        <v>-2.95561671005146</v>
      </c>
      <c r="D275" s="25" t="n">
        <f aca="false">IF($O$10="sell",-1,1) * NORMDIST(I275,0,1,0)/(B275*$H$10*SQRT($J$10)) * $P$10</f>
        <v>0.022537512055227</v>
      </c>
      <c r="E275" s="25" t="n">
        <f aca="false">IF($O$10="sell",-1,1) * (B275*NORMDIST(I275,0,1,0)*SQRT($J$10)/365) * $P$10</f>
        <v>0.00212521743551322</v>
      </c>
      <c r="F275" s="25" t="n">
        <f aca="false">IF($O$10="sell",-1,1) * (-(B275*NORMDIST(I275,0,1,0)*$H$10)/(2*SQRT($J$10))/365) *$P$10</f>
        <v>-0.0699103558021046</v>
      </c>
      <c r="G275" s="25" t="n">
        <f aca="false">IF($O$10="buy",1,-1)*( IF($K$10="call",B275*NORMDIST(I275,0,1,1) - $B$10*NORMDIST(J275,0,1,1),$B$10*NORMDIST(-J275,0,1,1) - B275*NORMDIST(-I275,0,1,1) ) - $G$10) * $P$10</f>
        <v>29.6264012349377</v>
      </c>
      <c r="I275" s="26" t="n">
        <f aca="false">(LN(B275/$B$10)+($H$10^2/2)*($J$10))/($H$10*SQRT($J$10))</f>
        <v>-2.17555087594934</v>
      </c>
      <c r="J275" s="26" t="n">
        <f aca="false">I275 - $H$10*SQRT($J$10)</f>
        <v>-2.25102860558685</v>
      </c>
    </row>
    <row r="276" customFormat="false" ht="13.5" hidden="false" customHeight="true" outlineLevel="0" collapsed="false">
      <c r="B276" s="29" t="n">
        <f aca="false">B246</f>
        <v>65</v>
      </c>
      <c r="C276" s="25" t="n">
        <f aca="false">IF($O$10="sell",-1,1) *  IF($K$10="call",  NORMDIST(I276,0,1,1),  NORMDIST(I276,0,1,1)-1  ) * $P$10</f>
        <v>-2.97387763019848</v>
      </c>
      <c r="D276" s="25" t="n">
        <f aca="false">IF($O$10="sell",-1,1) * NORMDIST(I276,0,1,0)/(B276*$H$10*SQRT($J$10)) * $P$10</f>
        <v>0.0144388819172864</v>
      </c>
      <c r="E276" s="25" t="n">
        <f aca="false">IF($O$10="sell",-1,1) * (B276*NORMDIST(I276,0,1,0)*SQRT($J$10)/365) * $P$10</f>
        <v>0.00132059547587872</v>
      </c>
      <c r="F276" s="25" t="n">
        <f aca="false">IF($O$10="sell",-1,1) * (-(B276*NORMDIST(I276,0,1,0)*$H$10)/(2*SQRT($J$10))/365) *$P$10</f>
        <v>-0.043441813551203</v>
      </c>
      <c r="G276" s="25" t="n">
        <f aca="false">IF($O$10="buy",1,-1)*( IF($K$10="call",B276*NORMDIST(I276,0,1,1) - $B$10*NORMDIST(J276,0,1,1),$B$10*NORMDIST(-J276,0,1,1) - B276*NORMDIST(-I276,0,1,1) ) - $G$10) * $P$10</f>
        <v>32.5918226237865</v>
      </c>
      <c r="I276" s="26" t="n">
        <f aca="false">(LN(B276/$B$10)+($H$10^2/2)*($J$10))/($H$10*SQRT($J$10))</f>
        <v>-2.37782871610315</v>
      </c>
      <c r="J276" s="26" t="n">
        <f aca="false">I276 - $H$10*SQRT($J$10)</f>
        <v>-2.45330644574066</v>
      </c>
    </row>
    <row r="277" customFormat="false" ht="13.5" hidden="false" customHeight="true" outlineLevel="0" collapsed="false">
      <c r="B277" s="29" t="n">
        <f aca="false">B247</f>
        <v>64</v>
      </c>
      <c r="C277" s="25" t="n">
        <f aca="false">IF($O$10="sell",-1,1) *  IF($K$10="call",  NORMDIST(I277,0,1,1),  NORMDIST(I277,0,1,1)-1  ) * $P$10</f>
        <v>-2.98531853655319</v>
      </c>
      <c r="D277" s="25" t="n">
        <f aca="false">IF($O$10="sell",-1,1) * NORMDIST(I277,0,1,0)/(B277*$H$10*SQRT($J$10)) * $P$10</f>
        <v>0.00881004000495991</v>
      </c>
      <c r="E277" s="25" t="n">
        <f aca="false">IF($O$10="sell",-1,1) * (B277*NORMDIST(I277,0,1,0)*SQRT($J$10)/365) * $P$10</f>
        <v>0.000781173236353168</v>
      </c>
      <c r="F277" s="25" t="n">
        <f aca="false">IF($O$10="sell",-1,1) * (-(B277*NORMDIST(I277,0,1,0)*$H$10)/(2*SQRT($J$10))/365) *$P$10</f>
        <v>-0.0256971818431102</v>
      </c>
      <c r="G277" s="25" t="n">
        <f aca="false">IF($O$10="buy",1,-1)*( IF($K$10="call",B277*NORMDIST(I277,0,1,1) - $B$10*NORMDIST(J277,0,1,1),$B$10*NORMDIST(-J277,0,1,1) - B277*NORMDIST(-I277,0,1,1) ) - $G$10) * $P$10</f>
        <v>35.5718890098058</v>
      </c>
      <c r="I277" s="26" t="n">
        <f aca="false">(LN(B277/$B$10)+($H$10^2/2)*($J$10))/($H$10*SQRT($J$10))</f>
        <v>-2.58324277148645</v>
      </c>
      <c r="J277" s="26" t="n">
        <f aca="false">I277 - $H$10*SQRT($J$10)</f>
        <v>-2.65872050112396</v>
      </c>
    </row>
    <row r="278" customFormat="false" ht="13.5" hidden="false" customHeight="true" outlineLevel="0" collapsed="false">
      <c r="B278" s="29" t="n">
        <f aca="false">B248</f>
        <v>63</v>
      </c>
      <c r="C278" s="25" t="n">
        <f aca="false">IF($O$10="sell",-1,1) *  IF($K$10="call",  NORMDIST(I278,0,1,1),  NORMDIST(I278,0,1,1)-1  ) * $P$10</f>
        <v>-2.99213986935584</v>
      </c>
      <c r="D278" s="25" t="n">
        <f aca="false">IF($O$10="sell",-1,1) * NORMDIST(I278,0,1,0)/(B278*$H$10*SQRT($J$10)) * $P$10</f>
        <v>0.00510837811938924</v>
      </c>
      <c r="E278" s="25" t="n">
        <f aca="false">IF($O$10="sell",-1,1) * (B278*NORMDIST(I278,0,1,0)*SQRT($J$10)/365) * $P$10</f>
        <v>0.000438908166994846</v>
      </c>
      <c r="F278" s="25" t="n">
        <f aca="false">IF($O$10="sell",-1,1) * (-(B278*NORMDIST(I278,0,1,0)*$H$10)/(2*SQRT($J$10))/365) *$P$10</f>
        <v>-0.0144381584708998</v>
      </c>
      <c r="G278" s="25" t="n">
        <f aca="false">IF($O$10="buy",1,-1)*( IF($K$10="call",B278*NORMDIST(I278,0,1,1) - $B$10*NORMDIST(J278,0,1,1),$B$10*NORMDIST(-J278,0,1,1) - B278*NORMDIST(-I278,0,1,1) ) - $G$10) * $P$10</f>
        <v>38.5609259457613</v>
      </c>
      <c r="I278" s="26" t="n">
        <f aca="false">(LN(B278/$B$10)+($H$10^2/2)*($J$10))/($H$10*SQRT($J$10))</f>
        <v>-2.79189182656234</v>
      </c>
      <c r="J278" s="26" t="n">
        <f aca="false">I278 - $H$10*SQRT($J$10)</f>
        <v>-2.86736955619984</v>
      </c>
    </row>
    <row r="279" customFormat="false" ht="13.5" hidden="false" customHeight="true" outlineLevel="0" collapsed="false">
      <c r="B279" s="29" t="n">
        <f aca="false">B249</f>
        <v>62</v>
      </c>
      <c r="C279" s="25" t="n">
        <f aca="false">IF($O$10="sell",-1,1) *  IF($K$10="call",  NORMDIST(I279,0,1,1),  NORMDIST(I279,0,1,1)-1  ) * $P$10</f>
        <v>-2.99600158563728</v>
      </c>
      <c r="D279" s="25" t="n">
        <f aca="false">IF($O$10="sell",-1,1) * NORMDIST(I279,0,1,0)/(B279*$H$10*SQRT($J$10)) * $P$10</f>
        <v>0.00280826411249324</v>
      </c>
      <c r="E279" s="25" t="n">
        <f aca="false">IF($O$10="sell",-1,1) * (B279*NORMDIST(I279,0,1,0)*SQRT($J$10)/365) * $P$10</f>
        <v>0.000233685010654568</v>
      </c>
      <c r="F279" s="25" t="n">
        <f aca="false">IF($O$10="sell",-1,1) * (-(B279*NORMDIST(I279,0,1,0)*$H$10)/(2*SQRT($J$10))/365) *$P$10</f>
        <v>-0.00768721447861367</v>
      </c>
      <c r="G279" s="25" t="n">
        <f aca="false">IF($O$10="buy",1,-1)*( IF($K$10="call",B279*NORMDIST(I279,0,1,1) - $B$10*NORMDIST(J279,0,1,1),$B$10*NORMDIST(-J279,0,1,1) - B279*NORMDIST(-I279,0,1,1) ) - $G$10) * $P$10</f>
        <v>41.5551877212498</v>
      </c>
      <c r="I279" s="26" t="n">
        <f aca="false">(LN(B279/$B$10)+($H$10^2/2)*($J$10))/($H$10*SQRT($J$10))</f>
        <v>-3.00387940784339</v>
      </c>
      <c r="J279" s="26" t="n">
        <f aca="false">I279 - $H$10*SQRT($J$10)</f>
        <v>-3.0793571374809</v>
      </c>
    </row>
    <row r="280" customFormat="false" ht="13.5" hidden="false" customHeight="true" outlineLevel="0" collapsed="false">
      <c r="B280" s="29" t="n">
        <f aca="false">B250</f>
        <v>61</v>
      </c>
      <c r="C280" s="25" t="n">
        <f aca="false">IF($O$10="sell",-1,1) *  IF($K$10="call",  NORMDIST(I280,0,1,1),  NORMDIST(I280,0,1,1)-1  ) * $P$10</f>
        <v>-2.99807253522687</v>
      </c>
      <c r="D280" s="25" t="n">
        <f aca="false">IF($O$10="sell",-1,1) * NORMDIST(I280,0,1,0)/(B280*$H$10*SQRT($J$10)) * $P$10</f>
        <v>0.00146006535088263</v>
      </c>
      <c r="E280" s="25" t="n">
        <f aca="false">IF($O$10="sell",-1,1) * (B280*NORMDIST(I280,0,1,0)*SQRT($J$10)/365) * $P$10</f>
        <v>0.000117609253098962</v>
      </c>
      <c r="F280" s="25" t="n">
        <f aca="false">IF($O$10="sell",-1,1) * (-(B280*NORMDIST(I280,0,1,0)*$H$10)/(2*SQRT($J$10))/365) *$P$10</f>
        <v>-0.00386882988647356</v>
      </c>
      <c r="G280" s="25" t="n">
        <f aca="false">IF($O$10="buy",1,-1)*( IF($K$10="call",B280*NORMDIST(I280,0,1,1) - $B$10*NORMDIST(J280,0,1,1),$B$10*NORMDIST(-J280,0,1,1) - B280*NORMDIST(-I280,0,1,1) ) - $G$10) * $P$10</f>
        <v>44.5523366488918</v>
      </c>
      <c r="I280" s="26" t="n">
        <f aca="false">(LN(B280/$B$10)+($H$10^2/2)*($J$10))/($H$10*SQRT($J$10))</f>
        <v>-3.21931409235064</v>
      </c>
      <c r="J280" s="26" t="n">
        <f aca="false">I280 - $H$10*SQRT($J$10)</f>
        <v>-3.29479182198815</v>
      </c>
    </row>
    <row r="281" customFormat="false" ht="13.5" hidden="false" customHeight="true" outlineLevel="0" collapsed="false">
      <c r="B281" s="29" t="n">
        <f aca="false">B251</f>
        <v>60</v>
      </c>
      <c r="C281" s="25" t="n">
        <f aca="false">IF($O$10="sell",-1,1) *  IF($K$10="call",  NORMDIST(I281,0,1,1),  NORMDIST(I281,0,1,1)-1  ) * $P$10</f>
        <v>-2.99912196374642</v>
      </c>
      <c r="D281" s="25" t="n">
        <f aca="false">IF($O$10="sell",-1,1) * NORMDIST(I281,0,1,0)/(B281*$H$10*SQRT($J$10)) * $P$10</f>
        <v>0.000716064399120348</v>
      </c>
      <c r="E281" s="25" t="n">
        <f aca="false">IF($O$10="sell",-1,1) * (B281*NORMDIST(I281,0,1,0)*SQRT($J$10)/365) * $P$10</f>
        <v>5.58038432533466E-005</v>
      </c>
      <c r="F281" s="25" t="n">
        <f aca="false">IF($O$10="sell",-1,1) * (-(B281*NORMDIST(I281,0,1,0)*$H$10)/(2*SQRT($J$10))/365) *$P$10</f>
        <v>-0.00183570230122087</v>
      </c>
      <c r="G281" s="25" t="n">
        <f aca="false">IF($O$10="buy",1,-1)*( IF($K$10="call",B281*NORMDIST(I281,0,1,1) - $B$10*NORMDIST(J281,0,1,1),$B$10*NORMDIST(-J281,0,1,1) - B281*NORMDIST(-I281,0,1,1) ) - $G$10) * $P$10</f>
        <v>47.5509955594963</v>
      </c>
      <c r="I281" s="26" t="n">
        <f aca="false">(LN(B281/$B$10)+($H$10^2/2)*($J$10))/($H$10*SQRT($J$10))</f>
        <v>-3.43830984156826</v>
      </c>
      <c r="J281" s="26" t="n">
        <f aca="false">I281 - $H$10*SQRT($J$10)</f>
        <v>-3.51378757120576</v>
      </c>
    </row>
    <row r="282" customFormat="false" ht="13.5" hidden="false" customHeight="true" outlineLevel="0" collapsed="false">
      <c r="B282" s="29" t="n">
        <f aca="false">B252</f>
        <v>59</v>
      </c>
      <c r="C282" s="25" t="n">
        <f aca="false">IF($O$10="sell",-1,1) *  IF($K$10="call",  NORMDIST(I282,0,1,1),  NORMDIST(I282,0,1,1)-1  ) * $P$10</f>
        <v>-2.99962313080138</v>
      </c>
      <c r="D282" s="25" t="n">
        <f aca="false">IF($O$10="sell",-1,1) * NORMDIST(I282,0,1,0)/(B282*$H$10*SQRT($J$10)) * $P$10</f>
        <v>0.000330350407068884</v>
      </c>
      <c r="E282" s="25" t="n">
        <f aca="false">IF($O$10="sell",-1,1) * (B282*NORMDIST(I282,0,1,0)*SQRT($J$10)/365) * $P$10</f>
        <v>2.48936395424851E-005</v>
      </c>
      <c r="F282" s="25" t="n">
        <f aca="false">IF($O$10="sell",-1,1) * (-(B282*NORMDIST(I282,0,1,0)*$H$10)/(2*SQRT($J$10))/365) *$P$10</f>
        <v>-0.00081889183127476</v>
      </c>
      <c r="G282" s="25" t="n">
        <f aca="false">IF($O$10="buy",1,-1)*( IF($K$10="call",B282*NORMDIST(I282,0,1,1) - $B$10*NORMDIST(J282,0,1,1),$B$10*NORMDIST(-J282,0,1,1) - B282*NORMDIST(-I282,0,1,1) ) - $G$10) * $P$10</f>
        <v>50.5504000308283</v>
      </c>
      <c r="I282" s="26" t="n">
        <f aca="false">(LN(B282/$B$10)+($H$10^2/2)*($J$10))/($H$10*SQRT($J$10))</f>
        <v>-3.6609863634655</v>
      </c>
      <c r="J282" s="26" t="n">
        <f aca="false">I282 - $H$10*SQRT($J$10)</f>
        <v>-3.73646409310301</v>
      </c>
    </row>
    <row r="283" customFormat="false" ht="13.5" hidden="false" customHeight="true" outlineLevel="0" collapsed="false">
      <c r="B283" s="29" t="n">
        <f aca="false">B253</f>
        <v>58</v>
      </c>
      <c r="C283" s="25" t="n">
        <f aca="false">IF($O$10="sell",-1,1) *  IF($K$10="call",  NORMDIST(I283,0,1,1),  NORMDIST(I283,0,1,1)-1  ) * $P$10</f>
        <v>-2.99984805793716</v>
      </c>
      <c r="D283" s="25" t="n">
        <f aca="false">IF($O$10="sell",-1,1) * NORMDIST(I283,0,1,0)/(B283*$H$10*SQRT($J$10)) * $P$10</f>
        <v>0.000142943487929693</v>
      </c>
      <c r="E283" s="25" t="n">
        <f aca="false">IF($O$10="sell",-1,1) * (B283*NORMDIST(I283,0,1,0)*SQRT($J$10)/365) * $P$10</f>
        <v>1.0409500473279E-005</v>
      </c>
      <c r="F283" s="25" t="n">
        <f aca="false">IF($O$10="sell",-1,1) * (-(B283*NORMDIST(I283,0,1,0)*$H$10)/(2*SQRT($J$10))/365) *$P$10</f>
        <v>-0.000342427024006307</v>
      </c>
      <c r="G283" s="25" t="n">
        <f aca="false">IF($O$10="buy",1,-1)*( IF($K$10="call",B283*NORMDIST(I283,0,1,1) - $B$10*NORMDIST(J283,0,1,1),$B$10*NORMDIST(-J283,0,1,1) - B283*NORMDIST(-I283,0,1,1) ) - $G$10) * $P$10</f>
        <v>53.550151112315</v>
      </c>
      <c r="I283" s="26" t="n">
        <f aca="false">(LN(B283/$B$10)+($H$10^2/2)*($J$10))/($H$10*SQRT($J$10))</f>
        <v>-3.88746950546511</v>
      </c>
      <c r="J283" s="26" t="n">
        <f aca="false">I283 - $H$10*SQRT($J$10)</f>
        <v>-3.96294723510262</v>
      </c>
    </row>
    <row r="284" customFormat="false" ht="13.5" hidden="false" customHeight="true" outlineLevel="0" collapsed="false">
      <c r="B284" s="29" t="n">
        <f aca="false">B254</f>
        <v>57</v>
      </c>
      <c r="C284" s="25" t="n">
        <f aca="false">IF($O$10="sell",-1,1) *  IF($K$10="call",  NORMDIST(I284,0,1,1),  NORMDIST(I284,0,1,1)-1  ) * $P$10</f>
        <v>-2.99994264685144</v>
      </c>
      <c r="D284" s="25" t="n">
        <f aca="false">IF($O$10="sell",-1,1) * NORMDIST(I284,0,1,0)/(B284*$H$10*SQRT($J$10)) * $P$10</f>
        <v>5.78315649418491E-005</v>
      </c>
      <c r="E284" s="25" t="n">
        <f aca="false">IF($O$10="sell",-1,1) * (B284*NORMDIST(I284,0,1,0)*SQRT($J$10)/365) * $P$10</f>
        <v>4.06746835779065E-006</v>
      </c>
      <c r="F284" s="25" t="n">
        <f aca="false">IF($O$10="sell",-1,1) * (-(B284*NORMDIST(I284,0,1,0)*$H$10)/(2*SQRT($J$10))/365) *$P$10</f>
        <v>-0.000133801913797247</v>
      </c>
      <c r="G284" s="25" t="n">
        <f aca="false">IF($O$10="buy",1,-1)*( IF($K$10="call",B284*NORMDIST(I284,0,1,1) - $B$10*NORMDIST(J284,0,1,1),$B$10*NORMDIST(-J284,0,1,1) - B284*NORMDIST(-I284,0,1,1) ) - $G$10) * $P$10</f>
        <v>56.5500534859827</v>
      </c>
      <c r="I284" s="26" t="n">
        <f aca="false">(LN(B284/$B$10)+($H$10^2/2)*($J$10))/($H$10*SQRT($J$10))</f>
        <v>-4.11789168158773</v>
      </c>
      <c r="J284" s="26" t="n">
        <f aca="false">I284 - $H$10*SQRT($J$10)</f>
        <v>-4.19336941122524</v>
      </c>
    </row>
    <row r="285" customFormat="false" ht="13.5" hidden="false" customHeight="true" outlineLevel="0" collapsed="false">
      <c r="B285" s="30"/>
      <c r="C285" s="22"/>
      <c r="D285" s="22"/>
      <c r="E285" s="22"/>
      <c r="F285" s="22"/>
      <c r="G285" s="22"/>
      <c r="I285" s="31"/>
      <c r="J285" s="31"/>
    </row>
    <row r="286" customFormat="false" ht="13.5" hidden="false" customHeight="true" outlineLevel="0" collapsed="false">
      <c r="B286" s="30"/>
      <c r="C286" s="22"/>
      <c r="D286" s="22"/>
      <c r="E286" s="22"/>
      <c r="F286" s="22"/>
      <c r="G286" s="22"/>
      <c r="I286" s="31"/>
      <c r="J286" s="31"/>
    </row>
    <row r="287" customFormat="false" ht="13.5" hidden="false" customHeight="true" outlineLevel="0" collapsed="false">
      <c r="B287" s="23"/>
      <c r="C287" s="19" t="s">
        <v>13</v>
      </c>
      <c r="D287" s="19" t="s">
        <v>14</v>
      </c>
      <c r="E287" s="19" t="s">
        <v>15</v>
      </c>
      <c r="F287" s="19" t="s">
        <v>16</v>
      </c>
      <c r="G287" s="19" t="s">
        <v>17</v>
      </c>
      <c r="I287" s="19" t="s">
        <v>158</v>
      </c>
      <c r="J287" s="19" t="s">
        <v>159</v>
      </c>
    </row>
    <row r="288" customFormat="false" ht="13.5" hidden="false" customHeight="true" outlineLevel="0" collapsed="false">
      <c r="A288" s="2" t="str">
        <f aca="false">A11</f>
        <v>SOL-24APR26-80-P-USDT</v>
      </c>
      <c r="B288" s="29" t="n">
        <f aca="false">B258</f>
        <v>83</v>
      </c>
      <c r="C288" s="25" t="n">
        <f aca="false">IF($O$11="sell",-1,1) *  IF($K$11="call",  NORMDIST(I288,0,1,1),  NORMDIST(I288,0,1,1)-1  ) * $P$11</f>
        <v>-0.577896281266369</v>
      </c>
      <c r="D288" s="25" t="n">
        <f aca="false">IF($O$11="sell",-1,1) * NORMDIST(I288,0,1,0)/(B288*$H$11*SQRT($J$11)) * $P$11</f>
        <v>0.116563915649034</v>
      </c>
      <c r="E288" s="25" t="n">
        <f aca="false">IF($O$11="sell",-1,1) * (B288*NORMDIST(I288,0,1,0)*SQRT($J$11)/365) * $P$11</f>
        <v>0.0162693292790002</v>
      </c>
      <c r="F288" s="25" t="n">
        <f aca="false">IF($O$11="sell",-1,1) * (-(B288*NORMDIST(I288,0,1,0)*$H$11)/(2*SQRT($J$11))/365) *$P$11</f>
        <v>-0.50089604250954</v>
      </c>
      <c r="G288" s="25" t="n">
        <f aca="false">IF($O$11="buy",1,-1)*( IF($K$11="call",B288*NORMDIST(I288,0,1,1) - $B$11*NORMDIST(J288,0,1,1),$B$11*NORMDIST(-J288,0,1,1) - B288*NORMDIST(-I288,0,1,1) ) - $G$11) * $P$11</f>
        <v>-17.0177470857031</v>
      </c>
      <c r="I288" s="28" t="n">
        <f aca="false">(LN(B288/$B$11)+($H$11^2/2)*($J$11))/($H$11*SQRT($J$11))</f>
        <v>0.556460220212983</v>
      </c>
      <c r="J288" s="28" t="n">
        <f aca="false">I288 - $H$11*SQRT($J$11)</f>
        <v>0.485818927620207</v>
      </c>
    </row>
    <row r="289" customFormat="false" ht="13.5" hidden="false" customHeight="true" outlineLevel="0" collapsed="false">
      <c r="B289" s="29" t="n">
        <f aca="false">B259</f>
        <v>82</v>
      </c>
      <c r="C289" s="25" t="n">
        <f aca="false">IF($O$11="sell",-1,1) *  IF($K$11="call",  NORMDIST(I289,0,1,1),  NORMDIST(I289,0,1,1)-1  ) * $P$11</f>
        <v>-0.700333792097925</v>
      </c>
      <c r="D289" s="25" t="n">
        <f aca="false">IF($O$11="sell",-1,1) * NORMDIST(I289,0,1,0)/(B289*$H$11*SQRT($J$11)) * $P$11</f>
        <v>0.127909460726924</v>
      </c>
      <c r="E289" s="25" t="n">
        <f aca="false">IF($O$11="sell",-1,1) * (B289*NORMDIST(I289,0,1,0)*SQRT($J$11)/365) * $P$11</f>
        <v>0.0174252777409196</v>
      </c>
      <c r="F289" s="25" t="n">
        <f aca="false">IF($O$11="sell",-1,1) * (-(B289*NORMDIST(I289,0,1,0)*$H$11)/(2*SQRT($J$11))/365) *$P$11</f>
        <v>-0.536485094767996</v>
      </c>
      <c r="G289" s="25" t="n">
        <f aca="false">IF($O$11="buy",1,-1)*( IF($K$11="call",B289*NORMDIST(I289,0,1,1) - $B$11*NORMDIST(J289,0,1,1),$B$11*NORMDIST(-J289,0,1,1) - B289*NORMDIST(-I289,0,1,1) ) - $G$11) * $P$11</f>
        <v>-16.3795788923165</v>
      </c>
      <c r="I289" s="28" t="n">
        <f aca="false">(LN(B289/$B$11)+($H$11^2/2)*($J$11))/($H$11*SQRT($J$11))</f>
        <v>0.384869921006245</v>
      </c>
      <c r="J289" s="28" t="n">
        <f aca="false">I289 - $H$11*SQRT($J$11)</f>
        <v>0.31422862841347</v>
      </c>
    </row>
    <row r="290" customFormat="false" ht="13.5" hidden="false" customHeight="true" outlineLevel="0" collapsed="false">
      <c r="B290" s="29" t="n">
        <f aca="false">B260</f>
        <v>81</v>
      </c>
      <c r="C290" s="25" t="n">
        <f aca="false">IF($O$11="sell",-1,1) *  IF($K$11="call",  NORMDIST(I290,0,1,1),  NORMDIST(I290,0,1,1)-1  ) * $P$11</f>
        <v>-0.832751368070793</v>
      </c>
      <c r="D290" s="25" t="n">
        <f aca="false">IF($O$11="sell",-1,1) * NORMDIST(I290,0,1,0)/(B290*$H$11*SQRT($J$11)) * $P$11</f>
        <v>0.136368111556607</v>
      </c>
      <c r="E290" s="25" t="n">
        <f aca="false">IF($O$11="sell",-1,1) * (B290*NORMDIST(I290,0,1,0)*SQRT($J$11)/365) * $P$11</f>
        <v>0.0181272615263494</v>
      </c>
      <c r="F290" s="25" t="n">
        <f aca="false">IF($O$11="sell",-1,1) * (-(B290*NORMDIST(I290,0,1,0)*$H$11)/(2*SQRT($J$11))/365) *$P$11</f>
        <v>-0.558097596057863</v>
      </c>
      <c r="G290" s="25" t="n">
        <f aca="false">IF($O$11="buy",1,-1)*( IF($K$11="call",B290*NORMDIST(I290,0,1,1) - $B$11*NORMDIST(J290,0,1,1),$B$11*NORMDIST(-J290,0,1,1) - B290*NORMDIST(-I290,0,1,1) ) - $G$11) * $P$11</f>
        <v>-15.6137423889048</v>
      </c>
      <c r="I290" s="28" t="n">
        <f aca="false">(LN(B290/$B$11)+($H$11^2/2)*($J$11))/($H$11*SQRT($J$11))</f>
        <v>0.211174166845184</v>
      </c>
      <c r="J290" s="28" t="n">
        <f aca="false">I290 - $H$11*SQRT($J$11)</f>
        <v>0.140532874252408</v>
      </c>
    </row>
    <row r="291" customFormat="false" ht="13.5" hidden="false" customHeight="true" outlineLevel="0" collapsed="false">
      <c r="B291" s="29" t="n">
        <f aca="false">B261</f>
        <v>80</v>
      </c>
      <c r="C291" s="25" t="n">
        <f aca="false">IF($O$11="sell",-1,1) *  IF($K$11="call",  NORMDIST(I291,0,1,1),  NORMDIST(I291,0,1,1)-1  ) * $P$11</f>
        <v>-0.971824060237446</v>
      </c>
      <c r="D291" s="25" t="n">
        <f aca="false">IF($O$11="sell",-1,1) * NORMDIST(I291,0,1,0)/(B291*$H$11*SQRT($J$11)) * $P$11</f>
        <v>0.141097895272007</v>
      </c>
      <c r="E291" s="25" t="n">
        <f aca="false">IF($O$11="sell",-1,1) * (B291*NORMDIST(I291,0,1,0)*SQRT($J$11)/365) * $P$11</f>
        <v>0.0182957343522348</v>
      </c>
      <c r="F291" s="25" t="n">
        <f aca="false">IF($O$11="sell",-1,1) * (-(B291*NORMDIST(I291,0,1,0)*$H$11)/(2*SQRT($J$11))/365) *$P$11</f>
        <v>-0.563284495303018</v>
      </c>
      <c r="G291" s="25" t="n">
        <f aca="false">IF($O$11="buy",1,-1)*( IF($K$11="call",B291*NORMDIST(I291,0,1,1) - $B$11*NORMDIST(J291,0,1,1),$B$11*NORMDIST(-J291,0,1,1) - B291*NORMDIST(-I291,0,1,1) ) - $G$11) * $P$11</f>
        <v>-14.7118496379914</v>
      </c>
      <c r="I291" s="28" t="n">
        <f aca="false">(LN(B291/$B$11)+($H$11^2/2)*($J$11))/($H$11*SQRT($J$11))</f>
        <v>0.0353206462963876</v>
      </c>
      <c r="J291" s="28" t="n">
        <f aca="false">I291 - $H$11*SQRT($J$11)</f>
        <v>-0.0353206462963876</v>
      </c>
    </row>
    <row r="292" customFormat="false" ht="13.5" hidden="false" customHeight="true" outlineLevel="0" collapsed="false">
      <c r="B292" s="29" t="n">
        <f aca="false">B262</f>
        <v>79</v>
      </c>
      <c r="C292" s="25" t="n">
        <f aca="false">IF($O$11="sell",-1,1) *  IF($K$11="call",  NORMDIST(I292,0,1,1),  NORMDIST(I292,0,1,1)-1  ) * $P$11</f>
        <v>-1.11350836596475</v>
      </c>
      <c r="D292" s="25" t="n">
        <f aca="false">IF($O$11="sell",-1,1) * NORMDIST(I292,0,1,0)/(B292*$H$11*SQRT($J$11)) * $P$11</f>
        <v>0.141523876510015</v>
      </c>
      <c r="E292" s="25" t="n">
        <f aca="false">IF($O$11="sell",-1,1) * (B292*NORMDIST(I292,0,1,0)*SQRT($J$11)/365) * $P$11</f>
        <v>0.0178950631300182</v>
      </c>
      <c r="F292" s="25" t="n">
        <f aca="false">IF($O$11="sell",-1,1) * (-(B292*NORMDIST(I292,0,1,0)*$H$11)/(2*SQRT($J$11))/365) *$P$11</f>
        <v>-0.550948729881217</v>
      </c>
      <c r="G292" s="25" t="n">
        <f aca="false">IF($O$11="buy",1,-1)*( IF($K$11="call",B292*NORMDIST(I292,0,1,1) - $B$11*NORMDIST(J292,0,1,1),$B$11*NORMDIST(-J292,0,1,1) - B292*NORMDIST(-I292,0,1,1) ) - $G$11) * $P$11</f>
        <v>-13.6692192147739</v>
      </c>
      <c r="I292" s="28" t="n">
        <f aca="false">(LN(B292/$B$11)+($H$11^2/2)*($J$11))/($H$11*SQRT($J$11))</f>
        <v>-0.142744926192111</v>
      </c>
      <c r="J292" s="28" t="n">
        <f aca="false">I292 - $H$11*SQRT($J$11)</f>
        <v>-0.213386218784886</v>
      </c>
    </row>
    <row r="293" customFormat="false" ht="13.5" hidden="false" customHeight="true" outlineLevel="0" collapsed="false">
      <c r="B293" s="29" t="n">
        <f aca="false">B263</f>
        <v>78</v>
      </c>
      <c r="C293" s="25" t="n">
        <f aca="false">IF($O$11="sell",-1,1) *  IF($K$11="call",  NORMDIST(I293,0,1,1),  NORMDIST(I293,0,1,1)-1  ) * $P$11</f>
        <v>-1.25336451877846</v>
      </c>
      <c r="D293" s="25" t="n">
        <f aca="false">IF($O$11="sell",-1,1) * NORMDIST(I293,0,1,0)/(B293*$H$11*SQRT($J$11)) * $P$11</f>
        <v>0.137442484198597</v>
      </c>
      <c r="E293" s="25" t="n">
        <f aca="false">IF($O$11="sell",-1,1) * (B293*NORMDIST(I293,0,1,0)*SQRT($J$11)/365) * $P$11</f>
        <v>0.016941799507408</v>
      </c>
      <c r="F293" s="25" t="n">
        <f aca="false">IF($O$11="sell",-1,1) * (-(B293*NORMDIST(I293,0,1,0)*$H$11)/(2*SQRT($J$11))/365) *$P$11</f>
        <v>-0.5215998877842</v>
      </c>
      <c r="G293" s="25" t="n">
        <f aca="false">IF($O$11="buy",1,-1)*( IF($K$11="call",B293*NORMDIST(I293,0,1,1) - $B$11*NORMDIST(J293,0,1,1),$B$11*NORMDIST(-J293,0,1,1) - B293*NORMDIST(-I293,0,1,1) ) - $G$11) * $P$11</f>
        <v>-12.4854423443712</v>
      </c>
      <c r="I293" s="28" t="n">
        <f aca="false">(LN(B293/$B$11)+($H$11^2/2)*($J$11))/($H$11*SQRT($J$11))</f>
        <v>-0.323078910889507</v>
      </c>
      <c r="J293" s="28" t="n">
        <f aca="false">I293 - $H$11*SQRT($J$11)</f>
        <v>-0.393720203482283</v>
      </c>
    </row>
    <row r="294" customFormat="false" ht="13.5" hidden="false" customHeight="true" outlineLevel="0" collapsed="false">
      <c r="B294" s="29" t="n">
        <f aca="false">B264</f>
        <v>77</v>
      </c>
      <c r="C294" s="25" t="n">
        <f aca="false">IF($O$11="sell",-1,1) *  IF($K$11="call",  NORMDIST(I294,0,1,1),  NORMDIST(I294,0,1,1)-1  ) * $P$11</f>
        <v>-1.38696071063847</v>
      </c>
      <c r="D294" s="25" t="n">
        <f aca="false">IF($O$11="sell",-1,1) * NORMDIST(I294,0,1,0)/(B294*$H$11*SQRT($J$11)) * $P$11</f>
        <v>0.129077439590319</v>
      </c>
      <c r="E294" s="25" t="n">
        <f aca="false">IF($O$11="sell",-1,1) * (B294*NORMDIST(I294,0,1,0)*SQRT($J$11)/365) * $P$11</f>
        <v>0.0155053341045767</v>
      </c>
      <c r="F294" s="25" t="n">
        <f aca="false">IF($O$11="sell",-1,1) * (-(B294*NORMDIST(I294,0,1,0)*$H$11)/(2*SQRT($J$11))/365) *$P$11</f>
        <v>-0.477374350078181</v>
      </c>
      <c r="G294" s="25" t="n">
        <f aca="false">IF($O$11="buy",1,-1)*( IF($K$11="call",B294*NORMDIST(I294,0,1,1) - $B$11*NORMDIST(J294,0,1,1),$B$11*NORMDIST(-J294,0,1,1) - B294*NORMDIST(-I294,0,1,1) ) - $G$11) * $P$11</f>
        <v>-11.1645817393519</v>
      </c>
      <c r="I294" s="28" t="n">
        <f aca="false">(LN(B294/$B$11)+($H$11^2/2)*($J$11))/($H$11*SQRT($J$11))</f>
        <v>-0.505739849871639</v>
      </c>
      <c r="J294" s="28" t="n">
        <f aca="false">I294 - $H$11*SQRT($J$11)</f>
        <v>-0.576381142464415</v>
      </c>
    </row>
    <row r="295" customFormat="false" ht="13.5" hidden="false" customHeight="true" outlineLevel="0" collapsed="false">
      <c r="B295" s="29" t="n">
        <f aca="false">B265</f>
        <v>76</v>
      </c>
      <c r="C295" s="25" t="n">
        <f aca="false">IF($O$11="sell",-1,1) *  IF($K$11="call",  NORMDIST(I295,0,1,1),  NORMDIST(I295,0,1,1)-1  ) * $P$11</f>
        <v>-1.51030158743746</v>
      </c>
      <c r="D295" s="25" t="n">
        <f aca="false">IF($O$11="sell",-1,1) * NORMDIST(I295,0,1,0)/(B295*$H$11*SQRT($J$11)) * $P$11</f>
        <v>0.117070530586433</v>
      </c>
      <c r="E295" s="25" t="n">
        <f aca="false">IF($O$11="sell",-1,1) * (B295*NORMDIST(I295,0,1,0)*SQRT($J$11)/365) * $P$11</f>
        <v>0.0137001116839467</v>
      </c>
      <c r="F295" s="25" t="n">
        <f aca="false">IF($O$11="sell",-1,1) * (-(B295*NORMDIST(I295,0,1,0)*$H$11)/(2*SQRT($J$11))/365) *$P$11</f>
        <v>-0.421795613497431</v>
      </c>
      <c r="G295" s="25" t="n">
        <f aca="false">IF($O$11="buy",1,-1)*( IF($K$11="call",B295*NORMDIST(I295,0,1,1) - $B$11*NORMDIST(J295,0,1,1),$B$11*NORMDIST(-J295,0,1,1) - B295*NORMDIST(-I295,0,1,1) ) - $G$11) * $P$11</f>
        <v>-9.71494863033277</v>
      </c>
      <c r="I295" s="28" t="n">
        <f aca="false">(LN(B295/$B$11)+($H$11^2/2)*($J$11))/($H$11*SQRT($J$11))</f>
        <v>-0.690788581110311</v>
      </c>
      <c r="J295" s="28" t="n">
        <f aca="false">I295 - $H$11*SQRT($J$11)</f>
        <v>-0.761429873703086</v>
      </c>
    </row>
    <row r="296" customFormat="false" ht="13.5" hidden="false" customHeight="true" outlineLevel="0" collapsed="false">
      <c r="B296" s="29" t="n">
        <f aca="false">B266</f>
        <v>75</v>
      </c>
      <c r="C296" s="25" t="n">
        <f aca="false">IF($O$11="sell",-1,1) *  IF($K$11="call",  NORMDIST(I296,0,1,1),  NORMDIST(I296,0,1,1)-1  ) * $P$11</f>
        <v>-1.62021274906929</v>
      </c>
      <c r="D296" s="25" t="n">
        <f aca="false">IF($O$11="sell",-1,1) * NORMDIST(I296,0,1,0)/(B296*$H$11*SQRT($J$11)) * $P$11</f>
        <v>0.102403512685114</v>
      </c>
      <c r="E296" s="25" t="n">
        <f aca="false">IF($O$11="sell",-1,1) * (B296*NORMDIST(I296,0,1,0)*SQRT($J$11)/365) * $P$11</f>
        <v>0.0116704262195391</v>
      </c>
      <c r="F296" s="25" t="n">
        <f aca="false">IF($O$11="sell",-1,1) * (-(B296*NORMDIST(I296,0,1,0)*$H$11)/(2*SQRT($J$11))/365) *$P$11</f>
        <v>-0.359306164840613</v>
      </c>
      <c r="G296" s="25" t="n">
        <f aca="false">IF($O$11="buy",1,-1)*( IF($K$11="call",B296*NORMDIST(I296,0,1,1) - $B$11*NORMDIST(J296,0,1,1),$B$11*NORMDIST(-J296,0,1,1) - B296*NORMDIST(-I296,0,1,1) ) - $G$11) * $P$11</f>
        <v>-8.14846753692982</v>
      </c>
      <c r="I296" s="28" t="n">
        <f aca="false">(LN(B296/$B$11)+($H$11^2/2)*($J$11))/($H$11*SQRT($J$11))</f>
        <v>-0.878288360118818</v>
      </c>
      <c r="J296" s="28" t="n">
        <f aca="false">I296 - $H$11*SQRT($J$11)</f>
        <v>-0.948929652711593</v>
      </c>
    </row>
    <row r="297" customFormat="false" ht="13.5" hidden="false" customHeight="true" outlineLevel="0" collapsed="false">
      <c r="B297" s="29" t="n">
        <f aca="false">B267</f>
        <v>74</v>
      </c>
      <c r="C297" s="25" t="n">
        <f aca="false">IF($O$11="sell",-1,1) *  IF($K$11="call",  NORMDIST(I297,0,1,1),  NORMDIST(I297,0,1,1)-1  ) * $P$11</f>
        <v>-1.71461704157332</v>
      </c>
      <c r="D297" s="25" t="n">
        <f aca="false">IF($O$11="sell",-1,1) * NORMDIST(I297,0,1,0)/(B297*$H$11*SQRT($J$11)) * $P$11</f>
        <v>0.0862630614976031</v>
      </c>
      <c r="E297" s="25" t="n">
        <f aca="false">IF($O$11="sell",-1,1) * (B297*NORMDIST(I297,0,1,0)*SQRT($J$11)/365) * $P$11</f>
        <v>0.0095705664525018</v>
      </c>
      <c r="F297" s="25" t="n">
        <f aca="false">IF($O$11="sell",-1,1) * (-(B297*NORMDIST(I297,0,1,0)*$H$11)/(2*SQRT($J$11))/365) *$P$11</f>
        <v>-0.294656207298012</v>
      </c>
      <c r="G297" s="25" t="n">
        <f aca="false">IF($O$11="buy",1,-1)*( IF($K$11="call",B297*NORMDIST(I297,0,1,1) - $B$11*NORMDIST(J297,0,1,1),$B$11*NORMDIST(-J297,0,1,1) - B297*NORMDIST(-I297,0,1,1) ) - $G$11) * $P$11</f>
        <v>-6.47970587695794</v>
      </c>
      <c r="I297" s="28" t="n">
        <f aca="false">(LN(B297/$B$11)+($H$11^2/2)*($J$11))/($H$11*SQRT($J$11))</f>
        <v>-1.06830498976233</v>
      </c>
      <c r="J297" s="28" t="n">
        <f aca="false">I297 - $H$11*SQRT($J$11)</f>
        <v>-1.13894628235511</v>
      </c>
    </row>
    <row r="298" customFormat="false" ht="13.5" hidden="false" customHeight="true" outlineLevel="0" collapsed="false">
      <c r="B298" s="29" t="n">
        <f aca="false">B268</f>
        <v>73</v>
      </c>
      <c r="C298" s="25" t="n">
        <f aca="false">IF($O$11="sell",-1,1) *  IF($K$11="call",  NORMDIST(I298,0,1,1),  NORMDIST(I298,0,1,1)-1  ) * $P$11</f>
        <v>-1.79265762930268</v>
      </c>
      <c r="D298" s="25" t="n">
        <f aca="false">IF($O$11="sell",-1,1) * NORMDIST(I298,0,1,0)/(B298*$H$11*SQRT($J$11)) * $P$11</f>
        <v>0.069874566689315</v>
      </c>
      <c r="E298" s="25" t="n">
        <f aca="false">IF($O$11="sell",-1,1) * (B298*NORMDIST(I298,0,1,0)*SQRT($J$11)/365) * $P$11</f>
        <v>0.00754421721631196</v>
      </c>
      <c r="F298" s="25" t="n">
        <f aca="false">IF($O$11="sell",-1,1) * (-(B298*NORMDIST(I298,0,1,0)*$H$11)/(2*SQRT($J$11))/365) *$P$11</f>
        <v>-0.232269473601509</v>
      </c>
      <c r="G298" s="25" t="n">
        <f aca="false">IF($O$11="buy",1,-1)*( IF($K$11="call",B298*NORMDIST(I298,0,1,1) - $B$11*NORMDIST(J298,0,1,1),$B$11*NORMDIST(-J298,0,1,1) - B298*NORMDIST(-I298,0,1,1) ) - $G$11) * $P$11</f>
        <v>-4.72470128576055</v>
      </c>
      <c r="I298" s="28" t="n">
        <f aca="false">(LN(B298/$B$11)+($H$11^2/2)*($J$11))/($H$11*SQRT($J$11))</f>
        <v>-1.26090695889972</v>
      </c>
      <c r="J298" s="28" t="n">
        <f aca="false">I298 - $H$11*SQRT($J$11)</f>
        <v>-1.33154825149249</v>
      </c>
    </row>
    <row r="299" customFormat="false" ht="13.5" hidden="false" customHeight="true" outlineLevel="0" collapsed="false">
      <c r="B299" s="29" t="n">
        <f aca="false">B269</f>
        <v>72</v>
      </c>
      <c r="C299" s="25" t="n">
        <f aca="false">IF($O$11="sell",-1,1) *  IF($K$11="call",  NORMDIST(I299,0,1,1),  NORMDIST(I299,0,1,1)-1  ) * $P$11</f>
        <v>-1.85465315083136</v>
      </c>
      <c r="D299" s="25" t="n">
        <f aca="false">IF($O$11="sell",-1,1) * NORMDIST(I299,0,1,0)/(B299*$H$11*SQRT($J$11)) * $P$11</f>
        <v>0.0543382890917667</v>
      </c>
      <c r="E299" s="25" t="n">
        <f aca="false">IF($O$11="sell",-1,1) * (B299*NORMDIST(I299,0,1,0)*SQRT($J$11)/365) * $P$11</f>
        <v>0.00570716316762709</v>
      </c>
      <c r="F299" s="25" t="n">
        <f aca="false">IF($O$11="sell",-1,1) * (-(B299*NORMDIST(I299,0,1,0)*$H$11)/(2*SQRT($J$11))/365) *$P$11</f>
        <v>-0.175710712814111</v>
      </c>
      <c r="G299" s="25" t="n">
        <f aca="false">IF($O$11="buy",1,-1)*( IF($K$11="call",B299*NORMDIST(I299,0,1,1) - $B$11*NORMDIST(J299,0,1,1),$B$11*NORMDIST(-J299,0,1,1) - B299*NORMDIST(-I299,0,1,1) ) - $G$11) * $P$11</f>
        <v>-2.89975001996049</v>
      </c>
      <c r="I299" s="28" t="n">
        <f aca="false">(LN(B299/$B$11)+($H$11^2/2)*($J$11))/($H$11*SQRT($J$11))</f>
        <v>-1.4561655905877</v>
      </c>
      <c r="J299" s="28" t="n">
        <f aca="false">I299 - $H$11*SQRT($J$11)</f>
        <v>-1.52680688318048</v>
      </c>
    </row>
    <row r="300" customFormat="false" ht="13.5" hidden="false" customHeight="true" outlineLevel="0" collapsed="false">
      <c r="B300" s="29" t="n">
        <f aca="false">B270</f>
        <v>71</v>
      </c>
      <c r="C300" s="25" t="n">
        <f aca="false">IF($O$11="sell",-1,1) *  IF($K$11="call",  NORMDIST(I300,0,1,1),  NORMDIST(I300,0,1,1)-1  ) * $P$11</f>
        <v>-1.90190401734509</v>
      </c>
      <c r="D300" s="25" t="n">
        <f aca="false">IF($O$11="sell",-1,1) * NORMDIST(I300,0,1,0)/(B300*$H$11*SQRT($J$11)) * $P$11</f>
        <v>0.0405003153263912</v>
      </c>
      <c r="E300" s="25" t="n">
        <f aca="false">IF($O$11="sell",-1,1) * (B300*NORMDIST(I300,0,1,0)*SQRT($J$11)/365) * $P$11</f>
        <v>0.00413641818083141</v>
      </c>
      <c r="F300" s="25" t="n">
        <f aca="false">IF($O$11="sell",-1,1) * (-(B300*NORMDIST(I300,0,1,0)*$H$11)/(2*SQRT($J$11))/365) *$P$11</f>
        <v>-0.127351008846892</v>
      </c>
      <c r="G300" s="25" t="n">
        <f aca="false">IF($O$11="buy",1,-1)*( IF($K$11="call",B300*NORMDIST(I300,0,1,1) - $B$11*NORMDIST(J300,0,1,1),$B$11*NORMDIST(-J300,0,1,1) - B300*NORMDIST(-I300,0,1,1) ) - $G$11) * $P$11</f>
        <v>-1.02031754789886</v>
      </c>
      <c r="I300" s="28" t="n">
        <f aca="false">(LN(B300/$B$11)+($H$11^2/2)*($J$11))/($H$11*SQRT($J$11))</f>
        <v>-1.65415520065</v>
      </c>
      <c r="J300" s="28" t="n">
        <f aca="false">I300 - $H$11*SQRT($J$11)</f>
        <v>-1.72479649324277</v>
      </c>
    </row>
    <row r="301" customFormat="false" ht="13.5" hidden="false" customHeight="true" outlineLevel="0" collapsed="false">
      <c r="B301" s="29" t="n">
        <f aca="false">B271</f>
        <v>70</v>
      </c>
      <c r="C301" s="25" t="n">
        <f aca="false">IF($O$11="sell",-1,1) *  IF($K$11="call",  NORMDIST(I301,0,1,1),  NORMDIST(I301,0,1,1)-1  ) * $P$11</f>
        <v>-1.93639709968905</v>
      </c>
      <c r="D301" s="25" t="n">
        <f aca="false">IF($O$11="sell",-1,1) * NORMDIST(I301,0,1,0)/(B301*$H$11*SQRT($J$11)) * $P$11</f>
        <v>0.0288809814316402</v>
      </c>
      <c r="E301" s="25" t="n">
        <f aca="false">IF($O$11="sell",-1,1) * (B301*NORMDIST(I301,0,1,0)*SQRT($J$11)/365) * $P$11</f>
        <v>0.00286719587835157</v>
      </c>
      <c r="F301" s="25" t="n">
        <f aca="false">IF($O$11="sell",-1,1) * (-(B301*NORMDIST(I301,0,1,0)*$H$11)/(2*SQRT($J$11))/365) *$P$11</f>
        <v>-0.0882745099037186</v>
      </c>
      <c r="G301" s="25" t="n">
        <f aca="false">IF($O$11="buy",1,-1)*( IF($K$11="call",B301*NORMDIST(I301,0,1,1) - $B$11*NORMDIST(J301,0,1,1),$B$11*NORMDIST(-J301,0,1,1) - B301*NORMDIST(-I301,0,1,1) ) - $G$11) * $P$11</f>
        <v>0.899801541460164</v>
      </c>
      <c r="I301" s="28" t="n">
        <f aca="false">(LN(B301/$B$11)+($H$11^2/2)*($J$11))/($H$11*SQRT($J$11))</f>
        <v>-1.85495326749351</v>
      </c>
      <c r="J301" s="28" t="n">
        <f aca="false">I301 - $H$11*SQRT($J$11)</f>
        <v>-1.92559456008629</v>
      </c>
    </row>
    <row r="302" customFormat="false" ht="13.5" hidden="false" customHeight="true" outlineLevel="0" collapsed="false">
      <c r="B302" s="29" t="n">
        <f aca="false">B272</f>
        <v>69</v>
      </c>
      <c r="C302" s="25" t="n">
        <f aca="false">IF($O$11="sell",-1,1) *  IF($K$11="call",  NORMDIST(I302,0,1,1),  NORMDIST(I302,0,1,1)-1  ) * $P$11</f>
        <v>-1.96047132095889</v>
      </c>
      <c r="D302" s="25" t="n">
        <f aca="false">IF($O$11="sell",-1,1) * NORMDIST(I302,0,1,0)/(B302*$H$11*SQRT($J$11)) * $P$11</f>
        <v>0.0196680847227069</v>
      </c>
      <c r="E302" s="25" t="n">
        <f aca="false">IF($O$11="sell",-1,1) * (B302*NORMDIST(I302,0,1,0)*SQRT($J$11)/365) * $P$11</f>
        <v>0.00189718458910781</v>
      </c>
      <c r="F302" s="25" t="n">
        <f aca="false">IF($O$11="sell",-1,1) * (-(B302*NORMDIST(I302,0,1,0)*$H$11)/(2*SQRT($J$11))/365) *$P$11</f>
        <v>-0.0584100448333041</v>
      </c>
      <c r="G302" s="25" t="n">
        <f aca="false">IF($O$11="buy",1,-1)*( IF($K$11="call",B302*NORMDIST(I302,0,1,1) - $B$11*NORMDIST(J302,0,1,1),$B$11*NORMDIST(-J302,0,1,1) - B302*NORMDIST(-I302,0,1,1) ) - $G$11) * $P$11</f>
        <v>2.84900334742201</v>
      </c>
      <c r="I302" s="28" t="n">
        <f aca="false">(LN(B302/$B$11)+($H$11^2/2)*($J$11))/($H$11*SQRT($J$11))</f>
        <v>-2.05864061414282</v>
      </c>
      <c r="J302" s="28" t="n">
        <f aca="false">I302 - $H$11*SQRT($J$11)</f>
        <v>-2.12928190673559</v>
      </c>
    </row>
    <row r="303" customFormat="false" ht="13.5" hidden="false" customHeight="true" outlineLevel="0" collapsed="false">
      <c r="B303" s="29" t="n">
        <f aca="false">B273</f>
        <v>68</v>
      </c>
      <c r="C303" s="25" t="n">
        <f aca="false">IF($O$11="sell",-1,1) *  IF($K$11="call",  NORMDIST(I303,0,1,1),  NORMDIST(I303,0,1,1)-1  ) * $P$11</f>
        <v>-1.97650582228451</v>
      </c>
      <c r="D303" s="25" t="n">
        <f aca="false">IF($O$11="sell",-1,1) * NORMDIST(I303,0,1,0)/(B303*$H$11*SQRT($J$11)) * $P$11</f>
        <v>0.0127661989126325</v>
      </c>
      <c r="E303" s="25" t="n">
        <f aca="false">IF($O$11="sell",-1,1) * (B303*NORMDIST(I303,0,1,0)*SQRT($J$11)/365) * $P$11</f>
        <v>0.00119599336056609</v>
      </c>
      <c r="F303" s="25" t="n">
        <f aca="false">IF($O$11="sell",-1,1) * (-(B303*NORMDIST(I303,0,1,0)*$H$11)/(2*SQRT($J$11))/365) *$P$11</f>
        <v>-0.0368219445867686</v>
      </c>
      <c r="G303" s="25" t="n">
        <f aca="false">IF($O$11="buy",1,-1)*( IF($K$11="call",B303*NORMDIST(I303,0,1,1) - $B$11*NORMDIST(J303,0,1,1),$B$11*NORMDIST(-J303,0,1,1) - B303*NORMDIST(-I303,0,1,1) ) - $G$11) * $P$11</f>
        <v>4.81806665358283</v>
      </c>
      <c r="I303" s="28" t="n">
        <f aca="false">(LN(B303/$B$11)+($H$11^2/2)*($J$11))/($H$11*SQRT($J$11))</f>
        <v>-2.26530160356313</v>
      </c>
      <c r="J303" s="28" t="n">
        <f aca="false">I303 - $H$11*SQRT($J$11)</f>
        <v>-2.3359428961559</v>
      </c>
    </row>
    <row r="304" customFormat="false" ht="13.5" hidden="false" customHeight="true" outlineLevel="0" collapsed="false">
      <c r="B304" s="29" t="n">
        <f aca="false">B274</f>
        <v>67</v>
      </c>
      <c r="C304" s="25" t="n">
        <f aca="false">IF($O$11="sell",-1,1) *  IF($K$11="call",  NORMDIST(I304,0,1,1),  NORMDIST(I304,0,1,1)-1  ) * $P$11</f>
        <v>-1.98667729072957</v>
      </c>
      <c r="D304" s="25" t="n">
        <f aca="false">IF($O$11="sell",-1,1) * NORMDIST(I304,0,1,0)/(B304*$H$11*SQRT($J$11)) * $P$11</f>
        <v>0.00788166336694618</v>
      </c>
      <c r="E304" s="25" t="n">
        <f aca="false">IF($O$11="sell",-1,1) * (B304*NORMDIST(I304,0,1,0)*SQRT($J$11)/365) * $P$11</f>
        <v>0.000716831074324747</v>
      </c>
      <c r="F304" s="25" t="n">
        <f aca="false">IF($O$11="sell",-1,1) * (-(B304*NORMDIST(I304,0,1,0)*$H$11)/(2*SQRT($J$11))/365) *$P$11</f>
        <v>-0.0220696159085417</v>
      </c>
      <c r="G304" s="25" t="n">
        <f aca="false">IF($O$11="buy",1,-1)*( IF($K$11="call",B304*NORMDIST(I304,0,1,1) - $B$11*NORMDIST(J304,0,1,1),$B$11*NORMDIST(-J304,0,1,1) - B304*NORMDIST(-I304,0,1,1) ) - $G$11) * $P$11</f>
        <v>6.80006469166079</v>
      </c>
      <c r="I304" s="28" t="n">
        <f aca="false">(LN(B304/$B$11)+($H$11^2/2)*($J$11))/($H$11*SQRT($J$11))</f>
        <v>-2.47502434845322</v>
      </c>
      <c r="J304" s="28" t="n">
        <f aca="false">I304 - $H$11*SQRT($J$11)</f>
        <v>-2.54566564104599</v>
      </c>
    </row>
    <row r="305" customFormat="false" ht="13.5" hidden="false" customHeight="true" outlineLevel="0" collapsed="false">
      <c r="B305" s="29" t="n">
        <f aca="false">B275</f>
        <v>66</v>
      </c>
      <c r="C305" s="25" t="n">
        <f aca="false">IF($O$11="sell",-1,1) *  IF($K$11="call",  NORMDIST(I305,0,1,1),  NORMDIST(I305,0,1,1)-1  ) * $P$11</f>
        <v>-1.99280972755138</v>
      </c>
      <c r="D305" s="25" t="n">
        <f aca="false">IF($O$11="sell",-1,1) * NORMDIST(I305,0,1,0)/(B305*$H$11*SQRT($J$11)) * $P$11</f>
        <v>0.00461837949908538</v>
      </c>
      <c r="E305" s="25" t="n">
        <f aca="false">IF($O$11="sell",-1,1) * (B305*NORMDIST(I305,0,1,0)*SQRT($J$11)/365) * $P$11</f>
        <v>0.000407593100662522</v>
      </c>
      <c r="F305" s="25" t="n">
        <f aca="false">IF($O$11="sell",-1,1) * (-(B305*NORMDIST(I305,0,1,0)*$H$11)/(2*SQRT($J$11))/365) *$P$11</f>
        <v>-0.0125488744849226</v>
      </c>
      <c r="G305" s="25" t="n">
        <f aca="false">IF($O$11="buy",1,-1)*( IF($K$11="call",B305*NORMDIST(I305,0,1,1) - $B$11*NORMDIST(J305,0,1,1),$B$11*NORMDIST(-J305,0,1,1) - B305*NORMDIST(-I305,0,1,1) ) - $G$11) * $P$11</f>
        <v>8.79007955745854</v>
      </c>
      <c r="I305" s="28" t="n">
        <f aca="false">(LN(B305/$B$11)+($H$11^2/2)*($J$11))/($H$11*SQRT($J$11))</f>
        <v>-2.68790093681392</v>
      </c>
      <c r="J305" s="28" t="n">
        <f aca="false">I305 - $H$11*SQRT($J$11)</f>
        <v>-2.7585422294067</v>
      </c>
    </row>
    <row r="306" customFormat="false" ht="13.5" hidden="false" customHeight="true" outlineLevel="0" collapsed="false">
      <c r="B306" s="29" t="n">
        <f aca="false">B276</f>
        <v>65</v>
      </c>
      <c r="C306" s="25" t="n">
        <f aca="false">IF($O$11="sell",-1,1) *  IF($K$11="call",  NORMDIST(I306,0,1,1),  NORMDIST(I306,0,1,1)-1  ) * $P$11</f>
        <v>-1.99631604405416</v>
      </c>
      <c r="D306" s="25" t="n">
        <f aca="false">IF($O$11="sell",-1,1) * NORMDIST(I306,0,1,0)/(B306*$H$11*SQRT($J$11)) * $P$11</f>
        <v>0.00256261625992573</v>
      </c>
      <c r="E306" s="25" t="n">
        <f aca="false">IF($O$11="sell",-1,1) * (B306*NORMDIST(I306,0,1,0)*SQRT($J$11)/365) * $P$11</f>
        <v>0.000219361105964678</v>
      </c>
      <c r="F306" s="25" t="n">
        <f aca="false">IF($O$11="sell",-1,1) * (-(B306*NORMDIST(I306,0,1,0)*$H$11)/(2*SQRT($J$11))/365) *$P$11</f>
        <v>-0.006753634890164</v>
      </c>
      <c r="G306" s="25" t="n">
        <f aca="false">IF($O$11="buy",1,-1)*( IF($K$11="call",B306*NORMDIST(I306,0,1,1) - $B$11*NORMDIST(J306,0,1,1),$B$11*NORMDIST(-J306,0,1,1) - B306*NORMDIST(-I306,0,1,1) ) - $G$11) * $P$11</f>
        <v>10.7848132367678</v>
      </c>
      <c r="I306" s="28" t="n">
        <f aca="false">(LN(B306/$B$11)+($H$11^2/2)*($J$11))/($H$11*SQRT($J$11))</f>
        <v>-2.9040276747376</v>
      </c>
      <c r="J306" s="28" t="n">
        <f aca="false">I306 - $H$11*SQRT($J$11)</f>
        <v>-2.97466896733037</v>
      </c>
    </row>
    <row r="307" customFormat="false" ht="13.5" hidden="false" customHeight="true" outlineLevel="0" collapsed="false">
      <c r="B307" s="29" t="n">
        <f aca="false">B277</f>
        <v>64</v>
      </c>
      <c r="C307" s="25" t="n">
        <f aca="false">IF($O$11="sell",-1,1) *  IF($K$11="call",  NORMDIST(I307,0,1,1),  NORMDIST(I307,0,1,1)-1  ) * $P$11</f>
        <v>-1.99821289382537</v>
      </c>
      <c r="D307" s="25" t="n">
        <f aca="false">IF($O$11="sell",-1,1) * NORMDIST(I307,0,1,0)/(B307*$H$11*SQRT($J$11)) * $P$11</f>
        <v>0.00134323171491348</v>
      </c>
      <c r="E307" s="25" t="n">
        <f aca="false">IF($O$11="sell",-1,1) * (B307*NORMDIST(I307,0,1,0)*SQRT($J$11)/365) * $P$11</f>
        <v>0.000111470569937232</v>
      </c>
      <c r="F307" s="25" t="n">
        <f aca="false">IF($O$11="sell",-1,1) * (-(B307*NORMDIST(I307,0,1,0)*$H$11)/(2*SQRT($J$11))/365) *$P$11</f>
        <v>-0.00343192803958501</v>
      </c>
      <c r="G307" s="25" t="n">
        <f aca="false">IF($O$11="buy",1,-1)*( IF($K$11="call",B307*NORMDIST(I307,0,1,1) - $B$11*NORMDIST(J307,0,1,1),$B$11*NORMDIST(-J307,0,1,1) - B307*NORMDIST(-I307,0,1,1) ) - $G$11) * $P$11</f>
        <v>12.7821789079621</v>
      </c>
      <c r="I307" s="28" t="n">
        <f aca="false">(LN(B307/$B$11)+($H$11^2/2)*($J$11))/($H$11*SQRT($J$11))</f>
        <v>-3.12350534802059</v>
      </c>
      <c r="J307" s="28" t="n">
        <f aca="false">I307 - $H$11*SQRT($J$11)</f>
        <v>-3.19414664061336</v>
      </c>
    </row>
    <row r="308" customFormat="false" ht="13.5" hidden="false" customHeight="true" outlineLevel="0" collapsed="false">
      <c r="B308" s="29" t="n">
        <f aca="false">B278</f>
        <v>63</v>
      </c>
      <c r="C308" s="25" t="n">
        <f aca="false">IF($O$11="sell",-1,1) *  IF($K$11="call",  NORMDIST(I308,0,1,1),  NORMDIST(I308,0,1,1)-1  ) * $P$11</f>
        <v>-1.99918143461215</v>
      </c>
      <c r="D308" s="25" t="n">
        <f aca="false">IF($O$11="sell",-1,1) * NORMDIST(I308,0,1,0)/(B308*$H$11*SQRT($J$11)) * $P$11</f>
        <v>0.000663412006804266</v>
      </c>
      <c r="E308" s="25" t="n">
        <f aca="false">IF($O$11="sell",-1,1) * (B308*NORMDIST(I308,0,1,0)*SQRT($J$11)/365) * $P$11</f>
        <v>5.33474619832055E-005</v>
      </c>
      <c r="F308" s="25" t="n">
        <f aca="false">IF($O$11="sell",-1,1) * (-(B308*NORMDIST(I308,0,1,0)*$H$11)/(2*SQRT($J$11))/365) *$P$11</f>
        <v>-0.00164244832267344</v>
      </c>
      <c r="G308" s="25" t="n">
        <f aca="false">IF($O$11="buy",1,-1)*( IF($K$11="call",B308*NORMDIST(I308,0,1,1) - $B$11*NORMDIST(J308,0,1,1),$B$11*NORMDIST(-J308,0,1,1) - B308*NORMDIST(-I308,0,1,1) ) - $G$11) * $P$11</f>
        <v>14.7809324264056</v>
      </c>
      <c r="I308" s="28" t="n">
        <f aca="false">(LN(B308/$B$11)+($H$11^2/2)*($J$11))/($H$11*SQRT($J$11))</f>
        <v>-3.3464395043776</v>
      </c>
      <c r="J308" s="28" t="n">
        <f aca="false">I308 - $H$11*SQRT($J$11)</f>
        <v>-3.41708079697038</v>
      </c>
    </row>
    <row r="309" customFormat="false" ht="13.5" hidden="false" customHeight="true" outlineLevel="0" collapsed="false">
      <c r="B309" s="29" t="n">
        <f aca="false">B279</f>
        <v>62</v>
      </c>
      <c r="C309" s="25" t="n">
        <f aca="false">IF($O$11="sell",-1,1) *  IF($K$11="call",  NORMDIST(I309,0,1,1),  NORMDIST(I309,0,1,1)-1  ) * $P$11</f>
        <v>-1.9996470053584</v>
      </c>
      <c r="D309" s="25" t="n">
        <f aca="false">IF($O$11="sell",-1,1) * NORMDIST(I309,0,1,0)/(B309*$H$11*SQRT($J$11)) * $P$11</f>
        <v>0.000307899186822896</v>
      </c>
      <c r="E309" s="25" t="n">
        <f aca="false">IF($O$11="sell",-1,1) * (B309*NORMDIST(I309,0,1,0)*SQRT($J$11)/365) * $P$11</f>
        <v>2.39795626092562E-005</v>
      </c>
      <c r="F309" s="25" t="n">
        <f aca="false">IF($O$11="sell",-1,1) * (-(B309*NORMDIST(I309,0,1,0)*$H$11)/(2*SQRT($J$11))/365) *$P$11</f>
        <v>-0.000738276778723127</v>
      </c>
      <c r="G309" s="25" t="n">
        <f aca="false">IF($O$11="buy",1,-1)*( IF($K$11="call",B309*NORMDIST(I309,0,1,1) - $B$11*NORMDIST(J309,0,1,1),$B$11*NORMDIST(-J309,0,1,1) - B309*NORMDIST(-I309,0,1,1) ) - $G$11) * $P$11</f>
        <v>16.7803760767713</v>
      </c>
      <c r="I309" s="28" t="n">
        <f aca="false">(LN(B309/$B$11)+($H$11^2/2)*($J$11))/($H$11*SQRT($J$11))</f>
        <v>-3.57294075823599</v>
      </c>
      <c r="J309" s="28" t="n">
        <f aca="false">I309 - $H$11*SQRT($J$11)</f>
        <v>-3.64358205082877</v>
      </c>
    </row>
    <row r="310" customFormat="false" ht="13.5" hidden="false" customHeight="true" outlineLevel="0" collapsed="false">
      <c r="B310" s="29" t="n">
        <f aca="false">B280</f>
        <v>61</v>
      </c>
      <c r="C310" s="25" t="n">
        <f aca="false">IF($O$11="sell",-1,1) *  IF($K$11="call",  NORMDIST(I310,0,1,1),  NORMDIST(I310,0,1,1)-1  ) * $P$11</f>
        <v>-1.9998571178557</v>
      </c>
      <c r="D310" s="25" t="n">
        <f aca="false">IF($O$11="sell",-1,1) * NORMDIST(I310,0,1,0)/(B310*$H$11*SQRT($J$11)) * $P$11</f>
        <v>0.000133901629922656</v>
      </c>
      <c r="E310" s="25" t="n">
        <f aca="false">IF($O$11="sell",-1,1) * (B310*NORMDIST(I310,0,1,0)*SQRT($J$11)/365) * $P$11</f>
        <v>1.00947337734809E-005</v>
      </c>
      <c r="F310" s="25" t="n">
        <f aca="false">IF($O$11="sell",-1,1) * (-(B310*NORMDIST(I310,0,1,0)*$H$11)/(2*SQRT($J$11))/365) *$P$11</f>
        <v>-0.000310794139734488</v>
      </c>
      <c r="G310" s="25" t="n">
        <f aca="false">IF($O$11="buy",1,-1)*( IF($K$11="call",B310*NORMDIST(I310,0,1,1) - $B$11*NORMDIST(J310,0,1,1),$B$11*NORMDIST(-J310,0,1,1) - B310*NORMDIST(-I310,0,1,1) ) - $G$11) * $P$11</f>
        <v>18.7801425200109</v>
      </c>
      <c r="I310" s="28" t="n">
        <f aca="false">(LN(B310/$B$11)+($H$11^2/2)*($J$11))/($H$11*SQRT($J$11))</f>
        <v>-3.80312512031324</v>
      </c>
      <c r="J310" s="28" t="n">
        <f aca="false">I310 - $H$11*SQRT($J$11)</f>
        <v>-3.87376641290602</v>
      </c>
    </row>
    <row r="311" customFormat="false" ht="13.5" hidden="false" customHeight="true" outlineLevel="0" collapsed="false">
      <c r="B311" s="29" t="n">
        <f aca="false">B281</f>
        <v>60</v>
      </c>
      <c r="C311" s="25" t="n">
        <f aca="false">IF($O$11="sell",-1,1) *  IF($K$11="call",  NORMDIST(I311,0,1,1),  NORMDIST(I311,0,1,1)-1  ) * $P$11</f>
        <v>-1.99994588730442</v>
      </c>
      <c r="D311" s="25" t="n">
        <f aca="false">IF($O$11="sell",-1,1) * NORMDIST(I311,0,1,0)/(B311*$H$11*SQRT($J$11)) * $P$11</f>
        <v>5.44002588565642E-005</v>
      </c>
      <c r="E311" s="25" t="n">
        <f aca="false">IF($O$11="sell",-1,1) * (B311*NORMDIST(I311,0,1,0)*SQRT($J$11)/365) * $P$11</f>
        <v>3.96782768504633E-006</v>
      </c>
      <c r="F311" s="25" t="n">
        <f aca="false">IF($O$11="sell",-1,1) * (-(B311*NORMDIST(I311,0,1,0)*$H$11)/(2*SQRT($J$11))/365) *$P$11</f>
        <v>-0.000122160486810285</v>
      </c>
      <c r="G311" s="25" t="n">
        <f aca="false">IF($O$11="buy",1,-1)*( IF($K$11="call",B311*NORMDIST(I311,0,1,1) - $B$11*NORMDIST(J311,0,1,1),$B$11*NORMDIST(-J311,0,1,1) - B311*NORMDIST(-I311,0,1,1) ) - $G$11) * $P$11</f>
        <v>20.7800505821052</v>
      </c>
      <c r="I311" s="28" t="n">
        <f aca="false">(LN(B311/$B$11)+($H$11^2/2)*($J$11))/($H$11*SQRT($J$11))</f>
        <v>-4.03711435443579</v>
      </c>
      <c r="J311" s="28" t="n">
        <f aca="false">I311 - $H$11*SQRT($J$11)</f>
        <v>-4.10775564702857</v>
      </c>
    </row>
    <row r="312" customFormat="false" ht="13.5" hidden="false" customHeight="true" outlineLevel="0" collapsed="false">
      <c r="B312" s="29" t="n">
        <f aca="false">B282</f>
        <v>59</v>
      </c>
      <c r="C312" s="25" t="n">
        <f aca="false">IF($O$11="sell",-1,1) *  IF($K$11="call",  NORMDIST(I312,0,1,1),  NORMDIST(I312,0,1,1)-1  ) * $P$11</f>
        <v>-1.99998088938999</v>
      </c>
      <c r="D312" s="25" t="n">
        <f aca="false">IF($O$11="sell",-1,1) * NORMDIST(I312,0,1,0)/(B312*$H$11*SQRT($J$11)) * $P$11</f>
        <v>2.05807099668033E-005</v>
      </c>
      <c r="E312" s="25" t="n">
        <f aca="false">IF($O$11="sell",-1,1) * (B312*NORMDIST(I312,0,1,0)*SQRT($J$11)/365) * $P$11</f>
        <v>1.45148887674144E-006</v>
      </c>
      <c r="F312" s="25" t="n">
        <f aca="false">IF($O$11="sell",-1,1) * (-(B312*NORMDIST(I312,0,1,0)*$H$11)/(2*SQRT($J$11))/365) *$P$11</f>
        <v>-4.46880766648963E-005</v>
      </c>
      <c r="G312" s="25" t="n">
        <f aca="false">IF($O$11="buy",1,-1)*( IF($K$11="call",B312*NORMDIST(I312,0,1,1) - $B$11*NORMDIST(J312,0,1,1),$B$11*NORMDIST(-J312,0,1,1) - B312*NORMDIST(-I312,0,1,1) ) - $G$11) * $P$11</f>
        <v>22.7800167552561</v>
      </c>
      <c r="I312" s="28" t="n">
        <f aca="false">(LN(B312/$B$11)+($H$11^2/2)*($J$11))/($H$11*SQRT($J$11))</f>
        <v>-4.27503636434675</v>
      </c>
      <c r="J312" s="28" t="n">
        <f aca="false">I312 - $H$11*SQRT($J$11)</f>
        <v>-4.34567765693953</v>
      </c>
    </row>
    <row r="313" customFormat="false" ht="13.5" hidden="false" customHeight="true" outlineLevel="0" collapsed="false">
      <c r="B313" s="29" t="n">
        <f aca="false">B283</f>
        <v>58</v>
      </c>
      <c r="C313" s="25" t="n">
        <f aca="false">IF($O$11="sell",-1,1) *  IF($K$11="call",  NORMDIST(I313,0,1,1),  NORMDIST(I313,0,1,1)-1  ) * $P$11</f>
        <v>-1.9999937285678</v>
      </c>
      <c r="D313" s="25" t="n">
        <f aca="false">IF($O$11="sell",-1,1) * NORMDIST(I313,0,1,0)/(B313*$H$11*SQRT($J$11)) * $P$11</f>
        <v>7.22578892964476E-006</v>
      </c>
      <c r="E313" s="25" t="n">
        <f aca="false">IF($O$11="sell",-1,1) * (B313*NORMDIST(I313,0,1,0)*SQRT($J$11)/365) * $P$11</f>
        <v>4.92482264192231E-007</v>
      </c>
      <c r="F313" s="25" t="n">
        <f aca="false">IF($O$11="sell",-1,1) * (-(B313*NORMDIST(I313,0,1,0)*$H$11)/(2*SQRT($J$11))/365) *$P$11</f>
        <v>-1.51624208293844E-005</v>
      </c>
      <c r="G313" s="25" t="n">
        <f aca="false">IF($O$11="buy",1,-1)*( IF($K$11="call",B313*NORMDIST(I313,0,1,1) - $B$11*NORMDIST(J313,0,1,1),$B$11*NORMDIST(-J313,0,1,1) - B313*NORMDIST(-I313,0,1,1) ) - $G$11) * $P$11</f>
        <v>24.7800051614321</v>
      </c>
      <c r="I313" s="28" t="n">
        <f aca="false">(LN(B313/$B$11)+($H$11^2/2)*($J$11))/($H$11*SQRT($J$11))</f>
        <v>-4.5170256135787</v>
      </c>
      <c r="J313" s="28" t="n">
        <f aca="false">I313 - $H$11*SQRT($J$11)</f>
        <v>-4.58766690617148</v>
      </c>
    </row>
    <row r="314" customFormat="false" ht="13.5" hidden="false" customHeight="true" outlineLevel="0" collapsed="false">
      <c r="B314" s="29" t="n">
        <f aca="false">B284</f>
        <v>57</v>
      </c>
      <c r="C314" s="25" t="n">
        <f aca="false">IF($O$11="sell",-1,1) *  IF($K$11="call",  NORMDIST(I314,0,1,1),  NORMDIST(I314,0,1,1)-1  ) * $P$11</f>
        <v>-1.99999809475462</v>
      </c>
      <c r="D314" s="25" t="n">
        <f aca="false">IF($O$11="sell",-1,1) * NORMDIST(I314,0,1,0)/(B314*$H$11*SQRT($J$11)) * $P$11</f>
        <v>2.34587605584834E-006</v>
      </c>
      <c r="E314" s="25" t="n">
        <f aca="false">IF($O$11="sell",-1,1) * (B314*NORMDIST(I314,0,1,0)*SQRT($J$11)/365) * $P$11</f>
        <v>1.54420199839925E-007</v>
      </c>
      <c r="F314" s="25" t="n">
        <f aca="false">IF($O$11="sell",-1,1) * (-(B314*NORMDIST(I314,0,1,0)*$H$11)/(2*SQRT($J$11))/365) *$P$11</f>
        <v>-4.75425050762165E-006</v>
      </c>
      <c r="G314" s="25" t="n">
        <f aca="false">IF($O$11="buy",1,-1)*( IF($K$11="call",B314*NORMDIST(I314,0,1,1) - $B$11*NORMDIST(J314,0,1,1),$B$11*NORMDIST(-J314,0,1,1) - B314*NORMDIST(-I314,0,1,1) ) - $G$11) * $P$11</f>
        <v>26.7800014729889</v>
      </c>
      <c r="I314" s="28" t="n">
        <f aca="false">(LN(B314/$B$11)+($H$11^2/2)*($J$11))/($H$11*SQRT($J$11))</f>
        <v>-4.76322358184249</v>
      </c>
      <c r="J314" s="28" t="n">
        <f aca="false">I314 - $H$11*SQRT($J$11)</f>
        <v>-4.83386487443527</v>
      </c>
    </row>
    <row r="315" customFormat="false" ht="13.5" hidden="false" customHeight="true" outlineLevel="0" collapsed="false">
      <c r="B315" s="30"/>
      <c r="C315" s="22"/>
      <c r="D315" s="22"/>
      <c r="E315" s="22"/>
      <c r="F315" s="22"/>
      <c r="G315" s="22"/>
      <c r="I315" s="31"/>
      <c r="J315" s="31"/>
    </row>
    <row r="316" customFormat="false" ht="13.5" hidden="false" customHeight="true" outlineLevel="0" collapsed="false">
      <c r="B316" s="30"/>
      <c r="C316" s="22"/>
      <c r="D316" s="22"/>
      <c r="E316" s="22"/>
      <c r="F316" s="22"/>
      <c r="G316" s="22"/>
      <c r="I316" s="31"/>
      <c r="J316" s="31"/>
    </row>
    <row r="317" customFormat="false" ht="13.5" hidden="false" customHeight="true" outlineLevel="0" collapsed="false">
      <c r="B317" s="23"/>
      <c r="C317" s="19" t="s">
        <v>13</v>
      </c>
      <c r="D317" s="19" t="s">
        <v>14</v>
      </c>
      <c r="E317" s="19" t="s">
        <v>15</v>
      </c>
      <c r="F317" s="19" t="s">
        <v>16</v>
      </c>
      <c r="G317" s="19" t="s">
        <v>17</v>
      </c>
      <c r="I317" s="19" t="s">
        <v>158</v>
      </c>
      <c r="J317" s="19" t="s">
        <v>159</v>
      </c>
    </row>
    <row r="318" customFormat="false" ht="13.5" hidden="false" customHeight="true" outlineLevel="0" collapsed="false">
      <c r="A318" s="2" t="str">
        <f aca="false">A12</f>
        <v>SOL-17APR26-72-P-USDT</v>
      </c>
      <c r="B318" s="29" t="n">
        <f aca="false">B288</f>
        <v>83</v>
      </c>
      <c r="C318" s="25" t="e">
        <f aca="false">IF($O$12="sell",-1,1) *  IF($K$12="call",  NORMDIST(I318,0,1,1),  NORMDIST(I318,0,1,1)-1  ) * $P$12</f>
        <v>#N/A</v>
      </c>
      <c r="D318" s="25" t="e">
        <f aca="false">IF($O$12="sell",-1,1) * NORMDIST(I318,0,1,0)/(B318*$H$12*SQRT($J$12)) * $P$12</f>
        <v>#N/A</v>
      </c>
      <c r="E318" s="25" t="e">
        <f aca="false">IF($O$12="sell",-1,1) * (B318*NORMDIST(I318,0,1,0)*SQRT($J$12)/365) * $P$12</f>
        <v>#N/A</v>
      </c>
      <c r="F318" s="25" t="e">
        <f aca="false">IF($O$12="sell",-1,1) * (-(B318*NORMDIST(I318,0,1,0)*$H$12)/(2*SQRT($J$12))/365) *$P$12</f>
        <v>#N/A</v>
      </c>
      <c r="G318" s="25" t="e">
        <f aca="false">IF($O$12="buy",1,-1)*( IF($K$12="call",B318*NORMDIST(I318,0,1,1) - $B$12*NORMDIST(J318,0,1,1),$B$12*NORMDIST(-J318,0,1,1) - B318*NORMDIST(-I318,0,1,1) ) - $G$12) * $P$12</f>
        <v>#N/A</v>
      </c>
      <c r="I318" s="26" t="e">
        <f aca="false">(LN(B318/$B$12)+($H$12^2/2)*($J$12))/($H$12*SQRT($J$12))</f>
        <v>#N/A</v>
      </c>
      <c r="J318" s="28" t="e">
        <f aca="false">I318 - $H$12*SQRT($J$12)</f>
        <v>#N/A</v>
      </c>
    </row>
    <row r="319" customFormat="false" ht="13.5" hidden="false" customHeight="true" outlineLevel="0" collapsed="false">
      <c r="B319" s="29" t="n">
        <f aca="false">B289</f>
        <v>82</v>
      </c>
      <c r="C319" s="25" t="e">
        <f aca="false">IF($O$12="sell",-1,1) *  IF($K$12="call",  NORMDIST(I319,0,1,1),  NORMDIST(I319,0,1,1)-1  ) * $P$12</f>
        <v>#N/A</v>
      </c>
      <c r="D319" s="25" t="e">
        <f aca="false">IF($O$12="sell",-1,1) * NORMDIST(I319,0,1,0)/(B319*$H$12*SQRT($J$12)) * $P$12</f>
        <v>#N/A</v>
      </c>
      <c r="E319" s="25" t="e">
        <f aca="false">IF($O$12="sell",-1,1) * (B319*NORMDIST(I319,0,1,0)*SQRT($J$12)/365) * $P$12</f>
        <v>#N/A</v>
      </c>
      <c r="F319" s="25" t="e">
        <f aca="false">IF($O$12="sell",-1,1) * (-(B319*NORMDIST(I319,0,1,0)*$H$12)/(2*SQRT($J$12))/365) *$P$12</f>
        <v>#N/A</v>
      </c>
      <c r="G319" s="25" t="e">
        <f aca="false">IF($O$12="buy",1,-1)*( IF($K$12="call",B319*NORMDIST(I319,0,1,1) - $B$12*NORMDIST(J319,0,1,1),$B$12*NORMDIST(-J319,0,1,1) - B319*NORMDIST(-I319,0,1,1) ) - $G$12) * $P$12</f>
        <v>#N/A</v>
      </c>
      <c r="I319" s="26" t="e">
        <f aca="false">(LN(B319/$B$12)+($H$12^2/2)*($J$12))/($H$12*SQRT($J$12))</f>
        <v>#N/A</v>
      </c>
      <c r="J319" s="28" t="e">
        <f aca="false">I319 - $H$12*SQRT($J$12)</f>
        <v>#N/A</v>
      </c>
    </row>
    <row r="320" customFormat="false" ht="13.5" hidden="false" customHeight="true" outlineLevel="0" collapsed="false">
      <c r="B320" s="29" t="n">
        <f aca="false">B290</f>
        <v>81</v>
      </c>
      <c r="C320" s="25" t="e">
        <f aca="false">IF($O$12="sell",-1,1) *  IF($K$12="call",  NORMDIST(I320,0,1,1),  NORMDIST(I320,0,1,1)-1  ) * $P$12</f>
        <v>#N/A</v>
      </c>
      <c r="D320" s="25" t="e">
        <f aca="false">IF($O$12="sell",-1,1) * NORMDIST(I320,0,1,0)/(B320*$H$12*SQRT($J$12)) * $P$12</f>
        <v>#N/A</v>
      </c>
      <c r="E320" s="25" t="e">
        <f aca="false">IF($O$12="sell",-1,1) * (B320*NORMDIST(I320,0,1,0)*SQRT($J$12)/365) * $P$12</f>
        <v>#N/A</v>
      </c>
      <c r="F320" s="25" t="e">
        <f aca="false">IF($O$12="sell",-1,1) * (-(B320*NORMDIST(I320,0,1,0)*$H$12)/(2*SQRT($J$12))/365) *$P$12</f>
        <v>#N/A</v>
      </c>
      <c r="G320" s="25" t="e">
        <f aca="false">IF($O$12="buy",1,-1)*( IF($K$12="call",B320*NORMDIST(I320,0,1,1) - $B$12*NORMDIST(J320,0,1,1),$B$12*NORMDIST(-J320,0,1,1) - B320*NORMDIST(-I320,0,1,1) ) - $G$12) * $P$12</f>
        <v>#N/A</v>
      </c>
      <c r="I320" s="26" t="e">
        <f aca="false">(LN(B320/$B$12)+($H$12^2/2)*($J$12))/($H$12*SQRT($J$12))</f>
        <v>#N/A</v>
      </c>
      <c r="J320" s="28" t="e">
        <f aca="false">I320 - $H$12*SQRT($J$12)</f>
        <v>#N/A</v>
      </c>
    </row>
    <row r="321" customFormat="false" ht="13.5" hidden="false" customHeight="true" outlineLevel="0" collapsed="false">
      <c r="B321" s="29" t="n">
        <f aca="false">B291</f>
        <v>80</v>
      </c>
      <c r="C321" s="25" t="e">
        <f aca="false">IF($O$12="sell",-1,1) *  IF($K$12="call",  NORMDIST(I321,0,1,1),  NORMDIST(I321,0,1,1)-1  ) * $P$12</f>
        <v>#N/A</v>
      </c>
      <c r="D321" s="25" t="e">
        <f aca="false">IF($O$12="sell",-1,1) * NORMDIST(I321,0,1,0)/(B321*$H$12*SQRT($J$12)) * $P$12</f>
        <v>#N/A</v>
      </c>
      <c r="E321" s="25" t="e">
        <f aca="false">IF($O$12="sell",-1,1) * (B321*NORMDIST(I321,0,1,0)*SQRT($J$12)/365) * $P$12</f>
        <v>#N/A</v>
      </c>
      <c r="F321" s="25" t="e">
        <f aca="false">IF($O$12="sell",-1,1) * (-(B321*NORMDIST(I321,0,1,0)*$H$12)/(2*SQRT($J$12))/365) *$P$12</f>
        <v>#N/A</v>
      </c>
      <c r="G321" s="25" t="e">
        <f aca="false">IF($O$12="buy",1,-1)*( IF($K$12="call",B321*NORMDIST(I321,0,1,1) - $B$12*NORMDIST(J321,0,1,1),$B$12*NORMDIST(-J321,0,1,1) - B321*NORMDIST(-I321,0,1,1) ) - $G$12) * $P$12</f>
        <v>#N/A</v>
      </c>
      <c r="I321" s="26" t="e">
        <f aca="false">(LN(B321/$B$12)+($H$12^2/2)*($J$12))/($H$12*SQRT($J$12))</f>
        <v>#N/A</v>
      </c>
      <c r="J321" s="28" t="e">
        <f aca="false">I321 - $H$12*SQRT($J$12)</f>
        <v>#N/A</v>
      </c>
    </row>
    <row r="322" customFormat="false" ht="13.5" hidden="false" customHeight="true" outlineLevel="0" collapsed="false">
      <c r="B322" s="29" t="n">
        <f aca="false">B292</f>
        <v>79</v>
      </c>
      <c r="C322" s="25" t="e">
        <f aca="false">IF($O$12="sell",-1,1) *  IF($K$12="call",  NORMDIST(I322,0,1,1),  NORMDIST(I322,0,1,1)-1  ) * $P$12</f>
        <v>#N/A</v>
      </c>
      <c r="D322" s="25" t="e">
        <f aca="false">IF($O$12="sell",-1,1) * NORMDIST(I322,0,1,0)/(B322*$H$12*SQRT($J$12)) * $P$12</f>
        <v>#N/A</v>
      </c>
      <c r="E322" s="25" t="e">
        <f aca="false">IF($O$12="sell",-1,1) * (B322*NORMDIST(I322,0,1,0)*SQRT($J$12)/365) * $P$12</f>
        <v>#N/A</v>
      </c>
      <c r="F322" s="25" t="e">
        <f aca="false">IF($O$12="sell",-1,1) * (-(B322*NORMDIST(I322,0,1,0)*$H$12)/(2*SQRT($J$12))/365) *$P$12</f>
        <v>#N/A</v>
      </c>
      <c r="G322" s="25" t="e">
        <f aca="false">IF($O$12="buy",1,-1)*( IF($K$12="call",B322*NORMDIST(I322,0,1,1) - $B$12*NORMDIST(J322,0,1,1),$B$12*NORMDIST(-J322,0,1,1) - B322*NORMDIST(-I322,0,1,1) ) - $G$12) * $P$12</f>
        <v>#N/A</v>
      </c>
      <c r="I322" s="26" t="e">
        <f aca="false">(LN(B322/$B$12)+($H$12^2/2)*($J$12))/($H$12*SQRT($J$12))</f>
        <v>#N/A</v>
      </c>
      <c r="J322" s="28" t="e">
        <f aca="false">I322 - $H$12*SQRT($J$12)</f>
        <v>#N/A</v>
      </c>
    </row>
    <row r="323" customFormat="false" ht="13.5" hidden="false" customHeight="true" outlineLevel="0" collapsed="false">
      <c r="B323" s="29" t="n">
        <f aca="false">B293</f>
        <v>78</v>
      </c>
      <c r="C323" s="25" t="e">
        <f aca="false">IF($O$12="sell",-1,1) *  IF($K$12="call",  NORMDIST(I323,0,1,1),  NORMDIST(I323,0,1,1)-1  ) * $P$12</f>
        <v>#N/A</v>
      </c>
      <c r="D323" s="25" t="e">
        <f aca="false">IF($O$12="sell",-1,1) * NORMDIST(I323,0,1,0)/(B323*$H$12*SQRT($J$12)) * $P$12</f>
        <v>#N/A</v>
      </c>
      <c r="E323" s="25" t="e">
        <f aca="false">IF($O$12="sell",-1,1) * (B323*NORMDIST(I323,0,1,0)*SQRT($J$12)/365) * $P$12</f>
        <v>#N/A</v>
      </c>
      <c r="F323" s="25" t="e">
        <f aca="false">IF($O$12="sell",-1,1) * (-(B323*NORMDIST(I323,0,1,0)*$H$12)/(2*SQRT($J$12))/365) *$P$12</f>
        <v>#N/A</v>
      </c>
      <c r="G323" s="25" t="e">
        <f aca="false">IF($O$12="buy",1,-1)*( IF($K$12="call",B323*NORMDIST(I323,0,1,1) - $B$12*NORMDIST(J323,0,1,1),$B$12*NORMDIST(-J323,0,1,1) - B323*NORMDIST(-I323,0,1,1) ) - $G$12) * $P$12</f>
        <v>#N/A</v>
      </c>
      <c r="I323" s="26" t="e">
        <f aca="false">(LN(B323/$B$12)+($H$12^2/2)*($J$12))/($H$12*SQRT($J$12))</f>
        <v>#N/A</v>
      </c>
      <c r="J323" s="28" t="e">
        <f aca="false">I323 - $H$12*SQRT($J$12)</f>
        <v>#N/A</v>
      </c>
    </row>
    <row r="324" customFormat="false" ht="13.5" hidden="false" customHeight="true" outlineLevel="0" collapsed="false">
      <c r="B324" s="29" t="n">
        <f aca="false">B294</f>
        <v>77</v>
      </c>
      <c r="C324" s="25" t="e">
        <f aca="false">IF($O$12="sell",-1,1) *  IF($K$12="call",  NORMDIST(I324,0,1,1),  NORMDIST(I324,0,1,1)-1  ) * $P$12</f>
        <v>#N/A</v>
      </c>
      <c r="D324" s="25" t="e">
        <f aca="false">IF($O$12="sell",-1,1) * NORMDIST(I324,0,1,0)/(B324*$H$12*SQRT($J$12)) * $P$12</f>
        <v>#N/A</v>
      </c>
      <c r="E324" s="25" t="e">
        <f aca="false">IF($O$12="sell",-1,1) * (B324*NORMDIST(I324,0,1,0)*SQRT($J$12)/365) * $P$12</f>
        <v>#N/A</v>
      </c>
      <c r="F324" s="25" t="e">
        <f aca="false">IF($O$12="sell",-1,1) * (-(B324*NORMDIST(I324,0,1,0)*$H$12)/(2*SQRT($J$12))/365) *$P$12</f>
        <v>#N/A</v>
      </c>
      <c r="G324" s="25" t="e">
        <f aca="false">IF($O$12="buy",1,-1)*( IF($K$12="call",B324*NORMDIST(I324,0,1,1) - $B$12*NORMDIST(J324,0,1,1),$B$12*NORMDIST(-J324,0,1,1) - B324*NORMDIST(-I324,0,1,1) ) - $G$12) * $P$12</f>
        <v>#N/A</v>
      </c>
      <c r="I324" s="26" t="e">
        <f aca="false">(LN(B324/$B$12)+($H$12^2/2)*($J$12))/($H$12*SQRT($J$12))</f>
        <v>#N/A</v>
      </c>
      <c r="J324" s="28" t="e">
        <f aca="false">I324 - $H$12*SQRT($J$12)</f>
        <v>#N/A</v>
      </c>
    </row>
    <row r="325" customFormat="false" ht="13.5" hidden="false" customHeight="true" outlineLevel="0" collapsed="false">
      <c r="B325" s="29" t="n">
        <f aca="false">B295</f>
        <v>76</v>
      </c>
      <c r="C325" s="25" t="e">
        <f aca="false">IF($O$12="sell",-1,1) *  IF($K$12="call",  NORMDIST(I325,0,1,1),  NORMDIST(I325,0,1,1)-1  ) * $P$12</f>
        <v>#N/A</v>
      </c>
      <c r="D325" s="25" t="e">
        <f aca="false">IF($O$12="sell",-1,1) * NORMDIST(I325,0,1,0)/(B325*$H$12*SQRT($J$12)) * $P$12</f>
        <v>#N/A</v>
      </c>
      <c r="E325" s="25" t="e">
        <f aca="false">IF($O$12="sell",-1,1) * (B325*NORMDIST(I325,0,1,0)*SQRT($J$12)/365) * $P$12</f>
        <v>#N/A</v>
      </c>
      <c r="F325" s="25" t="e">
        <f aca="false">IF($O$12="sell",-1,1) * (-(B325*NORMDIST(I325,0,1,0)*$H$12)/(2*SQRT($J$12))/365) *$P$12</f>
        <v>#N/A</v>
      </c>
      <c r="G325" s="25" t="e">
        <f aca="false">IF($O$12="buy",1,-1)*( IF($K$12="call",B325*NORMDIST(I325,0,1,1) - $B$12*NORMDIST(J325,0,1,1),$B$12*NORMDIST(-J325,0,1,1) - B325*NORMDIST(-I325,0,1,1) ) - $G$12) * $P$12</f>
        <v>#N/A</v>
      </c>
      <c r="I325" s="26" t="e">
        <f aca="false">(LN(B325/$B$12)+($H$12^2/2)*($J$12))/($H$12*SQRT($J$12))</f>
        <v>#N/A</v>
      </c>
      <c r="J325" s="28" t="e">
        <f aca="false">I325 - $H$12*SQRT($J$12)</f>
        <v>#N/A</v>
      </c>
    </row>
    <row r="326" customFormat="false" ht="13.5" hidden="false" customHeight="true" outlineLevel="0" collapsed="false">
      <c r="B326" s="29" t="n">
        <f aca="false">B296</f>
        <v>75</v>
      </c>
      <c r="C326" s="25" t="e">
        <f aca="false">IF($O$12="sell",-1,1) *  IF($K$12="call",  NORMDIST(I326,0,1,1),  NORMDIST(I326,0,1,1)-1  ) * $P$12</f>
        <v>#N/A</v>
      </c>
      <c r="D326" s="25" t="e">
        <f aca="false">IF($O$12="sell",-1,1) * NORMDIST(I326,0,1,0)/(B326*$H$12*SQRT($J$12)) * $P$12</f>
        <v>#N/A</v>
      </c>
      <c r="E326" s="25" t="e">
        <f aca="false">IF($O$12="sell",-1,1) * (B326*NORMDIST(I326,0,1,0)*SQRT($J$12)/365) * $P$12</f>
        <v>#N/A</v>
      </c>
      <c r="F326" s="25" t="e">
        <f aca="false">IF($O$12="sell",-1,1) * (-(B326*NORMDIST(I326,0,1,0)*$H$12)/(2*SQRT($J$12))/365) *$P$12</f>
        <v>#N/A</v>
      </c>
      <c r="G326" s="25" t="e">
        <f aca="false">IF($O$12="buy",1,-1)*( IF($K$12="call",B326*NORMDIST(I326,0,1,1) - $B$12*NORMDIST(J326,0,1,1),$B$12*NORMDIST(-J326,0,1,1) - B326*NORMDIST(-I326,0,1,1) ) - $G$12) * $P$12</f>
        <v>#N/A</v>
      </c>
      <c r="I326" s="26" t="e">
        <f aca="false">(LN(B326/$B$12)+($H$12^2/2)*($J$12))/($H$12*SQRT($J$12))</f>
        <v>#N/A</v>
      </c>
      <c r="J326" s="28" t="e">
        <f aca="false">I326 - $H$12*SQRT($J$12)</f>
        <v>#N/A</v>
      </c>
    </row>
    <row r="327" customFormat="false" ht="13.5" hidden="false" customHeight="true" outlineLevel="0" collapsed="false">
      <c r="B327" s="29" t="n">
        <f aca="false">B297</f>
        <v>74</v>
      </c>
      <c r="C327" s="25" t="e">
        <f aca="false">IF($O$12="sell",-1,1) *  IF($K$12="call",  NORMDIST(I327,0,1,1),  NORMDIST(I327,0,1,1)-1  ) * $P$12</f>
        <v>#N/A</v>
      </c>
      <c r="D327" s="25" t="e">
        <f aca="false">IF($O$12="sell",-1,1) * NORMDIST(I327,0,1,0)/(B327*$H$12*SQRT($J$12)) * $P$12</f>
        <v>#N/A</v>
      </c>
      <c r="E327" s="25" t="e">
        <f aca="false">IF($O$12="sell",-1,1) * (B327*NORMDIST(I327,0,1,0)*SQRT($J$12)/365) * $P$12</f>
        <v>#N/A</v>
      </c>
      <c r="F327" s="25" t="e">
        <f aca="false">IF($O$12="sell",-1,1) * (-(B327*NORMDIST(I327,0,1,0)*$H$12)/(2*SQRT($J$12))/365) *$P$12</f>
        <v>#N/A</v>
      </c>
      <c r="G327" s="25" t="e">
        <f aca="false">IF($O$12="buy",1,-1)*( IF($K$12="call",B327*NORMDIST(I327,0,1,1) - $B$12*NORMDIST(J327,0,1,1),$B$12*NORMDIST(-J327,0,1,1) - B327*NORMDIST(-I327,0,1,1) ) - $G$12) * $P$12</f>
        <v>#N/A</v>
      </c>
      <c r="I327" s="26" t="e">
        <f aca="false">(LN(B327/$B$12)+($H$12^2/2)*($J$12))/($H$12*SQRT($J$12))</f>
        <v>#N/A</v>
      </c>
      <c r="J327" s="28" t="e">
        <f aca="false">I327 - $H$12*SQRT($J$12)</f>
        <v>#N/A</v>
      </c>
    </row>
    <row r="328" customFormat="false" ht="13.5" hidden="false" customHeight="true" outlineLevel="0" collapsed="false">
      <c r="B328" s="29" t="n">
        <f aca="false">B298</f>
        <v>73</v>
      </c>
      <c r="C328" s="25" t="e">
        <f aca="false">IF($O$12="sell",-1,1) *  IF($K$12="call",  NORMDIST(I328,0,1,1),  NORMDIST(I328,0,1,1)-1  ) * $P$12</f>
        <v>#N/A</v>
      </c>
      <c r="D328" s="25" t="e">
        <f aca="false">IF($O$12="sell",-1,1) * NORMDIST(I328,0,1,0)/(B328*$H$12*SQRT($J$12)) * $P$12</f>
        <v>#N/A</v>
      </c>
      <c r="E328" s="25" t="e">
        <f aca="false">IF($O$12="sell",-1,1) * (B328*NORMDIST(I328,0,1,0)*SQRT($J$12)/365) * $P$12</f>
        <v>#N/A</v>
      </c>
      <c r="F328" s="25" t="e">
        <f aca="false">IF($O$12="sell",-1,1) * (-(B328*NORMDIST(I328,0,1,0)*$H$12)/(2*SQRT($J$12))/365) *$P$12</f>
        <v>#N/A</v>
      </c>
      <c r="G328" s="25" t="e">
        <f aca="false">IF($O$12="buy",1,-1)*( IF($K$12="call",B328*NORMDIST(I328,0,1,1) - $B$12*NORMDIST(J328,0,1,1),$B$12*NORMDIST(-J328,0,1,1) - B328*NORMDIST(-I328,0,1,1) ) - $G$12) * $P$12</f>
        <v>#N/A</v>
      </c>
      <c r="I328" s="26" t="e">
        <f aca="false">(LN(B328/$B$12)+($H$12^2/2)*($J$12))/($H$12*SQRT($J$12))</f>
        <v>#N/A</v>
      </c>
      <c r="J328" s="28" t="e">
        <f aca="false">I328 - $H$12*SQRT($J$12)</f>
        <v>#N/A</v>
      </c>
    </row>
    <row r="329" customFormat="false" ht="13.5" hidden="false" customHeight="true" outlineLevel="0" collapsed="false">
      <c r="B329" s="29" t="n">
        <f aca="false">B299</f>
        <v>72</v>
      </c>
      <c r="C329" s="25" t="e">
        <f aca="false">IF($O$12="sell",-1,1) *  IF($K$12="call",  NORMDIST(I329,0,1,1),  NORMDIST(I329,0,1,1)-1  ) * $P$12</f>
        <v>#N/A</v>
      </c>
      <c r="D329" s="25" t="e">
        <f aca="false">IF($O$12="sell",-1,1) * NORMDIST(I329,0,1,0)/(B329*$H$12*SQRT($J$12)) * $P$12</f>
        <v>#N/A</v>
      </c>
      <c r="E329" s="25" t="e">
        <f aca="false">IF($O$12="sell",-1,1) * (B329*NORMDIST(I329,0,1,0)*SQRT($J$12)/365) * $P$12</f>
        <v>#N/A</v>
      </c>
      <c r="F329" s="25" t="e">
        <f aca="false">IF($O$12="sell",-1,1) * (-(B329*NORMDIST(I329,0,1,0)*$H$12)/(2*SQRT($J$12))/365) *$P$12</f>
        <v>#N/A</v>
      </c>
      <c r="G329" s="25" t="e">
        <f aca="false">IF($O$12="buy",1,-1)*( IF($K$12="call",B329*NORMDIST(I329,0,1,1) - $B$12*NORMDIST(J329,0,1,1),$B$12*NORMDIST(-J329,0,1,1) - B329*NORMDIST(-I329,0,1,1) ) - $G$12) * $P$12</f>
        <v>#N/A</v>
      </c>
      <c r="I329" s="26" t="e">
        <f aca="false">(LN(B329/$B$12)+($H$12^2/2)*($J$12))/($H$12*SQRT($J$12))</f>
        <v>#N/A</v>
      </c>
      <c r="J329" s="28" t="e">
        <f aca="false">I329 - $H$12*SQRT($J$12)</f>
        <v>#N/A</v>
      </c>
    </row>
    <row r="330" customFormat="false" ht="13.5" hidden="false" customHeight="true" outlineLevel="0" collapsed="false">
      <c r="B330" s="29" t="n">
        <f aca="false">B300</f>
        <v>71</v>
      </c>
      <c r="C330" s="25" t="e">
        <f aca="false">IF($O$12="sell",-1,1) *  IF($K$12="call",  NORMDIST(I330,0,1,1),  NORMDIST(I330,0,1,1)-1  ) * $P$12</f>
        <v>#N/A</v>
      </c>
      <c r="D330" s="25" t="e">
        <f aca="false">IF($O$12="sell",-1,1) * NORMDIST(I330,0,1,0)/(B330*$H$12*SQRT($J$12)) * $P$12</f>
        <v>#N/A</v>
      </c>
      <c r="E330" s="25" t="e">
        <f aca="false">IF($O$12="sell",-1,1) * (B330*NORMDIST(I330,0,1,0)*SQRT($J$12)/365) * $P$12</f>
        <v>#N/A</v>
      </c>
      <c r="F330" s="25" t="e">
        <f aca="false">IF($O$12="sell",-1,1) * (-(B330*NORMDIST(I330,0,1,0)*$H$12)/(2*SQRT($J$12))/365) *$P$12</f>
        <v>#N/A</v>
      </c>
      <c r="G330" s="25" t="e">
        <f aca="false">IF($O$12="buy",1,-1)*( IF($K$12="call",B330*NORMDIST(I330,0,1,1) - $B$12*NORMDIST(J330,0,1,1),$B$12*NORMDIST(-J330,0,1,1) - B330*NORMDIST(-I330,0,1,1) ) - $G$12) * $P$12</f>
        <v>#N/A</v>
      </c>
      <c r="I330" s="26" t="e">
        <f aca="false">(LN(B330/$B$12)+($H$12^2/2)*($J$12))/($H$12*SQRT($J$12))</f>
        <v>#N/A</v>
      </c>
      <c r="J330" s="28" t="e">
        <f aca="false">I330 - $H$12*SQRT($J$12)</f>
        <v>#N/A</v>
      </c>
    </row>
    <row r="331" customFormat="false" ht="13.5" hidden="false" customHeight="true" outlineLevel="0" collapsed="false">
      <c r="B331" s="29" t="n">
        <f aca="false">B301</f>
        <v>70</v>
      </c>
      <c r="C331" s="25" t="e">
        <f aca="false">IF($O$12="sell",-1,1) *  IF($K$12="call",  NORMDIST(I331,0,1,1),  NORMDIST(I331,0,1,1)-1  ) * $P$12</f>
        <v>#N/A</v>
      </c>
      <c r="D331" s="25" t="e">
        <f aca="false">IF($O$12="sell",-1,1) * NORMDIST(I331,0,1,0)/(B331*$H$12*SQRT($J$12)) * $P$12</f>
        <v>#N/A</v>
      </c>
      <c r="E331" s="25" t="e">
        <f aca="false">IF($O$12="sell",-1,1) * (B331*NORMDIST(I331,0,1,0)*SQRT($J$12)/365) * $P$12</f>
        <v>#N/A</v>
      </c>
      <c r="F331" s="25" t="e">
        <f aca="false">IF($O$12="sell",-1,1) * (-(B331*NORMDIST(I331,0,1,0)*$H$12)/(2*SQRT($J$12))/365) *$P$12</f>
        <v>#N/A</v>
      </c>
      <c r="G331" s="25" t="e">
        <f aca="false">IF($O$12="buy",1,-1)*( IF($K$12="call",B331*NORMDIST(I331,0,1,1) - $B$12*NORMDIST(J331,0,1,1),$B$12*NORMDIST(-J331,0,1,1) - B331*NORMDIST(-I331,0,1,1) ) - $G$12) * $P$12</f>
        <v>#N/A</v>
      </c>
      <c r="I331" s="26" t="e">
        <f aca="false">(LN(B331/$B$12)+($H$12^2/2)*($J$12))/($H$12*SQRT($J$12))</f>
        <v>#N/A</v>
      </c>
      <c r="J331" s="28" t="e">
        <f aca="false">I331 - $H$12*SQRT($J$12)</f>
        <v>#N/A</v>
      </c>
    </row>
    <row r="332" customFormat="false" ht="13.5" hidden="false" customHeight="true" outlineLevel="0" collapsed="false">
      <c r="B332" s="29" t="n">
        <f aca="false">B302</f>
        <v>69</v>
      </c>
      <c r="C332" s="25" t="e">
        <f aca="false">IF($O$12="sell",-1,1) *  IF($K$12="call",  NORMDIST(I332,0,1,1),  NORMDIST(I332,0,1,1)-1  ) * $P$12</f>
        <v>#N/A</v>
      </c>
      <c r="D332" s="25" t="e">
        <f aca="false">IF($O$12="sell",-1,1) * NORMDIST(I332,0,1,0)/(B332*$H$12*SQRT($J$12)) * $P$12</f>
        <v>#N/A</v>
      </c>
      <c r="E332" s="25" t="e">
        <f aca="false">IF($O$12="sell",-1,1) * (B332*NORMDIST(I332,0,1,0)*SQRT($J$12)/365) * $P$12</f>
        <v>#N/A</v>
      </c>
      <c r="F332" s="25" t="e">
        <f aca="false">IF($O$12="sell",-1,1) * (-(B332*NORMDIST(I332,0,1,0)*$H$12)/(2*SQRT($J$12))/365) *$P$12</f>
        <v>#N/A</v>
      </c>
      <c r="G332" s="25" t="e">
        <f aca="false">IF($O$12="buy",1,-1)*( IF($K$12="call",B332*NORMDIST(I332,0,1,1) - $B$12*NORMDIST(J332,0,1,1),$B$12*NORMDIST(-J332,0,1,1) - B332*NORMDIST(-I332,0,1,1) ) - $G$12) * $P$12</f>
        <v>#N/A</v>
      </c>
      <c r="I332" s="26" t="e">
        <f aca="false">(LN(B332/$B$12)+($H$12^2/2)*($J$12))/($H$12*SQRT($J$12))</f>
        <v>#N/A</v>
      </c>
      <c r="J332" s="28" t="e">
        <f aca="false">I332 - $H$12*SQRT($J$12)</f>
        <v>#N/A</v>
      </c>
    </row>
    <row r="333" customFormat="false" ht="13.5" hidden="false" customHeight="true" outlineLevel="0" collapsed="false">
      <c r="B333" s="29" t="n">
        <f aca="false">B303</f>
        <v>68</v>
      </c>
      <c r="C333" s="25" t="e">
        <f aca="false">IF($O$12="sell",-1,1) *  IF($K$12="call",  NORMDIST(I333,0,1,1),  NORMDIST(I333,0,1,1)-1  ) * $P$12</f>
        <v>#N/A</v>
      </c>
      <c r="D333" s="25" t="e">
        <f aca="false">IF($O$12="sell",-1,1) * NORMDIST(I333,0,1,0)/(B333*$H$12*SQRT($J$12)) * $P$12</f>
        <v>#N/A</v>
      </c>
      <c r="E333" s="25" t="e">
        <f aca="false">IF($O$12="sell",-1,1) * (B333*NORMDIST(I333,0,1,0)*SQRT($J$12)/365) * $P$12</f>
        <v>#N/A</v>
      </c>
      <c r="F333" s="25" t="e">
        <f aca="false">IF($O$12="sell",-1,1) * (-(B333*NORMDIST(I333,0,1,0)*$H$12)/(2*SQRT($J$12))/365) *$P$12</f>
        <v>#N/A</v>
      </c>
      <c r="G333" s="25" t="e">
        <f aca="false">IF($O$12="buy",1,-1)*( IF($K$12="call",B333*NORMDIST(I333,0,1,1) - $B$12*NORMDIST(J333,0,1,1),$B$12*NORMDIST(-J333,0,1,1) - B333*NORMDIST(-I333,0,1,1) ) - $G$12) * $P$12</f>
        <v>#N/A</v>
      </c>
      <c r="I333" s="26" t="e">
        <f aca="false">(LN(B333/$B$12)+($H$12^2/2)*($J$12))/($H$12*SQRT($J$12))</f>
        <v>#N/A</v>
      </c>
      <c r="J333" s="28" t="e">
        <f aca="false">I333 - $H$12*SQRT($J$12)</f>
        <v>#N/A</v>
      </c>
    </row>
    <row r="334" customFormat="false" ht="13.5" hidden="false" customHeight="true" outlineLevel="0" collapsed="false">
      <c r="B334" s="29" t="n">
        <f aca="false">B304</f>
        <v>67</v>
      </c>
      <c r="C334" s="25" t="e">
        <f aca="false">IF($O$12="sell",-1,1) *  IF($K$12="call",  NORMDIST(I334,0,1,1),  NORMDIST(I334,0,1,1)-1  ) * $P$12</f>
        <v>#N/A</v>
      </c>
      <c r="D334" s="25" t="e">
        <f aca="false">IF($O$12="sell",-1,1) * NORMDIST(I334,0,1,0)/(B334*$H$12*SQRT($J$12)) * $P$12</f>
        <v>#N/A</v>
      </c>
      <c r="E334" s="25" t="e">
        <f aca="false">IF($O$12="sell",-1,1) * (B334*NORMDIST(I334,0,1,0)*SQRT($J$12)/365) * $P$12</f>
        <v>#N/A</v>
      </c>
      <c r="F334" s="25" t="e">
        <f aca="false">IF($O$12="sell",-1,1) * (-(B334*NORMDIST(I334,0,1,0)*$H$12)/(2*SQRT($J$12))/365) *$P$12</f>
        <v>#N/A</v>
      </c>
      <c r="G334" s="25" t="e">
        <f aca="false">IF($O$12="buy",1,-1)*( IF($K$12="call",B334*NORMDIST(I334,0,1,1) - $B$12*NORMDIST(J334,0,1,1),$B$12*NORMDIST(-J334,0,1,1) - B334*NORMDIST(-I334,0,1,1) ) - $G$12) * $P$12</f>
        <v>#N/A</v>
      </c>
      <c r="I334" s="26" t="e">
        <f aca="false">(LN(B334/$B$12)+($H$12^2/2)*($J$12))/($H$12*SQRT($J$12))</f>
        <v>#N/A</v>
      </c>
      <c r="J334" s="28" t="e">
        <f aca="false">I334 - $H$12*SQRT($J$12)</f>
        <v>#N/A</v>
      </c>
    </row>
    <row r="335" customFormat="false" ht="13.5" hidden="false" customHeight="true" outlineLevel="0" collapsed="false">
      <c r="B335" s="29" t="n">
        <f aca="false">B305</f>
        <v>66</v>
      </c>
      <c r="C335" s="25" t="e">
        <f aca="false">IF($O$12="sell",-1,1) *  IF($K$12="call",  NORMDIST(I335,0,1,1),  NORMDIST(I335,0,1,1)-1  ) * $P$12</f>
        <v>#N/A</v>
      </c>
      <c r="D335" s="25" t="e">
        <f aca="false">IF($O$12="sell",-1,1) * NORMDIST(I335,0,1,0)/(B335*$H$12*SQRT($J$12)) * $P$12</f>
        <v>#N/A</v>
      </c>
      <c r="E335" s="25" t="e">
        <f aca="false">IF($O$12="sell",-1,1) * (B335*NORMDIST(I335,0,1,0)*SQRT($J$12)/365) * $P$12</f>
        <v>#N/A</v>
      </c>
      <c r="F335" s="25" t="e">
        <f aca="false">IF($O$12="sell",-1,1) * (-(B335*NORMDIST(I335,0,1,0)*$H$12)/(2*SQRT($J$12))/365) *$P$12</f>
        <v>#N/A</v>
      </c>
      <c r="G335" s="25" t="e">
        <f aca="false">IF($O$12="buy",1,-1)*( IF($K$12="call",B335*NORMDIST(I335,0,1,1) - $B$12*NORMDIST(J335,0,1,1),$B$12*NORMDIST(-J335,0,1,1) - B335*NORMDIST(-I335,0,1,1) ) - $G$12) * $P$12</f>
        <v>#N/A</v>
      </c>
      <c r="I335" s="26" t="e">
        <f aca="false">(LN(B335/$B$12)+($H$12^2/2)*($J$12))/($H$12*SQRT($J$12))</f>
        <v>#N/A</v>
      </c>
      <c r="J335" s="28" t="e">
        <f aca="false">I335 - $H$12*SQRT($J$12)</f>
        <v>#N/A</v>
      </c>
    </row>
    <row r="336" customFormat="false" ht="13.5" hidden="false" customHeight="true" outlineLevel="0" collapsed="false">
      <c r="B336" s="29" t="n">
        <f aca="false">B306</f>
        <v>65</v>
      </c>
      <c r="C336" s="25" t="e">
        <f aca="false">IF($O$12="sell",-1,1) *  IF($K$12="call",  NORMDIST(I336,0,1,1),  NORMDIST(I336,0,1,1)-1  ) * $P$12</f>
        <v>#N/A</v>
      </c>
      <c r="D336" s="25" t="e">
        <f aca="false">IF($O$12="sell",-1,1) * NORMDIST(I336,0,1,0)/(B336*$H$12*SQRT($J$12)) * $P$12</f>
        <v>#N/A</v>
      </c>
      <c r="E336" s="25" t="e">
        <f aca="false">IF($O$12="sell",-1,1) * (B336*NORMDIST(I336,0,1,0)*SQRT($J$12)/365) * $P$12</f>
        <v>#N/A</v>
      </c>
      <c r="F336" s="25" t="e">
        <f aca="false">IF($O$12="sell",-1,1) * (-(B336*NORMDIST(I336,0,1,0)*$H$12)/(2*SQRT($J$12))/365) *$P$12</f>
        <v>#N/A</v>
      </c>
      <c r="G336" s="25" t="e">
        <f aca="false">IF($O$12="buy",1,-1)*( IF($K$12="call",B336*NORMDIST(I336,0,1,1) - $B$12*NORMDIST(J336,0,1,1),$B$12*NORMDIST(-J336,0,1,1) - B336*NORMDIST(-I336,0,1,1) ) - $G$12) * $P$12</f>
        <v>#N/A</v>
      </c>
      <c r="I336" s="26" t="e">
        <f aca="false">(LN(B336/$B$12)+($H$12^2/2)*($J$12))/($H$12*SQRT($J$12))</f>
        <v>#N/A</v>
      </c>
      <c r="J336" s="28" t="e">
        <f aca="false">I336 - $H$12*SQRT($J$12)</f>
        <v>#N/A</v>
      </c>
    </row>
    <row r="337" customFormat="false" ht="13.5" hidden="false" customHeight="true" outlineLevel="0" collapsed="false">
      <c r="B337" s="29" t="n">
        <f aca="false">B307</f>
        <v>64</v>
      </c>
      <c r="C337" s="25" t="e">
        <f aca="false">IF($O$12="sell",-1,1) *  IF($K$12="call",  NORMDIST(I337,0,1,1),  NORMDIST(I337,0,1,1)-1  ) * $P$12</f>
        <v>#N/A</v>
      </c>
      <c r="D337" s="25" t="e">
        <f aca="false">IF($O$12="sell",-1,1) * NORMDIST(I337,0,1,0)/(B337*$H$12*SQRT($J$12)) * $P$12</f>
        <v>#N/A</v>
      </c>
      <c r="E337" s="25" t="e">
        <f aca="false">IF($O$12="sell",-1,1) * (B337*NORMDIST(I337,0,1,0)*SQRT($J$12)/365) * $P$12</f>
        <v>#N/A</v>
      </c>
      <c r="F337" s="25" t="e">
        <f aca="false">IF($O$12="sell",-1,1) * (-(B337*NORMDIST(I337,0,1,0)*$H$12)/(2*SQRT($J$12))/365) *$P$12</f>
        <v>#N/A</v>
      </c>
      <c r="G337" s="25" t="e">
        <f aca="false">IF($O$12="buy",1,-1)*( IF($K$12="call",B337*NORMDIST(I337,0,1,1) - $B$12*NORMDIST(J337,0,1,1),$B$12*NORMDIST(-J337,0,1,1) - B337*NORMDIST(-I337,0,1,1) ) - $G$12) * $P$12</f>
        <v>#N/A</v>
      </c>
      <c r="I337" s="26" t="e">
        <f aca="false">(LN(B337/$B$12)+($H$12^2/2)*($J$12))/($H$12*SQRT($J$12))</f>
        <v>#N/A</v>
      </c>
      <c r="J337" s="28" t="e">
        <f aca="false">I337 - $H$12*SQRT($J$12)</f>
        <v>#N/A</v>
      </c>
    </row>
    <row r="338" customFormat="false" ht="13.5" hidden="false" customHeight="true" outlineLevel="0" collapsed="false">
      <c r="B338" s="29" t="n">
        <f aca="false">B308</f>
        <v>63</v>
      </c>
      <c r="C338" s="25" t="e">
        <f aca="false">IF($O$12="sell",-1,1) *  IF($K$12="call",  NORMDIST(I338,0,1,1),  NORMDIST(I338,0,1,1)-1  ) * $P$12</f>
        <v>#N/A</v>
      </c>
      <c r="D338" s="25" t="e">
        <f aca="false">IF($O$12="sell",-1,1) * NORMDIST(I338,0,1,0)/(B338*$H$12*SQRT($J$12)) * $P$12</f>
        <v>#N/A</v>
      </c>
      <c r="E338" s="25" t="e">
        <f aca="false">IF($O$12="sell",-1,1) * (B338*NORMDIST(I338,0,1,0)*SQRT($J$12)/365) * $P$12</f>
        <v>#N/A</v>
      </c>
      <c r="F338" s="25" t="e">
        <f aca="false">IF($O$12="sell",-1,1) * (-(B338*NORMDIST(I338,0,1,0)*$H$12)/(2*SQRT($J$12))/365) *$P$12</f>
        <v>#N/A</v>
      </c>
      <c r="G338" s="25" t="e">
        <f aca="false">IF($O$12="buy",1,-1)*( IF($K$12="call",B338*NORMDIST(I338,0,1,1) - $B$12*NORMDIST(J338,0,1,1),$B$12*NORMDIST(-J338,0,1,1) - B338*NORMDIST(-I338,0,1,1) ) - $G$12) * $P$12</f>
        <v>#N/A</v>
      </c>
      <c r="I338" s="26" t="e">
        <f aca="false">(LN(B338/$B$12)+($H$12^2/2)*($J$12))/($H$12*SQRT($J$12))</f>
        <v>#N/A</v>
      </c>
      <c r="J338" s="28" t="e">
        <f aca="false">I338 - $H$12*SQRT($J$12)</f>
        <v>#N/A</v>
      </c>
    </row>
    <row r="339" customFormat="false" ht="13.5" hidden="false" customHeight="true" outlineLevel="0" collapsed="false">
      <c r="B339" s="29" t="n">
        <f aca="false">B309</f>
        <v>62</v>
      </c>
      <c r="C339" s="25" t="e">
        <f aca="false">IF($O$12="sell",-1,1) *  IF($K$12="call",  NORMDIST(I339,0,1,1),  NORMDIST(I339,0,1,1)-1  ) * $P$12</f>
        <v>#N/A</v>
      </c>
      <c r="D339" s="25" t="e">
        <f aca="false">IF($O$12="sell",-1,1) * NORMDIST(I339,0,1,0)/(B339*$H$12*SQRT($J$12)) * $P$12</f>
        <v>#N/A</v>
      </c>
      <c r="E339" s="25" t="e">
        <f aca="false">IF($O$12="sell",-1,1) * (B339*NORMDIST(I339,0,1,0)*SQRT($J$12)/365) * $P$12</f>
        <v>#N/A</v>
      </c>
      <c r="F339" s="25" t="e">
        <f aca="false">IF($O$12="sell",-1,1) * (-(B339*NORMDIST(I339,0,1,0)*$H$12)/(2*SQRT($J$12))/365) *$P$12</f>
        <v>#N/A</v>
      </c>
      <c r="G339" s="25" t="e">
        <f aca="false">IF($O$12="buy",1,-1)*( IF($K$12="call",B339*NORMDIST(I339,0,1,1) - $B$12*NORMDIST(J339,0,1,1),$B$12*NORMDIST(-J339,0,1,1) - B339*NORMDIST(-I339,0,1,1) ) - $G$12) * $P$12</f>
        <v>#N/A</v>
      </c>
      <c r="I339" s="26" t="e">
        <f aca="false">(LN(B339/$B$12)+($H$12^2/2)*($J$12))/($H$12*SQRT($J$12))</f>
        <v>#N/A</v>
      </c>
      <c r="J339" s="28" t="e">
        <f aca="false">I339 - $H$12*SQRT($J$12)</f>
        <v>#N/A</v>
      </c>
    </row>
    <row r="340" customFormat="false" ht="13.5" hidden="false" customHeight="true" outlineLevel="0" collapsed="false">
      <c r="B340" s="29" t="n">
        <f aca="false">B310</f>
        <v>61</v>
      </c>
      <c r="C340" s="25" t="e">
        <f aca="false">IF($O$12="sell",-1,1) *  IF($K$12="call",  NORMDIST(I340,0,1,1),  NORMDIST(I340,0,1,1)-1  ) * $P$12</f>
        <v>#N/A</v>
      </c>
      <c r="D340" s="25" t="e">
        <f aca="false">IF($O$12="sell",-1,1) * NORMDIST(I340,0,1,0)/(B340*$H$12*SQRT($J$12)) * $P$12</f>
        <v>#N/A</v>
      </c>
      <c r="E340" s="25" t="e">
        <f aca="false">IF($O$12="sell",-1,1) * (B340*NORMDIST(I340,0,1,0)*SQRT($J$12)/365) * $P$12</f>
        <v>#N/A</v>
      </c>
      <c r="F340" s="25" t="e">
        <f aca="false">IF($O$12="sell",-1,1) * (-(B340*NORMDIST(I340,0,1,0)*$H$12)/(2*SQRT($J$12))/365) *$P$12</f>
        <v>#N/A</v>
      </c>
      <c r="G340" s="25" t="e">
        <f aca="false">IF($O$12="buy",1,-1)*( IF($K$12="call",B340*NORMDIST(I340,0,1,1) - $B$12*NORMDIST(J340,0,1,1),$B$12*NORMDIST(-J340,0,1,1) - B340*NORMDIST(-I340,0,1,1) ) - $G$12) * $P$12</f>
        <v>#N/A</v>
      </c>
      <c r="I340" s="26" t="e">
        <f aca="false">(LN(B340/$B$12)+($H$12^2/2)*($J$12))/($H$12*SQRT($J$12))</f>
        <v>#N/A</v>
      </c>
      <c r="J340" s="28" t="e">
        <f aca="false">I340 - $H$12*SQRT($J$12)</f>
        <v>#N/A</v>
      </c>
    </row>
    <row r="341" customFormat="false" ht="13.5" hidden="false" customHeight="true" outlineLevel="0" collapsed="false">
      <c r="B341" s="29" t="n">
        <f aca="false">B311</f>
        <v>60</v>
      </c>
      <c r="C341" s="25" t="e">
        <f aca="false">IF($O$12="sell",-1,1) *  IF($K$12="call",  NORMDIST(I341,0,1,1),  NORMDIST(I341,0,1,1)-1  ) * $P$12</f>
        <v>#N/A</v>
      </c>
      <c r="D341" s="25" t="e">
        <f aca="false">IF($O$12="sell",-1,1) * NORMDIST(I341,0,1,0)/(B341*$H$12*SQRT($J$12)) * $P$12</f>
        <v>#N/A</v>
      </c>
      <c r="E341" s="25" t="e">
        <f aca="false">IF($O$12="sell",-1,1) * (B341*NORMDIST(I341,0,1,0)*SQRT($J$12)/365) * $P$12</f>
        <v>#N/A</v>
      </c>
      <c r="F341" s="25" t="e">
        <f aca="false">IF($O$12="sell",-1,1) * (-(B341*NORMDIST(I341,0,1,0)*$H$12)/(2*SQRT($J$12))/365) *$P$12</f>
        <v>#N/A</v>
      </c>
      <c r="G341" s="25" t="e">
        <f aca="false">IF($O$12="buy",1,-1)*( IF($K$12="call",B341*NORMDIST(I341,0,1,1) - $B$12*NORMDIST(J341,0,1,1),$B$12*NORMDIST(-J341,0,1,1) - B341*NORMDIST(-I341,0,1,1) ) - $G$12) * $P$12</f>
        <v>#N/A</v>
      </c>
      <c r="I341" s="26" t="e">
        <f aca="false">(LN(B341/$B$12)+($H$12^2/2)*($J$12))/($H$12*SQRT($J$12))</f>
        <v>#N/A</v>
      </c>
      <c r="J341" s="28" t="e">
        <f aca="false">I341 - $H$12*SQRT($J$12)</f>
        <v>#N/A</v>
      </c>
    </row>
    <row r="342" customFormat="false" ht="13.5" hidden="false" customHeight="true" outlineLevel="0" collapsed="false">
      <c r="B342" s="29" t="n">
        <f aca="false">B312</f>
        <v>59</v>
      </c>
      <c r="C342" s="25" t="e">
        <f aca="false">IF($O$12="sell",-1,1) *  IF($K$12="call",  NORMDIST(I342,0,1,1),  NORMDIST(I342,0,1,1)-1  ) * $P$12</f>
        <v>#N/A</v>
      </c>
      <c r="D342" s="25" t="e">
        <f aca="false">IF($O$12="sell",-1,1) * NORMDIST(I342,0,1,0)/(B342*$H$12*SQRT($J$12)) * $P$12</f>
        <v>#N/A</v>
      </c>
      <c r="E342" s="25" t="e">
        <f aca="false">IF($O$12="sell",-1,1) * (B342*NORMDIST(I342,0,1,0)*SQRT($J$12)/365) * $P$12</f>
        <v>#N/A</v>
      </c>
      <c r="F342" s="25" t="e">
        <f aca="false">IF($O$12="sell",-1,1) * (-(B342*NORMDIST(I342,0,1,0)*$H$12)/(2*SQRT($J$12))/365) *$P$12</f>
        <v>#N/A</v>
      </c>
      <c r="G342" s="25" t="e">
        <f aca="false">IF($O$12="buy",1,-1)*( IF($K$12="call",B342*NORMDIST(I342,0,1,1) - $B$12*NORMDIST(J342,0,1,1),$B$12*NORMDIST(-J342,0,1,1) - B342*NORMDIST(-I342,0,1,1) ) - $G$12) * $P$12</f>
        <v>#N/A</v>
      </c>
      <c r="I342" s="26" t="e">
        <f aca="false">(LN(B342/$B$12)+($H$12^2/2)*($J$12))/($H$12*SQRT($J$12))</f>
        <v>#N/A</v>
      </c>
      <c r="J342" s="28" t="e">
        <f aca="false">I342 - $H$12*SQRT($J$12)</f>
        <v>#N/A</v>
      </c>
    </row>
    <row r="343" customFormat="false" ht="13.5" hidden="false" customHeight="true" outlineLevel="0" collapsed="false">
      <c r="B343" s="29" t="n">
        <f aca="false">B313</f>
        <v>58</v>
      </c>
      <c r="C343" s="25" t="e">
        <f aca="false">IF($O$12="sell",-1,1) *  IF($K$12="call",  NORMDIST(I343,0,1,1),  NORMDIST(I343,0,1,1)-1  ) * $P$12</f>
        <v>#N/A</v>
      </c>
      <c r="D343" s="25" t="e">
        <f aca="false">IF($O$12="sell",-1,1) * NORMDIST(I343,0,1,0)/(B343*$H$12*SQRT($J$12)) * $P$12</f>
        <v>#N/A</v>
      </c>
      <c r="E343" s="25" t="e">
        <f aca="false">IF($O$12="sell",-1,1) * (B343*NORMDIST(I343,0,1,0)*SQRT($J$12)/365) * $P$12</f>
        <v>#N/A</v>
      </c>
      <c r="F343" s="25" t="e">
        <f aca="false">IF($O$12="sell",-1,1) * (-(B343*NORMDIST(I343,0,1,0)*$H$12)/(2*SQRT($J$12))/365) *$P$12</f>
        <v>#N/A</v>
      </c>
      <c r="G343" s="25" t="e">
        <f aca="false">IF($O$12="buy",1,-1)*( IF($K$12="call",B343*NORMDIST(I343,0,1,1) - $B$12*NORMDIST(J343,0,1,1),$B$12*NORMDIST(-J343,0,1,1) - B343*NORMDIST(-I343,0,1,1) ) - $G$12) * $P$12</f>
        <v>#N/A</v>
      </c>
      <c r="I343" s="26" t="e">
        <f aca="false">(LN(B343/$B$12)+($H$12^2/2)*($J$12))/($H$12*SQRT($J$12))</f>
        <v>#N/A</v>
      </c>
      <c r="J343" s="28" t="e">
        <f aca="false">I343 - $H$12*SQRT($J$12)</f>
        <v>#N/A</v>
      </c>
    </row>
    <row r="344" customFormat="false" ht="13.5" hidden="false" customHeight="true" outlineLevel="0" collapsed="false">
      <c r="B344" s="29" t="n">
        <f aca="false">B314</f>
        <v>57</v>
      </c>
      <c r="C344" s="25" t="e">
        <f aca="false">IF($O$12="sell",-1,1) *  IF($K$12="call",  NORMDIST(I344,0,1,1),  NORMDIST(I344,0,1,1)-1  ) * $P$12</f>
        <v>#N/A</v>
      </c>
      <c r="D344" s="25" t="e">
        <f aca="false">IF($O$12="sell",-1,1) * NORMDIST(I344,0,1,0)/(B344*$H$12*SQRT($J$12)) * $P$12</f>
        <v>#N/A</v>
      </c>
      <c r="E344" s="25" t="e">
        <f aca="false">IF($O$12="sell",-1,1) * (B344*NORMDIST(I344,0,1,0)*SQRT($J$12)/365) * $P$12</f>
        <v>#N/A</v>
      </c>
      <c r="F344" s="25" t="e">
        <f aca="false">IF($O$12="sell",-1,1) * (-(B344*NORMDIST(I344,0,1,0)*$H$12)/(2*SQRT($J$12))/365) *$P$12</f>
        <v>#N/A</v>
      </c>
      <c r="G344" s="25" t="e">
        <f aca="false">IF($O$12="buy",1,-1)*( IF($K$12="call",B344*NORMDIST(I344,0,1,1) - $B$12*NORMDIST(J344,0,1,1),$B$12*NORMDIST(-J344,0,1,1) - B344*NORMDIST(-I344,0,1,1) ) - $G$12) * $P$12</f>
        <v>#N/A</v>
      </c>
      <c r="I344" s="26" t="e">
        <f aca="false">(LN(B344/$B$12)+($H$12^2/2)*($J$12))/($H$12*SQRT($J$12))</f>
        <v>#N/A</v>
      </c>
      <c r="J344" s="28" t="e">
        <f aca="false">I344 - $H$12*SQRT($J$12)</f>
        <v>#N/A</v>
      </c>
    </row>
    <row r="345" customFormat="false" ht="13.5" hidden="false" customHeight="true" outlineLevel="0" collapsed="false">
      <c r="B345" s="30"/>
      <c r="C345" s="22"/>
      <c r="D345" s="22"/>
      <c r="E345" s="22"/>
      <c r="F345" s="22"/>
      <c r="G345" s="22"/>
      <c r="I345" s="31"/>
      <c r="J345" s="31"/>
    </row>
    <row r="346" customFormat="false" ht="13.5" hidden="false" customHeight="true" outlineLevel="0" collapsed="false">
      <c r="B346" s="30"/>
      <c r="C346" s="22"/>
      <c r="D346" s="22"/>
      <c r="E346" s="22"/>
      <c r="F346" s="22"/>
      <c r="G346" s="22"/>
      <c r="I346" s="31"/>
      <c r="J346" s="31"/>
    </row>
    <row r="347" customFormat="false" ht="13.5" hidden="false" customHeight="true" outlineLevel="0" collapsed="false">
      <c r="B347" s="23"/>
      <c r="C347" s="19" t="s">
        <v>13</v>
      </c>
      <c r="D347" s="19" t="s">
        <v>14</v>
      </c>
      <c r="E347" s="19" t="s">
        <v>15</v>
      </c>
      <c r="F347" s="19" t="s">
        <v>16</v>
      </c>
      <c r="G347" s="19" t="s">
        <v>17</v>
      </c>
      <c r="I347" s="19" t="s">
        <v>158</v>
      </c>
      <c r="J347" s="19" t="s">
        <v>159</v>
      </c>
    </row>
    <row r="348" customFormat="false" ht="13.5" hidden="false" customHeight="true" outlineLevel="0" collapsed="false">
      <c r="A348" s="2" t="str">
        <f aca="false">A13</f>
        <v>SOL-17APR26-75-P-USDT</v>
      </c>
      <c r="B348" s="29" t="n">
        <f aca="false">B318</f>
        <v>83</v>
      </c>
      <c r="C348" s="25" t="e">
        <f aca="false">IF($O$13="sell",-1,1) *  IF($K$13="call",  NORMDIST(I348,0,1,1),  NORMDIST(I348,0,1,1)-1  ) * $P$13</f>
        <v>#N/A</v>
      </c>
      <c r="D348" s="25" t="e">
        <f aca="false">IF($O$13="sell",-1,1) * NORMDIST(I348,0,1,0)/(B348*$H$13*SQRT($J$13)) * $P$13</f>
        <v>#N/A</v>
      </c>
      <c r="E348" s="25" t="e">
        <f aca="false">IF($O$13="sell",-1,1) * (B348*NORMDIST(I348,0,1,0)*SQRT($J$13)/365) * $P$13</f>
        <v>#N/A</v>
      </c>
      <c r="F348" s="25" t="e">
        <f aca="false">IF($O$13="sell",-1,1) * (-(B348*NORMDIST(I348,0,1,0)*$H$13)/(2*SQRT($J$13))/365) *$P$13</f>
        <v>#N/A</v>
      </c>
      <c r="G348" s="25" t="e">
        <f aca="false">IF($O$13="buy",1,-1)*( IF($K$13="call",B348*NORMDIST(I348,0,1,1) - $B$13*NORMDIST(J348,0,1,1),$B$13*NORMDIST(-J348,0,1,1) - B348*NORMDIST(-I348,0,1,1) ) - $G$13) * $P$13</f>
        <v>#N/A</v>
      </c>
      <c r="I348" s="26" t="e">
        <f aca="false">(LN(B348/$B$13)+($H$13^2/2)*($J$13))/($H$13*SQRT($J$13))</f>
        <v>#N/A</v>
      </c>
      <c r="J348" s="28" t="e">
        <f aca="false">I348 - $H$13*SQRT($J$13)</f>
        <v>#N/A</v>
      </c>
    </row>
    <row r="349" customFormat="false" ht="13.5" hidden="false" customHeight="true" outlineLevel="0" collapsed="false">
      <c r="B349" s="29" t="n">
        <f aca="false">B319</f>
        <v>82</v>
      </c>
      <c r="C349" s="25" t="e">
        <f aca="false">IF($O$13="sell",-1,1) *  IF($K$13="call",  NORMDIST(I349,0,1,1),  NORMDIST(I349,0,1,1)-1  ) * $P$13</f>
        <v>#N/A</v>
      </c>
      <c r="D349" s="25" t="e">
        <f aca="false">IF($O$13="sell",-1,1) * NORMDIST(I349,0,1,0)/(B349*$H$13*SQRT($J$13)) * $P$13</f>
        <v>#N/A</v>
      </c>
      <c r="E349" s="25" t="e">
        <f aca="false">IF($O$13="sell",-1,1) * (B349*NORMDIST(I349,0,1,0)*SQRT($J$13)/365) * $P$13</f>
        <v>#N/A</v>
      </c>
      <c r="F349" s="25" t="e">
        <f aca="false">IF($O$13="sell",-1,1) * (-(B349*NORMDIST(I349,0,1,0)*$H$13)/(2*SQRT($J$13))/365) *$P$13</f>
        <v>#N/A</v>
      </c>
      <c r="G349" s="25" t="e">
        <f aca="false">IF($O$13="buy",1,-1)*( IF($K$13="call",B349*NORMDIST(I349,0,1,1) - $B$13*NORMDIST(J349,0,1,1),$B$13*NORMDIST(-J349,0,1,1) - B349*NORMDIST(-I349,0,1,1) ) - $G$13) * $P$13</f>
        <v>#N/A</v>
      </c>
      <c r="I349" s="26" t="e">
        <f aca="false">(LN(B349/$B$13)+($H$13^2/2)*($J$13))/($H$13*SQRT($J$13))</f>
        <v>#N/A</v>
      </c>
      <c r="J349" s="28" t="e">
        <f aca="false">I349 - $H$13*SQRT($J$13)</f>
        <v>#N/A</v>
      </c>
    </row>
    <row r="350" customFormat="false" ht="13.5" hidden="false" customHeight="true" outlineLevel="0" collapsed="false">
      <c r="B350" s="29" t="n">
        <f aca="false">B320</f>
        <v>81</v>
      </c>
      <c r="C350" s="25" t="e">
        <f aca="false">IF($O$13="sell",-1,1) *  IF($K$13="call",  NORMDIST(I350,0,1,1),  NORMDIST(I350,0,1,1)-1  ) * $P$13</f>
        <v>#N/A</v>
      </c>
      <c r="D350" s="25" t="e">
        <f aca="false">IF($O$13="sell",-1,1) * NORMDIST(I350,0,1,0)/(B350*$H$13*SQRT($J$13)) * $P$13</f>
        <v>#N/A</v>
      </c>
      <c r="E350" s="25" t="e">
        <f aca="false">IF($O$13="sell",-1,1) * (B350*NORMDIST(I350,0,1,0)*SQRT($J$13)/365) * $P$13</f>
        <v>#N/A</v>
      </c>
      <c r="F350" s="25" t="e">
        <f aca="false">IF($O$13="sell",-1,1) * (-(B350*NORMDIST(I350,0,1,0)*$H$13)/(2*SQRT($J$13))/365) *$P$13</f>
        <v>#N/A</v>
      </c>
      <c r="G350" s="25" t="e">
        <f aca="false">IF($O$13="buy",1,-1)*( IF($K$13="call",B350*NORMDIST(I350,0,1,1) - $B$13*NORMDIST(J350,0,1,1),$B$13*NORMDIST(-J350,0,1,1) - B350*NORMDIST(-I350,0,1,1) ) - $G$13) * $P$13</f>
        <v>#N/A</v>
      </c>
      <c r="I350" s="26" t="e">
        <f aca="false">(LN(B350/$B$13)+($H$13^2/2)*($J$13))/($H$13*SQRT($J$13))</f>
        <v>#N/A</v>
      </c>
      <c r="J350" s="28" t="e">
        <f aca="false">I350 - $H$13*SQRT($J$13)</f>
        <v>#N/A</v>
      </c>
    </row>
    <row r="351" customFormat="false" ht="13.5" hidden="false" customHeight="true" outlineLevel="0" collapsed="false">
      <c r="B351" s="29" t="n">
        <f aca="false">B321</f>
        <v>80</v>
      </c>
      <c r="C351" s="25" t="e">
        <f aca="false">IF($O$13="sell",-1,1) *  IF($K$13="call",  NORMDIST(I351,0,1,1),  NORMDIST(I351,0,1,1)-1  ) * $P$13</f>
        <v>#N/A</v>
      </c>
      <c r="D351" s="25" t="e">
        <f aca="false">IF($O$13="sell",-1,1) * NORMDIST(I351,0,1,0)/(B351*$H$13*SQRT($J$13)) * $P$13</f>
        <v>#N/A</v>
      </c>
      <c r="E351" s="25" t="e">
        <f aca="false">IF($O$13="sell",-1,1) * (B351*NORMDIST(I351,0,1,0)*SQRT($J$13)/365) * $P$13</f>
        <v>#N/A</v>
      </c>
      <c r="F351" s="25" t="e">
        <f aca="false">IF($O$13="sell",-1,1) * (-(B351*NORMDIST(I351,0,1,0)*$H$13)/(2*SQRT($J$13))/365) *$P$13</f>
        <v>#N/A</v>
      </c>
      <c r="G351" s="25" t="e">
        <f aca="false">IF($O$13="buy",1,-1)*( IF($K$13="call",B351*NORMDIST(I351,0,1,1) - $B$13*NORMDIST(J351,0,1,1),$B$13*NORMDIST(-J351,0,1,1) - B351*NORMDIST(-I351,0,1,1) ) - $G$13) * $P$13</f>
        <v>#N/A</v>
      </c>
      <c r="I351" s="26" t="e">
        <f aca="false">(LN(B351/$B$13)+($H$13^2/2)*($J$13))/($H$13*SQRT($J$13))</f>
        <v>#N/A</v>
      </c>
      <c r="J351" s="28" t="e">
        <f aca="false">I351 - $H$13*SQRT($J$13)</f>
        <v>#N/A</v>
      </c>
    </row>
    <row r="352" customFormat="false" ht="13.5" hidden="false" customHeight="true" outlineLevel="0" collapsed="false">
      <c r="B352" s="29" t="n">
        <f aca="false">B322</f>
        <v>79</v>
      </c>
      <c r="C352" s="25" t="e">
        <f aca="false">IF($O$13="sell",-1,1) *  IF($K$13="call",  NORMDIST(I352,0,1,1),  NORMDIST(I352,0,1,1)-1  ) * $P$13</f>
        <v>#N/A</v>
      </c>
      <c r="D352" s="25" t="e">
        <f aca="false">IF($O$13="sell",-1,1) * NORMDIST(I352,0,1,0)/(B352*$H$13*SQRT($J$13)) * $P$13</f>
        <v>#N/A</v>
      </c>
      <c r="E352" s="25" t="e">
        <f aca="false">IF($O$13="sell",-1,1) * (B352*NORMDIST(I352,0,1,0)*SQRT($J$13)/365) * $P$13</f>
        <v>#N/A</v>
      </c>
      <c r="F352" s="25" t="e">
        <f aca="false">IF($O$13="sell",-1,1) * (-(B352*NORMDIST(I352,0,1,0)*$H$13)/(2*SQRT($J$13))/365) *$P$13</f>
        <v>#N/A</v>
      </c>
      <c r="G352" s="25" t="e">
        <f aca="false">IF($O$13="buy",1,-1)*( IF($K$13="call",B352*NORMDIST(I352,0,1,1) - $B$13*NORMDIST(J352,0,1,1),$B$13*NORMDIST(-J352,0,1,1) - B352*NORMDIST(-I352,0,1,1) ) - $G$13) * $P$13</f>
        <v>#N/A</v>
      </c>
      <c r="I352" s="26" t="e">
        <f aca="false">(LN(B352/$B$13)+($H$13^2/2)*($J$13))/($H$13*SQRT($J$13))</f>
        <v>#N/A</v>
      </c>
      <c r="J352" s="28" t="e">
        <f aca="false">I352 - $H$13*SQRT($J$13)</f>
        <v>#N/A</v>
      </c>
    </row>
    <row r="353" customFormat="false" ht="13.5" hidden="false" customHeight="true" outlineLevel="0" collapsed="false">
      <c r="B353" s="29" t="n">
        <f aca="false">B323</f>
        <v>78</v>
      </c>
      <c r="C353" s="25" t="e">
        <f aca="false">IF($O$13="sell",-1,1) *  IF($K$13="call",  NORMDIST(I353,0,1,1),  NORMDIST(I353,0,1,1)-1  ) * $P$13</f>
        <v>#N/A</v>
      </c>
      <c r="D353" s="25" t="e">
        <f aca="false">IF($O$13="sell",-1,1) * NORMDIST(I353,0,1,0)/(B353*$H$13*SQRT($J$13)) * $P$13</f>
        <v>#N/A</v>
      </c>
      <c r="E353" s="25" t="e">
        <f aca="false">IF($O$13="sell",-1,1) * (B353*NORMDIST(I353,0,1,0)*SQRT($J$13)/365) * $P$13</f>
        <v>#N/A</v>
      </c>
      <c r="F353" s="25" t="e">
        <f aca="false">IF($O$13="sell",-1,1) * (-(B353*NORMDIST(I353,0,1,0)*$H$13)/(2*SQRT($J$13))/365) *$P$13</f>
        <v>#N/A</v>
      </c>
      <c r="G353" s="25" t="e">
        <f aca="false">IF($O$13="buy",1,-1)*( IF($K$13="call",B353*NORMDIST(I353,0,1,1) - $B$13*NORMDIST(J353,0,1,1),$B$13*NORMDIST(-J353,0,1,1) - B353*NORMDIST(-I353,0,1,1) ) - $G$13) * $P$13</f>
        <v>#N/A</v>
      </c>
      <c r="I353" s="26" t="e">
        <f aca="false">(LN(B353/$B$13)+($H$13^2/2)*($J$13))/($H$13*SQRT($J$13))</f>
        <v>#N/A</v>
      </c>
      <c r="J353" s="28" t="e">
        <f aca="false">I353 - $H$13*SQRT($J$13)</f>
        <v>#N/A</v>
      </c>
    </row>
    <row r="354" customFormat="false" ht="13.5" hidden="false" customHeight="true" outlineLevel="0" collapsed="false">
      <c r="B354" s="29" t="n">
        <f aca="false">B324</f>
        <v>77</v>
      </c>
      <c r="C354" s="25" t="e">
        <f aca="false">IF($O$13="sell",-1,1) *  IF($K$13="call",  NORMDIST(I354,0,1,1),  NORMDIST(I354,0,1,1)-1  ) * $P$13</f>
        <v>#N/A</v>
      </c>
      <c r="D354" s="25" t="e">
        <f aca="false">IF($O$13="sell",-1,1) * NORMDIST(I354,0,1,0)/(B354*$H$13*SQRT($J$13)) * $P$13</f>
        <v>#N/A</v>
      </c>
      <c r="E354" s="25" t="e">
        <f aca="false">IF($O$13="sell",-1,1) * (B354*NORMDIST(I354,0,1,0)*SQRT($J$13)/365) * $P$13</f>
        <v>#N/A</v>
      </c>
      <c r="F354" s="25" t="e">
        <f aca="false">IF($O$13="sell",-1,1) * (-(B354*NORMDIST(I354,0,1,0)*$H$13)/(2*SQRT($J$13))/365) *$P$13</f>
        <v>#N/A</v>
      </c>
      <c r="G354" s="25" t="e">
        <f aca="false">IF($O$13="buy",1,-1)*( IF($K$13="call",B354*NORMDIST(I354,0,1,1) - $B$13*NORMDIST(J354,0,1,1),$B$13*NORMDIST(-J354,0,1,1) - B354*NORMDIST(-I354,0,1,1) ) - $G$13) * $P$13</f>
        <v>#N/A</v>
      </c>
      <c r="I354" s="26" t="e">
        <f aca="false">(LN(B354/$B$13)+($H$13^2/2)*($J$13))/($H$13*SQRT($J$13))</f>
        <v>#N/A</v>
      </c>
      <c r="J354" s="28" t="e">
        <f aca="false">I354 - $H$13*SQRT($J$13)</f>
        <v>#N/A</v>
      </c>
    </row>
    <row r="355" customFormat="false" ht="13.5" hidden="false" customHeight="true" outlineLevel="0" collapsed="false">
      <c r="B355" s="29" t="n">
        <f aca="false">B325</f>
        <v>76</v>
      </c>
      <c r="C355" s="25" t="e">
        <f aca="false">IF($O$13="sell",-1,1) *  IF($K$13="call",  NORMDIST(I355,0,1,1),  NORMDIST(I355,0,1,1)-1  ) * $P$13</f>
        <v>#N/A</v>
      </c>
      <c r="D355" s="25" t="e">
        <f aca="false">IF($O$13="sell",-1,1) * NORMDIST(I355,0,1,0)/(B355*$H$13*SQRT($J$13)) * $P$13</f>
        <v>#N/A</v>
      </c>
      <c r="E355" s="25" t="e">
        <f aca="false">IF($O$13="sell",-1,1) * (B355*NORMDIST(I355,0,1,0)*SQRT($J$13)/365) * $P$13</f>
        <v>#N/A</v>
      </c>
      <c r="F355" s="25" t="e">
        <f aca="false">IF($O$13="sell",-1,1) * (-(B355*NORMDIST(I355,0,1,0)*$H$13)/(2*SQRT($J$13))/365) *$P$13</f>
        <v>#N/A</v>
      </c>
      <c r="G355" s="25" t="e">
        <f aca="false">IF($O$13="buy",1,-1)*( IF($K$13="call",B355*NORMDIST(I355,0,1,1) - $B$13*NORMDIST(J355,0,1,1),$B$13*NORMDIST(-J355,0,1,1) - B355*NORMDIST(-I355,0,1,1) ) - $G$13) * $P$13</f>
        <v>#N/A</v>
      </c>
      <c r="I355" s="26" t="e">
        <f aca="false">(LN(B355/$B$13)+($H$13^2/2)*($J$13))/($H$13*SQRT($J$13))</f>
        <v>#N/A</v>
      </c>
      <c r="J355" s="28" t="e">
        <f aca="false">I355 - $H$13*SQRT($J$13)</f>
        <v>#N/A</v>
      </c>
    </row>
    <row r="356" customFormat="false" ht="13.5" hidden="false" customHeight="true" outlineLevel="0" collapsed="false">
      <c r="B356" s="29" t="n">
        <f aca="false">B326</f>
        <v>75</v>
      </c>
      <c r="C356" s="25" t="e">
        <f aca="false">IF($O$13="sell",-1,1) *  IF($K$13="call",  NORMDIST(I356,0,1,1),  NORMDIST(I356,0,1,1)-1  ) * $P$13</f>
        <v>#N/A</v>
      </c>
      <c r="D356" s="25" t="e">
        <f aca="false">IF($O$13="sell",-1,1) * NORMDIST(I356,0,1,0)/(B356*$H$13*SQRT($J$13)) * $P$13</f>
        <v>#N/A</v>
      </c>
      <c r="E356" s="25" t="e">
        <f aca="false">IF($O$13="sell",-1,1) * (B356*NORMDIST(I356,0,1,0)*SQRT($J$13)/365) * $P$13</f>
        <v>#N/A</v>
      </c>
      <c r="F356" s="25" t="e">
        <f aca="false">IF($O$13="sell",-1,1) * (-(B356*NORMDIST(I356,0,1,0)*$H$13)/(2*SQRT($J$13))/365) *$P$13</f>
        <v>#N/A</v>
      </c>
      <c r="G356" s="25" t="e">
        <f aca="false">IF($O$13="buy",1,-1)*( IF($K$13="call",B356*NORMDIST(I356,0,1,1) - $B$13*NORMDIST(J356,0,1,1),$B$13*NORMDIST(-J356,0,1,1) - B356*NORMDIST(-I356,0,1,1) ) - $G$13) * $P$13</f>
        <v>#N/A</v>
      </c>
      <c r="I356" s="26" t="e">
        <f aca="false">(LN(B356/$B$13)+($H$13^2/2)*($J$13))/($H$13*SQRT($J$13))</f>
        <v>#N/A</v>
      </c>
      <c r="J356" s="28" t="e">
        <f aca="false">I356 - $H$13*SQRT($J$13)</f>
        <v>#N/A</v>
      </c>
    </row>
    <row r="357" customFormat="false" ht="13.5" hidden="false" customHeight="true" outlineLevel="0" collapsed="false">
      <c r="B357" s="29" t="n">
        <f aca="false">B327</f>
        <v>74</v>
      </c>
      <c r="C357" s="25" t="e">
        <f aca="false">IF($O$13="sell",-1,1) *  IF($K$13="call",  NORMDIST(I357,0,1,1),  NORMDIST(I357,0,1,1)-1  ) * $P$13</f>
        <v>#N/A</v>
      </c>
      <c r="D357" s="25" t="e">
        <f aca="false">IF($O$13="sell",-1,1) * NORMDIST(I357,0,1,0)/(B357*$H$13*SQRT($J$13)) * $P$13</f>
        <v>#N/A</v>
      </c>
      <c r="E357" s="25" t="e">
        <f aca="false">IF($O$13="sell",-1,1) * (B357*NORMDIST(I357,0,1,0)*SQRT($J$13)/365) * $P$13</f>
        <v>#N/A</v>
      </c>
      <c r="F357" s="25" t="e">
        <f aca="false">IF($O$13="sell",-1,1) * (-(B357*NORMDIST(I357,0,1,0)*$H$13)/(2*SQRT($J$13))/365) *$P$13</f>
        <v>#N/A</v>
      </c>
      <c r="G357" s="25" t="e">
        <f aca="false">IF($O$13="buy",1,-1)*( IF($K$13="call",B357*NORMDIST(I357,0,1,1) - $B$13*NORMDIST(J357,0,1,1),$B$13*NORMDIST(-J357,0,1,1) - B357*NORMDIST(-I357,0,1,1) ) - $G$13) * $P$13</f>
        <v>#N/A</v>
      </c>
      <c r="I357" s="26" t="e">
        <f aca="false">(LN(B357/$B$13)+($H$13^2/2)*($J$13))/($H$13*SQRT($J$13))</f>
        <v>#N/A</v>
      </c>
      <c r="J357" s="28" t="e">
        <f aca="false">I357 - $H$13*SQRT($J$13)</f>
        <v>#N/A</v>
      </c>
    </row>
    <row r="358" customFormat="false" ht="13.5" hidden="false" customHeight="true" outlineLevel="0" collapsed="false">
      <c r="B358" s="29" t="n">
        <f aca="false">B328</f>
        <v>73</v>
      </c>
      <c r="C358" s="25" t="e">
        <f aca="false">IF($O$13="sell",-1,1) *  IF($K$13="call",  NORMDIST(I358,0,1,1),  NORMDIST(I358,0,1,1)-1  ) * $P$13</f>
        <v>#N/A</v>
      </c>
      <c r="D358" s="25" t="e">
        <f aca="false">IF($O$13="sell",-1,1) * NORMDIST(I358,0,1,0)/(B358*$H$13*SQRT($J$13)) * $P$13</f>
        <v>#N/A</v>
      </c>
      <c r="E358" s="25" t="e">
        <f aca="false">IF($O$13="sell",-1,1) * (B358*NORMDIST(I358,0,1,0)*SQRT($J$13)/365) * $P$13</f>
        <v>#N/A</v>
      </c>
      <c r="F358" s="25" t="e">
        <f aca="false">IF($O$13="sell",-1,1) * (-(B358*NORMDIST(I358,0,1,0)*$H$13)/(2*SQRT($J$13))/365) *$P$13</f>
        <v>#N/A</v>
      </c>
      <c r="G358" s="25" t="e">
        <f aca="false">IF($O$13="buy",1,-1)*( IF($K$13="call",B358*NORMDIST(I358,0,1,1) - $B$13*NORMDIST(J358,0,1,1),$B$13*NORMDIST(-J358,0,1,1) - B358*NORMDIST(-I358,0,1,1) ) - $G$13) * $P$13</f>
        <v>#N/A</v>
      </c>
      <c r="I358" s="26" t="e">
        <f aca="false">(LN(B358/$B$13)+($H$13^2/2)*($J$13))/($H$13*SQRT($J$13))</f>
        <v>#N/A</v>
      </c>
      <c r="J358" s="28" t="e">
        <f aca="false">I358 - $H$13*SQRT($J$13)</f>
        <v>#N/A</v>
      </c>
    </row>
    <row r="359" customFormat="false" ht="13.5" hidden="false" customHeight="true" outlineLevel="0" collapsed="false">
      <c r="B359" s="29" t="n">
        <f aca="false">B329</f>
        <v>72</v>
      </c>
      <c r="C359" s="25" t="e">
        <f aca="false">IF($O$13="sell",-1,1) *  IF($K$13="call",  NORMDIST(I359,0,1,1),  NORMDIST(I359,0,1,1)-1  ) * $P$13</f>
        <v>#N/A</v>
      </c>
      <c r="D359" s="25" t="e">
        <f aca="false">IF($O$13="sell",-1,1) * NORMDIST(I359,0,1,0)/(B359*$H$13*SQRT($J$13)) * $P$13</f>
        <v>#N/A</v>
      </c>
      <c r="E359" s="25" t="e">
        <f aca="false">IF($O$13="sell",-1,1) * (B359*NORMDIST(I359,0,1,0)*SQRT($J$13)/365) * $P$13</f>
        <v>#N/A</v>
      </c>
      <c r="F359" s="25" t="e">
        <f aca="false">IF($O$13="sell",-1,1) * (-(B359*NORMDIST(I359,0,1,0)*$H$13)/(2*SQRT($J$13))/365) *$P$13</f>
        <v>#N/A</v>
      </c>
      <c r="G359" s="25" t="e">
        <f aca="false">IF($O$13="buy",1,-1)*( IF($K$13="call",B359*NORMDIST(I359,0,1,1) - $B$13*NORMDIST(J359,0,1,1),$B$13*NORMDIST(-J359,0,1,1) - B359*NORMDIST(-I359,0,1,1) ) - $G$13) * $P$13</f>
        <v>#N/A</v>
      </c>
      <c r="I359" s="26" t="e">
        <f aca="false">(LN(B359/$B$13)+($H$13^2/2)*($J$13))/($H$13*SQRT($J$13))</f>
        <v>#N/A</v>
      </c>
      <c r="J359" s="28" t="e">
        <f aca="false">I359 - $H$13*SQRT($J$13)</f>
        <v>#N/A</v>
      </c>
    </row>
    <row r="360" customFormat="false" ht="13.5" hidden="false" customHeight="true" outlineLevel="0" collapsed="false">
      <c r="B360" s="29" t="n">
        <f aca="false">B330</f>
        <v>71</v>
      </c>
      <c r="C360" s="25" t="e">
        <f aca="false">IF($O$13="sell",-1,1) *  IF($K$13="call",  NORMDIST(I360,0,1,1),  NORMDIST(I360,0,1,1)-1  ) * $P$13</f>
        <v>#N/A</v>
      </c>
      <c r="D360" s="25" t="e">
        <f aca="false">IF($O$13="sell",-1,1) * NORMDIST(I360,0,1,0)/(B360*$H$13*SQRT($J$13)) * $P$13</f>
        <v>#N/A</v>
      </c>
      <c r="E360" s="25" t="e">
        <f aca="false">IF($O$13="sell",-1,1) * (B360*NORMDIST(I360,0,1,0)*SQRT($J$13)/365) * $P$13</f>
        <v>#N/A</v>
      </c>
      <c r="F360" s="25" t="e">
        <f aca="false">IF($O$13="sell",-1,1) * (-(B360*NORMDIST(I360,0,1,0)*$H$13)/(2*SQRT($J$13))/365) *$P$13</f>
        <v>#N/A</v>
      </c>
      <c r="G360" s="25" t="e">
        <f aca="false">IF($O$13="buy",1,-1)*( IF($K$13="call",B360*NORMDIST(I360,0,1,1) - $B$13*NORMDIST(J360,0,1,1),$B$13*NORMDIST(-J360,0,1,1) - B360*NORMDIST(-I360,0,1,1) ) - $G$13) * $P$13</f>
        <v>#N/A</v>
      </c>
      <c r="I360" s="26" t="e">
        <f aca="false">(LN(B360/$B$13)+($H$13^2/2)*($J$13))/($H$13*SQRT($J$13))</f>
        <v>#N/A</v>
      </c>
      <c r="J360" s="28" t="e">
        <f aca="false">I360 - $H$13*SQRT($J$13)</f>
        <v>#N/A</v>
      </c>
    </row>
    <row r="361" customFormat="false" ht="13.5" hidden="false" customHeight="true" outlineLevel="0" collapsed="false">
      <c r="B361" s="29" t="n">
        <f aca="false">B331</f>
        <v>70</v>
      </c>
      <c r="C361" s="25" t="e">
        <f aca="false">IF($O$13="sell",-1,1) *  IF($K$13="call",  NORMDIST(I361,0,1,1),  NORMDIST(I361,0,1,1)-1  ) * $P$13</f>
        <v>#N/A</v>
      </c>
      <c r="D361" s="25" t="e">
        <f aca="false">IF($O$13="sell",-1,1) * NORMDIST(I361,0,1,0)/(B361*$H$13*SQRT($J$13)) * $P$13</f>
        <v>#N/A</v>
      </c>
      <c r="E361" s="25" t="e">
        <f aca="false">IF($O$13="sell",-1,1) * (B361*NORMDIST(I361,0,1,0)*SQRT($J$13)/365) * $P$13</f>
        <v>#N/A</v>
      </c>
      <c r="F361" s="25" t="e">
        <f aca="false">IF($O$13="sell",-1,1) * (-(B361*NORMDIST(I361,0,1,0)*$H$13)/(2*SQRT($J$13))/365) *$P$13</f>
        <v>#N/A</v>
      </c>
      <c r="G361" s="25" t="e">
        <f aca="false">IF($O$13="buy",1,-1)*( IF($K$13="call",B361*NORMDIST(I361,0,1,1) - $B$13*NORMDIST(J361,0,1,1),$B$13*NORMDIST(-J361,0,1,1) - B361*NORMDIST(-I361,0,1,1) ) - $G$13) * $P$13</f>
        <v>#N/A</v>
      </c>
      <c r="I361" s="26" t="e">
        <f aca="false">(LN(B361/$B$13)+($H$13^2/2)*($J$13))/($H$13*SQRT($J$13))</f>
        <v>#N/A</v>
      </c>
      <c r="J361" s="28" t="e">
        <f aca="false">I361 - $H$13*SQRT($J$13)</f>
        <v>#N/A</v>
      </c>
    </row>
    <row r="362" customFormat="false" ht="13.5" hidden="false" customHeight="true" outlineLevel="0" collapsed="false">
      <c r="B362" s="29" t="n">
        <f aca="false">B332</f>
        <v>69</v>
      </c>
      <c r="C362" s="25" t="e">
        <f aca="false">IF($O$13="sell",-1,1) *  IF($K$13="call",  NORMDIST(I362,0,1,1),  NORMDIST(I362,0,1,1)-1  ) * $P$13</f>
        <v>#N/A</v>
      </c>
      <c r="D362" s="25" t="e">
        <f aca="false">IF($O$13="sell",-1,1) * NORMDIST(I362,0,1,0)/(B362*$H$13*SQRT($J$13)) * $P$13</f>
        <v>#N/A</v>
      </c>
      <c r="E362" s="25" t="e">
        <f aca="false">IF($O$13="sell",-1,1) * (B362*NORMDIST(I362,0,1,0)*SQRT($J$13)/365) * $P$13</f>
        <v>#N/A</v>
      </c>
      <c r="F362" s="25" t="e">
        <f aca="false">IF($O$13="sell",-1,1) * (-(B362*NORMDIST(I362,0,1,0)*$H$13)/(2*SQRT($J$13))/365) *$P$13</f>
        <v>#N/A</v>
      </c>
      <c r="G362" s="25" t="e">
        <f aca="false">IF($O$13="buy",1,-1)*( IF($K$13="call",B362*NORMDIST(I362,0,1,1) - $B$13*NORMDIST(J362,0,1,1),$B$13*NORMDIST(-J362,0,1,1) - B362*NORMDIST(-I362,0,1,1) ) - $G$13) * $P$13</f>
        <v>#N/A</v>
      </c>
      <c r="I362" s="26" t="e">
        <f aca="false">(LN(B362/$B$13)+($H$13^2/2)*($J$13))/($H$13*SQRT($J$13))</f>
        <v>#N/A</v>
      </c>
      <c r="J362" s="28" t="e">
        <f aca="false">I362 - $H$13*SQRT($J$13)</f>
        <v>#N/A</v>
      </c>
    </row>
    <row r="363" customFormat="false" ht="13.5" hidden="false" customHeight="true" outlineLevel="0" collapsed="false">
      <c r="B363" s="29" t="n">
        <f aca="false">B333</f>
        <v>68</v>
      </c>
      <c r="C363" s="25" t="e">
        <f aca="false">IF($O$13="sell",-1,1) *  IF($K$13="call",  NORMDIST(I363,0,1,1),  NORMDIST(I363,0,1,1)-1  ) * $P$13</f>
        <v>#N/A</v>
      </c>
      <c r="D363" s="25" t="e">
        <f aca="false">IF($O$13="sell",-1,1) * NORMDIST(I363,0,1,0)/(B363*$H$13*SQRT($J$13)) * $P$13</f>
        <v>#N/A</v>
      </c>
      <c r="E363" s="25" t="e">
        <f aca="false">IF($O$13="sell",-1,1) * (B363*NORMDIST(I363,0,1,0)*SQRT($J$13)/365) * $P$13</f>
        <v>#N/A</v>
      </c>
      <c r="F363" s="25" t="e">
        <f aca="false">IF($O$13="sell",-1,1) * (-(B363*NORMDIST(I363,0,1,0)*$H$13)/(2*SQRT($J$13))/365) *$P$13</f>
        <v>#N/A</v>
      </c>
      <c r="G363" s="25" t="e">
        <f aca="false">IF($O$13="buy",1,-1)*( IF($K$13="call",B363*NORMDIST(I363,0,1,1) - $B$13*NORMDIST(J363,0,1,1),$B$13*NORMDIST(-J363,0,1,1) - B363*NORMDIST(-I363,0,1,1) ) - $G$13) * $P$13</f>
        <v>#N/A</v>
      </c>
      <c r="I363" s="26" t="e">
        <f aca="false">(LN(B363/$B$13)+($H$13^2/2)*($J$13))/($H$13*SQRT($J$13))</f>
        <v>#N/A</v>
      </c>
      <c r="J363" s="28" t="e">
        <f aca="false">I363 - $H$13*SQRT($J$13)</f>
        <v>#N/A</v>
      </c>
    </row>
    <row r="364" customFormat="false" ht="13.5" hidden="false" customHeight="true" outlineLevel="0" collapsed="false">
      <c r="B364" s="29" t="n">
        <f aca="false">B334</f>
        <v>67</v>
      </c>
      <c r="C364" s="25" t="e">
        <f aca="false">IF($O$13="sell",-1,1) *  IF($K$13="call",  NORMDIST(I364,0,1,1),  NORMDIST(I364,0,1,1)-1  ) * $P$13</f>
        <v>#N/A</v>
      </c>
      <c r="D364" s="25" t="e">
        <f aca="false">IF($O$13="sell",-1,1) * NORMDIST(I364,0,1,0)/(B364*$H$13*SQRT($J$13)) * $P$13</f>
        <v>#N/A</v>
      </c>
      <c r="E364" s="25" t="e">
        <f aca="false">IF($O$13="sell",-1,1) * (B364*NORMDIST(I364,0,1,0)*SQRT($J$13)/365) * $P$13</f>
        <v>#N/A</v>
      </c>
      <c r="F364" s="25" t="e">
        <f aca="false">IF($O$13="sell",-1,1) * (-(B364*NORMDIST(I364,0,1,0)*$H$13)/(2*SQRT($J$13))/365) *$P$13</f>
        <v>#N/A</v>
      </c>
      <c r="G364" s="25" t="e">
        <f aca="false">IF($O$13="buy",1,-1)*( IF($K$13="call",B364*NORMDIST(I364,0,1,1) - $B$13*NORMDIST(J364,0,1,1),$B$13*NORMDIST(-J364,0,1,1) - B364*NORMDIST(-I364,0,1,1) ) - $G$13) * $P$13</f>
        <v>#N/A</v>
      </c>
      <c r="I364" s="26" t="e">
        <f aca="false">(LN(B364/$B$13)+($H$13^2/2)*($J$13))/($H$13*SQRT($J$13))</f>
        <v>#N/A</v>
      </c>
      <c r="J364" s="28" t="e">
        <f aca="false">I364 - $H$13*SQRT($J$13)</f>
        <v>#N/A</v>
      </c>
    </row>
    <row r="365" customFormat="false" ht="13.5" hidden="false" customHeight="true" outlineLevel="0" collapsed="false">
      <c r="B365" s="29" t="n">
        <f aca="false">B335</f>
        <v>66</v>
      </c>
      <c r="C365" s="25" t="e">
        <f aca="false">IF($O$13="sell",-1,1) *  IF($K$13="call",  NORMDIST(I365,0,1,1),  NORMDIST(I365,0,1,1)-1  ) * $P$13</f>
        <v>#N/A</v>
      </c>
      <c r="D365" s="25" t="e">
        <f aca="false">IF($O$13="sell",-1,1) * NORMDIST(I365,0,1,0)/(B365*$H$13*SQRT($J$13)) * $P$13</f>
        <v>#N/A</v>
      </c>
      <c r="E365" s="25" t="e">
        <f aca="false">IF($O$13="sell",-1,1) * (B365*NORMDIST(I365,0,1,0)*SQRT($J$13)/365) * $P$13</f>
        <v>#N/A</v>
      </c>
      <c r="F365" s="25" t="e">
        <f aca="false">IF($O$13="sell",-1,1) * (-(B365*NORMDIST(I365,0,1,0)*$H$13)/(2*SQRT($J$13))/365) *$P$13</f>
        <v>#N/A</v>
      </c>
      <c r="G365" s="25" t="e">
        <f aca="false">IF($O$13="buy",1,-1)*( IF($K$13="call",B365*NORMDIST(I365,0,1,1) - $B$13*NORMDIST(J365,0,1,1),$B$13*NORMDIST(-J365,0,1,1) - B365*NORMDIST(-I365,0,1,1) ) - $G$13) * $P$13</f>
        <v>#N/A</v>
      </c>
      <c r="I365" s="26" t="e">
        <f aca="false">(LN(B365/$B$13)+($H$13^2/2)*($J$13))/($H$13*SQRT($J$13))</f>
        <v>#N/A</v>
      </c>
      <c r="J365" s="28" t="e">
        <f aca="false">I365 - $H$13*SQRT($J$13)</f>
        <v>#N/A</v>
      </c>
    </row>
    <row r="366" customFormat="false" ht="13.5" hidden="false" customHeight="true" outlineLevel="0" collapsed="false">
      <c r="B366" s="29" t="n">
        <f aca="false">B336</f>
        <v>65</v>
      </c>
      <c r="C366" s="25" t="e">
        <f aca="false">IF($O$13="sell",-1,1) *  IF($K$13="call",  NORMDIST(I366,0,1,1),  NORMDIST(I366,0,1,1)-1  ) * $P$13</f>
        <v>#N/A</v>
      </c>
      <c r="D366" s="25" t="e">
        <f aca="false">IF($O$13="sell",-1,1) * NORMDIST(I366,0,1,0)/(B366*$H$13*SQRT($J$13)) * $P$13</f>
        <v>#N/A</v>
      </c>
      <c r="E366" s="25" t="e">
        <f aca="false">IF($O$13="sell",-1,1) * (B366*NORMDIST(I366,0,1,0)*SQRT($J$13)/365) * $P$13</f>
        <v>#N/A</v>
      </c>
      <c r="F366" s="25" t="e">
        <f aca="false">IF($O$13="sell",-1,1) * (-(B366*NORMDIST(I366,0,1,0)*$H$13)/(2*SQRT($J$13))/365) *$P$13</f>
        <v>#N/A</v>
      </c>
      <c r="G366" s="25" t="e">
        <f aca="false">IF($O$13="buy",1,-1)*( IF($K$13="call",B366*NORMDIST(I366,0,1,1) - $B$13*NORMDIST(J366,0,1,1),$B$13*NORMDIST(-J366,0,1,1) - B366*NORMDIST(-I366,0,1,1) ) - $G$13) * $P$13</f>
        <v>#N/A</v>
      </c>
      <c r="I366" s="26" t="e">
        <f aca="false">(LN(B366/$B$13)+($H$13^2/2)*($J$13))/($H$13*SQRT($J$13))</f>
        <v>#N/A</v>
      </c>
      <c r="J366" s="28" t="e">
        <f aca="false">I366 - $H$13*SQRT($J$13)</f>
        <v>#N/A</v>
      </c>
    </row>
    <row r="367" customFormat="false" ht="13.5" hidden="false" customHeight="true" outlineLevel="0" collapsed="false">
      <c r="B367" s="29" t="n">
        <f aca="false">B337</f>
        <v>64</v>
      </c>
      <c r="C367" s="25" t="e">
        <f aca="false">IF($O$13="sell",-1,1) *  IF($K$13="call",  NORMDIST(I367,0,1,1),  NORMDIST(I367,0,1,1)-1  ) * $P$13</f>
        <v>#N/A</v>
      </c>
      <c r="D367" s="25" t="e">
        <f aca="false">IF($O$13="sell",-1,1) * NORMDIST(I367,0,1,0)/(B367*$H$13*SQRT($J$13)) * $P$13</f>
        <v>#N/A</v>
      </c>
      <c r="E367" s="25" t="e">
        <f aca="false">IF($O$13="sell",-1,1) * (B367*NORMDIST(I367,0,1,0)*SQRT($J$13)/365) * $P$13</f>
        <v>#N/A</v>
      </c>
      <c r="F367" s="25" t="e">
        <f aca="false">IF($O$13="sell",-1,1) * (-(B367*NORMDIST(I367,0,1,0)*$H$13)/(2*SQRT($J$13))/365) *$P$13</f>
        <v>#N/A</v>
      </c>
      <c r="G367" s="25" t="e">
        <f aca="false">IF($O$13="buy",1,-1)*( IF($K$13="call",B367*NORMDIST(I367,0,1,1) - $B$13*NORMDIST(J367,0,1,1),$B$13*NORMDIST(-J367,0,1,1) - B367*NORMDIST(-I367,0,1,1) ) - $G$13) * $P$13</f>
        <v>#N/A</v>
      </c>
      <c r="I367" s="26" t="e">
        <f aca="false">(LN(B367/$B$13)+($H$13^2/2)*($J$13))/($H$13*SQRT($J$13))</f>
        <v>#N/A</v>
      </c>
      <c r="J367" s="28" t="e">
        <f aca="false">I367 - $H$13*SQRT($J$13)</f>
        <v>#N/A</v>
      </c>
    </row>
    <row r="368" customFormat="false" ht="13.5" hidden="false" customHeight="true" outlineLevel="0" collapsed="false">
      <c r="B368" s="29" t="n">
        <f aca="false">B338</f>
        <v>63</v>
      </c>
      <c r="C368" s="25" t="e">
        <f aca="false">IF($O$13="sell",-1,1) *  IF($K$13="call",  NORMDIST(I368,0,1,1),  NORMDIST(I368,0,1,1)-1  ) * $P$13</f>
        <v>#N/A</v>
      </c>
      <c r="D368" s="25" t="e">
        <f aca="false">IF($O$13="sell",-1,1) * NORMDIST(I368,0,1,0)/(B368*$H$13*SQRT($J$13)) * $P$13</f>
        <v>#N/A</v>
      </c>
      <c r="E368" s="25" t="e">
        <f aca="false">IF($O$13="sell",-1,1) * (B368*NORMDIST(I368,0,1,0)*SQRT($J$13)/365) * $P$13</f>
        <v>#N/A</v>
      </c>
      <c r="F368" s="25" t="e">
        <f aca="false">IF($O$13="sell",-1,1) * (-(B368*NORMDIST(I368,0,1,0)*$H$13)/(2*SQRT($J$13))/365) *$P$13</f>
        <v>#N/A</v>
      </c>
      <c r="G368" s="25" t="e">
        <f aca="false">IF($O$13="buy",1,-1)*( IF($K$13="call",B368*NORMDIST(I368,0,1,1) - $B$13*NORMDIST(J368,0,1,1),$B$13*NORMDIST(-J368,0,1,1) - B368*NORMDIST(-I368,0,1,1) ) - $G$13) * $P$13</f>
        <v>#N/A</v>
      </c>
      <c r="I368" s="26" t="e">
        <f aca="false">(LN(B368/$B$13)+($H$13^2/2)*($J$13))/($H$13*SQRT($J$13))</f>
        <v>#N/A</v>
      </c>
      <c r="J368" s="28" t="e">
        <f aca="false">I368 - $H$13*SQRT($J$13)</f>
        <v>#N/A</v>
      </c>
    </row>
    <row r="369" customFormat="false" ht="13.5" hidden="false" customHeight="true" outlineLevel="0" collapsed="false">
      <c r="B369" s="29" t="n">
        <f aca="false">B339</f>
        <v>62</v>
      </c>
      <c r="C369" s="25" t="e">
        <f aca="false">IF($O$13="sell",-1,1) *  IF($K$13="call",  NORMDIST(I369,0,1,1),  NORMDIST(I369,0,1,1)-1  ) * $P$13</f>
        <v>#N/A</v>
      </c>
      <c r="D369" s="25" t="e">
        <f aca="false">IF($O$13="sell",-1,1) * NORMDIST(I369,0,1,0)/(B369*$H$13*SQRT($J$13)) * $P$13</f>
        <v>#N/A</v>
      </c>
      <c r="E369" s="25" t="e">
        <f aca="false">IF($O$13="sell",-1,1) * (B369*NORMDIST(I369,0,1,0)*SQRT($J$13)/365) * $P$13</f>
        <v>#N/A</v>
      </c>
      <c r="F369" s="25" t="e">
        <f aca="false">IF($O$13="sell",-1,1) * (-(B369*NORMDIST(I369,0,1,0)*$H$13)/(2*SQRT($J$13))/365) *$P$13</f>
        <v>#N/A</v>
      </c>
      <c r="G369" s="25" t="e">
        <f aca="false">IF($O$13="buy",1,-1)*( IF($K$13="call",B369*NORMDIST(I369,0,1,1) - $B$13*NORMDIST(J369,0,1,1),$B$13*NORMDIST(-J369,0,1,1) - B369*NORMDIST(-I369,0,1,1) ) - $G$13) * $P$13</f>
        <v>#N/A</v>
      </c>
      <c r="I369" s="26" t="e">
        <f aca="false">(LN(B369/$B$13)+($H$13^2/2)*($J$13))/($H$13*SQRT($J$13))</f>
        <v>#N/A</v>
      </c>
      <c r="J369" s="28" t="e">
        <f aca="false">I369 - $H$13*SQRT($J$13)</f>
        <v>#N/A</v>
      </c>
    </row>
    <row r="370" customFormat="false" ht="13.5" hidden="false" customHeight="true" outlineLevel="0" collapsed="false">
      <c r="B370" s="29" t="n">
        <f aca="false">B340</f>
        <v>61</v>
      </c>
      <c r="C370" s="25" t="e">
        <f aca="false">IF($O$13="sell",-1,1) *  IF($K$13="call",  NORMDIST(I370,0,1,1),  NORMDIST(I370,0,1,1)-1  ) * $P$13</f>
        <v>#N/A</v>
      </c>
      <c r="D370" s="25" t="e">
        <f aca="false">IF($O$13="sell",-1,1) * NORMDIST(I370,0,1,0)/(B370*$H$13*SQRT($J$13)) * $P$13</f>
        <v>#N/A</v>
      </c>
      <c r="E370" s="25" t="e">
        <f aca="false">IF($O$13="sell",-1,1) * (B370*NORMDIST(I370,0,1,0)*SQRT($J$13)/365) * $P$13</f>
        <v>#N/A</v>
      </c>
      <c r="F370" s="25" t="e">
        <f aca="false">IF($O$13="sell",-1,1) * (-(B370*NORMDIST(I370,0,1,0)*$H$13)/(2*SQRT($J$13))/365) *$P$13</f>
        <v>#N/A</v>
      </c>
      <c r="G370" s="25" t="e">
        <f aca="false">IF($O$13="buy",1,-1)*( IF($K$13="call",B370*NORMDIST(I370,0,1,1) - $B$13*NORMDIST(J370,0,1,1),$B$13*NORMDIST(-J370,0,1,1) - B370*NORMDIST(-I370,0,1,1) ) - $G$13) * $P$13</f>
        <v>#N/A</v>
      </c>
      <c r="I370" s="26" t="e">
        <f aca="false">(LN(B370/$B$13)+($H$13^2/2)*($J$13))/($H$13*SQRT($J$13))</f>
        <v>#N/A</v>
      </c>
      <c r="J370" s="28" t="e">
        <f aca="false">I370 - $H$13*SQRT($J$13)</f>
        <v>#N/A</v>
      </c>
    </row>
    <row r="371" customFormat="false" ht="13.5" hidden="false" customHeight="true" outlineLevel="0" collapsed="false">
      <c r="B371" s="29" t="n">
        <f aca="false">B341</f>
        <v>60</v>
      </c>
      <c r="C371" s="25" t="e">
        <f aca="false">IF($O$13="sell",-1,1) *  IF($K$13="call",  NORMDIST(I371,0,1,1),  NORMDIST(I371,0,1,1)-1  ) * $P$13</f>
        <v>#N/A</v>
      </c>
      <c r="D371" s="25" t="e">
        <f aca="false">IF($O$13="sell",-1,1) * NORMDIST(I371,0,1,0)/(B371*$H$13*SQRT($J$13)) * $P$13</f>
        <v>#N/A</v>
      </c>
      <c r="E371" s="25" t="e">
        <f aca="false">IF($O$13="sell",-1,1) * (B371*NORMDIST(I371,0,1,0)*SQRT($J$13)/365) * $P$13</f>
        <v>#N/A</v>
      </c>
      <c r="F371" s="25" t="e">
        <f aca="false">IF($O$13="sell",-1,1) * (-(B371*NORMDIST(I371,0,1,0)*$H$13)/(2*SQRT($J$13))/365) *$P$13</f>
        <v>#N/A</v>
      </c>
      <c r="G371" s="25" t="e">
        <f aca="false">IF($O$13="buy",1,-1)*( IF($K$13="call",B371*NORMDIST(I371,0,1,1) - $B$13*NORMDIST(J371,0,1,1),$B$13*NORMDIST(-J371,0,1,1) - B371*NORMDIST(-I371,0,1,1) ) - $G$13) * $P$13</f>
        <v>#N/A</v>
      </c>
      <c r="I371" s="26" t="e">
        <f aca="false">(LN(B371/$B$13)+($H$13^2/2)*($J$13))/($H$13*SQRT($J$13))</f>
        <v>#N/A</v>
      </c>
      <c r="J371" s="28" t="e">
        <f aca="false">I371 - $H$13*SQRT($J$13)</f>
        <v>#N/A</v>
      </c>
    </row>
    <row r="372" customFormat="false" ht="13.5" hidden="false" customHeight="true" outlineLevel="0" collapsed="false">
      <c r="B372" s="29" t="n">
        <f aca="false">B342</f>
        <v>59</v>
      </c>
      <c r="C372" s="25" t="e">
        <f aca="false">IF($O$13="sell",-1,1) *  IF($K$13="call",  NORMDIST(I372,0,1,1),  NORMDIST(I372,0,1,1)-1  ) * $P$13</f>
        <v>#N/A</v>
      </c>
      <c r="D372" s="25" t="e">
        <f aca="false">IF($O$13="sell",-1,1) * NORMDIST(I372,0,1,0)/(B372*$H$13*SQRT($J$13)) * $P$13</f>
        <v>#N/A</v>
      </c>
      <c r="E372" s="25" t="e">
        <f aca="false">IF($O$13="sell",-1,1) * (B372*NORMDIST(I372,0,1,0)*SQRT($J$13)/365) * $P$13</f>
        <v>#N/A</v>
      </c>
      <c r="F372" s="25" t="e">
        <f aca="false">IF($O$13="sell",-1,1) * (-(B372*NORMDIST(I372,0,1,0)*$H$13)/(2*SQRT($J$13))/365) *$P$13</f>
        <v>#N/A</v>
      </c>
      <c r="G372" s="25" t="e">
        <f aca="false">IF($O$13="buy",1,-1)*( IF($K$13="call",B372*NORMDIST(I372,0,1,1) - $B$13*NORMDIST(J372,0,1,1),$B$13*NORMDIST(-J372,0,1,1) - B372*NORMDIST(-I372,0,1,1) ) - $G$13) * $P$13</f>
        <v>#N/A</v>
      </c>
      <c r="I372" s="26" t="e">
        <f aca="false">(LN(B372/$B$13)+($H$13^2/2)*($J$13))/($H$13*SQRT($J$13))</f>
        <v>#N/A</v>
      </c>
      <c r="J372" s="28" t="e">
        <f aca="false">I372 - $H$13*SQRT($J$13)</f>
        <v>#N/A</v>
      </c>
    </row>
    <row r="373" customFormat="false" ht="13.5" hidden="false" customHeight="true" outlineLevel="0" collapsed="false">
      <c r="B373" s="29" t="n">
        <f aca="false">B343</f>
        <v>58</v>
      </c>
      <c r="C373" s="25" t="e">
        <f aca="false">IF($O$13="sell",-1,1) *  IF($K$13="call",  NORMDIST(I373,0,1,1),  NORMDIST(I373,0,1,1)-1  ) * $P$13</f>
        <v>#N/A</v>
      </c>
      <c r="D373" s="25" t="e">
        <f aca="false">IF($O$13="sell",-1,1) * NORMDIST(I373,0,1,0)/(B373*$H$13*SQRT($J$13)) * $P$13</f>
        <v>#N/A</v>
      </c>
      <c r="E373" s="25" t="e">
        <f aca="false">IF($O$13="sell",-1,1) * (B373*NORMDIST(I373,0,1,0)*SQRT($J$13)/365) * $P$13</f>
        <v>#N/A</v>
      </c>
      <c r="F373" s="25" t="e">
        <f aca="false">IF($O$13="sell",-1,1) * (-(B373*NORMDIST(I373,0,1,0)*$H$13)/(2*SQRT($J$13))/365) *$P$13</f>
        <v>#N/A</v>
      </c>
      <c r="G373" s="25" t="e">
        <f aca="false">IF($O$13="buy",1,-1)*( IF($K$13="call",B373*NORMDIST(I373,0,1,1) - $B$13*NORMDIST(J373,0,1,1),$B$13*NORMDIST(-J373,0,1,1) - B373*NORMDIST(-I373,0,1,1) ) - $G$13) * $P$13</f>
        <v>#N/A</v>
      </c>
      <c r="I373" s="26" t="e">
        <f aca="false">(LN(B373/$B$13)+($H$13^2/2)*($J$13))/($H$13*SQRT($J$13))</f>
        <v>#N/A</v>
      </c>
      <c r="J373" s="28" t="e">
        <f aca="false">I373 - $H$13*SQRT($J$13)</f>
        <v>#N/A</v>
      </c>
    </row>
    <row r="374" customFormat="false" ht="13.5" hidden="false" customHeight="true" outlineLevel="0" collapsed="false">
      <c r="B374" s="29" t="n">
        <f aca="false">B344</f>
        <v>57</v>
      </c>
      <c r="C374" s="25" t="e">
        <f aca="false">IF($O$13="sell",-1,1) *  IF($K$13="call",  NORMDIST(I374,0,1,1),  NORMDIST(I374,0,1,1)-1  ) * $P$13</f>
        <v>#N/A</v>
      </c>
      <c r="D374" s="25" t="e">
        <f aca="false">IF($O$13="sell",-1,1) * NORMDIST(I374,0,1,0)/(B374*$H$13*SQRT($J$13)) * $P$13</f>
        <v>#N/A</v>
      </c>
      <c r="E374" s="25" t="e">
        <f aca="false">IF($O$13="sell",-1,1) * (B374*NORMDIST(I374,0,1,0)*SQRT($J$13)/365) * $P$13</f>
        <v>#N/A</v>
      </c>
      <c r="F374" s="25" t="e">
        <f aca="false">IF($O$13="sell",-1,1) * (-(B374*NORMDIST(I374,0,1,0)*$H$13)/(2*SQRT($J$13))/365) *$P$13</f>
        <v>#N/A</v>
      </c>
      <c r="G374" s="25" t="e">
        <f aca="false">IF($O$13="buy",1,-1)*( IF($K$13="call",B374*NORMDIST(I374,0,1,1) - $B$13*NORMDIST(J374,0,1,1),$B$13*NORMDIST(-J374,0,1,1) - B374*NORMDIST(-I374,0,1,1) ) - $G$13) * $P$13</f>
        <v>#N/A</v>
      </c>
      <c r="I374" s="26" t="e">
        <f aca="false">(LN(B374/$B$13)+($H$13^2/2)*($J$13))/($H$13*SQRT($J$13))</f>
        <v>#N/A</v>
      </c>
      <c r="J374" s="28" t="e">
        <f aca="false">I374 - $H$13*SQRT($J$13)</f>
        <v>#N/A</v>
      </c>
    </row>
    <row r="375" customFormat="false" ht="13.5" hidden="false" customHeight="true" outlineLevel="0" collapsed="false">
      <c r="B375" s="30"/>
      <c r="C375" s="22"/>
      <c r="D375" s="22"/>
      <c r="E375" s="22"/>
      <c r="F375" s="22"/>
      <c r="G375" s="22"/>
      <c r="I375" s="31"/>
      <c r="J375" s="31"/>
    </row>
    <row r="376" customFormat="false" ht="13.5" hidden="false" customHeight="true" outlineLevel="0" collapsed="false">
      <c r="B376" s="30"/>
      <c r="C376" s="22"/>
      <c r="D376" s="22"/>
      <c r="E376" s="22"/>
      <c r="F376" s="22"/>
      <c r="G376" s="22"/>
      <c r="I376" s="31"/>
      <c r="J376" s="31"/>
    </row>
    <row r="377" customFormat="false" ht="13.5" hidden="false" customHeight="true" outlineLevel="0" collapsed="false">
      <c r="B377" s="23"/>
      <c r="C377" s="19" t="s">
        <v>13</v>
      </c>
      <c r="D377" s="19" t="s">
        <v>14</v>
      </c>
      <c r="E377" s="19" t="s">
        <v>15</v>
      </c>
      <c r="F377" s="19" t="s">
        <v>16</v>
      </c>
      <c r="G377" s="19" t="s">
        <v>17</v>
      </c>
      <c r="I377" s="19" t="s">
        <v>158</v>
      </c>
      <c r="J377" s="19" t="s">
        <v>159</v>
      </c>
    </row>
    <row r="378" customFormat="false" ht="13.5" hidden="false" customHeight="true" outlineLevel="0" collapsed="false">
      <c r="A378" s="2" t="str">
        <f aca="false">A14</f>
        <v>SOL-17APR26-78-P-USDT</v>
      </c>
      <c r="B378" s="29" t="n">
        <f aca="false">B348</f>
        <v>83</v>
      </c>
      <c r="C378" s="25" t="e">
        <f aca="false">IF($O$14="sell",-1,1) *  IF($K$14="call",  NORMDIST(I378,0,1,1),  NORMDIST(I378,0,1,1)-1  ) * $P$14</f>
        <v>#N/A</v>
      </c>
      <c r="D378" s="25" t="e">
        <f aca="false">IF($O$14="sell",-1,1) * NORMDIST(I378,0,1,0)/(B378*$H$14*SQRT($J$14)) * $P$14</f>
        <v>#N/A</v>
      </c>
      <c r="E378" s="25" t="e">
        <f aca="false">IF($O$14="sell",-1,1) * (B378*NORMDIST(I378,0,1,0)*SQRT($J$14)/365) * $P$14</f>
        <v>#N/A</v>
      </c>
      <c r="F378" s="25" t="e">
        <f aca="false">IF($O$14="sell",-1,1) * (-(B378*NORMDIST(I378,0,1,0)*$H$14)/(2*SQRT($J$14))/365) *$P$14</f>
        <v>#N/A</v>
      </c>
      <c r="G378" s="25" t="e">
        <f aca="false">IF($O$14="buy",1,-1)*( IF($K$14="call",B378*NORMDIST(I378,0,1,1) - $B$14*NORMDIST(J378,0,1,1),$B$14*NORMDIST(-J378,0,1,1) - B378*NORMDIST(-I378,0,1,1) ) - $G$14) * $P$14</f>
        <v>#N/A</v>
      </c>
      <c r="I378" s="26" t="e">
        <f aca="false">(LN(B378/$B$14)+($H$14^2/2)*($J$14))/($H$14*SQRT($J$14))</f>
        <v>#N/A</v>
      </c>
      <c r="J378" s="28" t="e">
        <f aca="false">I378 - $H$14*SQRT($J$14)</f>
        <v>#N/A</v>
      </c>
    </row>
    <row r="379" customFormat="false" ht="13.5" hidden="false" customHeight="true" outlineLevel="0" collapsed="false">
      <c r="B379" s="29" t="n">
        <f aca="false">B349</f>
        <v>82</v>
      </c>
      <c r="C379" s="25" t="e">
        <f aca="false">IF($O$14="sell",-1,1) *  IF($K$14="call",  NORMDIST(I379,0,1,1),  NORMDIST(I379,0,1,1)-1  ) * $P$14</f>
        <v>#N/A</v>
      </c>
      <c r="D379" s="25" t="e">
        <f aca="false">IF($O$14="sell",-1,1) * NORMDIST(I379,0,1,0)/(B379*$H$14*SQRT($J$14)) * $P$14</f>
        <v>#N/A</v>
      </c>
      <c r="E379" s="25" t="e">
        <f aca="false">IF($O$14="sell",-1,1) * (B379*NORMDIST(I379,0,1,0)*SQRT($J$14)/365) * $P$14</f>
        <v>#N/A</v>
      </c>
      <c r="F379" s="25" t="e">
        <f aca="false">IF($O$14="sell",-1,1) * (-(B379*NORMDIST(I379,0,1,0)*$H$14)/(2*SQRT($J$14))/365) *$P$14</f>
        <v>#N/A</v>
      </c>
      <c r="G379" s="25" t="e">
        <f aca="false">IF($O$14="buy",1,-1)*( IF($K$14="call",B379*NORMDIST(I379,0,1,1) - $B$14*NORMDIST(J379,0,1,1),$B$14*NORMDIST(-J379,0,1,1) - B379*NORMDIST(-I379,0,1,1) ) - $G$14) * $P$14</f>
        <v>#N/A</v>
      </c>
      <c r="I379" s="26" t="e">
        <f aca="false">(LN(B379/$B$14)+($H$14^2/2)*($J$14))/($H$14*SQRT($J$14))</f>
        <v>#N/A</v>
      </c>
      <c r="J379" s="28" t="e">
        <f aca="false">I379 - $H$14*SQRT($J$14)</f>
        <v>#N/A</v>
      </c>
    </row>
    <row r="380" customFormat="false" ht="13.5" hidden="false" customHeight="true" outlineLevel="0" collapsed="false">
      <c r="B380" s="29" t="n">
        <f aca="false">B350</f>
        <v>81</v>
      </c>
      <c r="C380" s="25" t="e">
        <f aca="false">IF($O$14="sell",-1,1) *  IF($K$14="call",  NORMDIST(I380,0,1,1),  NORMDIST(I380,0,1,1)-1  ) * $P$14</f>
        <v>#N/A</v>
      </c>
      <c r="D380" s="25" t="e">
        <f aca="false">IF($O$14="sell",-1,1) * NORMDIST(I380,0,1,0)/(B380*$H$14*SQRT($J$14)) * $P$14</f>
        <v>#N/A</v>
      </c>
      <c r="E380" s="25" t="e">
        <f aca="false">IF($O$14="sell",-1,1) * (B380*NORMDIST(I380,0,1,0)*SQRT($J$14)/365) * $P$14</f>
        <v>#N/A</v>
      </c>
      <c r="F380" s="25" t="e">
        <f aca="false">IF($O$14="sell",-1,1) * (-(B380*NORMDIST(I380,0,1,0)*$H$14)/(2*SQRT($J$14))/365) *$P$14</f>
        <v>#N/A</v>
      </c>
      <c r="G380" s="25" t="e">
        <f aca="false">IF($O$14="buy",1,-1)*( IF($K$14="call",B380*NORMDIST(I380,0,1,1) - $B$14*NORMDIST(J380,0,1,1),$B$14*NORMDIST(-J380,0,1,1) - B380*NORMDIST(-I380,0,1,1) ) - $G$14) * $P$14</f>
        <v>#N/A</v>
      </c>
      <c r="I380" s="26" t="e">
        <f aca="false">(LN(B380/$B$14)+($H$14^2/2)*($J$14))/($H$14*SQRT($J$14))</f>
        <v>#N/A</v>
      </c>
      <c r="J380" s="28" t="e">
        <f aca="false">I380 - $H$14*SQRT($J$14)</f>
        <v>#N/A</v>
      </c>
    </row>
    <row r="381" customFormat="false" ht="13.5" hidden="false" customHeight="true" outlineLevel="0" collapsed="false">
      <c r="B381" s="29" t="n">
        <f aca="false">B351</f>
        <v>80</v>
      </c>
      <c r="C381" s="25" t="e">
        <f aca="false">IF($O$14="sell",-1,1) *  IF($K$14="call",  NORMDIST(I381,0,1,1),  NORMDIST(I381,0,1,1)-1  ) * $P$14</f>
        <v>#N/A</v>
      </c>
      <c r="D381" s="25" t="e">
        <f aca="false">IF($O$14="sell",-1,1) * NORMDIST(I381,0,1,0)/(B381*$H$14*SQRT($J$14)) * $P$14</f>
        <v>#N/A</v>
      </c>
      <c r="E381" s="25" t="e">
        <f aca="false">IF($O$14="sell",-1,1) * (B381*NORMDIST(I381,0,1,0)*SQRT($J$14)/365) * $P$14</f>
        <v>#N/A</v>
      </c>
      <c r="F381" s="25" t="e">
        <f aca="false">IF($O$14="sell",-1,1) * (-(B381*NORMDIST(I381,0,1,0)*$H$14)/(2*SQRT($J$14))/365) *$P$14</f>
        <v>#N/A</v>
      </c>
      <c r="G381" s="25" t="e">
        <f aca="false">IF($O$14="buy",1,-1)*( IF($K$14="call",B381*NORMDIST(I381,0,1,1) - $B$14*NORMDIST(J381,0,1,1),$B$14*NORMDIST(-J381,0,1,1) - B381*NORMDIST(-I381,0,1,1) ) - $G$14) * $P$14</f>
        <v>#N/A</v>
      </c>
      <c r="I381" s="26" t="e">
        <f aca="false">(LN(B381/$B$14)+($H$14^2/2)*($J$14))/($H$14*SQRT($J$14))</f>
        <v>#N/A</v>
      </c>
      <c r="J381" s="28" t="e">
        <f aca="false">I381 - $H$14*SQRT($J$14)</f>
        <v>#N/A</v>
      </c>
    </row>
    <row r="382" customFormat="false" ht="13.5" hidden="false" customHeight="true" outlineLevel="0" collapsed="false">
      <c r="B382" s="29" t="n">
        <f aca="false">B352</f>
        <v>79</v>
      </c>
      <c r="C382" s="25" t="e">
        <f aca="false">IF($O$14="sell",-1,1) *  IF($K$14="call",  NORMDIST(I382,0,1,1),  NORMDIST(I382,0,1,1)-1  ) * $P$14</f>
        <v>#N/A</v>
      </c>
      <c r="D382" s="25" t="e">
        <f aca="false">IF($O$14="sell",-1,1) * NORMDIST(I382,0,1,0)/(B382*$H$14*SQRT($J$14)) * $P$14</f>
        <v>#N/A</v>
      </c>
      <c r="E382" s="25" t="e">
        <f aca="false">IF($O$14="sell",-1,1) * (B382*NORMDIST(I382,0,1,0)*SQRT($J$14)/365) * $P$14</f>
        <v>#N/A</v>
      </c>
      <c r="F382" s="25" t="e">
        <f aca="false">IF($O$14="sell",-1,1) * (-(B382*NORMDIST(I382,0,1,0)*$H$14)/(2*SQRT($J$14))/365) *$P$14</f>
        <v>#N/A</v>
      </c>
      <c r="G382" s="25" t="e">
        <f aca="false">IF($O$14="buy",1,-1)*( IF($K$14="call",B382*NORMDIST(I382,0,1,1) - $B$14*NORMDIST(J382,0,1,1),$B$14*NORMDIST(-J382,0,1,1) - B382*NORMDIST(-I382,0,1,1) ) - $G$14) * $P$14</f>
        <v>#N/A</v>
      </c>
      <c r="I382" s="26" t="e">
        <f aca="false">(LN(B382/$B$14)+($H$14^2/2)*($J$14))/($H$14*SQRT($J$14))</f>
        <v>#N/A</v>
      </c>
      <c r="J382" s="28" t="e">
        <f aca="false">I382 - $H$14*SQRT($J$14)</f>
        <v>#N/A</v>
      </c>
    </row>
    <row r="383" customFormat="false" ht="13.5" hidden="false" customHeight="true" outlineLevel="0" collapsed="false">
      <c r="B383" s="29" t="n">
        <f aca="false">B353</f>
        <v>78</v>
      </c>
      <c r="C383" s="25" t="e">
        <f aca="false">IF($O$14="sell",-1,1) *  IF($K$14="call",  NORMDIST(I383,0,1,1),  NORMDIST(I383,0,1,1)-1  ) * $P$14</f>
        <v>#N/A</v>
      </c>
      <c r="D383" s="25" t="e">
        <f aca="false">IF($O$14="sell",-1,1) * NORMDIST(I383,0,1,0)/(B383*$H$14*SQRT($J$14)) * $P$14</f>
        <v>#N/A</v>
      </c>
      <c r="E383" s="25" t="e">
        <f aca="false">IF($O$14="sell",-1,1) * (B383*NORMDIST(I383,0,1,0)*SQRT($J$14)/365) * $P$14</f>
        <v>#N/A</v>
      </c>
      <c r="F383" s="25" t="e">
        <f aca="false">IF($O$14="sell",-1,1) * (-(B383*NORMDIST(I383,0,1,0)*$H$14)/(2*SQRT($J$14))/365) *$P$14</f>
        <v>#N/A</v>
      </c>
      <c r="G383" s="25" t="e">
        <f aca="false">IF($O$14="buy",1,-1)*( IF($K$14="call",B383*NORMDIST(I383,0,1,1) - $B$14*NORMDIST(J383,0,1,1),$B$14*NORMDIST(-J383,0,1,1) - B383*NORMDIST(-I383,0,1,1) ) - $G$14) * $P$14</f>
        <v>#N/A</v>
      </c>
      <c r="I383" s="26" t="e">
        <f aca="false">(LN(B383/$B$14)+($H$14^2/2)*($J$14))/($H$14*SQRT($J$14))</f>
        <v>#N/A</v>
      </c>
      <c r="J383" s="28" t="e">
        <f aca="false">I383 - $H$14*SQRT($J$14)</f>
        <v>#N/A</v>
      </c>
    </row>
    <row r="384" customFormat="false" ht="13.5" hidden="false" customHeight="true" outlineLevel="0" collapsed="false">
      <c r="B384" s="29" t="n">
        <f aca="false">B354</f>
        <v>77</v>
      </c>
      <c r="C384" s="25" t="e">
        <f aca="false">IF($O$14="sell",-1,1) *  IF($K$14="call",  NORMDIST(I384,0,1,1),  NORMDIST(I384,0,1,1)-1  ) * $P$14</f>
        <v>#N/A</v>
      </c>
      <c r="D384" s="25" t="e">
        <f aca="false">IF($O$14="sell",-1,1) * NORMDIST(I384,0,1,0)/(B384*$H$14*SQRT($J$14)) * $P$14</f>
        <v>#N/A</v>
      </c>
      <c r="E384" s="25" t="e">
        <f aca="false">IF($O$14="sell",-1,1) * (B384*NORMDIST(I384,0,1,0)*SQRT($J$14)/365) * $P$14</f>
        <v>#N/A</v>
      </c>
      <c r="F384" s="25" t="e">
        <f aca="false">IF($O$14="sell",-1,1) * (-(B384*NORMDIST(I384,0,1,0)*$H$14)/(2*SQRT($J$14))/365) *$P$14</f>
        <v>#N/A</v>
      </c>
      <c r="G384" s="25" t="e">
        <f aca="false">IF($O$14="buy",1,-1)*( IF($K$14="call",B384*NORMDIST(I384,0,1,1) - $B$14*NORMDIST(J384,0,1,1),$B$14*NORMDIST(-J384,0,1,1) - B384*NORMDIST(-I384,0,1,1) ) - $G$14) * $P$14</f>
        <v>#N/A</v>
      </c>
      <c r="I384" s="26" t="e">
        <f aca="false">(LN(B384/$B$14)+($H$14^2/2)*($J$14))/($H$14*SQRT($J$14))</f>
        <v>#N/A</v>
      </c>
      <c r="J384" s="28" t="e">
        <f aca="false">I384 - $H$14*SQRT($J$14)</f>
        <v>#N/A</v>
      </c>
    </row>
    <row r="385" customFormat="false" ht="13.5" hidden="false" customHeight="true" outlineLevel="0" collapsed="false">
      <c r="B385" s="29" t="n">
        <f aca="false">B355</f>
        <v>76</v>
      </c>
      <c r="C385" s="25" t="e">
        <f aca="false">IF($O$14="sell",-1,1) *  IF($K$14="call",  NORMDIST(I385,0,1,1),  NORMDIST(I385,0,1,1)-1  ) * $P$14</f>
        <v>#N/A</v>
      </c>
      <c r="D385" s="25" t="e">
        <f aca="false">IF($O$14="sell",-1,1) * NORMDIST(I385,0,1,0)/(B385*$H$14*SQRT($J$14)) * $P$14</f>
        <v>#N/A</v>
      </c>
      <c r="E385" s="25" t="e">
        <f aca="false">IF($O$14="sell",-1,1) * (B385*NORMDIST(I385,0,1,0)*SQRT($J$14)/365) * $P$14</f>
        <v>#N/A</v>
      </c>
      <c r="F385" s="25" t="e">
        <f aca="false">IF($O$14="sell",-1,1) * (-(B385*NORMDIST(I385,0,1,0)*$H$14)/(2*SQRT($J$14))/365) *$P$14</f>
        <v>#N/A</v>
      </c>
      <c r="G385" s="25" t="e">
        <f aca="false">IF($O$14="buy",1,-1)*( IF($K$14="call",B385*NORMDIST(I385,0,1,1) - $B$14*NORMDIST(J385,0,1,1),$B$14*NORMDIST(-J385,0,1,1) - B385*NORMDIST(-I385,0,1,1) ) - $G$14) * $P$14</f>
        <v>#N/A</v>
      </c>
      <c r="I385" s="26" t="e">
        <f aca="false">(LN(B385/$B$14)+($H$14^2/2)*($J$14))/($H$14*SQRT($J$14))</f>
        <v>#N/A</v>
      </c>
      <c r="J385" s="28" t="e">
        <f aca="false">I385 - $H$14*SQRT($J$14)</f>
        <v>#N/A</v>
      </c>
    </row>
    <row r="386" customFormat="false" ht="13.5" hidden="false" customHeight="true" outlineLevel="0" collapsed="false">
      <c r="B386" s="29" t="n">
        <f aca="false">B356</f>
        <v>75</v>
      </c>
      <c r="C386" s="25" t="e">
        <f aca="false">IF($O$14="sell",-1,1) *  IF($K$14="call",  NORMDIST(I386,0,1,1),  NORMDIST(I386,0,1,1)-1  ) * $P$14</f>
        <v>#N/A</v>
      </c>
      <c r="D386" s="25" t="e">
        <f aca="false">IF($O$14="sell",-1,1) * NORMDIST(I386,0,1,0)/(B386*$H$14*SQRT($J$14)) * $P$14</f>
        <v>#N/A</v>
      </c>
      <c r="E386" s="25" t="e">
        <f aca="false">IF($O$14="sell",-1,1) * (B386*NORMDIST(I386,0,1,0)*SQRT($J$14)/365) * $P$14</f>
        <v>#N/A</v>
      </c>
      <c r="F386" s="25" t="e">
        <f aca="false">IF($O$14="sell",-1,1) * (-(B386*NORMDIST(I386,0,1,0)*$H$14)/(2*SQRT($J$14))/365) *$P$14</f>
        <v>#N/A</v>
      </c>
      <c r="G386" s="25" t="e">
        <f aca="false">IF($O$14="buy",1,-1)*( IF($K$14="call",B386*NORMDIST(I386,0,1,1) - $B$14*NORMDIST(J386,0,1,1),$B$14*NORMDIST(-J386,0,1,1) - B386*NORMDIST(-I386,0,1,1) ) - $G$14) * $P$14</f>
        <v>#N/A</v>
      </c>
      <c r="I386" s="26" t="e">
        <f aca="false">(LN(B386/$B$14)+($H$14^2/2)*($J$14))/($H$14*SQRT($J$14))</f>
        <v>#N/A</v>
      </c>
      <c r="J386" s="28" t="e">
        <f aca="false">I386 - $H$14*SQRT($J$14)</f>
        <v>#N/A</v>
      </c>
    </row>
    <row r="387" customFormat="false" ht="13.5" hidden="false" customHeight="true" outlineLevel="0" collapsed="false">
      <c r="B387" s="29" t="n">
        <f aca="false">B357</f>
        <v>74</v>
      </c>
      <c r="C387" s="25" t="e">
        <f aca="false">IF($O$14="sell",-1,1) *  IF($K$14="call",  NORMDIST(I387,0,1,1),  NORMDIST(I387,0,1,1)-1  ) * $P$14</f>
        <v>#N/A</v>
      </c>
      <c r="D387" s="25" t="e">
        <f aca="false">IF($O$14="sell",-1,1) * NORMDIST(I387,0,1,0)/(B387*$H$14*SQRT($J$14)) * $P$14</f>
        <v>#N/A</v>
      </c>
      <c r="E387" s="25" t="e">
        <f aca="false">IF($O$14="sell",-1,1) * (B387*NORMDIST(I387,0,1,0)*SQRT($J$14)/365) * $P$14</f>
        <v>#N/A</v>
      </c>
      <c r="F387" s="25" t="e">
        <f aca="false">IF($O$14="sell",-1,1) * (-(B387*NORMDIST(I387,0,1,0)*$H$14)/(2*SQRT($J$14))/365) *$P$14</f>
        <v>#N/A</v>
      </c>
      <c r="G387" s="25" t="e">
        <f aca="false">IF($O$14="buy",1,-1)*( IF($K$14="call",B387*NORMDIST(I387,0,1,1) - $B$14*NORMDIST(J387,0,1,1),$B$14*NORMDIST(-J387,0,1,1) - B387*NORMDIST(-I387,0,1,1) ) - $G$14) * $P$14</f>
        <v>#N/A</v>
      </c>
      <c r="I387" s="26" t="e">
        <f aca="false">(LN(B387/$B$14)+($H$14^2/2)*($J$14))/($H$14*SQRT($J$14))</f>
        <v>#N/A</v>
      </c>
      <c r="J387" s="28" t="e">
        <f aca="false">I387 - $H$14*SQRT($J$14)</f>
        <v>#N/A</v>
      </c>
    </row>
    <row r="388" customFormat="false" ht="13.5" hidden="false" customHeight="true" outlineLevel="0" collapsed="false">
      <c r="B388" s="29" t="n">
        <f aca="false">B358</f>
        <v>73</v>
      </c>
      <c r="C388" s="25" t="e">
        <f aca="false">IF($O$14="sell",-1,1) *  IF($K$14="call",  NORMDIST(I388,0,1,1),  NORMDIST(I388,0,1,1)-1  ) * $P$14</f>
        <v>#N/A</v>
      </c>
      <c r="D388" s="25" t="e">
        <f aca="false">IF($O$14="sell",-1,1) * NORMDIST(I388,0,1,0)/(B388*$H$14*SQRT($J$14)) * $P$14</f>
        <v>#N/A</v>
      </c>
      <c r="E388" s="25" t="e">
        <f aca="false">IF($O$14="sell",-1,1) * (B388*NORMDIST(I388,0,1,0)*SQRT($J$14)/365) * $P$14</f>
        <v>#N/A</v>
      </c>
      <c r="F388" s="25" t="e">
        <f aca="false">IF($O$14="sell",-1,1) * (-(B388*NORMDIST(I388,0,1,0)*$H$14)/(2*SQRT($J$14))/365) *$P$14</f>
        <v>#N/A</v>
      </c>
      <c r="G388" s="25" t="e">
        <f aca="false">IF($O$14="buy",1,-1)*( IF($K$14="call",B388*NORMDIST(I388,0,1,1) - $B$14*NORMDIST(J388,0,1,1),$B$14*NORMDIST(-J388,0,1,1) - B388*NORMDIST(-I388,0,1,1) ) - $G$14) * $P$14</f>
        <v>#N/A</v>
      </c>
      <c r="I388" s="26" t="e">
        <f aca="false">(LN(B388/$B$14)+($H$14^2/2)*($J$14))/($H$14*SQRT($J$14))</f>
        <v>#N/A</v>
      </c>
      <c r="J388" s="28" t="e">
        <f aca="false">I388 - $H$14*SQRT($J$14)</f>
        <v>#N/A</v>
      </c>
    </row>
    <row r="389" customFormat="false" ht="13.5" hidden="false" customHeight="true" outlineLevel="0" collapsed="false">
      <c r="B389" s="29" t="n">
        <f aca="false">B359</f>
        <v>72</v>
      </c>
      <c r="C389" s="25" t="e">
        <f aca="false">IF($O$14="sell",-1,1) *  IF($K$14="call",  NORMDIST(I389,0,1,1),  NORMDIST(I389,0,1,1)-1  ) * $P$14</f>
        <v>#N/A</v>
      </c>
      <c r="D389" s="25" t="e">
        <f aca="false">IF($O$14="sell",-1,1) * NORMDIST(I389,0,1,0)/(B389*$H$14*SQRT($J$14)) * $P$14</f>
        <v>#N/A</v>
      </c>
      <c r="E389" s="25" t="e">
        <f aca="false">IF($O$14="sell",-1,1) * (B389*NORMDIST(I389,0,1,0)*SQRT($J$14)/365) * $P$14</f>
        <v>#N/A</v>
      </c>
      <c r="F389" s="25" t="e">
        <f aca="false">IF($O$14="sell",-1,1) * (-(B389*NORMDIST(I389,0,1,0)*$H$14)/(2*SQRT($J$14))/365) *$P$14</f>
        <v>#N/A</v>
      </c>
      <c r="G389" s="25" t="e">
        <f aca="false">IF($O$14="buy",1,-1)*( IF($K$14="call",B389*NORMDIST(I389,0,1,1) - $B$14*NORMDIST(J389,0,1,1),$B$14*NORMDIST(-J389,0,1,1) - B389*NORMDIST(-I389,0,1,1) ) - $G$14) * $P$14</f>
        <v>#N/A</v>
      </c>
      <c r="I389" s="26" t="e">
        <f aca="false">(LN(B389/$B$14)+($H$14^2/2)*($J$14))/($H$14*SQRT($J$14))</f>
        <v>#N/A</v>
      </c>
      <c r="J389" s="28" t="e">
        <f aca="false">I389 - $H$14*SQRT($J$14)</f>
        <v>#N/A</v>
      </c>
    </row>
    <row r="390" customFormat="false" ht="13.5" hidden="false" customHeight="true" outlineLevel="0" collapsed="false">
      <c r="B390" s="29" t="n">
        <f aca="false">B360</f>
        <v>71</v>
      </c>
      <c r="C390" s="25" t="e">
        <f aca="false">IF($O$14="sell",-1,1) *  IF($K$14="call",  NORMDIST(I390,0,1,1),  NORMDIST(I390,0,1,1)-1  ) * $P$14</f>
        <v>#N/A</v>
      </c>
      <c r="D390" s="25" t="e">
        <f aca="false">IF($O$14="sell",-1,1) * NORMDIST(I390,0,1,0)/(B390*$H$14*SQRT($J$14)) * $P$14</f>
        <v>#N/A</v>
      </c>
      <c r="E390" s="25" t="e">
        <f aca="false">IF($O$14="sell",-1,1) * (B390*NORMDIST(I390,0,1,0)*SQRT($J$14)/365) * $P$14</f>
        <v>#N/A</v>
      </c>
      <c r="F390" s="25" t="e">
        <f aca="false">IF($O$14="sell",-1,1) * (-(B390*NORMDIST(I390,0,1,0)*$H$14)/(2*SQRT($J$14))/365) *$P$14</f>
        <v>#N/A</v>
      </c>
      <c r="G390" s="25" t="e">
        <f aca="false">IF($O$14="buy",1,-1)*( IF($K$14="call",B390*NORMDIST(I390,0,1,1) - $B$14*NORMDIST(J390,0,1,1),$B$14*NORMDIST(-J390,0,1,1) - B390*NORMDIST(-I390,0,1,1) ) - $G$14) * $P$14</f>
        <v>#N/A</v>
      </c>
      <c r="I390" s="26" t="e">
        <f aca="false">(LN(B390/$B$14)+($H$14^2/2)*($J$14))/($H$14*SQRT($J$14))</f>
        <v>#N/A</v>
      </c>
      <c r="J390" s="28" t="e">
        <f aca="false">I390 - $H$14*SQRT($J$14)</f>
        <v>#N/A</v>
      </c>
    </row>
    <row r="391" customFormat="false" ht="13.5" hidden="false" customHeight="true" outlineLevel="0" collapsed="false">
      <c r="B391" s="29" t="n">
        <f aca="false">B361</f>
        <v>70</v>
      </c>
      <c r="C391" s="25" t="e">
        <f aca="false">IF($O$14="sell",-1,1) *  IF($K$14="call",  NORMDIST(I391,0,1,1),  NORMDIST(I391,0,1,1)-1  ) * $P$14</f>
        <v>#N/A</v>
      </c>
      <c r="D391" s="25" t="e">
        <f aca="false">IF($O$14="sell",-1,1) * NORMDIST(I391,0,1,0)/(B391*$H$14*SQRT($J$14)) * $P$14</f>
        <v>#N/A</v>
      </c>
      <c r="E391" s="25" t="e">
        <f aca="false">IF($O$14="sell",-1,1) * (B391*NORMDIST(I391,0,1,0)*SQRT($J$14)/365) * $P$14</f>
        <v>#N/A</v>
      </c>
      <c r="F391" s="25" t="e">
        <f aca="false">IF($O$14="sell",-1,1) * (-(B391*NORMDIST(I391,0,1,0)*$H$14)/(2*SQRT($J$14))/365) *$P$14</f>
        <v>#N/A</v>
      </c>
      <c r="G391" s="25" t="e">
        <f aca="false">IF($O$14="buy",1,-1)*( IF($K$14="call",B391*NORMDIST(I391,0,1,1) - $B$14*NORMDIST(J391,0,1,1),$B$14*NORMDIST(-J391,0,1,1) - B391*NORMDIST(-I391,0,1,1) ) - $G$14) * $P$14</f>
        <v>#N/A</v>
      </c>
      <c r="I391" s="26" t="e">
        <f aca="false">(LN(B391/$B$14)+($H$14^2/2)*($J$14))/($H$14*SQRT($J$14))</f>
        <v>#N/A</v>
      </c>
      <c r="J391" s="28" t="e">
        <f aca="false">I391 - $H$14*SQRT($J$14)</f>
        <v>#N/A</v>
      </c>
    </row>
    <row r="392" customFormat="false" ht="13.5" hidden="false" customHeight="true" outlineLevel="0" collapsed="false">
      <c r="B392" s="29" t="n">
        <f aca="false">B362</f>
        <v>69</v>
      </c>
      <c r="C392" s="25" t="e">
        <f aca="false">IF($O$14="sell",-1,1) *  IF($K$14="call",  NORMDIST(I392,0,1,1),  NORMDIST(I392,0,1,1)-1  ) * $P$14</f>
        <v>#N/A</v>
      </c>
      <c r="D392" s="25" t="e">
        <f aca="false">IF($O$14="sell",-1,1) * NORMDIST(I392,0,1,0)/(B392*$H$14*SQRT($J$14)) * $P$14</f>
        <v>#N/A</v>
      </c>
      <c r="E392" s="25" t="e">
        <f aca="false">IF($O$14="sell",-1,1) * (B392*NORMDIST(I392,0,1,0)*SQRT($J$14)/365) * $P$14</f>
        <v>#N/A</v>
      </c>
      <c r="F392" s="25" t="e">
        <f aca="false">IF($O$14="sell",-1,1) * (-(B392*NORMDIST(I392,0,1,0)*$H$14)/(2*SQRT($J$14))/365) *$P$14</f>
        <v>#N/A</v>
      </c>
      <c r="G392" s="25" t="e">
        <f aca="false">IF($O$14="buy",1,-1)*( IF($K$14="call",B392*NORMDIST(I392,0,1,1) - $B$14*NORMDIST(J392,0,1,1),$B$14*NORMDIST(-J392,0,1,1) - B392*NORMDIST(-I392,0,1,1) ) - $G$14) * $P$14</f>
        <v>#N/A</v>
      </c>
      <c r="I392" s="26" t="e">
        <f aca="false">(LN(B392/$B$14)+($H$14^2/2)*($J$14))/($H$14*SQRT($J$14))</f>
        <v>#N/A</v>
      </c>
      <c r="J392" s="28" t="e">
        <f aca="false">I392 - $H$14*SQRT($J$14)</f>
        <v>#N/A</v>
      </c>
    </row>
    <row r="393" customFormat="false" ht="13.5" hidden="false" customHeight="true" outlineLevel="0" collapsed="false">
      <c r="B393" s="29" t="n">
        <f aca="false">B363</f>
        <v>68</v>
      </c>
      <c r="C393" s="25" t="e">
        <f aca="false">IF($O$14="sell",-1,1) *  IF($K$14="call",  NORMDIST(I393,0,1,1),  NORMDIST(I393,0,1,1)-1  ) * $P$14</f>
        <v>#N/A</v>
      </c>
      <c r="D393" s="25" t="e">
        <f aca="false">IF($O$14="sell",-1,1) * NORMDIST(I393,0,1,0)/(B393*$H$14*SQRT($J$14)) * $P$14</f>
        <v>#N/A</v>
      </c>
      <c r="E393" s="25" t="e">
        <f aca="false">IF($O$14="sell",-1,1) * (B393*NORMDIST(I393,0,1,0)*SQRT($J$14)/365) * $P$14</f>
        <v>#N/A</v>
      </c>
      <c r="F393" s="25" t="e">
        <f aca="false">IF($O$14="sell",-1,1) * (-(B393*NORMDIST(I393,0,1,0)*$H$14)/(2*SQRT($J$14))/365) *$P$14</f>
        <v>#N/A</v>
      </c>
      <c r="G393" s="25" t="e">
        <f aca="false">IF($O$14="buy",1,-1)*( IF($K$14="call",B393*NORMDIST(I393,0,1,1) - $B$14*NORMDIST(J393,0,1,1),$B$14*NORMDIST(-J393,0,1,1) - B393*NORMDIST(-I393,0,1,1) ) - $G$14) * $P$14</f>
        <v>#N/A</v>
      </c>
      <c r="I393" s="26" t="e">
        <f aca="false">(LN(B393/$B$14)+($H$14^2/2)*($J$14))/($H$14*SQRT($J$14))</f>
        <v>#N/A</v>
      </c>
      <c r="J393" s="28" t="e">
        <f aca="false">I393 - $H$14*SQRT($J$14)</f>
        <v>#N/A</v>
      </c>
    </row>
    <row r="394" customFormat="false" ht="13.5" hidden="false" customHeight="true" outlineLevel="0" collapsed="false">
      <c r="B394" s="29" t="n">
        <f aca="false">B364</f>
        <v>67</v>
      </c>
      <c r="C394" s="25" t="e">
        <f aca="false">IF($O$14="sell",-1,1) *  IF($K$14="call",  NORMDIST(I394,0,1,1),  NORMDIST(I394,0,1,1)-1  ) * $P$14</f>
        <v>#N/A</v>
      </c>
      <c r="D394" s="25" t="e">
        <f aca="false">IF($O$14="sell",-1,1) * NORMDIST(I394,0,1,0)/(B394*$H$14*SQRT($J$14)) * $P$14</f>
        <v>#N/A</v>
      </c>
      <c r="E394" s="25" t="e">
        <f aca="false">IF($O$14="sell",-1,1) * (B394*NORMDIST(I394,0,1,0)*SQRT($J$14)/365) * $P$14</f>
        <v>#N/A</v>
      </c>
      <c r="F394" s="25" t="e">
        <f aca="false">IF($O$14="sell",-1,1) * (-(B394*NORMDIST(I394,0,1,0)*$H$14)/(2*SQRT($J$14))/365) *$P$14</f>
        <v>#N/A</v>
      </c>
      <c r="G394" s="25" t="e">
        <f aca="false">IF($O$14="buy",1,-1)*( IF($K$14="call",B394*NORMDIST(I394,0,1,1) - $B$14*NORMDIST(J394,0,1,1),$B$14*NORMDIST(-J394,0,1,1) - B394*NORMDIST(-I394,0,1,1) ) - $G$14) * $P$14</f>
        <v>#N/A</v>
      </c>
      <c r="I394" s="26" t="e">
        <f aca="false">(LN(B394/$B$14)+($H$14^2/2)*($J$14))/($H$14*SQRT($J$14))</f>
        <v>#N/A</v>
      </c>
      <c r="J394" s="28" t="e">
        <f aca="false">I394 - $H$14*SQRT($J$14)</f>
        <v>#N/A</v>
      </c>
    </row>
    <row r="395" customFormat="false" ht="13.5" hidden="false" customHeight="true" outlineLevel="0" collapsed="false">
      <c r="B395" s="29" t="n">
        <f aca="false">B365</f>
        <v>66</v>
      </c>
      <c r="C395" s="25" t="e">
        <f aca="false">IF($O$14="sell",-1,1) *  IF($K$14="call",  NORMDIST(I395,0,1,1),  NORMDIST(I395,0,1,1)-1  ) * $P$14</f>
        <v>#N/A</v>
      </c>
      <c r="D395" s="25" t="e">
        <f aca="false">IF($O$14="sell",-1,1) * NORMDIST(I395,0,1,0)/(B395*$H$14*SQRT($J$14)) * $P$14</f>
        <v>#N/A</v>
      </c>
      <c r="E395" s="25" t="e">
        <f aca="false">IF($O$14="sell",-1,1) * (B395*NORMDIST(I395,0,1,0)*SQRT($J$14)/365) * $P$14</f>
        <v>#N/A</v>
      </c>
      <c r="F395" s="25" t="e">
        <f aca="false">IF($O$14="sell",-1,1) * (-(B395*NORMDIST(I395,0,1,0)*$H$14)/(2*SQRT($J$14))/365) *$P$14</f>
        <v>#N/A</v>
      </c>
      <c r="G395" s="25" t="e">
        <f aca="false">IF($O$14="buy",1,-1)*( IF($K$14="call",B395*NORMDIST(I395,0,1,1) - $B$14*NORMDIST(J395,0,1,1),$B$14*NORMDIST(-J395,0,1,1) - B395*NORMDIST(-I395,0,1,1) ) - $G$14) * $P$14</f>
        <v>#N/A</v>
      </c>
      <c r="I395" s="26" t="e">
        <f aca="false">(LN(B395/$B$14)+($H$14^2/2)*($J$14))/($H$14*SQRT($J$14))</f>
        <v>#N/A</v>
      </c>
      <c r="J395" s="28" t="e">
        <f aca="false">I395 - $H$14*SQRT($J$14)</f>
        <v>#N/A</v>
      </c>
    </row>
    <row r="396" customFormat="false" ht="13.5" hidden="false" customHeight="true" outlineLevel="0" collapsed="false">
      <c r="B396" s="29" t="n">
        <f aca="false">B366</f>
        <v>65</v>
      </c>
      <c r="C396" s="25" t="e">
        <f aca="false">IF($O$14="sell",-1,1) *  IF($K$14="call",  NORMDIST(I396,0,1,1),  NORMDIST(I396,0,1,1)-1  ) * $P$14</f>
        <v>#N/A</v>
      </c>
      <c r="D396" s="25" t="e">
        <f aca="false">IF($O$14="sell",-1,1) * NORMDIST(I396,0,1,0)/(B396*$H$14*SQRT($J$14)) * $P$14</f>
        <v>#N/A</v>
      </c>
      <c r="E396" s="25" t="e">
        <f aca="false">IF($O$14="sell",-1,1) * (B396*NORMDIST(I396,0,1,0)*SQRT($J$14)/365) * $P$14</f>
        <v>#N/A</v>
      </c>
      <c r="F396" s="25" t="e">
        <f aca="false">IF($O$14="sell",-1,1) * (-(B396*NORMDIST(I396,0,1,0)*$H$14)/(2*SQRT($J$14))/365) *$P$14</f>
        <v>#N/A</v>
      </c>
      <c r="G396" s="25" t="e">
        <f aca="false">IF($O$14="buy",1,-1)*( IF($K$14="call",B396*NORMDIST(I396,0,1,1) - $B$14*NORMDIST(J396,0,1,1),$B$14*NORMDIST(-J396,0,1,1) - B396*NORMDIST(-I396,0,1,1) ) - $G$14) * $P$14</f>
        <v>#N/A</v>
      </c>
      <c r="I396" s="26" t="e">
        <f aca="false">(LN(B396/$B$14)+($H$14^2/2)*($J$14))/($H$14*SQRT($J$14))</f>
        <v>#N/A</v>
      </c>
      <c r="J396" s="28" t="e">
        <f aca="false">I396 - $H$14*SQRT($J$14)</f>
        <v>#N/A</v>
      </c>
    </row>
    <row r="397" customFormat="false" ht="13.5" hidden="false" customHeight="true" outlineLevel="0" collapsed="false">
      <c r="B397" s="29" t="n">
        <f aca="false">B367</f>
        <v>64</v>
      </c>
      <c r="C397" s="25" t="e">
        <f aca="false">IF($O$14="sell",-1,1) *  IF($K$14="call",  NORMDIST(I397,0,1,1),  NORMDIST(I397,0,1,1)-1  ) * $P$14</f>
        <v>#N/A</v>
      </c>
      <c r="D397" s="25" t="e">
        <f aca="false">IF($O$14="sell",-1,1) * NORMDIST(I397,0,1,0)/(B397*$H$14*SQRT($J$14)) * $P$14</f>
        <v>#N/A</v>
      </c>
      <c r="E397" s="25" t="e">
        <f aca="false">IF($O$14="sell",-1,1) * (B397*NORMDIST(I397,0,1,0)*SQRT($J$14)/365) * $P$14</f>
        <v>#N/A</v>
      </c>
      <c r="F397" s="25" t="e">
        <f aca="false">IF($O$14="sell",-1,1) * (-(B397*NORMDIST(I397,0,1,0)*$H$14)/(2*SQRT($J$14))/365) *$P$14</f>
        <v>#N/A</v>
      </c>
      <c r="G397" s="25" t="e">
        <f aca="false">IF($O$14="buy",1,-1)*( IF($K$14="call",B397*NORMDIST(I397,0,1,1) - $B$14*NORMDIST(J397,0,1,1),$B$14*NORMDIST(-J397,0,1,1) - B397*NORMDIST(-I397,0,1,1) ) - $G$14) * $P$14</f>
        <v>#N/A</v>
      </c>
      <c r="I397" s="26" t="e">
        <f aca="false">(LN(B397/$B$14)+($H$14^2/2)*($J$14))/($H$14*SQRT($J$14))</f>
        <v>#N/A</v>
      </c>
      <c r="J397" s="28" t="e">
        <f aca="false">I397 - $H$14*SQRT($J$14)</f>
        <v>#N/A</v>
      </c>
    </row>
    <row r="398" customFormat="false" ht="13.5" hidden="false" customHeight="true" outlineLevel="0" collapsed="false">
      <c r="B398" s="29" t="n">
        <f aca="false">B368</f>
        <v>63</v>
      </c>
      <c r="C398" s="25" t="e">
        <f aca="false">IF($O$14="sell",-1,1) *  IF($K$14="call",  NORMDIST(I398,0,1,1),  NORMDIST(I398,0,1,1)-1  ) * $P$14</f>
        <v>#N/A</v>
      </c>
      <c r="D398" s="25" t="e">
        <f aca="false">IF($O$14="sell",-1,1) * NORMDIST(I398,0,1,0)/(B398*$H$14*SQRT($J$14)) * $P$14</f>
        <v>#N/A</v>
      </c>
      <c r="E398" s="25" t="e">
        <f aca="false">IF($O$14="sell",-1,1) * (B398*NORMDIST(I398,0,1,0)*SQRT($J$14)/365) * $P$14</f>
        <v>#N/A</v>
      </c>
      <c r="F398" s="25" t="e">
        <f aca="false">IF($O$14="sell",-1,1) * (-(B398*NORMDIST(I398,0,1,0)*$H$14)/(2*SQRT($J$14))/365) *$P$14</f>
        <v>#N/A</v>
      </c>
      <c r="G398" s="25" t="e">
        <f aca="false">IF($O$14="buy",1,-1)*( IF($K$14="call",B398*NORMDIST(I398,0,1,1) - $B$14*NORMDIST(J398,0,1,1),$B$14*NORMDIST(-J398,0,1,1) - B398*NORMDIST(-I398,0,1,1) ) - $G$14) * $P$14</f>
        <v>#N/A</v>
      </c>
      <c r="I398" s="26" t="e">
        <f aca="false">(LN(B398/$B$14)+($H$14^2/2)*($J$14))/($H$14*SQRT($J$14))</f>
        <v>#N/A</v>
      </c>
      <c r="J398" s="28" t="e">
        <f aca="false">I398 - $H$14*SQRT($J$14)</f>
        <v>#N/A</v>
      </c>
    </row>
    <row r="399" customFormat="false" ht="13.5" hidden="false" customHeight="true" outlineLevel="0" collapsed="false">
      <c r="B399" s="29" t="n">
        <f aca="false">B369</f>
        <v>62</v>
      </c>
      <c r="C399" s="25" t="e">
        <f aca="false">IF($O$14="sell",-1,1) *  IF($K$14="call",  NORMDIST(I399,0,1,1),  NORMDIST(I399,0,1,1)-1  ) * $P$14</f>
        <v>#N/A</v>
      </c>
      <c r="D399" s="25" t="e">
        <f aca="false">IF($O$14="sell",-1,1) * NORMDIST(I399,0,1,0)/(B399*$H$14*SQRT($J$14)) * $P$14</f>
        <v>#N/A</v>
      </c>
      <c r="E399" s="25" t="e">
        <f aca="false">IF($O$14="sell",-1,1) * (B399*NORMDIST(I399,0,1,0)*SQRT($J$14)/365) * $P$14</f>
        <v>#N/A</v>
      </c>
      <c r="F399" s="25" t="e">
        <f aca="false">IF($O$14="sell",-1,1) * (-(B399*NORMDIST(I399,0,1,0)*$H$14)/(2*SQRT($J$14))/365) *$P$14</f>
        <v>#N/A</v>
      </c>
      <c r="G399" s="25" t="e">
        <f aca="false">IF($O$14="buy",1,-1)*( IF($K$14="call",B399*NORMDIST(I399,0,1,1) - $B$14*NORMDIST(J399,0,1,1),$B$14*NORMDIST(-J399,0,1,1) - B399*NORMDIST(-I399,0,1,1) ) - $G$14) * $P$14</f>
        <v>#N/A</v>
      </c>
      <c r="I399" s="26" t="e">
        <f aca="false">(LN(B399/$B$14)+($H$14^2/2)*($J$14))/($H$14*SQRT($J$14))</f>
        <v>#N/A</v>
      </c>
      <c r="J399" s="28" t="e">
        <f aca="false">I399 - $H$14*SQRT($J$14)</f>
        <v>#N/A</v>
      </c>
    </row>
    <row r="400" customFormat="false" ht="13.5" hidden="false" customHeight="true" outlineLevel="0" collapsed="false">
      <c r="B400" s="29" t="n">
        <f aca="false">B370</f>
        <v>61</v>
      </c>
      <c r="C400" s="25" t="e">
        <f aca="false">IF($O$14="sell",-1,1) *  IF($K$14="call",  NORMDIST(I400,0,1,1),  NORMDIST(I400,0,1,1)-1  ) * $P$14</f>
        <v>#N/A</v>
      </c>
      <c r="D400" s="25" t="e">
        <f aca="false">IF($O$14="sell",-1,1) * NORMDIST(I400,0,1,0)/(B400*$H$14*SQRT($J$14)) * $P$14</f>
        <v>#N/A</v>
      </c>
      <c r="E400" s="25" t="e">
        <f aca="false">IF($O$14="sell",-1,1) * (B400*NORMDIST(I400,0,1,0)*SQRT($J$14)/365) * $P$14</f>
        <v>#N/A</v>
      </c>
      <c r="F400" s="25" t="e">
        <f aca="false">IF($O$14="sell",-1,1) * (-(B400*NORMDIST(I400,0,1,0)*$H$14)/(2*SQRT($J$14))/365) *$P$14</f>
        <v>#N/A</v>
      </c>
      <c r="G400" s="25" t="e">
        <f aca="false">IF($O$14="buy",1,-1)*( IF($K$14="call",B400*NORMDIST(I400,0,1,1) - $B$14*NORMDIST(J400,0,1,1),$B$14*NORMDIST(-J400,0,1,1) - B400*NORMDIST(-I400,0,1,1) ) - $G$14) * $P$14</f>
        <v>#N/A</v>
      </c>
      <c r="I400" s="26" t="e">
        <f aca="false">(LN(B400/$B$14)+($H$14^2/2)*($J$14))/($H$14*SQRT($J$14))</f>
        <v>#N/A</v>
      </c>
      <c r="J400" s="28" t="e">
        <f aca="false">I400 - $H$14*SQRT($J$14)</f>
        <v>#N/A</v>
      </c>
    </row>
    <row r="401" customFormat="false" ht="13.5" hidden="false" customHeight="true" outlineLevel="0" collapsed="false">
      <c r="B401" s="29" t="n">
        <f aca="false">B371</f>
        <v>60</v>
      </c>
      <c r="C401" s="25" t="e">
        <f aca="false">IF($O$14="sell",-1,1) *  IF($K$14="call",  NORMDIST(I401,0,1,1),  NORMDIST(I401,0,1,1)-1  ) * $P$14</f>
        <v>#N/A</v>
      </c>
      <c r="D401" s="25" t="e">
        <f aca="false">IF($O$14="sell",-1,1) * NORMDIST(I401,0,1,0)/(B401*$H$14*SQRT($J$14)) * $P$14</f>
        <v>#N/A</v>
      </c>
      <c r="E401" s="25" t="e">
        <f aca="false">IF($O$14="sell",-1,1) * (B401*NORMDIST(I401,0,1,0)*SQRT($J$14)/365) * $P$14</f>
        <v>#N/A</v>
      </c>
      <c r="F401" s="25" t="e">
        <f aca="false">IF($O$14="sell",-1,1) * (-(B401*NORMDIST(I401,0,1,0)*$H$14)/(2*SQRT($J$14))/365) *$P$14</f>
        <v>#N/A</v>
      </c>
      <c r="G401" s="25" t="e">
        <f aca="false">IF($O$14="buy",1,-1)*( IF($K$14="call",B401*NORMDIST(I401,0,1,1) - $B$14*NORMDIST(J401,0,1,1),$B$14*NORMDIST(-J401,0,1,1) - B401*NORMDIST(-I401,0,1,1) ) - $G$14) * $P$14</f>
        <v>#N/A</v>
      </c>
      <c r="I401" s="26" t="e">
        <f aca="false">(LN(B401/$B$14)+($H$14^2/2)*($J$14))/($H$14*SQRT($J$14))</f>
        <v>#N/A</v>
      </c>
      <c r="J401" s="28" t="e">
        <f aca="false">I401 - $H$14*SQRT($J$14)</f>
        <v>#N/A</v>
      </c>
    </row>
    <row r="402" customFormat="false" ht="13.5" hidden="false" customHeight="true" outlineLevel="0" collapsed="false">
      <c r="B402" s="29" t="n">
        <f aca="false">B372</f>
        <v>59</v>
      </c>
      <c r="C402" s="25" t="e">
        <f aca="false">IF($O$14="sell",-1,1) *  IF($K$14="call",  NORMDIST(I402,0,1,1),  NORMDIST(I402,0,1,1)-1  ) * $P$14</f>
        <v>#N/A</v>
      </c>
      <c r="D402" s="25" t="e">
        <f aca="false">IF($O$14="sell",-1,1) * NORMDIST(I402,0,1,0)/(B402*$H$14*SQRT($J$14)) * $P$14</f>
        <v>#N/A</v>
      </c>
      <c r="E402" s="25" t="e">
        <f aca="false">IF($O$14="sell",-1,1) * (B402*NORMDIST(I402,0,1,0)*SQRT($J$14)/365) * $P$14</f>
        <v>#N/A</v>
      </c>
      <c r="F402" s="25" t="e">
        <f aca="false">IF($O$14="sell",-1,1) * (-(B402*NORMDIST(I402,0,1,0)*$H$14)/(2*SQRT($J$14))/365) *$P$14</f>
        <v>#N/A</v>
      </c>
      <c r="G402" s="25" t="e">
        <f aca="false">IF($O$14="buy",1,-1)*( IF($K$14="call",B402*NORMDIST(I402,0,1,1) - $B$14*NORMDIST(J402,0,1,1),$B$14*NORMDIST(-J402,0,1,1) - B402*NORMDIST(-I402,0,1,1) ) - $G$14) * $P$14</f>
        <v>#N/A</v>
      </c>
      <c r="I402" s="26" t="e">
        <f aca="false">(LN(B402/$B$14)+($H$14^2/2)*($J$14))/($H$14*SQRT($J$14))</f>
        <v>#N/A</v>
      </c>
      <c r="J402" s="28" t="e">
        <f aca="false">I402 - $H$14*SQRT($J$14)</f>
        <v>#N/A</v>
      </c>
    </row>
    <row r="403" customFormat="false" ht="13.5" hidden="false" customHeight="true" outlineLevel="0" collapsed="false">
      <c r="B403" s="29" t="n">
        <f aca="false">B373</f>
        <v>58</v>
      </c>
      <c r="C403" s="25" t="e">
        <f aca="false">IF($O$14="sell",-1,1) *  IF($K$14="call",  NORMDIST(I403,0,1,1),  NORMDIST(I403,0,1,1)-1  ) * $P$14</f>
        <v>#N/A</v>
      </c>
      <c r="D403" s="25" t="e">
        <f aca="false">IF($O$14="sell",-1,1) * NORMDIST(I403,0,1,0)/(B403*$H$14*SQRT($J$14)) * $P$14</f>
        <v>#N/A</v>
      </c>
      <c r="E403" s="25" t="e">
        <f aca="false">IF($O$14="sell",-1,1) * (B403*NORMDIST(I403,0,1,0)*SQRT($J$14)/365) * $P$14</f>
        <v>#N/A</v>
      </c>
      <c r="F403" s="25" t="e">
        <f aca="false">IF($O$14="sell",-1,1) * (-(B403*NORMDIST(I403,0,1,0)*$H$14)/(2*SQRT($J$14))/365) *$P$14</f>
        <v>#N/A</v>
      </c>
      <c r="G403" s="25" t="e">
        <f aca="false">IF($O$14="buy",1,-1)*( IF($K$14="call",B403*NORMDIST(I403,0,1,1) - $B$14*NORMDIST(J403,0,1,1),$B$14*NORMDIST(-J403,0,1,1) - B403*NORMDIST(-I403,0,1,1) ) - $G$14) * $P$14</f>
        <v>#N/A</v>
      </c>
      <c r="I403" s="26" t="e">
        <f aca="false">(LN(B403/$B$14)+($H$14^2/2)*($J$14))/($H$14*SQRT($J$14))</f>
        <v>#N/A</v>
      </c>
      <c r="J403" s="28" t="e">
        <f aca="false">I403 - $H$14*SQRT($J$14)</f>
        <v>#N/A</v>
      </c>
    </row>
    <row r="404" customFormat="false" ht="13.5" hidden="false" customHeight="true" outlineLevel="0" collapsed="false">
      <c r="B404" s="29" t="n">
        <f aca="false">B374</f>
        <v>57</v>
      </c>
      <c r="C404" s="25" t="e">
        <f aca="false">IF($O$14="sell",-1,1) *  IF($K$14="call",  NORMDIST(I404,0,1,1),  NORMDIST(I404,0,1,1)-1  ) * $P$14</f>
        <v>#N/A</v>
      </c>
      <c r="D404" s="25" t="e">
        <f aca="false">IF($O$14="sell",-1,1) * NORMDIST(I404,0,1,0)/(B404*$H$14*SQRT($J$14)) * $P$14</f>
        <v>#N/A</v>
      </c>
      <c r="E404" s="25" t="e">
        <f aca="false">IF($O$14="sell",-1,1) * (B404*NORMDIST(I404,0,1,0)*SQRT($J$14)/365) * $P$14</f>
        <v>#N/A</v>
      </c>
      <c r="F404" s="25" t="e">
        <f aca="false">IF($O$14="sell",-1,1) * (-(B404*NORMDIST(I404,0,1,0)*$H$14)/(2*SQRT($J$14))/365) *$P$14</f>
        <v>#N/A</v>
      </c>
      <c r="G404" s="25" t="e">
        <f aca="false">IF($O$14="buy",1,-1)*( IF($K$14="call",B404*NORMDIST(I404,0,1,1) - $B$14*NORMDIST(J404,0,1,1),$B$14*NORMDIST(-J404,0,1,1) - B404*NORMDIST(-I404,0,1,1) ) - $G$14) * $P$14</f>
        <v>#N/A</v>
      </c>
      <c r="I404" s="26" t="e">
        <f aca="false">(LN(B404/$B$14)+($H$14^2/2)*($J$14))/($H$14*SQRT($J$14))</f>
        <v>#N/A</v>
      </c>
      <c r="J404" s="28" t="e">
        <f aca="false">I404 - $H$14*SQRT($J$14)</f>
        <v>#N/A</v>
      </c>
    </row>
    <row r="405" customFormat="false" ht="13.5" hidden="false" customHeight="true" outlineLevel="0" collapsed="false">
      <c r="B405" s="30"/>
      <c r="C405" s="22"/>
      <c r="D405" s="22"/>
      <c r="E405" s="22"/>
      <c r="F405" s="22"/>
      <c r="G405" s="22"/>
      <c r="I405" s="31"/>
      <c r="J405" s="31"/>
    </row>
    <row r="406" customFormat="false" ht="13.5" hidden="false" customHeight="true" outlineLevel="0" collapsed="false">
      <c r="B406" s="30"/>
      <c r="C406" s="22"/>
      <c r="D406" s="22"/>
      <c r="E406" s="22"/>
      <c r="F406" s="22"/>
      <c r="G406" s="22"/>
      <c r="I406" s="31"/>
      <c r="J406" s="31"/>
    </row>
    <row r="407" customFormat="false" ht="13.5" hidden="false" customHeight="true" outlineLevel="0" collapsed="false">
      <c r="B407" s="23"/>
      <c r="C407" s="19" t="s">
        <v>13</v>
      </c>
      <c r="D407" s="19" t="s">
        <v>14</v>
      </c>
      <c r="E407" s="19" t="s">
        <v>15</v>
      </c>
      <c r="F407" s="19" t="s">
        <v>16</v>
      </c>
      <c r="G407" s="19" t="s">
        <v>17</v>
      </c>
      <c r="I407" s="19" t="s">
        <v>158</v>
      </c>
      <c r="J407" s="19" t="s">
        <v>159</v>
      </c>
    </row>
    <row r="408" customFormat="false" ht="13.5" hidden="false" customHeight="true" outlineLevel="0" collapsed="false">
      <c r="A408" s="2" t="str">
        <f aca="false">A15</f>
        <v>SOL-17APR26-80-P-USDT</v>
      </c>
      <c r="B408" s="29" t="n">
        <f aca="false">B378</f>
        <v>83</v>
      </c>
      <c r="C408" s="25" t="e">
        <f aca="false">IF($O$15="sell",-1,1) *  IF($K$15="call",  NORMDIST(I408,0,1,1),  NORMDIST(I408,0,1,1)-1  ) * $P$15</f>
        <v>#N/A</v>
      </c>
      <c r="D408" s="25" t="e">
        <f aca="false">IF($O$15="sell",-1,1) * NORMDIST(I408,0,1,0)/(B408*$H$15*SQRT($J$15)) * $P$15</f>
        <v>#N/A</v>
      </c>
      <c r="E408" s="25" t="e">
        <f aca="false">IF($O$15="sell",-1,1) * (B408*NORMDIST(I408,0,1,0)*SQRT($J$15)/365) * $P$15</f>
        <v>#N/A</v>
      </c>
      <c r="F408" s="25" t="e">
        <f aca="false">IF($O$15="sell",-1,1) * (-(B408*NORMDIST(I408,0,1,0)*$H$15)/(2*SQRT($J$15))/365) *$P$15</f>
        <v>#N/A</v>
      </c>
      <c r="G408" s="25" t="e">
        <f aca="false">IF($O$15="buy",1,-1)*( IF($K$15="call",B408*NORMDIST(I408,0,1,1) - $B$15*NORMDIST(J408,0,1,1),$B$15*NORMDIST(-J408,0,1,1) - B408*NORMDIST(-I408,0,1,1) ) - $G$15) * $P$15</f>
        <v>#N/A</v>
      </c>
      <c r="I408" s="26" t="e">
        <f aca="false">(LN(B408/$B$15)+($H$15^2/2)*($J$15))/($H$15*SQRT($J$15))</f>
        <v>#N/A</v>
      </c>
      <c r="J408" s="28" t="e">
        <f aca="false">I408 - $H$15*SQRT($J$15)</f>
        <v>#N/A</v>
      </c>
    </row>
    <row r="409" customFormat="false" ht="13.5" hidden="false" customHeight="true" outlineLevel="0" collapsed="false">
      <c r="B409" s="29" t="n">
        <f aca="false">B379</f>
        <v>82</v>
      </c>
      <c r="C409" s="25" t="e">
        <f aca="false">IF($O$15="sell",-1,1) *  IF($K$15="call",  NORMDIST(I409,0,1,1),  NORMDIST(I409,0,1,1)-1  ) * $P$15</f>
        <v>#N/A</v>
      </c>
      <c r="D409" s="25" t="e">
        <f aca="false">IF($O$15="sell",-1,1) * NORMDIST(I409,0,1,0)/(B409*$H$15*SQRT($J$15)) * $P$15</f>
        <v>#N/A</v>
      </c>
      <c r="E409" s="25" t="e">
        <f aca="false">IF($O$15="sell",-1,1) * (B409*NORMDIST(I409,0,1,0)*SQRT($J$15)/365) * $P$15</f>
        <v>#N/A</v>
      </c>
      <c r="F409" s="25" t="e">
        <f aca="false">IF($O$15="sell",-1,1) * (-(B409*NORMDIST(I409,0,1,0)*$H$15)/(2*SQRT($J$15))/365) *$P$15</f>
        <v>#N/A</v>
      </c>
      <c r="G409" s="25" t="e">
        <f aca="false">IF($O$15="buy",1,-1)*( IF($K$15="call",B409*NORMDIST(I409,0,1,1) - $B$15*NORMDIST(J409,0,1,1),$B$15*NORMDIST(-J409,0,1,1) - B409*NORMDIST(-I409,0,1,1) ) - $G$15) * $P$15</f>
        <v>#N/A</v>
      </c>
      <c r="I409" s="26" t="e">
        <f aca="false">(LN(B409/$B$15)+($H$15^2/2)*($J$15))/($H$15*SQRT($J$15))</f>
        <v>#N/A</v>
      </c>
      <c r="J409" s="28" t="e">
        <f aca="false">I409 - $H$15*SQRT($J$15)</f>
        <v>#N/A</v>
      </c>
    </row>
    <row r="410" customFormat="false" ht="13.5" hidden="false" customHeight="true" outlineLevel="0" collapsed="false">
      <c r="B410" s="29" t="n">
        <f aca="false">B380</f>
        <v>81</v>
      </c>
      <c r="C410" s="25" t="e">
        <f aca="false">IF($O$15="sell",-1,1) *  IF($K$15="call",  NORMDIST(I410,0,1,1),  NORMDIST(I410,0,1,1)-1  ) * $P$15</f>
        <v>#N/A</v>
      </c>
      <c r="D410" s="25" t="e">
        <f aca="false">IF($O$15="sell",-1,1) * NORMDIST(I410,0,1,0)/(B410*$H$15*SQRT($J$15)) * $P$15</f>
        <v>#N/A</v>
      </c>
      <c r="E410" s="25" t="e">
        <f aca="false">IF($O$15="sell",-1,1) * (B410*NORMDIST(I410,0,1,0)*SQRT($J$15)/365) * $P$15</f>
        <v>#N/A</v>
      </c>
      <c r="F410" s="25" t="e">
        <f aca="false">IF($O$15="sell",-1,1) * (-(B410*NORMDIST(I410,0,1,0)*$H$15)/(2*SQRT($J$15))/365) *$P$15</f>
        <v>#N/A</v>
      </c>
      <c r="G410" s="25" t="e">
        <f aca="false">IF($O$15="buy",1,-1)*( IF($K$15="call",B410*NORMDIST(I410,0,1,1) - $B$15*NORMDIST(J410,0,1,1),$B$15*NORMDIST(-J410,0,1,1) - B410*NORMDIST(-I410,0,1,1) ) - $G$15) * $P$15</f>
        <v>#N/A</v>
      </c>
      <c r="I410" s="26" t="e">
        <f aca="false">(LN(B410/$B$15)+($H$15^2/2)*($J$15))/($H$15*SQRT($J$15))</f>
        <v>#N/A</v>
      </c>
      <c r="J410" s="28" t="e">
        <f aca="false">I410 - $H$15*SQRT($J$15)</f>
        <v>#N/A</v>
      </c>
    </row>
    <row r="411" customFormat="false" ht="13.5" hidden="false" customHeight="true" outlineLevel="0" collapsed="false">
      <c r="B411" s="29" t="n">
        <f aca="false">B381</f>
        <v>80</v>
      </c>
      <c r="C411" s="25" t="e">
        <f aca="false">IF($O$15="sell",-1,1) *  IF($K$15="call",  NORMDIST(I411,0,1,1),  NORMDIST(I411,0,1,1)-1  ) * $P$15</f>
        <v>#N/A</v>
      </c>
      <c r="D411" s="25" t="e">
        <f aca="false">IF($O$15="sell",-1,1) * NORMDIST(I411,0,1,0)/(B411*$H$15*SQRT($J$15)) * $P$15</f>
        <v>#N/A</v>
      </c>
      <c r="E411" s="25" t="e">
        <f aca="false">IF($O$15="sell",-1,1) * (B411*NORMDIST(I411,0,1,0)*SQRT($J$15)/365) * $P$15</f>
        <v>#N/A</v>
      </c>
      <c r="F411" s="25" t="e">
        <f aca="false">IF($O$15="sell",-1,1) * (-(B411*NORMDIST(I411,0,1,0)*$H$15)/(2*SQRT($J$15))/365) *$P$15</f>
        <v>#N/A</v>
      </c>
      <c r="G411" s="25" t="e">
        <f aca="false">IF($O$15="buy",1,-1)*( IF($K$15="call",B411*NORMDIST(I411,0,1,1) - $B$15*NORMDIST(J411,0,1,1),$B$15*NORMDIST(-J411,0,1,1) - B411*NORMDIST(-I411,0,1,1) ) - $G$15) * $P$15</f>
        <v>#N/A</v>
      </c>
      <c r="I411" s="26" t="e">
        <f aca="false">(LN(B411/$B$15)+($H$15^2/2)*($J$15))/($H$15*SQRT($J$15))</f>
        <v>#N/A</v>
      </c>
      <c r="J411" s="28" t="e">
        <f aca="false">I411 - $H$15*SQRT($J$15)</f>
        <v>#N/A</v>
      </c>
    </row>
    <row r="412" customFormat="false" ht="13.5" hidden="false" customHeight="true" outlineLevel="0" collapsed="false">
      <c r="B412" s="29" t="n">
        <f aca="false">B382</f>
        <v>79</v>
      </c>
      <c r="C412" s="25" t="e">
        <f aca="false">IF($O$15="sell",-1,1) *  IF($K$15="call",  NORMDIST(I412,0,1,1),  NORMDIST(I412,0,1,1)-1  ) * $P$15</f>
        <v>#N/A</v>
      </c>
      <c r="D412" s="25" t="e">
        <f aca="false">IF($O$15="sell",-1,1) * NORMDIST(I412,0,1,0)/(B412*$H$15*SQRT($J$15)) * $P$15</f>
        <v>#N/A</v>
      </c>
      <c r="E412" s="25" t="e">
        <f aca="false">IF($O$15="sell",-1,1) * (B412*NORMDIST(I412,0,1,0)*SQRT($J$15)/365) * $P$15</f>
        <v>#N/A</v>
      </c>
      <c r="F412" s="25" t="e">
        <f aca="false">IF($O$15="sell",-1,1) * (-(B412*NORMDIST(I412,0,1,0)*$H$15)/(2*SQRT($J$15))/365) *$P$15</f>
        <v>#N/A</v>
      </c>
      <c r="G412" s="25" t="e">
        <f aca="false">IF($O$15="buy",1,-1)*( IF($K$15="call",B412*NORMDIST(I412,0,1,1) - $B$15*NORMDIST(J412,0,1,1),$B$15*NORMDIST(-J412,0,1,1) - B412*NORMDIST(-I412,0,1,1) ) - $G$15) * $P$15</f>
        <v>#N/A</v>
      </c>
      <c r="I412" s="26" t="e">
        <f aca="false">(LN(B412/$B$15)+($H$15^2/2)*($J$15))/($H$15*SQRT($J$15))</f>
        <v>#N/A</v>
      </c>
      <c r="J412" s="28" t="e">
        <f aca="false">I412 - $H$15*SQRT($J$15)</f>
        <v>#N/A</v>
      </c>
    </row>
    <row r="413" customFormat="false" ht="13.5" hidden="false" customHeight="true" outlineLevel="0" collapsed="false">
      <c r="B413" s="29" t="n">
        <f aca="false">B383</f>
        <v>78</v>
      </c>
      <c r="C413" s="25" t="e">
        <f aca="false">IF($O$15="sell",-1,1) *  IF($K$15="call",  NORMDIST(I413,0,1,1),  NORMDIST(I413,0,1,1)-1  ) * $P$15</f>
        <v>#N/A</v>
      </c>
      <c r="D413" s="25" t="e">
        <f aca="false">IF($O$15="sell",-1,1) * NORMDIST(I413,0,1,0)/(B413*$H$15*SQRT($J$15)) * $P$15</f>
        <v>#N/A</v>
      </c>
      <c r="E413" s="25" t="e">
        <f aca="false">IF($O$15="sell",-1,1) * (B413*NORMDIST(I413,0,1,0)*SQRT($J$15)/365) * $P$15</f>
        <v>#N/A</v>
      </c>
      <c r="F413" s="25" t="e">
        <f aca="false">IF($O$15="sell",-1,1) * (-(B413*NORMDIST(I413,0,1,0)*$H$15)/(2*SQRT($J$15))/365) *$P$15</f>
        <v>#N/A</v>
      </c>
      <c r="G413" s="25" t="e">
        <f aca="false">IF($O$15="buy",1,-1)*( IF($K$15="call",B413*NORMDIST(I413,0,1,1) - $B$15*NORMDIST(J413,0,1,1),$B$15*NORMDIST(-J413,0,1,1) - B413*NORMDIST(-I413,0,1,1) ) - $G$15) * $P$15</f>
        <v>#N/A</v>
      </c>
      <c r="I413" s="26" t="e">
        <f aca="false">(LN(B413/$B$15)+($H$15^2/2)*($J$15))/($H$15*SQRT($J$15))</f>
        <v>#N/A</v>
      </c>
      <c r="J413" s="28" t="e">
        <f aca="false">I413 - $H$15*SQRT($J$15)</f>
        <v>#N/A</v>
      </c>
    </row>
    <row r="414" customFormat="false" ht="13.5" hidden="false" customHeight="true" outlineLevel="0" collapsed="false">
      <c r="B414" s="29" t="n">
        <f aca="false">B384</f>
        <v>77</v>
      </c>
      <c r="C414" s="25" t="e">
        <f aca="false">IF($O$15="sell",-1,1) *  IF($K$15="call",  NORMDIST(I414,0,1,1),  NORMDIST(I414,0,1,1)-1  ) * $P$15</f>
        <v>#N/A</v>
      </c>
      <c r="D414" s="25" t="e">
        <f aca="false">IF($O$15="sell",-1,1) * NORMDIST(I414,0,1,0)/(B414*$H$15*SQRT($J$15)) * $P$15</f>
        <v>#N/A</v>
      </c>
      <c r="E414" s="25" t="e">
        <f aca="false">IF($O$15="sell",-1,1) * (B414*NORMDIST(I414,0,1,0)*SQRT($J$15)/365) * $P$15</f>
        <v>#N/A</v>
      </c>
      <c r="F414" s="25" t="e">
        <f aca="false">IF($O$15="sell",-1,1) * (-(B414*NORMDIST(I414,0,1,0)*$H$15)/(2*SQRT($J$15))/365) *$P$15</f>
        <v>#N/A</v>
      </c>
      <c r="G414" s="25" t="e">
        <f aca="false">IF($O$15="buy",1,-1)*( IF($K$15="call",B414*NORMDIST(I414,0,1,1) - $B$15*NORMDIST(J414,0,1,1),$B$15*NORMDIST(-J414,0,1,1) - B414*NORMDIST(-I414,0,1,1) ) - $G$15) * $P$15</f>
        <v>#N/A</v>
      </c>
      <c r="I414" s="26" t="e">
        <f aca="false">(LN(B414/$B$15)+($H$15^2/2)*($J$15))/($H$15*SQRT($J$15))</f>
        <v>#N/A</v>
      </c>
      <c r="J414" s="28" t="e">
        <f aca="false">I414 - $H$15*SQRT($J$15)</f>
        <v>#N/A</v>
      </c>
    </row>
    <row r="415" customFormat="false" ht="13.5" hidden="false" customHeight="true" outlineLevel="0" collapsed="false">
      <c r="B415" s="29" t="n">
        <f aca="false">B385</f>
        <v>76</v>
      </c>
      <c r="C415" s="25" t="e">
        <f aca="false">IF($O$15="sell",-1,1) *  IF($K$15="call",  NORMDIST(I415,0,1,1),  NORMDIST(I415,0,1,1)-1  ) * $P$15</f>
        <v>#N/A</v>
      </c>
      <c r="D415" s="25" t="e">
        <f aca="false">IF($O$15="sell",-1,1) * NORMDIST(I415,0,1,0)/(B415*$H$15*SQRT($J$15)) * $P$15</f>
        <v>#N/A</v>
      </c>
      <c r="E415" s="25" t="e">
        <f aca="false">IF($O$15="sell",-1,1) * (B415*NORMDIST(I415,0,1,0)*SQRT($J$15)/365) * $P$15</f>
        <v>#N/A</v>
      </c>
      <c r="F415" s="25" t="e">
        <f aca="false">IF($O$15="sell",-1,1) * (-(B415*NORMDIST(I415,0,1,0)*$H$15)/(2*SQRT($J$15))/365) *$P$15</f>
        <v>#N/A</v>
      </c>
      <c r="G415" s="25" t="e">
        <f aca="false">IF($O$15="buy",1,-1)*( IF($K$15="call",B415*NORMDIST(I415,0,1,1) - $B$15*NORMDIST(J415,0,1,1),$B$15*NORMDIST(-J415,0,1,1) - B415*NORMDIST(-I415,0,1,1) ) - $G$15) * $P$15</f>
        <v>#N/A</v>
      </c>
      <c r="I415" s="26" t="e">
        <f aca="false">(LN(B415/$B$15)+($H$15^2/2)*($J$15))/($H$15*SQRT($J$15))</f>
        <v>#N/A</v>
      </c>
      <c r="J415" s="28" t="e">
        <f aca="false">I415 - $H$15*SQRT($J$15)</f>
        <v>#N/A</v>
      </c>
    </row>
    <row r="416" customFormat="false" ht="13.5" hidden="false" customHeight="true" outlineLevel="0" collapsed="false">
      <c r="B416" s="29" t="n">
        <f aca="false">B386</f>
        <v>75</v>
      </c>
      <c r="C416" s="25" t="e">
        <f aca="false">IF($O$15="sell",-1,1) *  IF($K$15="call",  NORMDIST(I416,0,1,1),  NORMDIST(I416,0,1,1)-1  ) * $P$15</f>
        <v>#N/A</v>
      </c>
      <c r="D416" s="25" t="e">
        <f aca="false">IF($O$15="sell",-1,1) * NORMDIST(I416,0,1,0)/(B416*$H$15*SQRT($J$15)) * $P$15</f>
        <v>#N/A</v>
      </c>
      <c r="E416" s="25" t="e">
        <f aca="false">IF($O$15="sell",-1,1) * (B416*NORMDIST(I416,0,1,0)*SQRT($J$15)/365) * $P$15</f>
        <v>#N/A</v>
      </c>
      <c r="F416" s="25" t="e">
        <f aca="false">IF($O$15="sell",-1,1) * (-(B416*NORMDIST(I416,0,1,0)*$H$15)/(2*SQRT($J$15))/365) *$P$15</f>
        <v>#N/A</v>
      </c>
      <c r="G416" s="25" t="e">
        <f aca="false">IF($O$15="buy",1,-1)*( IF($K$15="call",B416*NORMDIST(I416,0,1,1) - $B$15*NORMDIST(J416,0,1,1),$B$15*NORMDIST(-J416,0,1,1) - B416*NORMDIST(-I416,0,1,1) ) - $G$15) * $P$15</f>
        <v>#N/A</v>
      </c>
      <c r="I416" s="26" t="e">
        <f aca="false">(LN(B416/$B$15)+($H$15^2/2)*($J$15))/($H$15*SQRT($J$15))</f>
        <v>#N/A</v>
      </c>
      <c r="J416" s="28" t="e">
        <f aca="false">I416 - $H$15*SQRT($J$15)</f>
        <v>#N/A</v>
      </c>
    </row>
    <row r="417" customFormat="false" ht="13.5" hidden="false" customHeight="true" outlineLevel="0" collapsed="false">
      <c r="B417" s="29" t="n">
        <f aca="false">B387</f>
        <v>74</v>
      </c>
      <c r="C417" s="25" t="e">
        <f aca="false">IF($O$15="sell",-1,1) *  IF($K$15="call",  NORMDIST(I417,0,1,1),  NORMDIST(I417,0,1,1)-1  ) * $P$15</f>
        <v>#N/A</v>
      </c>
      <c r="D417" s="25" t="e">
        <f aca="false">IF($O$15="sell",-1,1) * NORMDIST(I417,0,1,0)/(B417*$H$15*SQRT($J$15)) * $P$15</f>
        <v>#N/A</v>
      </c>
      <c r="E417" s="25" t="e">
        <f aca="false">IF($O$15="sell",-1,1) * (B417*NORMDIST(I417,0,1,0)*SQRT($J$15)/365) * $P$15</f>
        <v>#N/A</v>
      </c>
      <c r="F417" s="25" t="e">
        <f aca="false">IF($O$15="sell",-1,1) * (-(B417*NORMDIST(I417,0,1,0)*$H$15)/(2*SQRT($J$15))/365) *$P$15</f>
        <v>#N/A</v>
      </c>
      <c r="G417" s="25" t="e">
        <f aca="false">IF($O$15="buy",1,-1)*( IF($K$15="call",B417*NORMDIST(I417,0,1,1) - $B$15*NORMDIST(J417,0,1,1),$B$15*NORMDIST(-J417,0,1,1) - B417*NORMDIST(-I417,0,1,1) ) - $G$15) * $P$15</f>
        <v>#N/A</v>
      </c>
      <c r="I417" s="26" t="e">
        <f aca="false">(LN(B417/$B$15)+($H$15^2/2)*($J$15))/($H$15*SQRT($J$15))</f>
        <v>#N/A</v>
      </c>
      <c r="J417" s="28" t="e">
        <f aca="false">I417 - $H$15*SQRT($J$15)</f>
        <v>#N/A</v>
      </c>
    </row>
    <row r="418" customFormat="false" ht="13.5" hidden="false" customHeight="true" outlineLevel="0" collapsed="false">
      <c r="B418" s="29" t="n">
        <f aca="false">B388</f>
        <v>73</v>
      </c>
      <c r="C418" s="25" t="e">
        <f aca="false">IF($O$15="sell",-1,1) *  IF($K$15="call",  NORMDIST(I418,0,1,1),  NORMDIST(I418,0,1,1)-1  ) * $P$15</f>
        <v>#N/A</v>
      </c>
      <c r="D418" s="25" t="e">
        <f aca="false">IF($O$15="sell",-1,1) * NORMDIST(I418,0,1,0)/(B418*$H$15*SQRT($J$15)) * $P$15</f>
        <v>#N/A</v>
      </c>
      <c r="E418" s="25" t="e">
        <f aca="false">IF($O$15="sell",-1,1) * (B418*NORMDIST(I418,0,1,0)*SQRT($J$15)/365) * $P$15</f>
        <v>#N/A</v>
      </c>
      <c r="F418" s="25" t="e">
        <f aca="false">IF($O$15="sell",-1,1) * (-(B418*NORMDIST(I418,0,1,0)*$H$15)/(2*SQRT($J$15))/365) *$P$15</f>
        <v>#N/A</v>
      </c>
      <c r="G418" s="25" t="e">
        <f aca="false">IF($O$15="buy",1,-1)*( IF($K$15="call",B418*NORMDIST(I418,0,1,1) - $B$15*NORMDIST(J418,0,1,1),$B$15*NORMDIST(-J418,0,1,1) - B418*NORMDIST(-I418,0,1,1) ) - $G$15) * $P$15</f>
        <v>#N/A</v>
      </c>
      <c r="I418" s="26" t="e">
        <f aca="false">(LN(B418/$B$15)+($H$15^2/2)*($J$15))/($H$15*SQRT($J$15))</f>
        <v>#N/A</v>
      </c>
      <c r="J418" s="28" t="e">
        <f aca="false">I418 - $H$15*SQRT($J$15)</f>
        <v>#N/A</v>
      </c>
    </row>
    <row r="419" customFormat="false" ht="13.5" hidden="false" customHeight="true" outlineLevel="0" collapsed="false">
      <c r="B419" s="29" t="n">
        <f aca="false">B389</f>
        <v>72</v>
      </c>
      <c r="C419" s="25" t="e">
        <f aca="false">IF($O$15="sell",-1,1) *  IF($K$15="call",  NORMDIST(I419,0,1,1),  NORMDIST(I419,0,1,1)-1  ) * $P$15</f>
        <v>#N/A</v>
      </c>
      <c r="D419" s="25" t="e">
        <f aca="false">IF($O$15="sell",-1,1) * NORMDIST(I419,0,1,0)/(B419*$H$15*SQRT($J$15)) * $P$15</f>
        <v>#N/A</v>
      </c>
      <c r="E419" s="25" t="e">
        <f aca="false">IF($O$15="sell",-1,1) * (B419*NORMDIST(I419,0,1,0)*SQRT($J$15)/365) * $P$15</f>
        <v>#N/A</v>
      </c>
      <c r="F419" s="25" t="e">
        <f aca="false">IF($O$15="sell",-1,1) * (-(B419*NORMDIST(I419,0,1,0)*$H$15)/(2*SQRT($J$15))/365) *$P$15</f>
        <v>#N/A</v>
      </c>
      <c r="G419" s="25" t="e">
        <f aca="false">IF($O$15="buy",1,-1)*( IF($K$15="call",B419*NORMDIST(I419,0,1,1) - $B$15*NORMDIST(J419,0,1,1),$B$15*NORMDIST(-J419,0,1,1) - B419*NORMDIST(-I419,0,1,1) ) - $G$15) * $P$15</f>
        <v>#N/A</v>
      </c>
      <c r="I419" s="26" t="e">
        <f aca="false">(LN(B419/$B$15)+($H$15^2/2)*($J$15))/($H$15*SQRT($J$15))</f>
        <v>#N/A</v>
      </c>
      <c r="J419" s="28" t="e">
        <f aca="false">I419 - $H$15*SQRT($J$15)</f>
        <v>#N/A</v>
      </c>
    </row>
    <row r="420" customFormat="false" ht="13.5" hidden="false" customHeight="true" outlineLevel="0" collapsed="false">
      <c r="B420" s="29" t="n">
        <f aca="false">B390</f>
        <v>71</v>
      </c>
      <c r="C420" s="25" t="e">
        <f aca="false">IF($O$15="sell",-1,1) *  IF($K$15="call",  NORMDIST(I420,0,1,1),  NORMDIST(I420,0,1,1)-1  ) * $P$15</f>
        <v>#N/A</v>
      </c>
      <c r="D420" s="25" t="e">
        <f aca="false">IF($O$15="sell",-1,1) * NORMDIST(I420,0,1,0)/(B420*$H$15*SQRT($J$15)) * $P$15</f>
        <v>#N/A</v>
      </c>
      <c r="E420" s="25" t="e">
        <f aca="false">IF($O$15="sell",-1,1) * (B420*NORMDIST(I420,0,1,0)*SQRT($J$15)/365) * $P$15</f>
        <v>#N/A</v>
      </c>
      <c r="F420" s="25" t="e">
        <f aca="false">IF($O$15="sell",-1,1) * (-(B420*NORMDIST(I420,0,1,0)*$H$15)/(2*SQRT($J$15))/365) *$P$15</f>
        <v>#N/A</v>
      </c>
      <c r="G420" s="25" t="e">
        <f aca="false">IF($O$15="buy",1,-1)*( IF($K$15="call",B420*NORMDIST(I420,0,1,1) - $B$15*NORMDIST(J420,0,1,1),$B$15*NORMDIST(-J420,0,1,1) - B420*NORMDIST(-I420,0,1,1) ) - $G$15) * $P$15</f>
        <v>#N/A</v>
      </c>
      <c r="I420" s="26" t="e">
        <f aca="false">(LN(B420/$B$15)+($H$15^2/2)*($J$15))/($H$15*SQRT($J$15))</f>
        <v>#N/A</v>
      </c>
      <c r="J420" s="28" t="e">
        <f aca="false">I420 - $H$15*SQRT($J$15)</f>
        <v>#N/A</v>
      </c>
    </row>
    <row r="421" customFormat="false" ht="13.5" hidden="false" customHeight="true" outlineLevel="0" collapsed="false">
      <c r="B421" s="29" t="n">
        <f aca="false">B391</f>
        <v>70</v>
      </c>
      <c r="C421" s="25" t="e">
        <f aca="false">IF($O$15="sell",-1,1) *  IF($K$15="call",  NORMDIST(I421,0,1,1),  NORMDIST(I421,0,1,1)-1  ) * $P$15</f>
        <v>#N/A</v>
      </c>
      <c r="D421" s="25" t="e">
        <f aca="false">IF($O$15="sell",-1,1) * NORMDIST(I421,0,1,0)/(B421*$H$15*SQRT($J$15)) * $P$15</f>
        <v>#N/A</v>
      </c>
      <c r="E421" s="25" t="e">
        <f aca="false">IF($O$15="sell",-1,1) * (B421*NORMDIST(I421,0,1,0)*SQRT($J$15)/365) * $P$15</f>
        <v>#N/A</v>
      </c>
      <c r="F421" s="25" t="e">
        <f aca="false">IF($O$15="sell",-1,1) * (-(B421*NORMDIST(I421,0,1,0)*$H$15)/(2*SQRT($J$15))/365) *$P$15</f>
        <v>#N/A</v>
      </c>
      <c r="G421" s="25" t="e">
        <f aca="false">IF($O$15="buy",1,-1)*( IF($K$15="call",B421*NORMDIST(I421,0,1,1) - $B$15*NORMDIST(J421,0,1,1),$B$15*NORMDIST(-J421,0,1,1) - B421*NORMDIST(-I421,0,1,1) ) - $G$15) * $P$15</f>
        <v>#N/A</v>
      </c>
      <c r="I421" s="26" t="e">
        <f aca="false">(LN(B421/$B$15)+($H$15^2/2)*($J$15))/($H$15*SQRT($J$15))</f>
        <v>#N/A</v>
      </c>
      <c r="J421" s="28" t="e">
        <f aca="false">I421 - $H$15*SQRT($J$15)</f>
        <v>#N/A</v>
      </c>
    </row>
    <row r="422" customFormat="false" ht="13.5" hidden="false" customHeight="true" outlineLevel="0" collapsed="false">
      <c r="B422" s="29" t="n">
        <f aca="false">B392</f>
        <v>69</v>
      </c>
      <c r="C422" s="25" t="e">
        <f aca="false">IF($O$15="sell",-1,1) *  IF($K$15="call",  NORMDIST(I422,0,1,1),  NORMDIST(I422,0,1,1)-1  ) * $P$15</f>
        <v>#N/A</v>
      </c>
      <c r="D422" s="25" t="e">
        <f aca="false">IF($O$15="sell",-1,1) * NORMDIST(I422,0,1,0)/(B422*$H$15*SQRT($J$15)) * $P$15</f>
        <v>#N/A</v>
      </c>
      <c r="E422" s="25" t="e">
        <f aca="false">IF($O$15="sell",-1,1) * (B422*NORMDIST(I422,0,1,0)*SQRT($J$15)/365) * $P$15</f>
        <v>#N/A</v>
      </c>
      <c r="F422" s="25" t="e">
        <f aca="false">IF($O$15="sell",-1,1) * (-(B422*NORMDIST(I422,0,1,0)*$H$15)/(2*SQRT($J$15))/365) *$P$15</f>
        <v>#N/A</v>
      </c>
      <c r="G422" s="25" t="e">
        <f aca="false">IF($O$15="buy",1,-1)*( IF($K$15="call",B422*NORMDIST(I422,0,1,1) - $B$15*NORMDIST(J422,0,1,1),$B$15*NORMDIST(-J422,0,1,1) - B422*NORMDIST(-I422,0,1,1) ) - $G$15) * $P$15</f>
        <v>#N/A</v>
      </c>
      <c r="I422" s="26" t="e">
        <f aca="false">(LN(B422/$B$15)+($H$15^2/2)*($J$15))/($H$15*SQRT($J$15))</f>
        <v>#N/A</v>
      </c>
      <c r="J422" s="28" t="e">
        <f aca="false">I422 - $H$15*SQRT($J$15)</f>
        <v>#N/A</v>
      </c>
    </row>
    <row r="423" customFormat="false" ht="13.5" hidden="false" customHeight="true" outlineLevel="0" collapsed="false">
      <c r="B423" s="29" t="n">
        <f aca="false">B393</f>
        <v>68</v>
      </c>
      <c r="C423" s="25" t="e">
        <f aca="false">IF($O$15="sell",-1,1) *  IF($K$15="call",  NORMDIST(I423,0,1,1),  NORMDIST(I423,0,1,1)-1  ) * $P$15</f>
        <v>#N/A</v>
      </c>
      <c r="D423" s="25" t="e">
        <f aca="false">IF($O$15="sell",-1,1) * NORMDIST(I423,0,1,0)/(B423*$H$15*SQRT($J$15)) * $P$15</f>
        <v>#N/A</v>
      </c>
      <c r="E423" s="25" t="e">
        <f aca="false">IF($O$15="sell",-1,1) * (B423*NORMDIST(I423,0,1,0)*SQRT($J$15)/365) * $P$15</f>
        <v>#N/A</v>
      </c>
      <c r="F423" s="25" t="e">
        <f aca="false">IF($O$15="sell",-1,1) * (-(B423*NORMDIST(I423,0,1,0)*$H$15)/(2*SQRT($J$15))/365) *$P$15</f>
        <v>#N/A</v>
      </c>
      <c r="G423" s="25" t="e">
        <f aca="false">IF($O$15="buy",1,-1)*( IF($K$15="call",B423*NORMDIST(I423,0,1,1) - $B$15*NORMDIST(J423,0,1,1),$B$15*NORMDIST(-J423,0,1,1) - B423*NORMDIST(-I423,0,1,1) ) - $G$15) * $P$15</f>
        <v>#N/A</v>
      </c>
      <c r="I423" s="26" t="e">
        <f aca="false">(LN(B423/$B$15)+($H$15^2/2)*($J$15))/($H$15*SQRT($J$15))</f>
        <v>#N/A</v>
      </c>
      <c r="J423" s="28" t="e">
        <f aca="false">I423 - $H$15*SQRT($J$15)</f>
        <v>#N/A</v>
      </c>
    </row>
    <row r="424" customFormat="false" ht="13.5" hidden="false" customHeight="true" outlineLevel="0" collapsed="false">
      <c r="B424" s="29" t="n">
        <f aca="false">B394</f>
        <v>67</v>
      </c>
      <c r="C424" s="25" t="e">
        <f aca="false">IF($O$15="sell",-1,1) *  IF($K$15="call",  NORMDIST(I424,0,1,1),  NORMDIST(I424,0,1,1)-1  ) * $P$15</f>
        <v>#N/A</v>
      </c>
      <c r="D424" s="25" t="e">
        <f aca="false">IF($O$15="sell",-1,1) * NORMDIST(I424,0,1,0)/(B424*$H$15*SQRT($J$15)) * $P$15</f>
        <v>#N/A</v>
      </c>
      <c r="E424" s="25" t="e">
        <f aca="false">IF($O$15="sell",-1,1) * (B424*NORMDIST(I424,0,1,0)*SQRT($J$15)/365) * $P$15</f>
        <v>#N/A</v>
      </c>
      <c r="F424" s="25" t="e">
        <f aca="false">IF($O$15="sell",-1,1) * (-(B424*NORMDIST(I424,0,1,0)*$H$15)/(2*SQRT($J$15))/365) *$P$15</f>
        <v>#N/A</v>
      </c>
      <c r="G424" s="25" t="e">
        <f aca="false">IF($O$15="buy",1,-1)*( IF($K$15="call",B424*NORMDIST(I424,0,1,1) - $B$15*NORMDIST(J424,0,1,1),$B$15*NORMDIST(-J424,0,1,1) - B424*NORMDIST(-I424,0,1,1) ) - $G$15) * $P$15</f>
        <v>#N/A</v>
      </c>
      <c r="I424" s="26" t="e">
        <f aca="false">(LN(B424/$B$15)+($H$15^2/2)*($J$15))/($H$15*SQRT($J$15))</f>
        <v>#N/A</v>
      </c>
      <c r="J424" s="28" t="e">
        <f aca="false">I424 - $H$15*SQRT($J$15)</f>
        <v>#N/A</v>
      </c>
    </row>
    <row r="425" customFormat="false" ht="13.5" hidden="false" customHeight="true" outlineLevel="0" collapsed="false">
      <c r="B425" s="29" t="n">
        <f aca="false">B395</f>
        <v>66</v>
      </c>
      <c r="C425" s="25" t="e">
        <f aca="false">IF($O$15="sell",-1,1) *  IF($K$15="call",  NORMDIST(I425,0,1,1),  NORMDIST(I425,0,1,1)-1  ) * $P$15</f>
        <v>#N/A</v>
      </c>
      <c r="D425" s="25" t="e">
        <f aca="false">IF($O$15="sell",-1,1) * NORMDIST(I425,0,1,0)/(B425*$H$15*SQRT($J$15)) * $P$15</f>
        <v>#N/A</v>
      </c>
      <c r="E425" s="25" t="e">
        <f aca="false">IF($O$15="sell",-1,1) * (B425*NORMDIST(I425,0,1,0)*SQRT($J$15)/365) * $P$15</f>
        <v>#N/A</v>
      </c>
      <c r="F425" s="25" t="e">
        <f aca="false">IF($O$15="sell",-1,1) * (-(B425*NORMDIST(I425,0,1,0)*$H$15)/(2*SQRT($J$15))/365) *$P$15</f>
        <v>#N/A</v>
      </c>
      <c r="G425" s="25" t="e">
        <f aca="false">IF($O$15="buy",1,-1)*( IF($K$15="call",B425*NORMDIST(I425,0,1,1) - $B$15*NORMDIST(J425,0,1,1),$B$15*NORMDIST(-J425,0,1,1) - B425*NORMDIST(-I425,0,1,1) ) - $G$15) * $P$15</f>
        <v>#N/A</v>
      </c>
      <c r="I425" s="26" t="e">
        <f aca="false">(LN(B425/$B$15)+($H$15^2/2)*($J$15))/($H$15*SQRT($J$15))</f>
        <v>#N/A</v>
      </c>
      <c r="J425" s="28" t="e">
        <f aca="false">I425 - $H$15*SQRT($J$15)</f>
        <v>#N/A</v>
      </c>
    </row>
    <row r="426" customFormat="false" ht="13.5" hidden="false" customHeight="true" outlineLevel="0" collapsed="false">
      <c r="B426" s="29" t="n">
        <f aca="false">B396</f>
        <v>65</v>
      </c>
      <c r="C426" s="25" t="e">
        <f aca="false">IF($O$15="sell",-1,1) *  IF($K$15="call",  NORMDIST(I426,0,1,1),  NORMDIST(I426,0,1,1)-1  ) * $P$15</f>
        <v>#N/A</v>
      </c>
      <c r="D426" s="25" t="e">
        <f aca="false">IF($O$15="sell",-1,1) * NORMDIST(I426,0,1,0)/(B426*$H$15*SQRT($J$15)) * $P$15</f>
        <v>#N/A</v>
      </c>
      <c r="E426" s="25" t="e">
        <f aca="false">IF($O$15="sell",-1,1) * (B426*NORMDIST(I426,0,1,0)*SQRT($J$15)/365) * $P$15</f>
        <v>#N/A</v>
      </c>
      <c r="F426" s="25" t="e">
        <f aca="false">IF($O$15="sell",-1,1) * (-(B426*NORMDIST(I426,0,1,0)*$H$15)/(2*SQRT($J$15))/365) *$P$15</f>
        <v>#N/A</v>
      </c>
      <c r="G426" s="25" t="e">
        <f aca="false">IF($O$15="buy",1,-1)*( IF($K$15="call",B426*NORMDIST(I426,0,1,1) - $B$15*NORMDIST(J426,0,1,1),$B$15*NORMDIST(-J426,0,1,1) - B426*NORMDIST(-I426,0,1,1) ) - $G$15) * $P$15</f>
        <v>#N/A</v>
      </c>
      <c r="I426" s="26" t="e">
        <f aca="false">(LN(B426/$B$15)+($H$15^2/2)*($J$15))/($H$15*SQRT($J$15))</f>
        <v>#N/A</v>
      </c>
      <c r="J426" s="28" t="e">
        <f aca="false">I426 - $H$15*SQRT($J$15)</f>
        <v>#N/A</v>
      </c>
    </row>
    <row r="427" customFormat="false" ht="13.5" hidden="false" customHeight="true" outlineLevel="0" collapsed="false">
      <c r="B427" s="29" t="n">
        <f aca="false">B397</f>
        <v>64</v>
      </c>
      <c r="C427" s="25" t="e">
        <f aca="false">IF($O$15="sell",-1,1) *  IF($K$15="call",  NORMDIST(I427,0,1,1),  NORMDIST(I427,0,1,1)-1  ) * $P$15</f>
        <v>#N/A</v>
      </c>
      <c r="D427" s="25" t="e">
        <f aca="false">IF($O$15="sell",-1,1) * NORMDIST(I427,0,1,0)/(B427*$H$15*SQRT($J$15)) * $P$15</f>
        <v>#N/A</v>
      </c>
      <c r="E427" s="25" t="e">
        <f aca="false">IF($O$15="sell",-1,1) * (B427*NORMDIST(I427,0,1,0)*SQRT($J$15)/365) * $P$15</f>
        <v>#N/A</v>
      </c>
      <c r="F427" s="25" t="e">
        <f aca="false">IF($O$15="sell",-1,1) * (-(B427*NORMDIST(I427,0,1,0)*$H$15)/(2*SQRT($J$15))/365) *$P$15</f>
        <v>#N/A</v>
      </c>
      <c r="G427" s="25" t="e">
        <f aca="false">IF($O$15="buy",1,-1)*( IF($K$15="call",B427*NORMDIST(I427,0,1,1) - $B$15*NORMDIST(J427,0,1,1),$B$15*NORMDIST(-J427,0,1,1) - B427*NORMDIST(-I427,0,1,1) ) - $G$15) * $P$15</f>
        <v>#N/A</v>
      </c>
      <c r="I427" s="26" t="e">
        <f aca="false">(LN(B427/$B$15)+($H$15^2/2)*($J$15))/($H$15*SQRT($J$15))</f>
        <v>#N/A</v>
      </c>
      <c r="J427" s="28" t="e">
        <f aca="false">I427 - $H$15*SQRT($J$15)</f>
        <v>#N/A</v>
      </c>
    </row>
    <row r="428" customFormat="false" ht="13.5" hidden="false" customHeight="true" outlineLevel="0" collapsed="false">
      <c r="B428" s="29" t="n">
        <f aca="false">B398</f>
        <v>63</v>
      </c>
      <c r="C428" s="25" t="e">
        <f aca="false">IF($O$15="sell",-1,1) *  IF($K$15="call",  NORMDIST(I428,0,1,1),  NORMDIST(I428,0,1,1)-1  ) * $P$15</f>
        <v>#N/A</v>
      </c>
      <c r="D428" s="25" t="e">
        <f aca="false">IF($O$15="sell",-1,1) * NORMDIST(I428,0,1,0)/(B428*$H$15*SQRT($J$15)) * $P$15</f>
        <v>#N/A</v>
      </c>
      <c r="E428" s="25" t="e">
        <f aca="false">IF($O$15="sell",-1,1) * (B428*NORMDIST(I428,0,1,0)*SQRT($J$15)/365) * $P$15</f>
        <v>#N/A</v>
      </c>
      <c r="F428" s="25" t="e">
        <f aca="false">IF($O$15="sell",-1,1) * (-(B428*NORMDIST(I428,0,1,0)*$H$15)/(2*SQRT($J$15))/365) *$P$15</f>
        <v>#N/A</v>
      </c>
      <c r="G428" s="25" t="e">
        <f aca="false">IF($O$15="buy",1,-1)*( IF($K$15="call",B428*NORMDIST(I428,0,1,1) - $B$15*NORMDIST(J428,0,1,1),$B$15*NORMDIST(-J428,0,1,1) - B428*NORMDIST(-I428,0,1,1) ) - $G$15) * $P$15</f>
        <v>#N/A</v>
      </c>
      <c r="I428" s="26" t="e">
        <f aca="false">(LN(B428/$B$15)+($H$15^2/2)*($J$15))/($H$15*SQRT($J$15))</f>
        <v>#N/A</v>
      </c>
      <c r="J428" s="28" t="e">
        <f aca="false">I428 - $H$15*SQRT($J$15)</f>
        <v>#N/A</v>
      </c>
    </row>
    <row r="429" customFormat="false" ht="13.5" hidden="false" customHeight="true" outlineLevel="0" collapsed="false">
      <c r="B429" s="29" t="n">
        <f aca="false">B399</f>
        <v>62</v>
      </c>
      <c r="C429" s="25" t="e">
        <f aca="false">IF($O$15="sell",-1,1) *  IF($K$15="call",  NORMDIST(I429,0,1,1),  NORMDIST(I429,0,1,1)-1  ) * $P$15</f>
        <v>#N/A</v>
      </c>
      <c r="D429" s="25" t="e">
        <f aca="false">IF($O$15="sell",-1,1) * NORMDIST(I429,0,1,0)/(B429*$H$15*SQRT($J$15)) * $P$15</f>
        <v>#N/A</v>
      </c>
      <c r="E429" s="25" t="e">
        <f aca="false">IF($O$15="sell",-1,1) * (B429*NORMDIST(I429,0,1,0)*SQRT($J$15)/365) * $P$15</f>
        <v>#N/A</v>
      </c>
      <c r="F429" s="25" t="e">
        <f aca="false">IF($O$15="sell",-1,1) * (-(B429*NORMDIST(I429,0,1,0)*$H$15)/(2*SQRT($J$15))/365) *$P$15</f>
        <v>#N/A</v>
      </c>
      <c r="G429" s="25" t="e">
        <f aca="false">IF($O$15="buy",1,-1)*( IF($K$15="call",B429*NORMDIST(I429,0,1,1) - $B$15*NORMDIST(J429,0,1,1),$B$15*NORMDIST(-J429,0,1,1) - B429*NORMDIST(-I429,0,1,1) ) - $G$15) * $P$15</f>
        <v>#N/A</v>
      </c>
      <c r="I429" s="26" t="e">
        <f aca="false">(LN(B429/$B$15)+($H$15^2/2)*($J$15))/($H$15*SQRT($J$15))</f>
        <v>#N/A</v>
      </c>
      <c r="J429" s="28" t="e">
        <f aca="false">I429 - $H$15*SQRT($J$15)</f>
        <v>#N/A</v>
      </c>
    </row>
    <row r="430" customFormat="false" ht="13.5" hidden="false" customHeight="true" outlineLevel="0" collapsed="false">
      <c r="B430" s="29" t="n">
        <f aca="false">B400</f>
        <v>61</v>
      </c>
      <c r="C430" s="25" t="e">
        <f aca="false">IF($O$15="sell",-1,1) *  IF($K$15="call",  NORMDIST(I430,0,1,1),  NORMDIST(I430,0,1,1)-1  ) * $P$15</f>
        <v>#N/A</v>
      </c>
      <c r="D430" s="25" t="e">
        <f aca="false">IF($O$15="sell",-1,1) * NORMDIST(I430,0,1,0)/(B430*$H$15*SQRT($J$15)) * $P$15</f>
        <v>#N/A</v>
      </c>
      <c r="E430" s="25" t="e">
        <f aca="false">IF($O$15="sell",-1,1) * (B430*NORMDIST(I430,0,1,0)*SQRT($J$15)/365) * $P$15</f>
        <v>#N/A</v>
      </c>
      <c r="F430" s="25" t="e">
        <f aca="false">IF($O$15="sell",-1,1) * (-(B430*NORMDIST(I430,0,1,0)*$H$15)/(2*SQRT($J$15))/365) *$P$15</f>
        <v>#N/A</v>
      </c>
      <c r="G430" s="25" t="e">
        <f aca="false">IF($O$15="buy",1,-1)*( IF($K$15="call",B430*NORMDIST(I430,0,1,1) - $B$15*NORMDIST(J430,0,1,1),$B$15*NORMDIST(-J430,0,1,1) - B430*NORMDIST(-I430,0,1,1) ) - $G$15) * $P$15</f>
        <v>#N/A</v>
      </c>
      <c r="I430" s="26" t="e">
        <f aca="false">(LN(B430/$B$15)+($H$15^2/2)*($J$15))/($H$15*SQRT($J$15))</f>
        <v>#N/A</v>
      </c>
      <c r="J430" s="28" t="e">
        <f aca="false">I430 - $H$15*SQRT($J$15)</f>
        <v>#N/A</v>
      </c>
    </row>
    <row r="431" customFormat="false" ht="13.5" hidden="false" customHeight="true" outlineLevel="0" collapsed="false">
      <c r="B431" s="29" t="n">
        <f aca="false">B401</f>
        <v>60</v>
      </c>
      <c r="C431" s="25" t="e">
        <f aca="false">IF($O$15="sell",-1,1) *  IF($K$15="call",  NORMDIST(I431,0,1,1),  NORMDIST(I431,0,1,1)-1  ) * $P$15</f>
        <v>#N/A</v>
      </c>
      <c r="D431" s="25" t="e">
        <f aca="false">IF($O$15="sell",-1,1) * NORMDIST(I431,0,1,0)/(B431*$H$15*SQRT($J$15)) * $P$15</f>
        <v>#N/A</v>
      </c>
      <c r="E431" s="25" t="e">
        <f aca="false">IF($O$15="sell",-1,1) * (B431*NORMDIST(I431,0,1,0)*SQRT($J$15)/365) * $P$15</f>
        <v>#N/A</v>
      </c>
      <c r="F431" s="25" t="e">
        <f aca="false">IF($O$15="sell",-1,1) * (-(B431*NORMDIST(I431,0,1,0)*$H$15)/(2*SQRT($J$15))/365) *$P$15</f>
        <v>#N/A</v>
      </c>
      <c r="G431" s="25" t="e">
        <f aca="false">IF($O$15="buy",1,-1)*( IF($K$15="call",B431*NORMDIST(I431,0,1,1) - $B$15*NORMDIST(J431,0,1,1),$B$15*NORMDIST(-J431,0,1,1) - B431*NORMDIST(-I431,0,1,1) ) - $G$15) * $P$15</f>
        <v>#N/A</v>
      </c>
      <c r="I431" s="26" t="e">
        <f aca="false">(LN(B431/$B$15)+($H$15^2/2)*($J$15))/($H$15*SQRT($J$15))</f>
        <v>#N/A</v>
      </c>
      <c r="J431" s="28" t="e">
        <f aca="false">I431 - $H$15*SQRT($J$15)</f>
        <v>#N/A</v>
      </c>
    </row>
    <row r="432" customFormat="false" ht="13.5" hidden="false" customHeight="true" outlineLevel="0" collapsed="false">
      <c r="B432" s="29" t="n">
        <f aca="false">B402</f>
        <v>59</v>
      </c>
      <c r="C432" s="25" t="e">
        <f aca="false">IF($O$15="sell",-1,1) *  IF($K$15="call",  NORMDIST(I432,0,1,1),  NORMDIST(I432,0,1,1)-1  ) * $P$15</f>
        <v>#N/A</v>
      </c>
      <c r="D432" s="25" t="e">
        <f aca="false">IF($O$15="sell",-1,1) * NORMDIST(I432,0,1,0)/(B432*$H$15*SQRT($J$15)) * $P$15</f>
        <v>#N/A</v>
      </c>
      <c r="E432" s="25" t="e">
        <f aca="false">IF($O$15="sell",-1,1) * (B432*NORMDIST(I432,0,1,0)*SQRT($J$15)/365) * $P$15</f>
        <v>#N/A</v>
      </c>
      <c r="F432" s="25" t="e">
        <f aca="false">IF($O$15="sell",-1,1) * (-(B432*NORMDIST(I432,0,1,0)*$H$15)/(2*SQRT($J$15))/365) *$P$15</f>
        <v>#N/A</v>
      </c>
      <c r="G432" s="25" t="e">
        <f aca="false">IF($O$15="buy",1,-1)*( IF($K$15="call",B432*NORMDIST(I432,0,1,1) - $B$15*NORMDIST(J432,0,1,1),$B$15*NORMDIST(-J432,0,1,1) - B432*NORMDIST(-I432,0,1,1) ) - $G$15) * $P$15</f>
        <v>#N/A</v>
      </c>
      <c r="I432" s="26" t="e">
        <f aca="false">(LN(B432/$B$15)+($H$15^2/2)*($J$15))/($H$15*SQRT($J$15))</f>
        <v>#N/A</v>
      </c>
      <c r="J432" s="28" t="e">
        <f aca="false">I432 - $H$15*SQRT($J$15)</f>
        <v>#N/A</v>
      </c>
    </row>
    <row r="433" customFormat="false" ht="13.5" hidden="false" customHeight="true" outlineLevel="0" collapsed="false">
      <c r="B433" s="29" t="n">
        <f aca="false">B403</f>
        <v>58</v>
      </c>
      <c r="C433" s="25" t="e">
        <f aca="false">IF($O$15="sell",-1,1) *  IF($K$15="call",  NORMDIST(I433,0,1,1),  NORMDIST(I433,0,1,1)-1  ) * $P$15</f>
        <v>#N/A</v>
      </c>
      <c r="D433" s="25" t="e">
        <f aca="false">IF($O$15="sell",-1,1) * NORMDIST(I433,0,1,0)/(B433*$H$15*SQRT($J$15)) * $P$15</f>
        <v>#N/A</v>
      </c>
      <c r="E433" s="25" t="e">
        <f aca="false">IF($O$15="sell",-1,1) * (B433*NORMDIST(I433,0,1,0)*SQRT($J$15)/365) * $P$15</f>
        <v>#N/A</v>
      </c>
      <c r="F433" s="25" t="e">
        <f aca="false">IF($O$15="sell",-1,1) * (-(B433*NORMDIST(I433,0,1,0)*$H$15)/(2*SQRT($J$15))/365) *$P$15</f>
        <v>#N/A</v>
      </c>
      <c r="G433" s="25" t="e">
        <f aca="false">IF($O$15="buy",1,-1)*( IF($K$15="call",B433*NORMDIST(I433,0,1,1) - $B$15*NORMDIST(J433,0,1,1),$B$15*NORMDIST(-J433,0,1,1) - B433*NORMDIST(-I433,0,1,1) ) - $G$15) * $P$15</f>
        <v>#N/A</v>
      </c>
      <c r="I433" s="26" t="e">
        <f aca="false">(LN(B433/$B$15)+($H$15^2/2)*($J$15))/($H$15*SQRT($J$15))</f>
        <v>#N/A</v>
      </c>
      <c r="J433" s="28" t="e">
        <f aca="false">I433 - $H$15*SQRT($J$15)</f>
        <v>#N/A</v>
      </c>
    </row>
    <row r="434" customFormat="false" ht="13.5" hidden="false" customHeight="true" outlineLevel="0" collapsed="false">
      <c r="B434" s="29" t="n">
        <f aca="false">B404</f>
        <v>57</v>
      </c>
      <c r="C434" s="25" t="e">
        <f aca="false">IF($O$15="sell",-1,1) *  IF($K$15="call",  NORMDIST(I434,0,1,1),  NORMDIST(I434,0,1,1)-1  ) * $P$15</f>
        <v>#N/A</v>
      </c>
      <c r="D434" s="25" t="e">
        <f aca="false">IF($O$15="sell",-1,1) * NORMDIST(I434,0,1,0)/(B434*$H$15*SQRT($J$15)) * $P$15</f>
        <v>#N/A</v>
      </c>
      <c r="E434" s="25" t="e">
        <f aca="false">IF($O$15="sell",-1,1) * (B434*NORMDIST(I434,0,1,0)*SQRT($J$15)/365) * $P$15</f>
        <v>#N/A</v>
      </c>
      <c r="F434" s="25" t="e">
        <f aca="false">IF($O$15="sell",-1,1) * (-(B434*NORMDIST(I434,0,1,0)*$H$15)/(2*SQRT($J$15))/365) *$P$15</f>
        <v>#N/A</v>
      </c>
      <c r="G434" s="25" t="e">
        <f aca="false">IF($O$15="buy",1,-1)*( IF($K$15="call",B434*NORMDIST(I434,0,1,1) - $B$15*NORMDIST(J434,0,1,1),$B$15*NORMDIST(-J434,0,1,1) - B434*NORMDIST(-I434,0,1,1) ) - $G$15) * $P$15</f>
        <v>#N/A</v>
      </c>
      <c r="I434" s="26" t="e">
        <f aca="false">(LN(B434/$B$15)+($H$15^2/2)*($J$15))/($H$15*SQRT($J$15))</f>
        <v>#N/A</v>
      </c>
      <c r="J434" s="28" t="e">
        <f aca="false">I434 - $H$15*SQRT($J$15)</f>
        <v>#N/A</v>
      </c>
    </row>
    <row r="435" customFormat="false" ht="13.5" hidden="false" customHeight="true" outlineLevel="0" collapsed="false">
      <c r="B435" s="30"/>
      <c r="C435" s="22"/>
      <c r="D435" s="22"/>
      <c r="E435" s="22"/>
      <c r="F435" s="22"/>
      <c r="G435" s="22"/>
      <c r="I435" s="31"/>
      <c r="J435" s="31"/>
    </row>
    <row r="436" customFormat="false" ht="13.5" hidden="false" customHeight="true" outlineLevel="0" collapsed="false">
      <c r="B436" s="30"/>
      <c r="C436" s="22"/>
      <c r="D436" s="22"/>
      <c r="E436" s="22"/>
      <c r="F436" s="22"/>
      <c r="G436" s="22"/>
      <c r="I436" s="31"/>
      <c r="J436" s="31"/>
    </row>
    <row r="437" customFormat="false" ht="17.25" hidden="false" customHeight="true" outlineLevel="0" collapsed="false">
      <c r="A437" s="2" t="s">
        <v>160</v>
      </c>
      <c r="B437" s="23"/>
      <c r="C437" s="19" t="s">
        <v>13</v>
      </c>
      <c r="D437" s="19" t="s">
        <v>14</v>
      </c>
      <c r="E437" s="19" t="s">
        <v>15</v>
      </c>
      <c r="F437" s="19" t="s">
        <v>16</v>
      </c>
      <c r="G437" s="19" t="s">
        <v>17</v>
      </c>
    </row>
    <row r="438" customFormat="false" ht="13.5" hidden="false" customHeight="true" outlineLevel="0" collapsed="false">
      <c r="B438" s="29" t="n">
        <f aca="false">B21</f>
        <v>83</v>
      </c>
      <c r="C438" s="25" t="e">
        <f aca="false">C21+C50+C79+C108+C138+C168+C198+C228+C258+C288+C318+C348+C378+C408</f>
        <v>#N/A</v>
      </c>
      <c r="D438" s="25" t="e">
        <f aca="false">D21+D50+D79+D108+D138+D168+D198+D228+D258+D288+D318+D348+D378+D408</f>
        <v>#N/A</v>
      </c>
      <c r="E438" s="25" t="e">
        <f aca="false">E21+E50+E79+E108+E138+E168+E198+E228+E258+E288+E318+E348+E378+E408</f>
        <v>#N/A</v>
      </c>
      <c r="F438" s="25" t="e">
        <f aca="false">F21+F50+F79+F108+F138+F168+F198+F228+F258+F288+F318+F348+F378+F408</f>
        <v>#N/A</v>
      </c>
      <c r="G438" s="25" t="e">
        <f aca="false">G21+G50+G79+G108+G138+G168+G198+G228+G258+G288+G318+G348+G378+G408</f>
        <v>#N/A</v>
      </c>
    </row>
    <row r="439" customFormat="false" ht="13.5" hidden="false" customHeight="true" outlineLevel="0" collapsed="false">
      <c r="B439" s="29" t="n">
        <f aca="false">B22</f>
        <v>82</v>
      </c>
      <c r="C439" s="25" t="e">
        <f aca="false">C22+C51+C80+C109+C139+C169+C199+C229+C259+C289+C319+C349+C379+C409</f>
        <v>#N/A</v>
      </c>
      <c r="D439" s="25" t="e">
        <f aca="false">D22+D51+D80+D109+D139+D169+D199+D229+D259+D289+D319+D349+D379+D409</f>
        <v>#N/A</v>
      </c>
      <c r="E439" s="25" t="e">
        <f aca="false">E22+E51+E80+E109+E139+E169+E199+E229+E259+E289+E319+E349+E379+E409</f>
        <v>#N/A</v>
      </c>
      <c r="F439" s="25" t="e">
        <f aca="false">F22+F51+F80+F109+F139+F169+F199+F229+F259+F289+F319+F349+F379+F409</f>
        <v>#N/A</v>
      </c>
      <c r="G439" s="25" t="e">
        <f aca="false">G22+G51+G80+G109+G139+G169+G199+G229+G259+G289+G319+G349+G379+G409</f>
        <v>#N/A</v>
      </c>
    </row>
    <row r="440" customFormat="false" ht="13.5" hidden="false" customHeight="true" outlineLevel="0" collapsed="false">
      <c r="B440" s="29" t="n">
        <f aca="false">B23</f>
        <v>81</v>
      </c>
      <c r="C440" s="25" t="e">
        <f aca="false">C23+C52+C81+C110+C140+C170+C200+C230+C260+C290+C320+C350+C380+C410</f>
        <v>#N/A</v>
      </c>
      <c r="D440" s="25" t="e">
        <f aca="false">D23+D52+D81+D110+D140+D170+D200+D230+D260+D290+D320+D350+D380+D410</f>
        <v>#N/A</v>
      </c>
      <c r="E440" s="25" t="e">
        <f aca="false">E23+E52+E81+E110+E140+E170+E200+E230+E260+E290+E320+E350+E380+E410</f>
        <v>#N/A</v>
      </c>
      <c r="F440" s="25" t="e">
        <f aca="false">F23+F52+F81+F110+F140+F170+F200+F230+F260+F290+F320+F350+F380+F410</f>
        <v>#N/A</v>
      </c>
      <c r="G440" s="25" t="e">
        <f aca="false">G23+G52+G81+G110+G140+G170+G200+G230+G260+G290+G320+G350+G380+G410</f>
        <v>#N/A</v>
      </c>
    </row>
    <row r="441" customFormat="false" ht="13.5" hidden="false" customHeight="true" outlineLevel="0" collapsed="false">
      <c r="B441" s="29" t="n">
        <f aca="false">B24</f>
        <v>80</v>
      </c>
      <c r="C441" s="25" t="e">
        <f aca="false">C24+C53+C82+C111+C141+C171+C201+C231+C261+C291+C321+C351+C381+C411</f>
        <v>#N/A</v>
      </c>
      <c r="D441" s="25" t="e">
        <f aca="false">D24+D53+D82+D111+D141+D171+D201+D231+D261+D291+D321+D351+D381+D411</f>
        <v>#N/A</v>
      </c>
      <c r="E441" s="25" t="e">
        <f aca="false">E24+E53+E82+E111+E141+E171+E201+E231+E261+E291+E321+E351+E381+E411</f>
        <v>#N/A</v>
      </c>
      <c r="F441" s="25" t="e">
        <f aca="false">F24+F53+F82+F111+F141+F171+F201+F231+F261+F291+F321+F351+F381+F411</f>
        <v>#N/A</v>
      </c>
      <c r="G441" s="25" t="e">
        <f aca="false">G24+G53+G82+G111+G141+G171+G201+G231+G261+G291+G321+G351+G381+G411</f>
        <v>#N/A</v>
      </c>
    </row>
    <row r="442" customFormat="false" ht="13.5" hidden="false" customHeight="true" outlineLevel="0" collapsed="false">
      <c r="B442" s="29" t="n">
        <f aca="false">B25</f>
        <v>79</v>
      </c>
      <c r="C442" s="25" t="e">
        <f aca="false">C25+C54+C83+C112+C142+C172+C202+C232+C262+C292+C322+C352+C382+C412</f>
        <v>#N/A</v>
      </c>
      <c r="D442" s="25" t="e">
        <f aca="false">D25+D54+D83+D112+D142+D172+D202+D232+D262+D292+D322+D352+D382+D412</f>
        <v>#N/A</v>
      </c>
      <c r="E442" s="25" t="e">
        <f aca="false">E25+E54+E83+E112+E142+E172+E202+E232+E262+E292+E322+E352+E382+E412</f>
        <v>#N/A</v>
      </c>
      <c r="F442" s="25" t="e">
        <f aca="false">F25+F54+F83+F112+F142+F172+F202+F232+F262+F292+F322+F352+F382+F412</f>
        <v>#N/A</v>
      </c>
      <c r="G442" s="25" t="e">
        <f aca="false">G25+G54+G83+G112+G142+G172+G202+G232+G262+G292+G322+G352+G382+G412</f>
        <v>#N/A</v>
      </c>
    </row>
    <row r="443" customFormat="false" ht="13.5" hidden="false" customHeight="true" outlineLevel="0" collapsed="false">
      <c r="B443" s="29" t="n">
        <f aca="false">B26</f>
        <v>78</v>
      </c>
      <c r="C443" s="25" t="e">
        <f aca="false">C26+C55+C84+C113+C143+C173+C203+C233+C263+C293+C323+C353+C383+C413</f>
        <v>#N/A</v>
      </c>
      <c r="D443" s="25" t="e">
        <f aca="false">D26+D55+D84+D113+D143+D173+D203+D233+D263+D293+D323+D353+D383+D413</f>
        <v>#N/A</v>
      </c>
      <c r="E443" s="25" t="e">
        <f aca="false">E26+E55+E84+E113+E143+E173+E203+E233+E263+E293+E323+E353+E383+E413</f>
        <v>#N/A</v>
      </c>
      <c r="F443" s="25" t="e">
        <f aca="false">F26+F55+F84+F113+F143+F173+F203+F233+F263+F293+F323+F353+F383+F413</f>
        <v>#N/A</v>
      </c>
      <c r="G443" s="25" t="e">
        <f aca="false">G26+G55+G84+G113+G143+G173+G203+G233+G263+G293+G323+G353+G383+G413</f>
        <v>#N/A</v>
      </c>
    </row>
    <row r="444" customFormat="false" ht="13.5" hidden="false" customHeight="true" outlineLevel="0" collapsed="false">
      <c r="B444" s="29" t="n">
        <f aca="false">B27</f>
        <v>77</v>
      </c>
      <c r="C444" s="25" t="e">
        <f aca="false">C27+C56+C85+C114+C144+C174+C204+C234+C264+C294+C324+C354+C384+C414</f>
        <v>#N/A</v>
      </c>
      <c r="D444" s="25" t="e">
        <f aca="false">D27+D56+D85+D114+D144+D174+D204+D234+D264+D294+D324+D354+D384+D414</f>
        <v>#N/A</v>
      </c>
      <c r="E444" s="25" t="e">
        <f aca="false">E27+E56+E85+E114+E144+E174+E204+E234+E264+E294+E324+E354+E384+E414</f>
        <v>#N/A</v>
      </c>
      <c r="F444" s="25" t="e">
        <f aca="false">F27+F56+F85+F114+F144+F174+F204+F234+F264+F294+F324+F354+F384+F414</f>
        <v>#N/A</v>
      </c>
      <c r="G444" s="25" t="e">
        <f aca="false">G27+G56+G85+G114+G144+G174+G204+G234+G264+G294+G324+G354+G384+G414</f>
        <v>#N/A</v>
      </c>
    </row>
    <row r="445" customFormat="false" ht="13.5" hidden="false" customHeight="true" outlineLevel="0" collapsed="false">
      <c r="B445" s="29" t="n">
        <f aca="false">B28</f>
        <v>76</v>
      </c>
      <c r="C445" s="25" t="e">
        <f aca="false">C28+C57+C86+C115+C145+C175+C205+C235+C265+C295+C325+C355+C385+C415</f>
        <v>#N/A</v>
      </c>
      <c r="D445" s="25" t="e">
        <f aca="false">D28+D57+D86+D115+D145+D175+D205+D235+D265+D295+D325+D355+D385+D415</f>
        <v>#N/A</v>
      </c>
      <c r="E445" s="25" t="e">
        <f aca="false">E28+E57+E86+E115+E145+E175+E205+E235+E265+E295+E325+E355+E385+E415</f>
        <v>#N/A</v>
      </c>
      <c r="F445" s="25" t="e">
        <f aca="false">F28+F57+F86+F115+F145+F175+F205+F235+F265+F295+F325+F355+F385+F415</f>
        <v>#N/A</v>
      </c>
      <c r="G445" s="25" t="e">
        <f aca="false">G28+G57+G86+G115+G145+G175+G205+G235+G265+G295+G325+G355+G385+G415</f>
        <v>#N/A</v>
      </c>
    </row>
    <row r="446" customFormat="false" ht="13.5" hidden="false" customHeight="true" outlineLevel="0" collapsed="false">
      <c r="B446" s="29" t="n">
        <f aca="false">B29</f>
        <v>75</v>
      </c>
      <c r="C446" s="25" t="e">
        <f aca="false">C29+C58+C87+C116+C146+C176+C206+C236+C266+C296+C326+C356+C386+C416</f>
        <v>#N/A</v>
      </c>
      <c r="D446" s="25" t="e">
        <f aca="false">D29+D58+D87+D116+D146+D176+D206+D236+D266+D296+D326+D356+D386+D416</f>
        <v>#N/A</v>
      </c>
      <c r="E446" s="25" t="e">
        <f aca="false">E29+E58+E87+E116+E146+E176+E206+E236+E266+E296+E326+E356+E386+E416</f>
        <v>#N/A</v>
      </c>
      <c r="F446" s="25" t="e">
        <f aca="false">F29+F58+F87+F116+F146+F176+F206+F236+F266+F296+F326+F356+F386+F416</f>
        <v>#N/A</v>
      </c>
      <c r="G446" s="25" t="e">
        <f aca="false">G29+G58+G87+G116+G146+G176+G206+G236+G266+G296+G326+G356+G386+G416</f>
        <v>#N/A</v>
      </c>
    </row>
    <row r="447" customFormat="false" ht="13.5" hidden="false" customHeight="true" outlineLevel="0" collapsed="false">
      <c r="B447" s="29" t="n">
        <f aca="false">B30</f>
        <v>74</v>
      </c>
      <c r="C447" s="25" t="e">
        <f aca="false">C30+C59+C88+C117+C147+C177+C207+C237+C267+C297+C327+C357+C387+C417</f>
        <v>#N/A</v>
      </c>
      <c r="D447" s="25" t="e">
        <f aca="false">D30+D59+D88+D117+D147+D177+D207+D237+D267+D297+D327+D357+D387+D417</f>
        <v>#N/A</v>
      </c>
      <c r="E447" s="25" t="e">
        <f aca="false">E30+E59+E88+E117+E147+E177+E207+E237+E267+E297+E327+E357+E387+E417</f>
        <v>#N/A</v>
      </c>
      <c r="F447" s="25" t="e">
        <f aca="false">F30+F59+F88+F117+F147+F177+F207+F237+F267+F297+F327+F357+F387+F417</f>
        <v>#N/A</v>
      </c>
      <c r="G447" s="25" t="e">
        <f aca="false">G30+G59+G88+G117+G147+G177+G207+G237+G267+G297+G327+G357+G387+G417</f>
        <v>#N/A</v>
      </c>
    </row>
    <row r="448" customFormat="false" ht="13.5" hidden="false" customHeight="true" outlineLevel="0" collapsed="false">
      <c r="B448" s="29" t="n">
        <f aca="false">B31</f>
        <v>73</v>
      </c>
      <c r="C448" s="25" t="e">
        <f aca="false">C31+C60+C89+C118+C148+C178+C208+C238+C268+C298+C328+C358+C388+C418</f>
        <v>#N/A</v>
      </c>
      <c r="D448" s="25" t="e">
        <f aca="false">D31+D60+D89+D118+D148+D178+D208+D238+D268+D298+D328+D358+D388+D418</f>
        <v>#N/A</v>
      </c>
      <c r="E448" s="25" t="e">
        <f aca="false">E31+E60+E89+E118+E148+E178+E208+E238+E268+E298+E328+E358+E388+E418</f>
        <v>#N/A</v>
      </c>
      <c r="F448" s="25" t="e">
        <f aca="false">F31+F60+F89+F118+F148+F178+F208+F238+F268+F298+F328+F358+F388+F418</f>
        <v>#N/A</v>
      </c>
      <c r="G448" s="25" t="e">
        <f aca="false">G31+G60+G89+G118+G148+G178+G208+G238+G268+G298+G328+G358+G388+G418</f>
        <v>#N/A</v>
      </c>
    </row>
    <row r="449" customFormat="false" ht="13.5" hidden="false" customHeight="true" outlineLevel="0" collapsed="false">
      <c r="B449" s="29" t="n">
        <f aca="false">B32</f>
        <v>72</v>
      </c>
      <c r="C449" s="25" t="e">
        <f aca="false">C32+C61+C90+C119+C149+C179+C209+C239+C269+C299+C329+C359+C389+C419</f>
        <v>#N/A</v>
      </c>
      <c r="D449" s="25" t="e">
        <f aca="false">D32+D61+D90+D119+D149+D179+D209+D239+D269+D299+D329+D359+D389+D419</f>
        <v>#N/A</v>
      </c>
      <c r="E449" s="25" t="e">
        <f aca="false">E32+E61+E90+E119+E149+E179+E209+E239+E269+E299+E329+E359+E389+E419</f>
        <v>#N/A</v>
      </c>
      <c r="F449" s="25" t="e">
        <f aca="false">F32+F61+F90+F119+F149+F179+F209+F239+F269+F299+F329+F359+F389+F419</f>
        <v>#N/A</v>
      </c>
      <c r="G449" s="25" t="e">
        <f aca="false">G32+G61+G90+G119+G149+G179+G209+G239+G269+G299+G329+G359+G389+G419</f>
        <v>#N/A</v>
      </c>
    </row>
    <row r="450" customFormat="false" ht="13.5" hidden="false" customHeight="true" outlineLevel="0" collapsed="false">
      <c r="B450" s="29" t="n">
        <f aca="false">B33</f>
        <v>71</v>
      </c>
      <c r="C450" s="25" t="e">
        <f aca="false">C33+C62+C91+C120+C150+C180+C210+C240+C270+C300+C330+C360+C390+C420</f>
        <v>#N/A</v>
      </c>
      <c r="D450" s="25" t="e">
        <f aca="false">D33+D62+D91+D120+D150+D180+D210+D240+D270+D300+D330+D360+D390+D420</f>
        <v>#N/A</v>
      </c>
      <c r="E450" s="25" t="e">
        <f aca="false">E33+E62+E91+E120+E150+E180+E210+E240+E270+E300+E330+E360+E390+E420</f>
        <v>#N/A</v>
      </c>
      <c r="F450" s="25" t="e">
        <f aca="false">F33+F62+F91+F120+F150+F180+F210+F240+F270+F300+F330+F360+F390+F420</f>
        <v>#N/A</v>
      </c>
      <c r="G450" s="25" t="e">
        <f aca="false">G33+G62+G91+G120+G150+G180+G210+G240+G270+G300+G330+G360+G390+G420</f>
        <v>#N/A</v>
      </c>
    </row>
    <row r="451" customFormat="false" ht="13.5" hidden="false" customHeight="true" outlineLevel="0" collapsed="false">
      <c r="B451" s="29" t="n">
        <f aca="false">B34</f>
        <v>70</v>
      </c>
      <c r="C451" s="25" t="e">
        <f aca="false">C34+C63+C92+C121+C151+C181+C211+C241+C271+C301+C331+C361+C391+C421</f>
        <v>#N/A</v>
      </c>
      <c r="D451" s="25" t="e">
        <f aca="false">D34+D63+D92+D121+D151+D181+D211+D241+D271+D301+D331+D361+D391+D421</f>
        <v>#N/A</v>
      </c>
      <c r="E451" s="25" t="e">
        <f aca="false">E34+E63+E92+E121+E151+E181+E211+E241+E271+E301+E331+E361+E391+E421</f>
        <v>#N/A</v>
      </c>
      <c r="F451" s="25" t="e">
        <f aca="false">F34+F63+F92+F121+F151+F181+F211+F241+F271+F301+F331+F361+F391+F421</f>
        <v>#N/A</v>
      </c>
      <c r="G451" s="25" t="e">
        <f aca="false">G34+G63+G92+G121+G151+G181+G211+G241+G271+G301+G331+G361+G391+G421</f>
        <v>#N/A</v>
      </c>
    </row>
    <row r="452" customFormat="false" ht="13.5" hidden="false" customHeight="true" outlineLevel="0" collapsed="false">
      <c r="B452" s="29" t="n">
        <f aca="false">B35</f>
        <v>69</v>
      </c>
      <c r="C452" s="25" t="e">
        <f aca="false">C35+C64+C93+C122+C152+C182+C212+C242+C272+C302+C332+C362+C392+C422</f>
        <v>#N/A</v>
      </c>
      <c r="D452" s="25" t="e">
        <f aca="false">D35+D64+D93+D122+D152+D182+D212+D242+D272+D302+D332+D362+D392+D422</f>
        <v>#N/A</v>
      </c>
      <c r="E452" s="25" t="e">
        <f aca="false">E35+E64+E93+E122+E152+E182+E212+E242+E272+E302+E332+E362+E392+E422</f>
        <v>#N/A</v>
      </c>
      <c r="F452" s="25" t="e">
        <f aca="false">F35+F64+F93+F122+F152+F182+F212+F242+F272+F302+F332+F362+F392+F422</f>
        <v>#N/A</v>
      </c>
      <c r="G452" s="25" t="e">
        <f aca="false">G35+G64+G93+G122+G152+G182+G212+G242+G272+G302+G332+G362+G392+G422</f>
        <v>#N/A</v>
      </c>
    </row>
    <row r="453" customFormat="false" ht="13.5" hidden="false" customHeight="true" outlineLevel="0" collapsed="false">
      <c r="B453" s="29" t="n">
        <f aca="false">B36</f>
        <v>68</v>
      </c>
      <c r="C453" s="25" t="e">
        <f aca="false">C36+C65+C94+C123+C153+C183+C213+C243+C273+C303+C333+C363+C393+C423</f>
        <v>#N/A</v>
      </c>
      <c r="D453" s="25" t="e">
        <f aca="false">D36+D65+D94+D123+D153+D183+D213+D243+D273+D303+D333+D363+D393+D423</f>
        <v>#N/A</v>
      </c>
      <c r="E453" s="25" t="e">
        <f aca="false">E36+E65+E94+E123+E153+E183+E213+E243+E273+E303+E333+E363+E393+E423</f>
        <v>#N/A</v>
      </c>
      <c r="F453" s="25" t="e">
        <f aca="false">F36+F65+F94+F123+F153+F183+F213+F243+F273+F303+F333+F363+F393+F423</f>
        <v>#N/A</v>
      </c>
      <c r="G453" s="25" t="e">
        <f aca="false">G36+G65+G94+G123+G153+G183+G213+G243+G273+G303+G333+G363+G393+G423</f>
        <v>#N/A</v>
      </c>
    </row>
    <row r="454" customFormat="false" ht="13.5" hidden="false" customHeight="true" outlineLevel="0" collapsed="false">
      <c r="B454" s="29" t="n">
        <f aca="false">B37</f>
        <v>67</v>
      </c>
      <c r="C454" s="25" t="e">
        <f aca="false">C37+C66+C95+C124+C154+C184+C214+C244+C274+C304+C334+C364+C394+C424</f>
        <v>#N/A</v>
      </c>
      <c r="D454" s="25" t="e">
        <f aca="false">D37+D66+D95+D124+D154+D184+D214+D244+D274+D304+D334+D364+D394+D424</f>
        <v>#N/A</v>
      </c>
      <c r="E454" s="25" t="e">
        <f aca="false">E37+E66+E95+E124+E154+E184+E214+E244+E274+E304+E334+E364+E394+E424</f>
        <v>#N/A</v>
      </c>
      <c r="F454" s="25" t="e">
        <f aca="false">F37+F66+F95+F124+F154+F184+F214+F244+F274+F304+F334+F364+F394+F424</f>
        <v>#N/A</v>
      </c>
      <c r="G454" s="25" t="e">
        <f aca="false">G37+G66+G95+G124+G154+G184+G214+G244+G274+G304+G334+G364+G394+G424</f>
        <v>#N/A</v>
      </c>
    </row>
    <row r="455" customFormat="false" ht="13.5" hidden="false" customHeight="true" outlineLevel="0" collapsed="false">
      <c r="B455" s="29" t="n">
        <f aca="false">B38</f>
        <v>66</v>
      </c>
      <c r="C455" s="25" t="e">
        <f aca="false">C38+C67+C96+C125+C155+C185+C215+C245+C275+C305+C335+C365+C395+C425</f>
        <v>#N/A</v>
      </c>
      <c r="D455" s="25" t="e">
        <f aca="false">D38+D67+D96+D125+D155+D185+D215+D245+D275+D305+D335+D365+D395+D425</f>
        <v>#N/A</v>
      </c>
      <c r="E455" s="25" t="e">
        <f aca="false">E38+E67+E96+E125+E155+E185+E215+E245+E275+E305+E335+E365+E395+E425</f>
        <v>#N/A</v>
      </c>
      <c r="F455" s="25" t="e">
        <f aca="false">F38+F67+F96+F125+F155+F185+F215+F245+F275+F305+F335+F365+F395+F425</f>
        <v>#N/A</v>
      </c>
      <c r="G455" s="25" t="e">
        <f aca="false">G38+G67+G96+G125+G155+G185+G215+G245+G275+G305+G335+G365+G395+G425</f>
        <v>#N/A</v>
      </c>
    </row>
    <row r="456" customFormat="false" ht="13.5" hidden="false" customHeight="true" outlineLevel="0" collapsed="false">
      <c r="B456" s="29" t="n">
        <f aca="false">B39</f>
        <v>65</v>
      </c>
      <c r="C456" s="25" t="e">
        <f aca="false">C39+C68+C97+C126+C156+C186+C216+C246+C276+C306+C336+C366+C396+C426</f>
        <v>#N/A</v>
      </c>
      <c r="D456" s="25" t="e">
        <f aca="false">D39+D68+D97+D126+D156+D186+D216+D246+D276+D306+D336+D366+D396+D426</f>
        <v>#N/A</v>
      </c>
      <c r="E456" s="25" t="e">
        <f aca="false">E39+E68+E97+E126+E156+E186+E216+E246+E276+E306+E336+E366+E396+E426</f>
        <v>#N/A</v>
      </c>
      <c r="F456" s="25" t="e">
        <f aca="false">F39+F68+F97+F126+F156+F186+F216+F246+F276+F306+F336+F366+F396+F426</f>
        <v>#N/A</v>
      </c>
      <c r="G456" s="25" t="e">
        <f aca="false">G39+G68+G97+G126+G156+G186+G216+G246+G276+G306+G336+G366+G396+G426</f>
        <v>#N/A</v>
      </c>
    </row>
    <row r="457" customFormat="false" ht="13.5" hidden="false" customHeight="true" outlineLevel="0" collapsed="false">
      <c r="B457" s="29" t="n">
        <f aca="false">B40</f>
        <v>64</v>
      </c>
      <c r="C457" s="25" t="e">
        <f aca="false">C40+C69+C98+C127+C157+C187+C217+C247+C277+C307+C337+C367+C397+C427</f>
        <v>#N/A</v>
      </c>
      <c r="D457" s="25" t="e">
        <f aca="false">D40+D69+D98+D127+D157+D187+D217+D247+D277+D307+D337+D367+D397+D427</f>
        <v>#N/A</v>
      </c>
      <c r="E457" s="25" t="e">
        <f aca="false">E40+E69+E98+E127+E157+E187+E217+E247+E277+E307+E337+E367+E397+E427</f>
        <v>#N/A</v>
      </c>
      <c r="F457" s="25" t="e">
        <f aca="false">F40+F69+F98+F127+F157+F187+F217+F247+F277+F307+F337+F367+F397+F427</f>
        <v>#N/A</v>
      </c>
      <c r="G457" s="25" t="e">
        <f aca="false">G40+G69+G98+G127+G157+G187+G217+G247+G277+G307+G337+G367+G397+G427</f>
        <v>#N/A</v>
      </c>
    </row>
    <row r="458" customFormat="false" ht="13.5" hidden="false" customHeight="true" outlineLevel="0" collapsed="false">
      <c r="B458" s="29" t="n">
        <f aca="false">B41</f>
        <v>63</v>
      </c>
      <c r="C458" s="25" t="e">
        <f aca="false">C41+C70+C99+C128+C158+C188+C218+C248+C278+C308+C338+C368+C398+C428</f>
        <v>#N/A</v>
      </c>
      <c r="D458" s="25" t="e">
        <f aca="false">D41+D70+D99+D128+D158+D188+D218+D248+D278+D308+D338+D368+D398+D428</f>
        <v>#N/A</v>
      </c>
      <c r="E458" s="25" t="e">
        <f aca="false">E41+E70+E99+E128+E158+E188+E218+E248+E278+E308+E338+E368+E398+E428</f>
        <v>#N/A</v>
      </c>
      <c r="F458" s="25" t="e">
        <f aca="false">F41+F70+F99+F128+F158+F188+F218+F248+F278+F308+F338+F368+F398+F428</f>
        <v>#N/A</v>
      </c>
      <c r="G458" s="25" t="e">
        <f aca="false">G41+G70+G99+G128+G158+G188+G218+G248+G278+G308+G338+G368+G398+G428</f>
        <v>#N/A</v>
      </c>
    </row>
    <row r="459" customFormat="false" ht="13.5" hidden="false" customHeight="true" outlineLevel="0" collapsed="false">
      <c r="B459" s="29" t="n">
        <f aca="false">B42</f>
        <v>62</v>
      </c>
      <c r="C459" s="25" t="e">
        <f aca="false">C42+C71+C100+C129+C159+C189+C219+C249+C279+C309+C339+C369+C399+C429</f>
        <v>#N/A</v>
      </c>
      <c r="D459" s="25" t="e">
        <f aca="false">D42+D71+D100+D129+D159+D189+D219+D249+D279+D309+D339+D369+D399+D429</f>
        <v>#N/A</v>
      </c>
      <c r="E459" s="25" t="e">
        <f aca="false">E42+E71+E100+E129+E159+E189+E219+E249+E279+E309+E339+E369+E399+E429</f>
        <v>#N/A</v>
      </c>
      <c r="F459" s="25" t="e">
        <f aca="false">F42+F71+F100+F129+F159+F189+F219+F249+F279+F309+F339+F369+F399+F429</f>
        <v>#N/A</v>
      </c>
      <c r="G459" s="25" t="e">
        <f aca="false">G42+G71+G100+G129+G159+G189+G219+G249+G279+G309+G339+G369+G399+G429</f>
        <v>#N/A</v>
      </c>
    </row>
    <row r="460" customFormat="false" ht="13.5" hidden="false" customHeight="true" outlineLevel="0" collapsed="false">
      <c r="B460" s="29" t="n">
        <f aca="false">B43</f>
        <v>61</v>
      </c>
      <c r="C460" s="25" t="e">
        <f aca="false">C43+C72+C101+C130+C160+C190+C220+C250+C280+C310+C340+C370+C400+C430</f>
        <v>#N/A</v>
      </c>
      <c r="D460" s="25" t="e">
        <f aca="false">D43+D72+D101+D130+D160+D190+D220+D250+D280+D310+D340+D370+D400+D430</f>
        <v>#N/A</v>
      </c>
      <c r="E460" s="25" t="e">
        <f aca="false">E43+E72+E101+E130+E160+E190+E220+E250+E280+E310+E340+E370+E400+E430</f>
        <v>#N/A</v>
      </c>
      <c r="F460" s="25" t="e">
        <f aca="false">F43+F72+F101+F130+F160+F190+F220+F250+F280+F310+F340+F370+F400+F430</f>
        <v>#N/A</v>
      </c>
      <c r="G460" s="25" t="e">
        <f aca="false">G43+G72+G101+G130+G160+G190+G220+G250+G280+G310+G340+G370+G400+G430</f>
        <v>#N/A</v>
      </c>
    </row>
    <row r="461" customFormat="false" ht="13.5" hidden="false" customHeight="true" outlineLevel="0" collapsed="false">
      <c r="B461" s="29" t="n">
        <f aca="false">B44</f>
        <v>60</v>
      </c>
      <c r="C461" s="25" t="e">
        <f aca="false">C44+C73+C102+C131+C161+C191+C221+C251+C281+C311+C341+C371+C401+C431</f>
        <v>#N/A</v>
      </c>
      <c r="D461" s="25" t="e">
        <f aca="false">D44+D73+D102+D131+D161+D191+D221+D251+D281+D311+D341+D371+D401+D431</f>
        <v>#N/A</v>
      </c>
      <c r="E461" s="25" t="e">
        <f aca="false">E44+E73+E102+E131+E161+E191+E221+E251+E281+E311+E341+E371+E401+E431</f>
        <v>#N/A</v>
      </c>
      <c r="F461" s="25" t="e">
        <f aca="false">F44+F73+F102+F131+F161+F191+F221+F251+F281+F311+F341+F371+F401+F431</f>
        <v>#N/A</v>
      </c>
      <c r="G461" s="25" t="e">
        <f aca="false">G44+G73+G102+G131+G161+G191+G221+G251+G281+G311+G341+G371+G401+G431</f>
        <v>#N/A</v>
      </c>
    </row>
    <row r="462" customFormat="false" ht="13.5" hidden="false" customHeight="true" outlineLevel="0" collapsed="false">
      <c r="B462" s="29" t="n">
        <f aca="false">B45</f>
        <v>59</v>
      </c>
      <c r="C462" s="25" t="e">
        <f aca="false">C45+C74+C103+C132+C162+C192+C222+C252+C282+C312+C342+C372+C402+C432</f>
        <v>#N/A</v>
      </c>
      <c r="D462" s="25" t="e">
        <f aca="false">D45+D74+D103+D132+D162+D192+D222+D252+D282+D312+D342+D372+D402+D432</f>
        <v>#N/A</v>
      </c>
      <c r="E462" s="25" t="e">
        <f aca="false">E45+E74+E103+E132+E162+E192+E222+E252+E282+E312+E342+E372+E402+E432</f>
        <v>#N/A</v>
      </c>
      <c r="F462" s="25" t="e">
        <f aca="false">F45+F74+F103+F132+F162+F192+F222+F252+F282+F312+F342+F372+F402+F432</f>
        <v>#N/A</v>
      </c>
      <c r="G462" s="25" t="e">
        <f aca="false">G45+G74+G103+G132+G162+G192+G222+G252+G282+G312+G342+G372+G402+G432</f>
        <v>#N/A</v>
      </c>
    </row>
    <row r="463" customFormat="false" ht="13.5" hidden="false" customHeight="true" outlineLevel="0" collapsed="false">
      <c r="B463" s="29" t="n">
        <f aca="false">B46</f>
        <v>58</v>
      </c>
      <c r="C463" s="25" t="e">
        <f aca="false">C46+C75+C104+C133+C163+C193+C223+C253+C283+C313+C343+C373+C403+C433</f>
        <v>#N/A</v>
      </c>
      <c r="D463" s="25" t="e">
        <f aca="false">D46+D75+D104+D133+D163+D193+D223+D253+D283+D313+D343+D373+D403+D433</f>
        <v>#N/A</v>
      </c>
      <c r="E463" s="25" t="e">
        <f aca="false">E46+E75+E104+E133+E163+E193+E223+E253+E283+E313+E343+E373+E403+E433</f>
        <v>#N/A</v>
      </c>
      <c r="F463" s="25" t="e">
        <f aca="false">F46+F75+F104+F133+F163+F193+F223+F253+F283+F313+F343+F373+F403+F433</f>
        <v>#N/A</v>
      </c>
      <c r="G463" s="25" t="e">
        <f aca="false">G46+G75+G104+G133+G163+G193+G223+G253+G283+G313+G343+G373+G403+G433</f>
        <v>#N/A</v>
      </c>
    </row>
    <row r="464" customFormat="false" ht="13.5" hidden="false" customHeight="true" outlineLevel="0" collapsed="false">
      <c r="B464" s="29" t="n">
        <f aca="false">B47</f>
        <v>57</v>
      </c>
      <c r="C464" s="25" t="e">
        <f aca="false">C47+C76+C105+C134+C164+C194+C224+C254+C284+C314+C344+C374+C404+C434</f>
        <v>#N/A</v>
      </c>
      <c r="D464" s="25" t="e">
        <f aca="false">D47+D76+D105+D134+D164+D194+D224+D254+D284+D314+D344+D374+D404+D434</f>
        <v>#N/A</v>
      </c>
      <c r="E464" s="25" t="e">
        <f aca="false">E47+E76+E105+E134+E164+E194+E224+E254+E284+E314+E344+E374+E404+E434</f>
        <v>#N/A</v>
      </c>
      <c r="F464" s="25" t="e">
        <f aca="false">F47+F76+F105+F134+F164+F194+F224+F254+F284+F314+F344+F374+F404+F434</f>
        <v>#N/A</v>
      </c>
      <c r="G464" s="25" t="e">
        <f aca="false">G47+G76+G105+G134+G164+G194+G224+G254+G284+G314+G344+G374+G404+G434</f>
        <v>#N/A</v>
      </c>
    </row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9" activeCellId="0" sqref="I19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2" width="4.31"/>
    <col collapsed="false" customWidth="true" hidden="false" outlineLevel="0" max="2" min="2" style="2" width="22.76"/>
    <col collapsed="false" customWidth="true" hidden="false" outlineLevel="0" max="3" min="3" style="2" width="13.95"/>
    <col collapsed="false" customWidth="true" hidden="false" outlineLevel="0" max="4" min="4" style="2" width="13.03"/>
    <col collapsed="false" customWidth="true" hidden="false" outlineLevel="0" max="5" min="5" style="2" width="9.53"/>
    <col collapsed="false" customWidth="true" hidden="false" outlineLevel="0" max="6" min="6" style="2" width="10.76"/>
    <col collapsed="false" customWidth="true" hidden="false" outlineLevel="0" max="7" min="7" style="2" width="7.65"/>
    <col collapsed="false" customWidth="true" hidden="false" outlineLevel="0" max="8" min="8" style="2" width="23.97"/>
    <col collapsed="false" customWidth="true" hidden="false" outlineLevel="0" max="10" min="9" style="2" width="8.8"/>
    <col collapsed="false" customWidth="true" hidden="false" outlineLevel="0" max="11" min="11" style="2" width="9.36"/>
    <col collapsed="false" customWidth="true" hidden="false" outlineLevel="0" max="12" min="12" style="2" width="9.08"/>
    <col collapsed="false" customWidth="true" hidden="false" outlineLevel="0" max="13" min="13" style="2" width="9.53"/>
    <col collapsed="false" customWidth="true" hidden="false" outlineLevel="0" max="15" min="14" style="2" width="10.76"/>
    <col collapsed="false" customWidth="true" hidden="false" outlineLevel="0" max="16" min="16" style="2" width="11.03"/>
    <col collapsed="false" customWidth="true" hidden="false" outlineLevel="0" max="17" min="17" style="2" width="7.09"/>
    <col collapsed="false" customWidth="true" hidden="false" outlineLevel="0" max="19" min="18" style="2" width="7.69"/>
    <col collapsed="false" customWidth="true" hidden="false" outlineLevel="0" max="20" min="20" style="2" width="7.27"/>
    <col collapsed="false" customWidth="true" hidden="false" outlineLevel="0" max="22" min="21" style="2" width="7.69"/>
    <col collapsed="false" customWidth="true" hidden="false" outlineLevel="0" max="24" min="23" style="2" width="7.27"/>
    <col collapsed="false" customWidth="true" hidden="false" outlineLevel="0" max="36" min="25" style="2" width="7.69"/>
    <col collapsed="false" customWidth="true" hidden="false" outlineLevel="0" max="38" min="37" style="2" width="6.58"/>
    <col collapsed="false" customWidth="true" hidden="false" outlineLevel="0" max="46" min="39" style="2" width="7.69"/>
  </cols>
  <sheetData>
    <row r="1" customFormat="false" ht="12.75" hidden="false" customHeight="true" outlineLevel="0" collapsed="false">
      <c r="L1" s="32"/>
      <c r="R1" s="4"/>
      <c r="S1" s="4"/>
      <c r="T1" s="3"/>
    </row>
    <row r="2" customFormat="false" ht="13.5" hidden="false" customHeight="true" outlineLevel="0" collapsed="false">
      <c r="J2" s="3" t="s">
        <v>161</v>
      </c>
      <c r="K2" s="4" t="s">
        <v>162</v>
      </c>
      <c r="L2" s="4"/>
      <c r="R2" s="4"/>
      <c r="S2" s="4"/>
      <c r="W2" s="33"/>
      <c r="X2" s="33"/>
      <c r="Y2" s="33"/>
      <c r="Z2" s="33"/>
      <c r="AA2" s="33"/>
      <c r="AB2" s="33"/>
      <c r="AC2" s="33"/>
      <c r="AD2" s="33"/>
    </row>
    <row r="3" customFormat="false" ht="14.25" hidden="false" customHeight="true" outlineLevel="0" collapsed="false">
      <c r="B3" s="34" t="s">
        <v>163</v>
      </c>
      <c r="C3" s="34" t="s">
        <v>164</v>
      </c>
      <c r="H3" s="35" t="s">
        <v>165</v>
      </c>
      <c r="J3" s="34" t="s">
        <v>166</v>
      </c>
      <c r="K3" s="36" t="n">
        <v>0</v>
      </c>
      <c r="L3" s="36" t="n">
        <v>0.05</v>
      </c>
      <c r="R3" s="4"/>
      <c r="S3" s="4"/>
    </row>
    <row r="4" customFormat="false" ht="16.5" hidden="false" customHeight="true" outlineLevel="0" collapsed="false">
      <c r="B4" s="10" t="n">
        <f aca="true">TODAY()</f>
        <v>46152</v>
      </c>
      <c r="C4" s="12" t="n">
        <f aca="false">OptionBoard!L2</f>
        <v>96</v>
      </c>
      <c r="H4" s="35" t="s">
        <v>167</v>
      </c>
      <c r="J4" s="34" t="s">
        <v>168</v>
      </c>
      <c r="K4" s="36" t="n">
        <v>0.05</v>
      </c>
      <c r="L4" s="36" t="n">
        <v>0.15</v>
      </c>
      <c r="R4" s="37"/>
      <c r="S4" s="37"/>
    </row>
    <row r="5" customFormat="false" ht="13.5" hidden="false" customHeight="true" outlineLevel="0" collapsed="false">
      <c r="H5" s="35" t="s">
        <v>169</v>
      </c>
      <c r="J5" s="34" t="s">
        <v>170</v>
      </c>
      <c r="K5" s="36" t="n">
        <v>0.16</v>
      </c>
      <c r="L5" s="36" t="s">
        <v>171</v>
      </c>
      <c r="W5" s="38"/>
      <c r="X5" s="38"/>
      <c r="Y5" s="38"/>
      <c r="Z5" s="38"/>
      <c r="AA5" s="38"/>
      <c r="AB5" s="38"/>
      <c r="AC5" s="38"/>
      <c r="AD5" s="38"/>
    </row>
    <row r="6" customFormat="false" ht="13.5" hidden="false" customHeight="true" outlineLevel="0" collapsed="false">
      <c r="H6" s="37"/>
      <c r="I6" s="3"/>
      <c r="K6" s="37"/>
      <c r="L6" s="37"/>
      <c r="W6" s="38"/>
      <c r="X6" s="38"/>
      <c r="Y6" s="38"/>
      <c r="Z6" s="38"/>
      <c r="AA6" s="38"/>
      <c r="AB6" s="38"/>
      <c r="AC6" s="38"/>
      <c r="AD6" s="38"/>
    </row>
    <row r="7" customFormat="false" ht="18.75" hidden="false" customHeight="true" outlineLevel="0" collapsed="false">
      <c r="A7" s="5" t="s">
        <v>172</v>
      </c>
      <c r="B7" s="5"/>
      <c r="C7" s="5"/>
      <c r="D7" s="5"/>
      <c r="E7" s="5"/>
      <c r="F7" s="5"/>
      <c r="G7" s="6"/>
      <c r="L7" s="6"/>
      <c r="M7" s="6"/>
      <c r="N7" s="6"/>
      <c r="O7" s="6"/>
      <c r="P7" s="6"/>
      <c r="Q7" s="6"/>
      <c r="S7" s="6"/>
      <c r="T7" s="6"/>
      <c r="U7" s="6"/>
      <c r="V7" s="6"/>
      <c r="W7" s="38"/>
      <c r="X7" s="38"/>
      <c r="Y7" s="38"/>
      <c r="Z7" s="38"/>
      <c r="AA7" s="38"/>
      <c r="AB7" s="38"/>
      <c r="AC7" s="38"/>
      <c r="AD7" s="38"/>
    </row>
    <row r="8" customFormat="false" ht="13.5" hidden="false" customHeight="true" outlineLevel="0" collapsed="false"/>
    <row r="9" customFormat="false" ht="16.5" hidden="false" customHeight="true" outlineLevel="0" collapsed="false">
      <c r="A9" s="7" t="s">
        <v>137</v>
      </c>
      <c r="B9" s="7" t="s">
        <v>139</v>
      </c>
      <c r="C9" s="7" t="s">
        <v>140</v>
      </c>
      <c r="D9" s="7" t="s">
        <v>173</v>
      </c>
      <c r="E9" s="7" t="s">
        <v>144</v>
      </c>
      <c r="F9" s="7" t="s">
        <v>174</v>
      </c>
      <c r="G9" s="9"/>
      <c r="H9" s="19" t="s">
        <v>0</v>
      </c>
      <c r="I9" s="19" t="s">
        <v>175</v>
      </c>
      <c r="J9" s="19" t="s">
        <v>176</v>
      </c>
      <c r="K9" s="19" t="s">
        <v>12</v>
      </c>
      <c r="L9" s="34" t="s">
        <v>161</v>
      </c>
      <c r="M9" s="19" t="s">
        <v>177</v>
      </c>
      <c r="N9" s="33"/>
      <c r="O9" s="33"/>
      <c r="Q9" s="9"/>
      <c r="S9" s="39"/>
      <c r="T9" s="40"/>
      <c r="U9" s="9"/>
      <c r="V9" s="9"/>
    </row>
    <row r="10" customFormat="false" ht="16.5" hidden="false" customHeight="true" outlineLevel="0" collapsed="false">
      <c r="A10" s="41" t="n">
        <v>1</v>
      </c>
      <c r="B10" s="41" t="s">
        <v>178</v>
      </c>
      <c r="C10" s="41" t="n">
        <f aca="false">Actives!D16</f>
        <v>16.371245</v>
      </c>
      <c r="D10" s="42" t="n">
        <f aca="false">Actives!E16</f>
        <v>83.4293253403452</v>
      </c>
      <c r="E10" s="42" t="n">
        <f aca="false">Actives!H16</f>
        <v>205.7975946685</v>
      </c>
      <c r="F10" s="42" t="n">
        <f aca="false">Actives!F16</f>
        <v>1365.8419253315</v>
      </c>
      <c r="G10" s="3"/>
      <c r="H10" s="43" t="str">
        <f aca="false">Far_laeyr!B59</f>
        <v>SOL-29MAY26-60-P-USDT</v>
      </c>
      <c r="I10" s="44" t="n">
        <f aca="false">Far_laeyr!G59</f>
        <v>7</v>
      </c>
      <c r="J10" s="45" t="n">
        <f aca="false">Far_laeyr!H59</f>
        <v>8.82</v>
      </c>
      <c r="K10" s="44" t="n">
        <f aca="false">VLOOKUP(H10,OptionBoard!$A$2:$B$73,2,0)</f>
        <v>60</v>
      </c>
      <c r="L10" s="44" t="n">
        <f aca="false">VLOOKUP(H10,OptionBoard!$A$2:$I$72,9,0)</f>
        <v>39</v>
      </c>
      <c r="M10" s="44" t="n">
        <v>3</v>
      </c>
      <c r="P10" s="46"/>
      <c r="Q10" s="14"/>
      <c r="S10" s="39"/>
      <c r="T10" s="40"/>
      <c r="U10" s="14"/>
      <c r="V10" s="14"/>
    </row>
    <row r="11" customFormat="false" ht="16.5" hidden="false" customHeight="true" outlineLevel="0" collapsed="false">
      <c r="A11" s="47"/>
      <c r="B11" s="48"/>
      <c r="C11" s="40"/>
      <c r="D11" s="40"/>
      <c r="G11" s="3"/>
      <c r="H11" s="43" t="str">
        <f aca="false">Far_laeyr!B60</f>
        <v>SOL-29MAY26-70-P-USDT</v>
      </c>
      <c r="I11" s="44" t="n">
        <f aca="false">Far_laeyr!G60</f>
        <v>2</v>
      </c>
      <c r="J11" s="45" t="n">
        <f aca="false">Far_laeyr!H60</f>
        <v>7.1</v>
      </c>
      <c r="K11" s="44" t="n">
        <f aca="false">VLOOKUP(H11,OptionBoard!$A$2:$B$73,2,0)</f>
        <v>70</v>
      </c>
      <c r="L11" s="44" t="n">
        <f aca="false">VLOOKUP(H11,OptionBoard!$A$2:$I$72,9,0)</f>
        <v>39</v>
      </c>
      <c r="M11" s="44" t="n">
        <v>3</v>
      </c>
      <c r="P11" s="46"/>
      <c r="Q11" s="14"/>
      <c r="S11" s="39"/>
      <c r="T11" s="40"/>
      <c r="U11" s="14"/>
      <c r="V11" s="14"/>
    </row>
    <row r="12" customFormat="false" ht="16.5" hidden="false" customHeight="true" outlineLevel="0" collapsed="false">
      <c r="A12" s="49"/>
      <c r="B12" s="7" t="s">
        <v>179</v>
      </c>
      <c r="C12" s="50" t="n">
        <f aca="false">F10*0.05</f>
        <v>68.292096266575</v>
      </c>
      <c r="D12" s="51"/>
      <c r="F12" s="14"/>
      <c r="G12" s="3"/>
      <c r="H12" s="43" t="str">
        <f aca="false">Far_laeyr!B61</f>
        <v>SOL-1MAY26-60-P-USDT</v>
      </c>
      <c r="I12" s="44" t="n">
        <f aca="false">Far_laeyr!G61</f>
        <v>1</v>
      </c>
      <c r="J12" s="45" t="n">
        <f aca="false">Far_laeyr!H61</f>
        <v>0.43</v>
      </c>
      <c r="K12" s="44" t="n">
        <f aca="false">VLOOKUP(H12,OptionBoard!$A$2:$B$73,2,0)</f>
        <v>60</v>
      </c>
      <c r="L12" s="44" t="n">
        <f aca="false">VLOOKUP(H12,OptionBoard!$A$2:$I$72,9,0)</f>
        <v>11</v>
      </c>
      <c r="M12" s="44" t="n">
        <v>3</v>
      </c>
      <c r="P12" s="46"/>
      <c r="Q12" s="14"/>
      <c r="S12" s="39"/>
      <c r="T12" s="14"/>
      <c r="U12" s="14"/>
      <c r="V12" s="14"/>
    </row>
    <row r="13" customFormat="false" ht="16.5" hidden="false" customHeight="true" outlineLevel="0" collapsed="false">
      <c r="B13" s="52" t="s">
        <v>165</v>
      </c>
      <c r="C13" s="18" t="n">
        <f aca="false">SUMIF(M$10:M$23,"=1",J$10:J$23)</f>
        <v>21.32</v>
      </c>
      <c r="D13" s="18" t="n">
        <f aca="false">0.1*$C$12</f>
        <v>6.8292096266575</v>
      </c>
      <c r="E13" s="18" t="n">
        <f aca="false">0.2*$C$12</f>
        <v>13.658419253315</v>
      </c>
      <c r="G13" s="3"/>
      <c r="H13" s="43" t="str">
        <f aca="false">Far_laeyr!B62</f>
        <v>SOL-1MAY26-70-P-USDT</v>
      </c>
      <c r="I13" s="44" t="n">
        <f aca="false">Far_laeyr!G62</f>
        <v>3</v>
      </c>
      <c r="J13" s="45" t="n">
        <f aca="false">Far_laeyr!H62</f>
        <v>2</v>
      </c>
      <c r="K13" s="44" t="n">
        <f aca="false">VLOOKUP(H13,OptionBoard!$A$2:$B$73,2,0)</f>
        <v>70</v>
      </c>
      <c r="L13" s="44" t="n">
        <f aca="false">VLOOKUP(H13,OptionBoard!$A$2:$I$72,9,0)</f>
        <v>11</v>
      </c>
      <c r="M13" s="44" t="n">
        <v>3</v>
      </c>
      <c r="P13" s="46"/>
      <c r="Q13" s="14"/>
      <c r="S13" s="39"/>
      <c r="T13" s="40"/>
      <c r="U13" s="14"/>
      <c r="V13" s="14"/>
    </row>
    <row r="14" customFormat="false" ht="16.5" hidden="false" customHeight="true" outlineLevel="0" collapsed="false">
      <c r="B14" s="52" t="s">
        <v>167</v>
      </c>
      <c r="C14" s="18" t="n">
        <f aca="false">SUMIF(M$10:M$23,"=2",J$10:J$23)</f>
        <v>18.21</v>
      </c>
      <c r="D14" s="18" t="n">
        <f aca="false">0.3*$C$12</f>
        <v>20.4876288799725</v>
      </c>
      <c r="E14" s="18" t="n">
        <f aca="false">0.4*$C$12</f>
        <v>27.31683850663</v>
      </c>
      <c r="G14" s="3"/>
      <c r="H14" s="43" t="str">
        <f aca="false">Far_laeyr!B63</f>
        <v>SOL-24APR26-60-P-USDT</v>
      </c>
      <c r="I14" s="44" t="n">
        <f aca="false">Far_laeyr!G63</f>
        <v>6</v>
      </c>
      <c r="J14" s="45" t="n">
        <f aca="false">Far_laeyr!H63</f>
        <v>2.82</v>
      </c>
      <c r="K14" s="44" t="e">
        <f aca="false">VLOOKUP(H14,OptionBoard!$A$2:$B$73,2,0)</f>
        <v>#N/A</v>
      </c>
      <c r="L14" s="44" t="e">
        <f aca="false">VLOOKUP(H14,OptionBoard!$A$2:$I$72,9,0)</f>
        <v>#N/A</v>
      </c>
      <c r="M14" s="44" t="n">
        <v>3</v>
      </c>
      <c r="P14" s="46"/>
      <c r="Q14" s="14"/>
      <c r="S14" s="39"/>
      <c r="T14" s="40"/>
      <c r="U14" s="14"/>
      <c r="V14" s="14"/>
    </row>
    <row r="15" customFormat="false" ht="14.25" hidden="false" customHeight="true" outlineLevel="0" collapsed="false">
      <c r="A15" s="9"/>
      <c r="B15" s="52" t="s">
        <v>169</v>
      </c>
      <c r="C15" s="18" t="n">
        <f aca="false">SUMIF(M$10:M$23,"=3",J$10:J$23)</f>
        <v>31.67</v>
      </c>
      <c r="D15" s="18" t="n">
        <f aca="false">0.4*$C$12</f>
        <v>27.31683850663</v>
      </c>
      <c r="E15" s="18" t="n">
        <f aca="false">0.5*$C$12</f>
        <v>34.1460481332875</v>
      </c>
      <c r="G15" s="3"/>
      <c r="H15" s="43" t="str">
        <f aca="false">Far_laeyr!B64</f>
        <v>SOL-24APR26-65-P-USDT</v>
      </c>
      <c r="I15" s="44" t="n">
        <f aca="false">Far_laeyr!G64</f>
        <v>5</v>
      </c>
      <c r="J15" s="45" t="n">
        <f aca="false">Far_laeyr!H64</f>
        <v>4.2</v>
      </c>
      <c r="K15" s="44" t="n">
        <f aca="false">VLOOKUP(H15,OptionBoard!$A$2:$B$73,2,0)</f>
        <v>65</v>
      </c>
      <c r="L15" s="44" t="n">
        <f aca="false">VLOOKUP(H15,OptionBoard!$A$2:$I$72,9,0)</f>
        <v>4</v>
      </c>
      <c r="M15" s="44" t="n">
        <v>3</v>
      </c>
      <c r="P15" s="46"/>
      <c r="Q15" s="14"/>
      <c r="S15" s="39"/>
      <c r="T15" s="40"/>
      <c r="U15" s="14"/>
      <c r="V15" s="14"/>
    </row>
    <row r="16" customFormat="false" ht="14.25" hidden="false" customHeight="true" outlineLevel="0" collapsed="false">
      <c r="B16" s="7" t="s">
        <v>180</v>
      </c>
      <c r="C16" s="53" t="n">
        <f aca="false">SUM(C13:C15)</f>
        <v>71.2</v>
      </c>
      <c r="G16" s="3"/>
      <c r="H16" s="43" t="str">
        <f aca="false">Far_laeyr!B65</f>
        <v>SOL-24APR26-70-P-USDT</v>
      </c>
      <c r="I16" s="44" t="n">
        <f aca="false">Far_laeyr!G65</f>
        <v>5</v>
      </c>
      <c r="J16" s="45" t="n">
        <f aca="false">Far_laeyr!H65</f>
        <v>6.3</v>
      </c>
      <c r="K16" s="44" t="n">
        <f aca="false">VLOOKUP(H16,OptionBoard!$A$2:$B$73,2,0)</f>
        <v>70</v>
      </c>
      <c r="L16" s="44" t="n">
        <f aca="false">VLOOKUP(H16,OptionBoard!$A$2:$I$72,9,0)</f>
        <v>4</v>
      </c>
      <c r="M16" s="44" t="n">
        <v>3</v>
      </c>
      <c r="P16" s="46"/>
      <c r="Q16" s="14"/>
      <c r="S16" s="39"/>
      <c r="T16" s="40"/>
      <c r="U16" s="14"/>
      <c r="V16" s="14"/>
    </row>
    <row r="17" customFormat="false" ht="13.5" hidden="false" customHeight="true" outlineLevel="0" collapsed="false">
      <c r="B17" s="7" t="s">
        <v>181</v>
      </c>
      <c r="C17" s="54" t="n">
        <f aca="false">C12-C16</f>
        <v>-2.907903733425</v>
      </c>
      <c r="G17" s="3"/>
      <c r="H17" s="55" t="str">
        <f aca="false">MID_laeyr!B62</f>
        <v>SOL-24APR26-75-P-USDT</v>
      </c>
      <c r="I17" s="56" t="n">
        <f aca="false">MID_laeyr!G62</f>
        <v>3</v>
      </c>
      <c r="J17" s="57" t="n">
        <f aca="false">MID_laeyr!H62</f>
        <v>5.28</v>
      </c>
      <c r="K17" s="56" t="n">
        <f aca="false">VLOOKUP(H17,OptionBoard!$A$2:$B$73,2,0)</f>
        <v>75</v>
      </c>
      <c r="L17" s="56" t="n">
        <f aca="false">VLOOKUP(H17,OptionBoard!$A$2:$I$72,9,0)</f>
        <v>4</v>
      </c>
      <c r="M17" s="56" t="n">
        <v>2</v>
      </c>
      <c r="P17" s="46"/>
    </row>
    <row r="18" customFormat="false" ht="13.5" hidden="false" customHeight="true" outlineLevel="0" collapsed="false">
      <c r="G18" s="3"/>
      <c r="H18" s="55" t="str">
        <f aca="false">MID_laeyr!B63</f>
        <v>SOL-24APR26-78-P-USDT</v>
      </c>
      <c r="I18" s="56" t="n">
        <f aca="false">MID_laeyr!G63</f>
        <v>3</v>
      </c>
      <c r="J18" s="57" t="n">
        <f aca="false">MID_laeyr!H63</f>
        <v>6.45</v>
      </c>
      <c r="K18" s="56" t="n">
        <f aca="false">VLOOKUP(H18,OptionBoard!$A$2:$B$73,2,0)</f>
        <v>78</v>
      </c>
      <c r="L18" s="56" t="n">
        <f aca="false">VLOOKUP(H18,OptionBoard!$A$2:$I$72,9,0)</f>
        <v>4</v>
      </c>
      <c r="M18" s="56" t="n">
        <v>2</v>
      </c>
      <c r="P18" s="46"/>
    </row>
    <row r="19" customFormat="false" ht="13.5" hidden="false" customHeight="true" outlineLevel="0" collapsed="false">
      <c r="B19" s="7" t="s">
        <v>182</v>
      </c>
      <c r="C19" s="54" t="n">
        <f aca="false">Actives!D39</f>
        <v>-17.04</v>
      </c>
      <c r="G19" s="3"/>
      <c r="H19" s="55" t="str">
        <f aca="false">MID_laeyr!B64</f>
        <v>SOL-24APR26-80-P-USDT</v>
      </c>
      <c r="I19" s="56" t="n">
        <f aca="false">MID_laeyr!G64</f>
        <v>2</v>
      </c>
      <c r="J19" s="57" t="n">
        <f aca="false">MID_laeyr!H64</f>
        <v>6.48</v>
      </c>
      <c r="K19" s="56" t="n">
        <f aca="false">VLOOKUP(H19,OptionBoard!$A$2:$B$73,2,0)</f>
        <v>80</v>
      </c>
      <c r="L19" s="56" t="n">
        <f aca="false">VLOOKUP(H19,OptionBoard!$A$2:$I$72,9,0)</f>
        <v>4</v>
      </c>
      <c r="M19" s="56" t="n">
        <v>2</v>
      </c>
      <c r="P19" s="46"/>
    </row>
    <row r="20" customFormat="false" ht="13.5" hidden="false" customHeight="true" outlineLevel="0" collapsed="false">
      <c r="B20" s="9"/>
      <c r="C20" s="58"/>
      <c r="G20" s="3"/>
      <c r="H20" s="55" t="s">
        <v>183</v>
      </c>
      <c r="I20" s="56" t="n">
        <v>3</v>
      </c>
      <c r="J20" s="57" t="n">
        <f aca="false">Hedge_Total!N12</f>
        <v>1.44</v>
      </c>
      <c r="K20" s="56" t="e">
        <f aca="false">VLOOKUP(H20,OptionBoard!$A$2:$B$73,2,0)</f>
        <v>#N/A</v>
      </c>
      <c r="L20" s="56" t="e">
        <f aca="false">VLOOKUP(H20,OptionBoard!$A$2:$I$72,9,0)</f>
        <v>#N/A</v>
      </c>
      <c r="M20" s="56" t="n">
        <v>1</v>
      </c>
      <c r="P20" s="46"/>
    </row>
    <row r="21" customFormat="false" ht="13.5" hidden="false" customHeight="true" outlineLevel="0" collapsed="false">
      <c r="B21" s="9"/>
      <c r="C21" s="58"/>
      <c r="G21" s="3"/>
      <c r="H21" s="55" t="s">
        <v>184</v>
      </c>
      <c r="I21" s="56" t="n">
        <v>4</v>
      </c>
      <c r="J21" s="57" t="n">
        <f aca="false">Hedge_Total!N13</f>
        <v>7.84</v>
      </c>
      <c r="K21" s="56" t="e">
        <f aca="false">VLOOKUP(H21,OptionBoard!$A$2:$B$73,2,0)</f>
        <v>#N/A</v>
      </c>
      <c r="L21" s="56" t="e">
        <f aca="false">VLOOKUP(H21,OptionBoard!$A$2:$I$72,9,0)</f>
        <v>#N/A</v>
      </c>
      <c r="M21" s="56" t="n">
        <v>1</v>
      </c>
      <c r="P21" s="46"/>
    </row>
    <row r="22" customFormat="false" ht="13.5" hidden="false" customHeight="true" outlineLevel="0" collapsed="false">
      <c r="G22" s="3"/>
      <c r="H22" s="59" t="s">
        <v>185</v>
      </c>
      <c r="I22" s="60" t="n">
        <v>4</v>
      </c>
      <c r="J22" s="61" t="n">
        <f aca="false">Hedge_Total!N14</f>
        <v>9.2</v>
      </c>
      <c r="K22" s="60" t="e">
        <f aca="false">VLOOKUP(H22,OptionBoard!$A$2:$B$73,2,0)</f>
        <v>#N/A</v>
      </c>
      <c r="L22" s="60" t="e">
        <f aca="false">VLOOKUP(H22,OptionBoard!$A$2:$I$72,9,0)</f>
        <v>#N/A</v>
      </c>
      <c r="M22" s="60" t="n">
        <v>1</v>
      </c>
      <c r="P22" s="46"/>
    </row>
    <row r="23" customFormat="false" ht="13.5" hidden="false" customHeight="true" outlineLevel="0" collapsed="false">
      <c r="G23" s="3"/>
      <c r="H23" s="59" t="s">
        <v>186</v>
      </c>
      <c r="I23" s="60" t="n">
        <v>2</v>
      </c>
      <c r="J23" s="61" t="n">
        <f aca="false">Hedge_Total!N15</f>
        <v>2.84</v>
      </c>
      <c r="K23" s="60" t="e">
        <f aca="false">VLOOKUP(H23,OptionBoard!$A$2:$B$73,2,0)</f>
        <v>#N/A</v>
      </c>
      <c r="L23" s="60" t="e">
        <f aca="false">VLOOKUP(H23,OptionBoard!$A$2:$I$72,9,0)</f>
        <v>#N/A</v>
      </c>
      <c r="M23" s="60" t="n">
        <v>1</v>
      </c>
      <c r="P23" s="46"/>
    </row>
    <row r="24" customFormat="false" ht="17.25" hidden="false" customHeight="true" outlineLevel="0" collapsed="false">
      <c r="G24" s="3"/>
      <c r="J24" s="62" t="n">
        <f aca="false">SUM(J10:J23)</f>
        <v>71.2</v>
      </c>
    </row>
    <row r="25" customFormat="false" ht="13.5" hidden="false" customHeight="true" outlineLevel="0" collapsed="false">
      <c r="U25" s="37"/>
    </row>
    <row r="26" customFormat="false" ht="14.25" hidden="false" customHeight="true" outlineLevel="0" collapsed="false">
      <c r="B26" s="63" t="s">
        <v>187</v>
      </c>
      <c r="C26" s="63"/>
      <c r="D26" s="63"/>
      <c r="E26" s="63"/>
      <c r="F26" s="63"/>
      <c r="H26" s="63" t="s">
        <v>188</v>
      </c>
      <c r="I26" s="63"/>
      <c r="J26" s="63"/>
      <c r="K26" s="63"/>
      <c r="L26" s="63"/>
      <c r="M26" s="63"/>
      <c r="N26" s="63"/>
      <c r="O26" s="63"/>
      <c r="P26" s="64"/>
      <c r="S26" s="65" t="str">
        <f aca="false">H10</f>
        <v>SOL-29MAY26-60-P-USDT</v>
      </c>
      <c r="T26" s="65"/>
      <c r="U26" s="65" t="str">
        <f aca="false">H11</f>
        <v>SOL-29MAY26-70-P-USDT</v>
      </c>
      <c r="V26" s="65"/>
      <c r="W26" s="65" t="str">
        <f aca="false">H12</f>
        <v>SOL-1MAY26-60-P-USDT</v>
      </c>
      <c r="X26" s="65"/>
      <c r="Y26" s="65" t="str">
        <f aca="false">H13</f>
        <v>SOL-1MAY26-70-P-USDT</v>
      </c>
      <c r="Z26" s="65"/>
      <c r="AA26" s="65" t="str">
        <f aca="false">H14</f>
        <v>SOL-24APR26-60-P-USDT</v>
      </c>
      <c r="AB26" s="65"/>
      <c r="AC26" s="65" t="str">
        <f aca="false">H15</f>
        <v>SOL-24APR26-65-P-USDT</v>
      </c>
      <c r="AD26" s="65"/>
      <c r="AE26" s="65" t="str">
        <f aca="false">H16</f>
        <v>SOL-24APR26-70-P-USDT</v>
      </c>
      <c r="AF26" s="65"/>
      <c r="AG26" s="65" t="str">
        <f aca="false">H17</f>
        <v>SOL-24APR26-75-P-USDT</v>
      </c>
      <c r="AH26" s="65"/>
      <c r="AI26" s="65" t="str">
        <f aca="false">H18</f>
        <v>SOL-24APR26-78-P-USDT</v>
      </c>
      <c r="AJ26" s="65"/>
      <c r="AK26" s="65" t="str">
        <f aca="false">H19</f>
        <v>SOL-24APR26-80-P-USDT</v>
      </c>
      <c r="AL26" s="65"/>
      <c r="AM26" s="65" t="str">
        <f aca="false">H20</f>
        <v>SOL-17APR26-72-P-USDT</v>
      </c>
      <c r="AN26" s="65"/>
      <c r="AO26" s="65" t="str">
        <f aca="false">H21</f>
        <v>SOL-17APR26-75-P-USDT</v>
      </c>
      <c r="AP26" s="65"/>
      <c r="AQ26" s="65" t="str">
        <f aca="false">H22</f>
        <v>SOL-17APR26-78-P-USDT</v>
      </c>
      <c r="AR26" s="65"/>
      <c r="AS26" s="65" t="str">
        <f aca="false">H23</f>
        <v>SOL-17APR26-80-P-USDT</v>
      </c>
      <c r="AT26" s="65"/>
    </row>
    <row r="27" customFormat="false" ht="14.25" hidden="false" customHeight="true" outlineLevel="0" collapsed="false">
      <c r="B27" s="34" t="s">
        <v>189</v>
      </c>
      <c r="C27" s="34" t="s">
        <v>190</v>
      </c>
      <c r="D27" s="34" t="s">
        <v>191</v>
      </c>
      <c r="E27" s="34" t="s">
        <v>144</v>
      </c>
      <c r="F27" s="34" t="s">
        <v>192</v>
      </c>
      <c r="H27" s="34" t="s">
        <v>189</v>
      </c>
      <c r="I27" s="34" t="s">
        <v>193</v>
      </c>
      <c r="J27" s="34" t="s">
        <v>144</v>
      </c>
      <c r="K27" s="34" t="s">
        <v>194</v>
      </c>
      <c r="L27" s="34" t="s">
        <v>195</v>
      </c>
      <c r="M27" s="34" t="s">
        <v>196</v>
      </c>
      <c r="N27" s="34" t="s">
        <v>197</v>
      </c>
      <c r="O27" s="34" t="s">
        <v>198</v>
      </c>
      <c r="P27" s="34"/>
      <c r="R27" s="34" t="s">
        <v>189</v>
      </c>
      <c r="S27" s="66" t="s">
        <v>144</v>
      </c>
      <c r="T27" s="66" t="s">
        <v>194</v>
      </c>
      <c r="U27" s="66" t="s">
        <v>144</v>
      </c>
      <c r="V27" s="66" t="s">
        <v>194</v>
      </c>
      <c r="W27" s="66" t="s">
        <v>144</v>
      </c>
      <c r="X27" s="66" t="s">
        <v>194</v>
      </c>
      <c r="Y27" s="66" t="s">
        <v>144</v>
      </c>
      <c r="Z27" s="66" t="s">
        <v>194</v>
      </c>
      <c r="AA27" s="66" t="s">
        <v>144</v>
      </c>
      <c r="AB27" s="66" t="s">
        <v>194</v>
      </c>
      <c r="AC27" s="66" t="s">
        <v>144</v>
      </c>
      <c r="AD27" s="66" t="s">
        <v>194</v>
      </c>
      <c r="AE27" s="66" t="s">
        <v>144</v>
      </c>
      <c r="AF27" s="66" t="s">
        <v>194</v>
      </c>
      <c r="AG27" s="66" t="s">
        <v>144</v>
      </c>
      <c r="AH27" s="66" t="s">
        <v>194</v>
      </c>
      <c r="AI27" s="66" t="s">
        <v>144</v>
      </c>
      <c r="AJ27" s="66" t="s">
        <v>194</v>
      </c>
      <c r="AK27" s="66" t="s">
        <v>144</v>
      </c>
      <c r="AL27" s="66" t="s">
        <v>194</v>
      </c>
      <c r="AM27" s="66" t="s">
        <v>144</v>
      </c>
      <c r="AN27" s="66" t="s">
        <v>194</v>
      </c>
      <c r="AO27" s="66" t="s">
        <v>144</v>
      </c>
      <c r="AP27" s="66" t="s">
        <v>194</v>
      </c>
      <c r="AQ27" s="66" t="s">
        <v>144</v>
      </c>
      <c r="AR27" s="66" t="s">
        <v>194</v>
      </c>
      <c r="AS27" s="66" t="s">
        <v>144</v>
      </c>
      <c r="AT27" s="66" t="s">
        <v>194</v>
      </c>
    </row>
    <row r="28" customFormat="false" ht="14.25" hidden="false" customHeight="true" outlineLevel="0" collapsed="false">
      <c r="B28" s="67" t="n">
        <f aca="false">ROUND(D10,0)</f>
        <v>83</v>
      </c>
      <c r="C28" s="68" t="e">
        <f aca="false">J28/$C$16</f>
        <v>#N/A</v>
      </c>
      <c r="D28" s="68" t="e">
        <f aca="false">K28/$C$16</f>
        <v>#N/A</v>
      </c>
      <c r="E28" s="16" t="n">
        <f aca="false">($C$10*B28)-$F$10</f>
        <v>-7.02859033150003</v>
      </c>
      <c r="F28" s="69" t="n">
        <f aca="false">(E28/$F$10)</f>
        <v>-0.00514597641289576</v>
      </c>
      <c r="H28" s="67" t="n">
        <f aca="false">B28</f>
        <v>83</v>
      </c>
      <c r="I28" s="68" t="e">
        <f aca="false">Hedge_Total!C438</f>
        <v>#N/A</v>
      </c>
      <c r="J28" s="16" t="e">
        <f aca="false">Hedge_Total!G438</f>
        <v>#N/A</v>
      </c>
      <c r="K28" s="16" t="e">
        <f aca="false">T28+V28+X28+Z28+AB28+AD28+AF28+AH28+AJ28+AL28+AN28+AP28+AR28+AT28</f>
        <v>#N/A</v>
      </c>
      <c r="L28" s="69" t="e">
        <f aca="false">N28/$F$10</f>
        <v>#N/A</v>
      </c>
      <c r="M28" s="69" t="e">
        <f aca="false">O28/$F$10</f>
        <v>#N/A</v>
      </c>
      <c r="N28" s="16" t="e">
        <f aca="false">E28+J28</f>
        <v>#N/A</v>
      </c>
      <c r="O28" s="16" t="e">
        <f aca="false">E28+K28</f>
        <v>#N/A</v>
      </c>
      <c r="P28" s="16"/>
      <c r="R28" s="67" t="n">
        <f aca="false">B28</f>
        <v>83</v>
      </c>
      <c r="S28" s="16" t="n">
        <f aca="false">Hedge_Total!G21</f>
        <v>-4.51283184856018</v>
      </c>
      <c r="T28" s="16" t="n">
        <f aca="false">IF(B28&gt;$K$10,-1*$J$10,(($K$10-B28)*$I$10)-$J$10)</f>
        <v>-8.82</v>
      </c>
      <c r="U28" s="16" t="n">
        <f aca="false">Hedge_Total!G50</f>
        <v>-3.1291090979821</v>
      </c>
      <c r="V28" s="16" t="n">
        <f aca="false">IF(B28&gt;$K$11,-1*$J$11,(($K$11-B28)*$I$11)-$J$11)</f>
        <v>-7.1</v>
      </c>
      <c r="W28" s="16" t="n">
        <f aca="false">Hedge_Total!G79</f>
        <v>-0.318786567738909</v>
      </c>
      <c r="X28" s="16" t="n">
        <f aca="false">IF(B28&gt;$K$12,-1*$J$12,(($K$12-B28)*$I$12)-$J$12)</f>
        <v>-0.43</v>
      </c>
      <c r="Y28" s="16" t="n">
        <f aca="false">Hedge_Total!G108</f>
        <v>-0.659538897620701</v>
      </c>
      <c r="Z28" s="16" t="n">
        <f aca="false">IF(B28&gt;$K$13,-1*$J$13,(($K$13-B28)*$I$13)-$J$13)</f>
        <v>-2</v>
      </c>
      <c r="AA28" s="16" t="e">
        <f aca="false">Hedge_Total!G138</f>
        <v>#N/A</v>
      </c>
      <c r="AB28" s="16" t="e">
        <f aca="false">IF(B28&gt;$K$14,-1*$J$14,(($K$14-B28)*$I$14)-$J$14)</f>
        <v>#N/A</v>
      </c>
      <c r="AC28" s="16" t="n">
        <f aca="false">Hedge_Total!G168</f>
        <v>-3.96057010771055</v>
      </c>
      <c r="AD28" s="16" t="n">
        <f aca="false">IF(B28&gt;$K$15,-1*$J$15,(($K$15-B28)*$I$15)-$J$15)</f>
        <v>-4.2</v>
      </c>
      <c r="AE28" s="16" t="n">
        <f aca="false">Hedge_Total!G198</f>
        <v>-5.66926637874949</v>
      </c>
      <c r="AF28" s="16" t="n">
        <f aca="false">IF(B28&gt;$K$16,-1*$J$16,(($K$16-B28)*$I$16)-$J$16)</f>
        <v>-6.3</v>
      </c>
      <c r="AG28" s="16" t="n">
        <f aca="false">Hedge_Total!G228</f>
        <v>-4.20016209352944</v>
      </c>
      <c r="AH28" s="16" t="n">
        <f aca="false">IF(B28&gt;$K$17,-1*$J$17,(($K$17-B28)*$I$17)-$J$17)</f>
        <v>-5.28</v>
      </c>
      <c r="AI28" s="16" t="n">
        <f aca="false">Hedge_Total!G258</f>
        <v>-4.34888841666186</v>
      </c>
      <c r="AJ28" s="16" t="n">
        <f aca="false">IF(B28&gt;$K$18,-1*$J$18,(($K$18-B28)*$I$18)-$J$18)</f>
        <v>-6.45</v>
      </c>
      <c r="AK28" s="16" t="n">
        <f aca="false">Hedge_Total!G288</f>
        <v>-17.0177470857031</v>
      </c>
      <c r="AL28" s="16" t="n">
        <f aca="false">IF(B28&gt;$K$19,-1*$J$19,(($K$19-B28)*$I$19)-$J$19)</f>
        <v>-6.48</v>
      </c>
      <c r="AM28" s="16" t="e">
        <f aca="false">Hedge_Total!G318</f>
        <v>#N/A</v>
      </c>
      <c r="AN28" s="16" t="e">
        <f aca="false">IF(B28&gt;$K$20,-1*$J$20,(($K$20-B28)*$I$20)-$J$20)</f>
        <v>#N/A</v>
      </c>
      <c r="AO28" s="16" t="e">
        <f aca="false">Hedge_Total!G348</f>
        <v>#N/A</v>
      </c>
      <c r="AP28" s="16" t="e">
        <f aca="false">IF(B28&gt;$K$21,-1*$J$21,(($K$21-B28)*$I$21)-$J$21)</f>
        <v>#N/A</v>
      </c>
      <c r="AQ28" s="16" t="e">
        <f aca="false">Hedge_Total!G378</f>
        <v>#N/A</v>
      </c>
      <c r="AR28" s="16" t="e">
        <f aca="false">IF(B28&gt;$K$22,-1*$J$22,(($K$22-B28)*$I$22)-$J$22)</f>
        <v>#N/A</v>
      </c>
      <c r="AS28" s="16" t="e">
        <f aca="false">Hedge_Total!G408</f>
        <v>#N/A</v>
      </c>
      <c r="AT28" s="16" t="e">
        <f aca="false">IF(B28&gt;$K$23,-1*$J$23,(($K$23-B28)*$I$23)-$J$23)</f>
        <v>#N/A</v>
      </c>
    </row>
    <row r="29" customFormat="false" ht="14.25" hidden="false" customHeight="true" outlineLevel="0" collapsed="false">
      <c r="B29" s="67" t="n">
        <f aca="false">B28-1</f>
        <v>82</v>
      </c>
      <c r="C29" s="68" t="e">
        <f aca="false">J29/$C$16</f>
        <v>#N/A</v>
      </c>
      <c r="D29" s="68" t="e">
        <f aca="false">K29/$C$16</f>
        <v>#N/A</v>
      </c>
      <c r="E29" s="16" t="n">
        <f aca="false">($C$10*B29)-$F$10</f>
        <v>-23.3998353314998</v>
      </c>
      <c r="F29" s="69" t="n">
        <f aca="false">(E29/$F$10)</f>
        <v>-0.0171321694681619</v>
      </c>
      <c r="H29" s="67" t="n">
        <f aca="false">H28-1</f>
        <v>82</v>
      </c>
      <c r="I29" s="68" t="e">
        <f aca="false">Hedge_Total!C439</f>
        <v>#N/A</v>
      </c>
      <c r="J29" s="16" t="e">
        <f aca="false">Hedge_Total!G439</f>
        <v>#N/A</v>
      </c>
      <c r="K29" s="16" t="e">
        <f aca="false">T29+V29+X29+Z29+AB29+AD29+AF29+AH29+AJ29+AL29+AN29+AP29+AR29+AT29</f>
        <v>#N/A</v>
      </c>
      <c r="L29" s="69" t="e">
        <f aca="false">N29/$F$10</f>
        <v>#N/A</v>
      </c>
      <c r="M29" s="69" t="e">
        <f aca="false">O29/$F$10</f>
        <v>#N/A</v>
      </c>
      <c r="N29" s="16" t="e">
        <f aca="false">E29+J29</f>
        <v>#N/A</v>
      </c>
      <c r="O29" s="16" t="e">
        <f aca="false">E29+K29</f>
        <v>#N/A</v>
      </c>
      <c r="P29" s="70" t="e">
        <f aca="false">J30-2*J29+J28</f>
        <v>#N/A</v>
      </c>
      <c r="Q29" s="71"/>
      <c r="R29" s="67" t="n">
        <f aca="false">R28-1</f>
        <v>82</v>
      </c>
      <c r="S29" s="16" t="n">
        <f aca="false">Hedge_Total!G22</f>
        <v>-4.02702674714436</v>
      </c>
      <c r="T29" s="16" t="n">
        <f aca="false">IF(B29&gt;$K$10,-1*$J$10,(($K$10-B29)*$I$10)-$J$10)</f>
        <v>-8.82</v>
      </c>
      <c r="U29" s="16" t="n">
        <f aca="false">Hedge_Total!G51</f>
        <v>-2.74600610627796</v>
      </c>
      <c r="V29" s="16" t="n">
        <f aca="false">IF(B29&gt;$K$11,-1*$J$11,(($K$11-B29)*$I$11)-$J$11)</f>
        <v>-7.1</v>
      </c>
      <c r="W29" s="16" t="n">
        <f aca="false">Hedge_Total!G80</f>
        <v>-0.296180877380818</v>
      </c>
      <c r="X29" s="16" t="n">
        <f aca="false">IF(B29&gt;$K$12,-1*$J$12,(($K$12-B29)*$I$12)-$J$12)</f>
        <v>-0.43</v>
      </c>
      <c r="Y29" s="16" t="n">
        <f aca="false">Hedge_Total!G109</f>
        <v>-0.38126300711901</v>
      </c>
      <c r="Z29" s="16" t="n">
        <f aca="false">IF(B29&gt;$K$13,-1*$J$13,(($K$13-B29)*$I$13)-$J$13)</f>
        <v>-2</v>
      </c>
      <c r="AA29" s="16" t="e">
        <f aca="false">Hedge_Total!G139</f>
        <v>#N/A</v>
      </c>
      <c r="AB29" s="16" t="e">
        <f aca="false">IF(B29&gt;$K$14,-1*$J$14,(($K$14-B29)*$I$14)-$J$14)</f>
        <v>#N/A</v>
      </c>
      <c r="AC29" s="16" t="n">
        <f aca="false">Hedge_Total!G169</f>
        <v>-3.88105825486236</v>
      </c>
      <c r="AD29" s="16" t="n">
        <f aca="false">IF(B29&gt;$K$15,-1*$J$15,(($K$15-B29)*$I$15)-$J$15)</f>
        <v>-4.2</v>
      </c>
      <c r="AE29" s="16" t="n">
        <f aca="false">Hedge_Total!G199</f>
        <v>-5.45559660283374</v>
      </c>
      <c r="AF29" s="16" t="n">
        <f aca="false">IF(B29&gt;$K$16,-1*$J$16,(($K$16-B29)*$I$16)-$J$16)</f>
        <v>-6.3</v>
      </c>
      <c r="AG29" s="16" t="n">
        <f aca="false">Hedge_Total!G229</f>
        <v>-3.8439359983015</v>
      </c>
      <c r="AH29" s="16" t="n">
        <f aca="false">IF(B29&gt;$K$17,-1*$J$17,(($K$17-B29)*$I$17)-$J$17)</f>
        <v>-5.28</v>
      </c>
      <c r="AI29" s="16" t="n">
        <f aca="false">Hedge_Total!G259</f>
        <v>-3.69575416978373</v>
      </c>
      <c r="AJ29" s="16" t="n">
        <f aca="false">IF(B29&gt;$K$18,-1*$J$18,(($K$18-B29)*$I$18)-$J$18)</f>
        <v>-6.45</v>
      </c>
      <c r="AK29" s="16" t="n">
        <f aca="false">Hedge_Total!G289</f>
        <v>-16.3795788923165</v>
      </c>
      <c r="AL29" s="16" t="n">
        <f aca="false">IF(B29&gt;$K$19,-1*$J$19,(($K$19-B29)*$I$19)-$J$19)</f>
        <v>-6.48</v>
      </c>
      <c r="AM29" s="16" t="e">
        <f aca="false">Hedge_Total!G319</f>
        <v>#N/A</v>
      </c>
      <c r="AN29" s="16" t="e">
        <f aca="false">IF(B29&gt;$K$20,-1*$J$20,(($K$20-B29)*$I$20)-$J$20)</f>
        <v>#N/A</v>
      </c>
      <c r="AO29" s="16" t="e">
        <f aca="false">Hedge_Total!G349</f>
        <v>#N/A</v>
      </c>
      <c r="AP29" s="16" t="e">
        <f aca="false">IF(B29&gt;$K$21,-1*$J$21,(($K$21-B29)*$I$21)-$J$21)</f>
        <v>#N/A</v>
      </c>
      <c r="AQ29" s="16" t="e">
        <f aca="false">Hedge_Total!G379</f>
        <v>#N/A</v>
      </c>
      <c r="AR29" s="16" t="e">
        <f aca="false">IF(B29&gt;$K$22,-1*$J$22,(($K$22-B29)*$I$22)-$J$22)</f>
        <v>#N/A</v>
      </c>
      <c r="AS29" s="16" t="e">
        <f aca="false">Hedge_Total!G409</f>
        <v>#N/A</v>
      </c>
      <c r="AT29" s="16" t="e">
        <f aca="false">IF(B29&gt;$K$23,-1*$J$23,(($K$23-B29)*$I$23)-$J$23)</f>
        <v>#N/A</v>
      </c>
    </row>
    <row r="30" customFormat="false" ht="14.25" hidden="false" customHeight="true" outlineLevel="0" collapsed="false">
      <c r="B30" s="67" t="n">
        <f aca="false">B29-1</f>
        <v>81</v>
      </c>
      <c r="C30" s="68" t="e">
        <f aca="false">J30/$C$16</f>
        <v>#N/A</v>
      </c>
      <c r="D30" s="68" t="e">
        <f aca="false">K30/$C$16</f>
        <v>#N/A</v>
      </c>
      <c r="E30" s="16" t="n">
        <f aca="false">($C$10*B30)-$F$10</f>
        <v>-39.7710803314999</v>
      </c>
      <c r="F30" s="69" t="n">
        <f aca="false">(E30/$F$10)</f>
        <v>-0.0291183625234283</v>
      </c>
      <c r="H30" s="67" t="n">
        <f aca="false">H29-1</f>
        <v>81</v>
      </c>
      <c r="I30" s="68" t="e">
        <f aca="false">Hedge_Total!C440</f>
        <v>#N/A</v>
      </c>
      <c r="J30" s="16" t="e">
        <f aca="false">Hedge_Total!G440</f>
        <v>#N/A</v>
      </c>
      <c r="K30" s="16" t="e">
        <f aca="false">T30+V30+X30+Z30+AB30+AD30+AF30+AH30+AJ30+AL30+AN30+AP30+AR30+AT30</f>
        <v>#N/A</v>
      </c>
      <c r="L30" s="69" t="e">
        <f aca="false">N30/$F$10</f>
        <v>#N/A</v>
      </c>
      <c r="M30" s="69" t="e">
        <f aca="false">O30/$F$10</f>
        <v>#N/A</v>
      </c>
      <c r="N30" s="16" t="e">
        <f aca="false">E30+J30</f>
        <v>#N/A</v>
      </c>
      <c r="O30" s="16" t="e">
        <f aca="false">E30+K30</f>
        <v>#N/A</v>
      </c>
      <c r="P30" s="70" t="e">
        <f aca="false">J31-2*J30+J29</f>
        <v>#N/A</v>
      </c>
      <c r="Q30" s="71"/>
      <c r="R30" s="67" t="n">
        <f aca="false">R29-1</f>
        <v>81</v>
      </c>
      <c r="S30" s="16" t="n">
        <f aca="false">Hedge_Total!G23</f>
        <v>-3.49055261462302</v>
      </c>
      <c r="T30" s="16" t="n">
        <f aca="false">IF(B30&gt;$K$10,-1*$J$10,(($K$10-B30)*$I$10)-$J$10)</f>
        <v>-8.82</v>
      </c>
      <c r="U30" s="16" t="n">
        <f aca="false">Hedge_Total!G52</f>
        <v>-2.33117423698616</v>
      </c>
      <c r="V30" s="16" t="n">
        <f aca="false">IF(B30&gt;$K$11,-1*$J$11,(($K$11-B30)*$I$11)-$J$11)</f>
        <v>-7.1</v>
      </c>
      <c r="W30" s="16" t="n">
        <f aca="false">Hedge_Total!G81</f>
        <v>-0.26932481877074</v>
      </c>
      <c r="X30" s="16" t="n">
        <f aca="false">IF(B30&gt;$K$12,-1*$J$12,(($K$12-B30)*$I$12)-$J$12)</f>
        <v>-0.43</v>
      </c>
      <c r="Y30" s="16" t="n">
        <f aca="false">Hedge_Total!G110</f>
        <v>-0.0535051075391787</v>
      </c>
      <c r="Z30" s="16" t="n">
        <f aca="false">IF(B30&gt;$K$13,-1*$J$13,(($K$13-B30)*$I$13)-$J$13)</f>
        <v>-2</v>
      </c>
      <c r="AA30" s="16" t="e">
        <f aca="false">Hedge_Total!G140</f>
        <v>#N/A</v>
      </c>
      <c r="AB30" s="16" t="e">
        <f aca="false">IF(B30&gt;$K$14,-1*$J$14,(($K$14-B30)*$I$14)-$J$14)</f>
        <v>#N/A</v>
      </c>
      <c r="AC30" s="16" t="n">
        <f aca="false">Hedge_Total!G170</f>
        <v>-3.77766414670547</v>
      </c>
      <c r="AD30" s="16" t="n">
        <f aca="false">IF(B30&gt;$K$15,-1*$J$15,(($K$15-B30)*$I$15)-$J$15)</f>
        <v>-4.2</v>
      </c>
      <c r="AE30" s="16" t="n">
        <f aca="false">Hedge_Total!G200</f>
        <v>-5.17924482497911</v>
      </c>
      <c r="AF30" s="16" t="n">
        <f aca="false">IF(B30&gt;$K$16,-1*$J$16,(($K$16-B30)*$I$16)-$J$16)</f>
        <v>-6.3</v>
      </c>
      <c r="AG30" s="16" t="n">
        <f aca="false">Hedge_Total!G230</f>
        <v>-3.39325128387361</v>
      </c>
      <c r="AH30" s="16" t="n">
        <f aca="false">IF(B30&gt;$K$17,-1*$J$17,(($K$17-B30)*$I$17)-$J$17)</f>
        <v>-5.28</v>
      </c>
      <c r="AI30" s="16" t="n">
        <f aca="false">Hedge_Total!G260</f>
        <v>-2.89141145392869</v>
      </c>
      <c r="AJ30" s="16" t="n">
        <f aca="false">IF(B30&gt;$K$18,-1*$J$18,(($K$18-B30)*$I$18)-$J$18)</f>
        <v>-6.45</v>
      </c>
      <c r="AK30" s="16" t="n">
        <f aca="false">Hedge_Total!G290</f>
        <v>-15.6137423889048</v>
      </c>
      <c r="AL30" s="16" t="n">
        <f aca="false">IF(B30&gt;$K$19,-1*$J$19,(($K$19-B30)*$I$19)-$J$19)</f>
        <v>-6.48</v>
      </c>
      <c r="AM30" s="16" t="e">
        <f aca="false">Hedge_Total!G320</f>
        <v>#N/A</v>
      </c>
      <c r="AN30" s="16" t="e">
        <f aca="false">IF(B30&gt;$K$20,-1*$J$20,(($K$20-B30)*$I$20)-$J$20)</f>
        <v>#N/A</v>
      </c>
      <c r="AO30" s="16" t="e">
        <f aca="false">Hedge_Total!G350</f>
        <v>#N/A</v>
      </c>
      <c r="AP30" s="16" t="e">
        <f aca="false">IF(B30&gt;$K$21,-1*$J$21,(($K$21-B30)*$I$21)-$J$21)</f>
        <v>#N/A</v>
      </c>
      <c r="AQ30" s="16" t="e">
        <f aca="false">Hedge_Total!G380</f>
        <v>#N/A</v>
      </c>
      <c r="AR30" s="16" t="e">
        <f aca="false">IF(B30&gt;$K$22,-1*$J$22,(($K$22-B30)*$I$22)-$J$22)</f>
        <v>#N/A</v>
      </c>
      <c r="AS30" s="16" t="e">
        <f aca="false">Hedge_Total!G410</f>
        <v>#N/A</v>
      </c>
      <c r="AT30" s="16" t="e">
        <f aca="false">IF(B30&gt;$K$23,-1*$J$23,(($K$23-B30)*$I$23)-$J$23)</f>
        <v>#N/A</v>
      </c>
    </row>
    <row r="31" customFormat="false" ht="14.25" hidden="false" customHeight="true" outlineLevel="0" collapsed="false">
      <c r="B31" s="67" t="n">
        <f aca="false">B30-1</f>
        <v>80</v>
      </c>
      <c r="C31" s="68" t="e">
        <f aca="false">J31/$C$16</f>
        <v>#N/A</v>
      </c>
      <c r="D31" s="68" t="e">
        <f aca="false">K31/$C$16</f>
        <v>#N/A</v>
      </c>
      <c r="E31" s="16" t="n">
        <f aca="false">($C$10*B31)-$F$10</f>
        <v>-56.1423253314999</v>
      </c>
      <c r="F31" s="69" t="n">
        <f aca="false">(E31/$F$10)</f>
        <v>-0.0411045555786946</v>
      </c>
      <c r="H31" s="67" t="n">
        <f aca="false">H30-1</f>
        <v>80</v>
      </c>
      <c r="I31" s="68" t="e">
        <f aca="false">Hedge_Total!C441</f>
        <v>#N/A</v>
      </c>
      <c r="J31" s="16" t="e">
        <f aca="false">Hedge_Total!G441</f>
        <v>#N/A</v>
      </c>
      <c r="K31" s="16" t="e">
        <f aca="false">T31+V31+X31+Z31+AB31+AD31+AF31+AH31+AJ31+AL31+AN31+AP31+AR31+AT31</f>
        <v>#N/A</v>
      </c>
      <c r="L31" s="69" t="e">
        <f aca="false">N31/$F$10</f>
        <v>#N/A</v>
      </c>
      <c r="M31" s="69" t="e">
        <f aca="false">O31/$F$10</f>
        <v>#N/A</v>
      </c>
      <c r="N31" s="16" t="e">
        <f aca="false">E31+J31</f>
        <v>#N/A</v>
      </c>
      <c r="O31" s="16" t="e">
        <f aca="false">E31+K31</f>
        <v>#N/A</v>
      </c>
      <c r="P31" s="70" t="e">
        <f aca="false">J32-2*J31+J30</f>
        <v>#N/A</v>
      </c>
      <c r="Q31" s="71"/>
      <c r="R31" s="67" t="n">
        <f aca="false">R30-1</f>
        <v>80</v>
      </c>
      <c r="S31" s="16" t="n">
        <f aca="false">Hedge_Total!G24</f>
        <v>-2.89878833124963</v>
      </c>
      <c r="T31" s="16" t="n">
        <f aca="false">IF(B31&gt;$K$10,-1*$J$10,(($K$10-B31)*$I$10)-$J$10)</f>
        <v>-8.82</v>
      </c>
      <c r="U31" s="16" t="n">
        <f aca="false">Hedge_Total!G53</f>
        <v>-1.8826911849367</v>
      </c>
      <c r="V31" s="16" t="n">
        <f aca="false">IF(B31&gt;$K$11,-1*$J$11,(($K$11-B31)*$I$11)-$J$11)</f>
        <v>-7.1</v>
      </c>
      <c r="W31" s="16" t="n">
        <f aca="false">Hedge_Total!G82</f>
        <v>-0.237506156594503</v>
      </c>
      <c r="X31" s="16" t="n">
        <f aca="false">IF(B31&gt;$K$12,-1*$J$12,(($K$12-B31)*$I$12)-$J$12)</f>
        <v>-0.43</v>
      </c>
      <c r="Y31" s="16" t="n">
        <f aca="false">Hedge_Total!G111</f>
        <v>0.330482820182098</v>
      </c>
      <c r="Z31" s="16" t="n">
        <f aca="false">IF(B31&gt;$K$13,-1*$J$13,(($K$13-B31)*$I$13)-$J$13)</f>
        <v>-2</v>
      </c>
      <c r="AA31" s="16" t="e">
        <f aca="false">Hedge_Total!G141</f>
        <v>#N/A</v>
      </c>
      <c r="AB31" s="16" t="e">
        <f aca="false">IF(B31&gt;$K$14,-1*$J$14,(($K$14-B31)*$I$14)-$J$14)</f>
        <v>#N/A</v>
      </c>
      <c r="AC31" s="16" t="n">
        <f aca="false">Hedge_Total!G171</f>
        <v>-3.64416623228846</v>
      </c>
      <c r="AD31" s="16" t="n">
        <f aca="false">IF(B31&gt;$K$15,-1*$J$15,(($K$15-B31)*$I$15)-$J$15)</f>
        <v>-4.2</v>
      </c>
      <c r="AE31" s="16" t="n">
        <f aca="false">Hedge_Total!G201</f>
        <v>-4.82547724349888</v>
      </c>
      <c r="AF31" s="16" t="n">
        <f aca="false">IF(B31&gt;$K$16,-1*$J$16,(($K$16-B31)*$I$16)-$J$16)</f>
        <v>-6.3</v>
      </c>
      <c r="AG31" s="16" t="n">
        <f aca="false">Hedge_Total!G231</f>
        <v>-2.83129213009358</v>
      </c>
      <c r="AH31" s="16" t="n">
        <f aca="false">IF(B31&gt;$K$17,-1*$J$17,(($K$17-B31)*$I$17)-$J$17)</f>
        <v>-5.28</v>
      </c>
      <c r="AI31" s="16" t="n">
        <f aca="false">Hedge_Total!G261</f>
        <v>-1.9178796304392</v>
      </c>
      <c r="AJ31" s="16" t="n">
        <f aca="false">IF(B31&gt;$K$18,-1*$J$18,(($K$18-B31)*$I$18)-$J$18)</f>
        <v>-6.45</v>
      </c>
      <c r="AK31" s="16" t="n">
        <f aca="false">Hedge_Total!G291</f>
        <v>-14.7118496379914</v>
      </c>
      <c r="AL31" s="16" t="n">
        <f aca="false">IF(B31&gt;$K$19,-1*$J$19,(($K$19-B31)*$I$19)-$J$19)</f>
        <v>-6.48</v>
      </c>
      <c r="AM31" s="16" t="e">
        <f aca="false">Hedge_Total!G321</f>
        <v>#N/A</v>
      </c>
      <c r="AN31" s="16" t="e">
        <f aca="false">IF(B31&gt;$K$20,-1*$J$20,(($K$20-B31)*$I$20)-$J$20)</f>
        <v>#N/A</v>
      </c>
      <c r="AO31" s="16" t="e">
        <f aca="false">Hedge_Total!G351</f>
        <v>#N/A</v>
      </c>
      <c r="AP31" s="16" t="e">
        <f aca="false">IF(B31&gt;$K$21,-1*$J$21,(($K$21-B31)*$I$21)-$J$21)</f>
        <v>#N/A</v>
      </c>
      <c r="AQ31" s="16" t="e">
        <f aca="false">Hedge_Total!G381</f>
        <v>#N/A</v>
      </c>
      <c r="AR31" s="16" t="e">
        <f aca="false">IF(B31&gt;$K$22,-1*$J$22,(($K$22-B31)*$I$22)-$J$22)</f>
        <v>#N/A</v>
      </c>
      <c r="AS31" s="16" t="e">
        <f aca="false">Hedge_Total!G411</f>
        <v>#N/A</v>
      </c>
      <c r="AT31" s="16" t="e">
        <f aca="false">IF(B31&gt;$K$23,-1*$J$23,(($K$23-B31)*$I$23)-$J$23)</f>
        <v>#N/A</v>
      </c>
    </row>
    <row r="32" customFormat="false" ht="14.25" hidden="false" customHeight="true" outlineLevel="0" collapsed="false">
      <c r="B32" s="67" t="n">
        <f aca="false">B31-1</f>
        <v>79</v>
      </c>
      <c r="C32" s="68" t="e">
        <f aca="false">J32/$C$16</f>
        <v>#N/A</v>
      </c>
      <c r="D32" s="68" t="e">
        <f aca="false">K32/$C$16</f>
        <v>#N/A</v>
      </c>
      <c r="E32" s="16" t="n">
        <f aca="false">($C$10*B32)-$F$10</f>
        <v>-72.5135703315</v>
      </c>
      <c r="F32" s="69" t="n">
        <f aca="false">(E32/$F$10)</f>
        <v>-0.053090748633961</v>
      </c>
      <c r="H32" s="67" t="n">
        <f aca="false">H31-1</f>
        <v>79</v>
      </c>
      <c r="I32" s="68" t="e">
        <f aca="false">Hedge_Total!C442</f>
        <v>#N/A</v>
      </c>
      <c r="J32" s="16" t="e">
        <f aca="false">Hedge_Total!G442</f>
        <v>#N/A</v>
      </c>
      <c r="K32" s="16" t="e">
        <f aca="false">T32+V32+X32+Z32+AB32+AD32+AF32+AH32+AJ32+AL32+AN32+AP32+AR32+AT32</f>
        <v>#N/A</v>
      </c>
      <c r="L32" s="69" t="e">
        <f aca="false">N32/$F$10</f>
        <v>#N/A</v>
      </c>
      <c r="M32" s="69" t="e">
        <f aca="false">O32/$F$10</f>
        <v>#N/A</v>
      </c>
      <c r="N32" s="16" t="e">
        <f aca="false">E32+J32</f>
        <v>#N/A</v>
      </c>
      <c r="O32" s="16" t="e">
        <f aca="false">E32+K32</f>
        <v>#N/A</v>
      </c>
      <c r="P32" s="70" t="e">
        <f aca="false">J33-2*J32+J31</f>
        <v>#N/A</v>
      </c>
      <c r="Q32" s="71"/>
      <c r="R32" s="67" t="n">
        <f aca="false">R31-1</f>
        <v>79</v>
      </c>
      <c r="S32" s="16" t="n">
        <f aca="false">Hedge_Total!G25</f>
        <v>-2.24679553398919</v>
      </c>
      <c r="T32" s="16" t="n">
        <f aca="false">IF(B32&gt;$K$10,-1*$J$10,(($K$10-B32)*$I$10)-$J$10)</f>
        <v>-8.82</v>
      </c>
      <c r="U32" s="16" t="n">
        <f aca="false">Hedge_Total!G54</f>
        <v>-1.39861062525607</v>
      </c>
      <c r="V32" s="16" t="n">
        <f aca="false">IF(B32&gt;$K$11,-1*$J$11,(($K$11-B32)*$I$11)-$J$11)</f>
        <v>-7.1</v>
      </c>
      <c r="W32" s="16" t="n">
        <f aca="false">Hedge_Total!G83</f>
        <v>-0.199914434443772</v>
      </c>
      <c r="X32" s="16" t="n">
        <f aca="false">IF(B32&gt;$K$12,-1*$J$12,(($K$12-B32)*$I$12)-$J$12)</f>
        <v>-0.43</v>
      </c>
      <c r="Y32" s="16" t="n">
        <f aca="false">Hedge_Total!G112</f>
        <v>0.777896888056713</v>
      </c>
      <c r="Z32" s="16" t="n">
        <f aca="false">IF(B32&gt;$K$13,-1*$J$13,(($K$13-B32)*$I$13)-$J$13)</f>
        <v>-2</v>
      </c>
      <c r="AA32" s="16" t="e">
        <f aca="false">Hedge_Total!G142</f>
        <v>#N/A</v>
      </c>
      <c r="AB32" s="16" t="e">
        <f aca="false">IF(B32&gt;$K$14,-1*$J$14,(($K$14-B32)*$I$14)-$J$14)</f>
        <v>#N/A</v>
      </c>
      <c r="AC32" s="16" t="n">
        <f aca="false">Hedge_Total!G172</f>
        <v>-3.47305909497767</v>
      </c>
      <c r="AD32" s="16" t="n">
        <f aca="false">IF(B32&gt;$K$15,-1*$J$15,(($K$15-B32)*$I$15)-$J$15)</f>
        <v>-4.2</v>
      </c>
      <c r="AE32" s="16" t="n">
        <f aca="false">Hedge_Total!G202</f>
        <v>-4.37735445976037</v>
      </c>
      <c r="AF32" s="16" t="n">
        <f aca="false">IF(B32&gt;$K$16,-1*$J$16,(($K$16-B32)*$I$16)-$J$16)</f>
        <v>-6.3</v>
      </c>
      <c r="AG32" s="16" t="n">
        <f aca="false">Hedge_Total!G232</f>
        <v>-2.14082931982545</v>
      </c>
      <c r="AH32" s="16" t="n">
        <f aca="false">IF(B32&gt;$K$17,-1*$J$17,(($K$17-B32)*$I$17)-$J$17)</f>
        <v>-5.28</v>
      </c>
      <c r="AI32" s="16" t="n">
        <f aca="false">Hedge_Total!G262</f>
        <v>-0.759793482746691</v>
      </c>
      <c r="AJ32" s="16" t="n">
        <f aca="false">IF(B32&gt;$K$18,-1*$J$18,(($K$18-B32)*$I$18)-$J$18)</f>
        <v>-6.45</v>
      </c>
      <c r="AK32" s="16" t="n">
        <f aca="false">Hedge_Total!G292</f>
        <v>-13.6692192147739</v>
      </c>
      <c r="AL32" s="16" t="n">
        <f aca="false">IF(B32&gt;$K$19,-1*$J$19,(($K$19-B32)*$I$19)-$J$19)</f>
        <v>-4.48</v>
      </c>
      <c r="AM32" s="16" t="e">
        <f aca="false">Hedge_Total!G322</f>
        <v>#N/A</v>
      </c>
      <c r="AN32" s="16" t="e">
        <f aca="false">IF(B32&gt;$K$20,-1*$J$20,(($K$20-B32)*$I$20)-$J$20)</f>
        <v>#N/A</v>
      </c>
      <c r="AO32" s="16" t="e">
        <f aca="false">Hedge_Total!G352</f>
        <v>#N/A</v>
      </c>
      <c r="AP32" s="16" t="e">
        <f aca="false">IF(B32&gt;$K$21,-1*$J$21,(($K$21-B32)*$I$21)-$J$21)</f>
        <v>#N/A</v>
      </c>
      <c r="AQ32" s="16" t="e">
        <f aca="false">Hedge_Total!G382</f>
        <v>#N/A</v>
      </c>
      <c r="AR32" s="16" t="e">
        <f aca="false">IF(B32&gt;$K$22,-1*$J$22,(($K$22-B32)*$I$22)-$J$22)</f>
        <v>#N/A</v>
      </c>
      <c r="AS32" s="16" t="e">
        <f aca="false">Hedge_Total!G412</f>
        <v>#N/A</v>
      </c>
      <c r="AT32" s="16" t="e">
        <f aca="false">IF(B32&gt;$K$23,-1*$J$23,(($K$23-B32)*$I$23)-$J$23)</f>
        <v>#N/A</v>
      </c>
    </row>
    <row r="33" customFormat="false" ht="14.25" hidden="false" customHeight="true" outlineLevel="0" collapsed="false">
      <c r="B33" s="67" t="n">
        <f aca="false">B32-1</f>
        <v>78</v>
      </c>
      <c r="C33" s="68" t="e">
        <f aca="false">J33/$C$16</f>
        <v>#N/A</v>
      </c>
      <c r="D33" s="68" t="e">
        <f aca="false">K33/$C$16</f>
        <v>#N/A</v>
      </c>
      <c r="E33" s="16" t="n">
        <f aca="false">($C$10*B33)-$F$10</f>
        <v>-88.8848153315</v>
      </c>
      <c r="F33" s="69" t="n">
        <f aca="false">(E33/$F$10)</f>
        <v>-0.0650769416892273</v>
      </c>
      <c r="H33" s="67" t="n">
        <f aca="false">H32-1</f>
        <v>78</v>
      </c>
      <c r="I33" s="68" t="e">
        <f aca="false">Hedge_Total!C443</f>
        <v>#N/A</v>
      </c>
      <c r="J33" s="16" t="e">
        <f aca="false">Hedge_Total!G443</f>
        <v>#N/A</v>
      </c>
      <c r="K33" s="16" t="e">
        <f aca="false">T33+V33+X33+Z33+AB33+AD33+AF33+AH33+AJ33+AL33+AN33+AP33+AR33+AT33</f>
        <v>#N/A</v>
      </c>
      <c r="L33" s="69" t="e">
        <f aca="false">N33/$F$10</f>
        <v>#N/A</v>
      </c>
      <c r="M33" s="69" t="e">
        <f aca="false">O33/$F$10</f>
        <v>#N/A</v>
      </c>
      <c r="N33" s="16" t="e">
        <f aca="false">E33+J33</f>
        <v>#N/A</v>
      </c>
      <c r="O33" s="16" t="e">
        <f aca="false">E33+K33</f>
        <v>#N/A</v>
      </c>
      <c r="P33" s="70" t="e">
        <f aca="false">J34-2*J33+J32</f>
        <v>#N/A</v>
      </c>
      <c r="Q33" s="71"/>
      <c r="R33" s="67" t="n">
        <f aca="false">R32-1</f>
        <v>78</v>
      </c>
      <c r="S33" s="16" t="n">
        <f aca="false">Hedge_Total!G26</f>
        <v>-1.52931328184397</v>
      </c>
      <c r="T33" s="16" t="n">
        <f aca="false">IF(B33&gt;$K$10,-1*$J$10,(($K$10-B33)*$I$10)-$J$10)</f>
        <v>-8.82</v>
      </c>
      <c r="U33" s="16" t="n">
        <f aca="false">Hedge_Total!G55</f>
        <v>-0.87697522644307</v>
      </c>
      <c r="V33" s="16" t="n">
        <f aca="false">IF(B33&gt;$K$11,-1*$J$11,(($K$11-B33)*$I$11)-$J$11)</f>
        <v>-7.1</v>
      </c>
      <c r="W33" s="16" t="n">
        <f aca="false">Hedge_Total!G84</f>
        <v>-0.155632413674718</v>
      </c>
      <c r="X33" s="16" t="n">
        <f aca="false">IF(B33&gt;$K$12,-1*$J$12,(($K$12-B33)*$I$12)-$J$12)</f>
        <v>-0.43</v>
      </c>
      <c r="Y33" s="16" t="n">
        <f aca="false">Hedge_Total!G113</f>
        <v>1.29630420171091</v>
      </c>
      <c r="Z33" s="16" t="n">
        <f aca="false">IF(B33&gt;$K$13,-1*$J$13,(($K$13-B33)*$I$13)-$J$13)</f>
        <v>-2</v>
      </c>
      <c r="AA33" s="16" t="e">
        <f aca="false">Hedge_Total!G143</f>
        <v>#N/A</v>
      </c>
      <c r="AB33" s="16" t="e">
        <f aca="false">IF(B33&gt;$K$14,-1*$J$14,(($K$14-B33)*$I$14)-$J$14)</f>
        <v>#N/A</v>
      </c>
      <c r="AC33" s="16" t="n">
        <f aca="false">Hedge_Total!G173</f>
        <v>-3.25540060197825</v>
      </c>
      <c r="AD33" s="16" t="n">
        <f aca="false">IF(B33&gt;$K$15,-1*$J$15,(($K$15-B33)*$I$15)-$J$15)</f>
        <v>-4.2</v>
      </c>
      <c r="AE33" s="16" t="n">
        <f aca="false">Hedge_Total!G203</f>
        <v>-3.81580358614989</v>
      </c>
      <c r="AF33" s="16" t="n">
        <f aca="false">IF(B33&gt;$K$16,-1*$J$16,(($K$16-B33)*$I$16)-$J$16)</f>
        <v>-6.3</v>
      </c>
      <c r="AG33" s="16" t="n">
        <f aca="false">Hedge_Total!G233</f>
        <v>-1.30499933557917</v>
      </c>
      <c r="AH33" s="16" t="n">
        <f aca="false">IF(B33&gt;$K$17,-1*$J$17,(($K$17-B33)*$I$17)-$J$17)</f>
        <v>-5.28</v>
      </c>
      <c r="AI33" s="16" t="n">
        <f aca="false">Hedge_Total!G263</f>
        <v>0.59436211181735</v>
      </c>
      <c r="AJ33" s="16" t="n">
        <f aca="false">IF(B33&gt;$K$18,-1*$J$18,(($K$18-B33)*$I$18)-$J$18)</f>
        <v>-6.45</v>
      </c>
      <c r="AK33" s="16" t="n">
        <f aca="false">Hedge_Total!G293</f>
        <v>-12.4854423443712</v>
      </c>
      <c r="AL33" s="16" t="n">
        <f aca="false">IF(B33&gt;$K$19,-1*$J$19,(($K$19-B33)*$I$19)-$J$19)</f>
        <v>-2.48</v>
      </c>
      <c r="AM33" s="16" t="e">
        <f aca="false">Hedge_Total!G323</f>
        <v>#N/A</v>
      </c>
      <c r="AN33" s="16" t="e">
        <f aca="false">IF(B33&gt;$K$20,-1*$J$20,(($K$20-B33)*$I$20)-$J$20)</f>
        <v>#N/A</v>
      </c>
      <c r="AO33" s="16" t="e">
        <f aca="false">Hedge_Total!G353</f>
        <v>#N/A</v>
      </c>
      <c r="AP33" s="16" t="e">
        <f aca="false">IF(B33&gt;$K$21,-1*$J$21,(($K$21-B33)*$I$21)-$J$21)</f>
        <v>#N/A</v>
      </c>
      <c r="AQ33" s="16" t="e">
        <f aca="false">Hedge_Total!G383</f>
        <v>#N/A</v>
      </c>
      <c r="AR33" s="16" t="e">
        <f aca="false">IF(B33&gt;$K$22,-1*$J$22,(($K$22-B33)*$I$22)-$J$22)</f>
        <v>#N/A</v>
      </c>
      <c r="AS33" s="16" t="e">
        <f aca="false">Hedge_Total!G413</f>
        <v>#N/A</v>
      </c>
      <c r="AT33" s="16" t="e">
        <f aca="false">IF(B33&gt;$K$23,-1*$J$23,(($K$23-B33)*$I$23)-$J$23)</f>
        <v>#N/A</v>
      </c>
    </row>
    <row r="34" customFormat="false" ht="14.25" hidden="false" customHeight="true" outlineLevel="0" collapsed="false">
      <c r="B34" s="67" t="n">
        <f aca="false">B33-1</f>
        <v>77</v>
      </c>
      <c r="C34" s="68" t="e">
        <f aca="false">J34/$C$16</f>
        <v>#N/A</v>
      </c>
      <c r="D34" s="68" t="e">
        <f aca="false">K34/$C$16</f>
        <v>#N/A</v>
      </c>
      <c r="E34" s="16" t="n">
        <f aca="false">($C$10*B34)-$F$10</f>
        <v>-105.2560603315</v>
      </c>
      <c r="F34" s="69" t="n">
        <f aca="false">(E34/$F$10)</f>
        <v>-0.0770631347444935</v>
      </c>
      <c r="H34" s="67" t="n">
        <f aca="false">H33-1</f>
        <v>77</v>
      </c>
      <c r="I34" s="68" t="e">
        <f aca="false">Hedge_Total!C444</f>
        <v>#N/A</v>
      </c>
      <c r="J34" s="16" t="e">
        <f aca="false">Hedge_Total!G444</f>
        <v>#N/A</v>
      </c>
      <c r="K34" s="16" t="e">
        <f aca="false">T34+V34+X34+Z34+AB34+AD34+AF34+AH34+AJ34+AL34+AN34+AP34+AR34+AT34</f>
        <v>#N/A</v>
      </c>
      <c r="L34" s="69" t="e">
        <f aca="false">N34/$F$10</f>
        <v>#N/A</v>
      </c>
      <c r="M34" s="69" t="e">
        <f aca="false">O34/$F$10</f>
        <v>#N/A</v>
      </c>
      <c r="N34" s="16" t="e">
        <f aca="false">E34+J34</f>
        <v>#N/A</v>
      </c>
      <c r="O34" s="16" t="e">
        <f aca="false">E34+K34</f>
        <v>#N/A</v>
      </c>
      <c r="P34" s="70" t="e">
        <f aca="false">J35-2*J34+J33</f>
        <v>#N/A</v>
      </c>
      <c r="Q34" s="71"/>
      <c r="R34" s="67" t="n">
        <f aca="false">R33-1</f>
        <v>77</v>
      </c>
      <c r="S34" s="16" t="n">
        <f aca="false">Hedge_Total!G27</f>
        <v>-0.74075561363863</v>
      </c>
      <c r="T34" s="16" t="n">
        <f aca="false">IF(B34&gt;$K$10,-1*$J$10,(($K$10-B34)*$I$10)-$J$10)</f>
        <v>-8.82</v>
      </c>
      <c r="U34" s="16" t="n">
        <f aca="false">Hedge_Total!G56</f>
        <v>-0.315831335779114</v>
      </c>
      <c r="V34" s="16" t="n">
        <f aca="false">IF(B34&gt;$K$11,-1*$J$11,(($K$11-B34)*$I$11)-$J$11)</f>
        <v>-7.1</v>
      </c>
      <c r="W34" s="16" t="n">
        <f aca="false">Hedge_Total!G85</f>
        <v>-0.103627964405557</v>
      </c>
      <c r="X34" s="16" t="n">
        <f aca="false">IF(B34&gt;$K$12,-1*$J$12,(($K$12-B34)*$I$12)-$J$12)</f>
        <v>-0.43</v>
      </c>
      <c r="Y34" s="16" t="n">
        <f aca="false">Hedge_Total!G114</f>
        <v>1.89353907726661</v>
      </c>
      <c r="Z34" s="16" t="n">
        <f aca="false">IF(B34&gt;$K$13,-1*$J$13,(($K$13-B34)*$I$13)-$J$13)</f>
        <v>-2</v>
      </c>
      <c r="AA34" s="16" t="e">
        <f aca="false">Hedge_Total!G144</f>
        <v>#N/A</v>
      </c>
      <c r="AB34" s="16" t="e">
        <f aca="false">IF(B34&gt;$K$14,-1*$J$14,(($K$14-B34)*$I$14)-$J$14)</f>
        <v>#N/A</v>
      </c>
      <c r="AC34" s="16" t="n">
        <f aca="false">Hedge_Total!G174</f>
        <v>-2.9806776538163</v>
      </c>
      <c r="AD34" s="16" t="n">
        <f aca="false">IF(B34&gt;$K$15,-1*$J$15,(($K$15-B34)*$I$15)-$J$15)</f>
        <v>-4.2</v>
      </c>
      <c r="AE34" s="16" t="n">
        <f aca="false">Hedge_Total!G204</f>
        <v>-3.11983637519488</v>
      </c>
      <c r="AF34" s="16" t="n">
        <f aca="false">IF(B34&gt;$K$16,-1*$J$16,(($K$16-B34)*$I$16)-$J$16)</f>
        <v>-6.3</v>
      </c>
      <c r="AG34" s="16" t="n">
        <f aca="false">Hedge_Total!G234</f>
        <v>-0.308217178052778</v>
      </c>
      <c r="AH34" s="16" t="n">
        <f aca="false">IF(B34&gt;$K$17,-1*$J$17,(($K$17-B34)*$I$17)-$J$17)</f>
        <v>-5.28</v>
      </c>
      <c r="AI34" s="16" t="n">
        <f aca="false">Hedge_Total!G264</f>
        <v>2.151187145463</v>
      </c>
      <c r="AJ34" s="16" t="n">
        <f aca="false">IF(B34&gt;$K$18,-1*$J$18,(($K$18-B34)*$I$18)-$J$18)</f>
        <v>-3.45</v>
      </c>
      <c r="AK34" s="16" t="n">
        <f aca="false">Hedge_Total!G294</f>
        <v>-11.1645817393519</v>
      </c>
      <c r="AL34" s="16" t="n">
        <f aca="false">IF(B34&gt;$K$19,-1*$J$19,(($K$19-B34)*$I$19)-$J$19)</f>
        <v>-0.48</v>
      </c>
      <c r="AM34" s="16" t="e">
        <f aca="false">Hedge_Total!G324</f>
        <v>#N/A</v>
      </c>
      <c r="AN34" s="16" t="e">
        <f aca="false">IF(B34&gt;$K$20,-1*$J$20,(($K$20-B34)*$I$20)-$J$20)</f>
        <v>#N/A</v>
      </c>
      <c r="AO34" s="16" t="e">
        <f aca="false">Hedge_Total!G354</f>
        <v>#N/A</v>
      </c>
      <c r="AP34" s="16" t="e">
        <f aca="false">IF(B34&gt;$K$21,-1*$J$21,(($K$21-B34)*$I$21)-$J$21)</f>
        <v>#N/A</v>
      </c>
      <c r="AQ34" s="16" t="e">
        <f aca="false">Hedge_Total!G384</f>
        <v>#N/A</v>
      </c>
      <c r="AR34" s="16" t="e">
        <f aca="false">IF(B34&gt;$K$22,-1*$J$22,(($K$22-B34)*$I$22)-$J$22)</f>
        <v>#N/A</v>
      </c>
      <c r="AS34" s="16" t="e">
        <f aca="false">Hedge_Total!G414</f>
        <v>#N/A</v>
      </c>
      <c r="AT34" s="16" t="e">
        <f aca="false">IF(B34&gt;$K$23,-1*$J$23,(($K$23-B34)*$I$23)-$J$23)</f>
        <v>#N/A</v>
      </c>
    </row>
    <row r="35" customFormat="false" ht="14.25" hidden="false" customHeight="true" outlineLevel="0" collapsed="false">
      <c r="B35" s="67" t="n">
        <f aca="false">B34-1</f>
        <v>76</v>
      </c>
      <c r="C35" s="68" t="e">
        <f aca="false">J35/$C$16</f>
        <v>#N/A</v>
      </c>
      <c r="D35" s="68" t="e">
        <f aca="false">K35/$C$16</f>
        <v>#N/A</v>
      </c>
      <c r="E35" s="16" t="n">
        <f aca="false">($C$10*B35)-$F$10</f>
        <v>-121.6273053315</v>
      </c>
      <c r="F35" s="69" t="n">
        <f aca="false">(E35/$F$10)</f>
        <v>-0.0890493277997599</v>
      </c>
      <c r="H35" s="67" t="n">
        <f aca="false">H34-1</f>
        <v>76</v>
      </c>
      <c r="I35" s="68" t="e">
        <f aca="false">Hedge_Total!C445</f>
        <v>#N/A</v>
      </c>
      <c r="J35" s="16" t="e">
        <f aca="false">Hedge_Total!G445</f>
        <v>#N/A</v>
      </c>
      <c r="K35" s="16" t="e">
        <f aca="false">T35+V35+X35+Z35+AB35+AD35+AF35+AH35+AJ35+AL35+AN35+AP35+AR35+AT35</f>
        <v>#N/A</v>
      </c>
      <c r="L35" s="69" t="e">
        <f aca="false">N35/$F$10</f>
        <v>#N/A</v>
      </c>
      <c r="M35" s="69" t="e">
        <f aca="false">O35/$F$10</f>
        <v>#N/A</v>
      </c>
      <c r="N35" s="16" t="e">
        <f aca="false">E35+J35</f>
        <v>#N/A</v>
      </c>
      <c r="O35" s="16" t="e">
        <f aca="false">E35+K35</f>
        <v>#N/A</v>
      </c>
      <c r="P35" s="70" t="e">
        <f aca="false">J36-2*J35+J34</f>
        <v>#N/A</v>
      </c>
      <c r="Q35" s="71"/>
      <c r="R35" s="67" t="n">
        <f aca="false">R34-1</f>
        <v>76</v>
      </c>
      <c r="S35" s="16" t="n">
        <f aca="false">Hedge_Total!G28</f>
        <v>0.124787458526958</v>
      </c>
      <c r="T35" s="16" t="n">
        <f aca="false">IF(B35&gt;$K$10,-1*$J$10,(($K$10-B35)*$I$10)-$J$10)</f>
        <v>-8.82</v>
      </c>
      <c r="U35" s="16" t="n">
        <f aca="false">Hedge_Total!G57</f>
        <v>0.286754680806235</v>
      </c>
      <c r="V35" s="16" t="n">
        <f aca="false">IF(B35&gt;$K$11,-1*$J$11,(($K$11-B35)*$I$11)-$J$11)</f>
        <v>-7.1</v>
      </c>
      <c r="W35" s="16" t="n">
        <f aca="false">Hedge_Total!G86</f>
        <v>-0.0427467735199765</v>
      </c>
      <c r="X35" s="16" t="n">
        <f aca="false">IF(B35&gt;$K$12,-1*$J$12,(($K$12-B35)*$I$12)-$J$12)</f>
        <v>-0.43</v>
      </c>
      <c r="Y35" s="16" t="n">
        <f aca="false">Hedge_Total!G115</f>
        <v>2.57757169516648</v>
      </c>
      <c r="Z35" s="16" t="n">
        <f aca="false">IF(B35&gt;$K$13,-1*$J$13,(($K$13-B35)*$I$13)-$J$13)</f>
        <v>-2</v>
      </c>
      <c r="AA35" s="16" t="e">
        <f aca="false">Hedge_Total!G145</f>
        <v>#N/A</v>
      </c>
      <c r="AB35" s="16" t="e">
        <f aca="false">IF(B35&gt;$K$14,-1*$J$14,(($K$14-B35)*$I$14)-$J$14)</f>
        <v>#N/A</v>
      </c>
      <c r="AC35" s="16" t="n">
        <f aca="false">Hedge_Total!G175</f>
        <v>-2.63670523407993</v>
      </c>
      <c r="AD35" s="16" t="n">
        <f aca="false">IF(B35&gt;$K$15,-1*$J$15,(($K$15-B35)*$I$15)-$J$15)</f>
        <v>-4.2</v>
      </c>
      <c r="AE35" s="16" t="n">
        <f aca="false">Hedge_Total!G205</f>
        <v>-2.26693890867905</v>
      </c>
      <c r="AF35" s="16" t="n">
        <f aca="false">IF(B35&gt;$K$16,-1*$J$16,(($K$16-B35)*$I$16)-$J$16)</f>
        <v>-6.3</v>
      </c>
      <c r="AG35" s="16" t="n">
        <f aca="false">Hedge_Total!G235</f>
        <v>0.862841632812491</v>
      </c>
      <c r="AH35" s="16" t="n">
        <f aca="false">IF(B35&gt;$K$17,-1*$J$17,(($K$17-B35)*$I$17)-$J$17)</f>
        <v>-5.28</v>
      </c>
      <c r="AI35" s="16" t="n">
        <f aca="false">Hedge_Total!G265</f>
        <v>3.91162134983167</v>
      </c>
      <c r="AJ35" s="16" t="n">
        <f aca="false">IF(B35&gt;$K$18,-1*$J$18,(($K$18-B35)*$I$18)-$J$18)</f>
        <v>-0.45</v>
      </c>
      <c r="AK35" s="16" t="n">
        <f aca="false">Hedge_Total!G295</f>
        <v>-9.71494863033277</v>
      </c>
      <c r="AL35" s="16" t="n">
        <f aca="false">IF(B35&gt;$K$19,-1*$J$19,(($K$19-B35)*$I$19)-$J$19)</f>
        <v>1.52</v>
      </c>
      <c r="AM35" s="16" t="e">
        <f aca="false">Hedge_Total!G325</f>
        <v>#N/A</v>
      </c>
      <c r="AN35" s="16" t="e">
        <f aca="false">IF(B35&gt;$K$20,-1*$J$20,(($K$20-B35)*$I$20)-$J$20)</f>
        <v>#N/A</v>
      </c>
      <c r="AO35" s="16" t="e">
        <f aca="false">Hedge_Total!G355</f>
        <v>#N/A</v>
      </c>
      <c r="AP35" s="16" t="e">
        <f aca="false">IF(B35&gt;$K$21,-1*$J$21,(($K$21-B35)*$I$21)-$J$21)</f>
        <v>#N/A</v>
      </c>
      <c r="AQ35" s="16" t="e">
        <f aca="false">Hedge_Total!G385</f>
        <v>#N/A</v>
      </c>
      <c r="AR35" s="16" t="e">
        <f aca="false">IF(B35&gt;$K$22,-1*$J$22,(($K$22-B35)*$I$22)-$J$22)</f>
        <v>#N/A</v>
      </c>
      <c r="AS35" s="16" t="e">
        <f aca="false">Hedge_Total!G415</f>
        <v>#N/A</v>
      </c>
      <c r="AT35" s="16" t="e">
        <f aca="false">IF(B35&gt;$K$23,-1*$J$23,(($K$23-B35)*$I$23)-$J$23)</f>
        <v>#N/A</v>
      </c>
    </row>
    <row r="36" customFormat="false" ht="14.25" hidden="false" customHeight="true" outlineLevel="0" collapsed="false">
      <c r="B36" s="67" t="n">
        <f aca="false">B35-1</f>
        <v>75</v>
      </c>
      <c r="C36" s="68" t="e">
        <f aca="false">J36/$C$16</f>
        <v>#N/A</v>
      </c>
      <c r="D36" s="68" t="e">
        <f aca="false">K36/$C$16</f>
        <v>#N/A</v>
      </c>
      <c r="E36" s="16" t="n">
        <f aca="false">($C$10*B36)-$F$10</f>
        <v>-137.9985503315</v>
      </c>
      <c r="F36" s="69" t="n">
        <f aca="false">(E36/$F$10)</f>
        <v>-0.101035520855026</v>
      </c>
      <c r="H36" s="67" t="n">
        <f aca="false">H35-1</f>
        <v>75</v>
      </c>
      <c r="I36" s="68" t="e">
        <f aca="false">Hedge_Total!C446</f>
        <v>#N/A</v>
      </c>
      <c r="J36" s="16" t="e">
        <f aca="false">Hedge_Total!G446</f>
        <v>#N/A</v>
      </c>
      <c r="K36" s="16" t="e">
        <f aca="false">T36+V36+X36+Z36+AB36+AD36+AF36+AH36+AJ36+AL36+AN36+AP36+AR36+AT36</f>
        <v>#N/A</v>
      </c>
      <c r="L36" s="69" t="e">
        <f aca="false">N36/$F$10</f>
        <v>#N/A</v>
      </c>
      <c r="M36" s="69" t="e">
        <f aca="false">O36/$F$10</f>
        <v>#N/A</v>
      </c>
      <c r="N36" s="16" t="e">
        <f aca="false">E36+J36</f>
        <v>#N/A</v>
      </c>
      <c r="O36" s="16" t="e">
        <f aca="false">E36+K36</f>
        <v>#N/A</v>
      </c>
      <c r="P36" s="70" t="e">
        <f aca="false">J37-2*J36+J35</f>
        <v>#N/A</v>
      </c>
      <c r="Q36" s="71"/>
      <c r="R36" s="67" t="n">
        <f aca="false">R35-1</f>
        <v>75</v>
      </c>
      <c r="S36" s="16" t="n">
        <f aca="false">Hedge_Total!G29</f>
        <v>1.07354494120675</v>
      </c>
      <c r="T36" s="16" t="n">
        <f aca="false">IF(B36&gt;$K$10,-1*$J$10,(($K$10-B36)*$I$10)-$J$10)</f>
        <v>-8.82</v>
      </c>
      <c r="U36" s="16" t="n">
        <f aca="false">Hedge_Total!G58</f>
        <v>0.932678501588024</v>
      </c>
      <c r="V36" s="16" t="n">
        <f aca="false">IF(B36&gt;$K$11,-1*$J$11,(($K$11-B36)*$I$11)-$J$11)</f>
        <v>-7.1</v>
      </c>
      <c r="W36" s="16" t="n">
        <f aca="false">Hedge_Total!G87</f>
        <v>0.0282936983790944</v>
      </c>
      <c r="X36" s="16" t="n">
        <f aca="false">IF(B36&gt;$K$12,-1*$J$12,(($K$12-B36)*$I$12)-$J$12)</f>
        <v>-0.43</v>
      </c>
      <c r="Y36" s="16" t="n">
        <f aca="false">Hedge_Total!G116</f>
        <v>3.35634968814452</v>
      </c>
      <c r="Z36" s="16" t="n">
        <f aca="false">IF(B36&gt;$K$13,-1*$J$13,(($K$13-B36)*$I$13)-$J$13)</f>
        <v>-2</v>
      </c>
      <c r="AA36" s="16" t="e">
        <f aca="false">Hedge_Total!G146</f>
        <v>#N/A</v>
      </c>
      <c r="AB36" s="16" t="e">
        <f aca="false">IF(B36&gt;$K$14,-1*$J$14,(($K$14-B36)*$I$14)-$J$14)</f>
        <v>#N/A</v>
      </c>
      <c r="AC36" s="16" t="n">
        <f aca="false">Hedge_Total!G176</f>
        <v>-2.20957596720688</v>
      </c>
      <c r="AD36" s="16" t="n">
        <f aca="false">IF(B36&gt;$K$15,-1*$J$15,(($K$15-B36)*$I$15)-$J$15)</f>
        <v>-4.2</v>
      </c>
      <c r="AE36" s="16" t="n">
        <f aca="false">Hedge_Total!G206</f>
        <v>-1.23364884541627</v>
      </c>
      <c r="AF36" s="16" t="n">
        <f aca="false">IF(B36&gt;$K$16,-1*$J$16,(($K$16-B36)*$I$16)-$J$16)</f>
        <v>-6.3</v>
      </c>
      <c r="AG36" s="16" t="n">
        <f aca="false">Hedge_Total!G236</f>
        <v>2.21827801664401</v>
      </c>
      <c r="AH36" s="16" t="n">
        <f aca="false">IF(B36&gt;$K$17,-1*$J$17,(($K$17-B36)*$I$17)-$J$17)</f>
        <v>-5.28</v>
      </c>
      <c r="AI36" s="16" t="n">
        <f aca="false">Hedge_Total!G266</f>
        <v>5.8706437014475</v>
      </c>
      <c r="AJ36" s="16" t="n">
        <f aca="false">IF(B36&gt;$K$18,-1*$J$18,(($K$18-B36)*$I$18)-$J$18)</f>
        <v>2.55</v>
      </c>
      <c r="AK36" s="16" t="n">
        <f aca="false">Hedge_Total!G296</f>
        <v>-8.14846753692982</v>
      </c>
      <c r="AL36" s="16" t="n">
        <f aca="false">IF(B36&gt;$K$19,-1*$J$19,(($K$19-B36)*$I$19)-$J$19)</f>
        <v>3.52</v>
      </c>
      <c r="AM36" s="16" t="e">
        <f aca="false">Hedge_Total!G326</f>
        <v>#N/A</v>
      </c>
      <c r="AN36" s="16" t="e">
        <f aca="false">IF(B36&gt;$K$20,-1*$J$20,(($K$20-B36)*$I$20)-$J$20)</f>
        <v>#N/A</v>
      </c>
      <c r="AO36" s="16" t="e">
        <f aca="false">Hedge_Total!G356</f>
        <v>#N/A</v>
      </c>
      <c r="AP36" s="16" t="e">
        <f aca="false">IF(B36&gt;$K$21,-1*$J$21,(($K$21-B36)*$I$21)-$J$21)</f>
        <v>#N/A</v>
      </c>
      <c r="AQ36" s="16" t="e">
        <f aca="false">Hedge_Total!G386</f>
        <v>#N/A</v>
      </c>
      <c r="AR36" s="16" t="e">
        <f aca="false">IF(B36&gt;$K$22,-1*$J$22,(($K$22-B36)*$I$22)-$J$22)</f>
        <v>#N/A</v>
      </c>
      <c r="AS36" s="16" t="e">
        <f aca="false">Hedge_Total!G416</f>
        <v>#N/A</v>
      </c>
      <c r="AT36" s="16" t="e">
        <f aca="false">IF(B36&gt;$K$23,-1*$J$23,(($K$23-B36)*$I$23)-$J$23)</f>
        <v>#N/A</v>
      </c>
    </row>
    <row r="37" customFormat="false" ht="14.25" hidden="false" customHeight="true" outlineLevel="0" collapsed="false">
      <c r="B37" s="67" t="n">
        <f aca="false">B36-1</f>
        <v>74</v>
      </c>
      <c r="C37" s="68" t="e">
        <f aca="false">J37/$C$16</f>
        <v>#N/A</v>
      </c>
      <c r="D37" s="68" t="e">
        <f aca="false">K37/$C$16</f>
        <v>#N/A</v>
      </c>
      <c r="E37" s="16" t="n">
        <f aca="false">($C$10*B37)-$F$10</f>
        <v>-154.3697953315</v>
      </c>
      <c r="F37" s="69" t="n">
        <f aca="false">(E37/$F$10)</f>
        <v>-0.113021713910293</v>
      </c>
      <c r="H37" s="67" t="n">
        <f aca="false">H36-1</f>
        <v>74</v>
      </c>
      <c r="I37" s="68" t="e">
        <f aca="false">Hedge_Total!C447</f>
        <v>#N/A</v>
      </c>
      <c r="J37" s="16" t="e">
        <f aca="false">Hedge_Total!G447</f>
        <v>#N/A</v>
      </c>
      <c r="K37" s="16" t="e">
        <f aca="false">T37+V37+X37+Z37+AB37+AD37+AF37+AH37+AJ37+AL37+AN37+AP37+AR37+AT37</f>
        <v>#N/A</v>
      </c>
      <c r="L37" s="69" t="e">
        <f aca="false">N37/$F$10</f>
        <v>#N/A</v>
      </c>
      <c r="M37" s="69" t="e">
        <f aca="false">O37/$F$10</f>
        <v>#N/A</v>
      </c>
      <c r="N37" s="16" t="e">
        <f aca="false">E37+J37</f>
        <v>#N/A</v>
      </c>
      <c r="O37" s="16" t="e">
        <f aca="false">E37+K37</f>
        <v>#N/A</v>
      </c>
      <c r="P37" s="70" t="e">
        <f aca="false">J38-2*J37+J36</f>
        <v>#N/A</v>
      </c>
      <c r="Q37" s="71"/>
      <c r="R37" s="67" t="n">
        <f aca="false">R36-1</f>
        <v>74</v>
      </c>
      <c r="S37" s="16" t="n">
        <f aca="false">Hedge_Total!G30</f>
        <v>2.11205522933602</v>
      </c>
      <c r="T37" s="16" t="n">
        <f aca="false">IF(B37&gt;$K$10,-1*$J$10,(($K$10-B37)*$I$10)-$J$10)</f>
        <v>-8.82</v>
      </c>
      <c r="U37" s="16" t="n">
        <f aca="false">Hedge_Total!G59</f>
        <v>1.62377841663842</v>
      </c>
      <c r="V37" s="16" t="n">
        <f aca="false">IF(B37&gt;$K$11,-1*$J$11,(($K$11-B37)*$I$11)-$J$11)</f>
        <v>-7.1</v>
      </c>
      <c r="W37" s="16" t="n">
        <f aca="false">Hedge_Total!G88</f>
        <v>0.110908513458932</v>
      </c>
      <c r="X37" s="16" t="n">
        <f aca="false">IF(B37&gt;$K$12,-1*$J$12,(($K$12-B37)*$I$12)-$J$12)</f>
        <v>-0.43</v>
      </c>
      <c r="Y37" s="16" t="n">
        <f aca="false">Hedge_Total!G117</f>
        <v>4.23761483844116</v>
      </c>
      <c r="Z37" s="16" t="n">
        <f aca="false">IF(B37&gt;$K$13,-1*$J$13,(($K$13-B37)*$I$13)-$J$13)</f>
        <v>-2</v>
      </c>
      <c r="AA37" s="16" t="e">
        <f aca="false">Hedge_Total!G147</f>
        <v>#N/A</v>
      </c>
      <c r="AB37" s="16" t="e">
        <f aca="false">IF(B37&gt;$K$14,-1*$J$14,(($K$14-B37)*$I$14)-$J$14)</f>
        <v>#N/A</v>
      </c>
      <c r="AC37" s="16" t="n">
        <f aca="false">Hedge_Total!G177</f>
        <v>-1.68367913486574</v>
      </c>
      <c r="AD37" s="16" t="n">
        <f aca="false">IF(B37&gt;$K$15,-1*$J$15,(($K$15-B37)*$I$15)-$J$15)</f>
        <v>-4.2</v>
      </c>
      <c r="AE37" s="16" t="n">
        <f aca="false">Hedge_Total!G207</f>
        <v>0.00367840231848215</v>
      </c>
      <c r="AF37" s="16" t="n">
        <f aca="false">IF(B37&gt;$K$16,-1*$J$16,(($K$16-B37)*$I$16)-$J$16)</f>
        <v>-6.3</v>
      </c>
      <c r="AG37" s="16" t="n">
        <f aca="false">Hedge_Total!G237</f>
        <v>3.764128677796</v>
      </c>
      <c r="AH37" s="16" t="n">
        <f aca="false">IF(B37&gt;$K$17,-1*$J$17,(($K$17-B37)*$I$17)-$J$17)</f>
        <v>-2.28</v>
      </c>
      <c r="AI37" s="16" t="n">
        <f aca="false">Hedge_Total!G267</f>
        <v>8.01748925542395</v>
      </c>
      <c r="AJ37" s="16" t="n">
        <f aca="false">IF(B37&gt;$K$18,-1*$J$18,(($K$18-B37)*$I$18)-$J$18)</f>
        <v>5.55</v>
      </c>
      <c r="AK37" s="16" t="n">
        <f aca="false">Hedge_Total!G297</f>
        <v>-6.47970587695794</v>
      </c>
      <c r="AL37" s="16" t="n">
        <f aca="false">IF(B37&gt;$K$19,-1*$J$19,(($K$19-B37)*$I$19)-$J$19)</f>
        <v>5.52</v>
      </c>
      <c r="AM37" s="16" t="e">
        <f aca="false">Hedge_Total!G327</f>
        <v>#N/A</v>
      </c>
      <c r="AN37" s="16" t="e">
        <f aca="false">IF(B37&gt;$K$20,-1*$J$20,(($K$20-B37)*$I$20)-$J$20)</f>
        <v>#N/A</v>
      </c>
      <c r="AO37" s="16" t="e">
        <f aca="false">Hedge_Total!G357</f>
        <v>#N/A</v>
      </c>
      <c r="AP37" s="16" t="e">
        <f aca="false">IF(B37&gt;$K$21,-1*$J$21,(($K$21-B37)*$I$21)-$J$21)</f>
        <v>#N/A</v>
      </c>
      <c r="AQ37" s="16" t="e">
        <f aca="false">Hedge_Total!G387</f>
        <v>#N/A</v>
      </c>
      <c r="AR37" s="16" t="e">
        <f aca="false">IF(B37&gt;$K$22,-1*$J$22,(($K$22-B37)*$I$22)-$J$22)</f>
        <v>#N/A</v>
      </c>
      <c r="AS37" s="16" t="e">
        <f aca="false">Hedge_Total!G417</f>
        <v>#N/A</v>
      </c>
      <c r="AT37" s="16" t="e">
        <f aca="false">IF(B37&gt;$K$23,-1*$J$23,(($K$23-B37)*$I$23)-$J$23)</f>
        <v>#N/A</v>
      </c>
    </row>
    <row r="38" customFormat="false" ht="14.25" hidden="false" customHeight="true" outlineLevel="0" collapsed="false">
      <c r="B38" s="67" t="n">
        <f aca="false">B37-1</f>
        <v>73</v>
      </c>
      <c r="C38" s="68" t="e">
        <f aca="false">J38/$C$16</f>
        <v>#N/A</v>
      </c>
      <c r="D38" s="68" t="e">
        <f aca="false">K38/$C$16</f>
        <v>#N/A</v>
      </c>
      <c r="E38" s="16" t="n">
        <f aca="false">($C$10*B38)-$F$10</f>
        <v>-170.7410403315</v>
      </c>
      <c r="F38" s="69" t="n">
        <f aca="false">(E38/$F$10)</f>
        <v>-0.125007906965559</v>
      </c>
      <c r="H38" s="67" t="n">
        <f aca="false">H37-1</f>
        <v>73</v>
      </c>
      <c r="I38" s="68" t="e">
        <f aca="false">Hedge_Total!C448</f>
        <v>#N/A</v>
      </c>
      <c r="J38" s="16" t="e">
        <f aca="false">Hedge_Total!G448</f>
        <v>#N/A</v>
      </c>
      <c r="K38" s="16" t="e">
        <f aca="false">T38+V38+X38+Z38+AB38+AD38+AF38+AH38+AJ38+AL38+AN38+AP38+AR38+AT38</f>
        <v>#N/A</v>
      </c>
      <c r="L38" s="69" t="e">
        <f aca="false">N38/$F$10</f>
        <v>#N/A</v>
      </c>
      <c r="M38" s="69" t="e">
        <f aca="false">O38/$F$10</f>
        <v>#N/A</v>
      </c>
      <c r="N38" s="16" t="e">
        <f aca="false">E38+J38</f>
        <v>#N/A</v>
      </c>
      <c r="O38" s="16" t="e">
        <f aca="false">E38+K38</f>
        <v>#N/A</v>
      </c>
      <c r="P38" s="70" t="e">
        <f aca="false">J39-2*J38+J37</f>
        <v>#N/A</v>
      </c>
      <c r="Q38" s="71"/>
      <c r="R38" s="67" t="n">
        <f aca="false">R37-1</f>
        <v>73</v>
      </c>
      <c r="S38" s="16" t="n">
        <f aca="false">Hedge_Total!G31</f>
        <v>3.24715122728755</v>
      </c>
      <c r="T38" s="16" t="n">
        <f aca="false">IF(B38&gt;$K$10,-1*$J$10,(($K$10-B38)*$I$10)-$J$10)</f>
        <v>-8.82</v>
      </c>
      <c r="U38" s="16" t="n">
        <f aca="false">Hedge_Total!G60</f>
        <v>2.3618145522253</v>
      </c>
      <c r="V38" s="16" t="n">
        <f aca="false">IF(B38&gt;$K$11,-1*$J$11,(($K$11-B38)*$I$11)-$J$11)</f>
        <v>-7.1</v>
      </c>
      <c r="W38" s="16" t="n">
        <f aca="false">Hedge_Total!G89</f>
        <v>0.206647249072765</v>
      </c>
      <c r="X38" s="16" t="n">
        <f aca="false">IF(B38&gt;$K$12,-1*$J$12,(($K$12-B38)*$I$12)-$J$12)</f>
        <v>-0.43</v>
      </c>
      <c r="Y38" s="16" t="n">
        <f aca="false">Hedge_Total!G118</f>
        <v>5.22869897768482</v>
      </c>
      <c r="Z38" s="16" t="n">
        <f aca="false">IF(B38&gt;$K$13,-1*$J$13,(($K$13-B38)*$I$13)-$J$13)</f>
        <v>-2</v>
      </c>
      <c r="AA38" s="16" t="e">
        <f aca="false">Hedge_Total!G148</f>
        <v>#N/A</v>
      </c>
      <c r="AB38" s="16" t="e">
        <f aca="false">IF(B38&gt;$K$14,-1*$J$14,(($K$14-B38)*$I$14)-$J$14)</f>
        <v>#N/A</v>
      </c>
      <c r="AC38" s="16" t="n">
        <f aca="false">Hedge_Total!G178</f>
        <v>-1.04180857394016</v>
      </c>
      <c r="AD38" s="16" t="n">
        <f aca="false">IF(B38&gt;$K$15,-1*$J$15,(($K$15-B38)*$I$15)-$J$15)</f>
        <v>-4.2</v>
      </c>
      <c r="AE38" s="16" t="n">
        <f aca="false">Hedge_Total!G208</f>
        <v>1.46793249051556</v>
      </c>
      <c r="AF38" s="16" t="n">
        <f aca="false">IF(B38&gt;$K$16,-1*$J$16,(($K$16-B38)*$I$16)-$J$16)</f>
        <v>-6.3</v>
      </c>
      <c r="AG38" s="16" t="n">
        <f aca="false">Hedge_Total!G238</f>
        <v>5.5017533368308</v>
      </c>
      <c r="AH38" s="16" t="n">
        <f aca="false">IF(B38&gt;$K$17,-1*$J$17,(($K$17-B38)*$I$17)-$J$17)</f>
        <v>0.72</v>
      </c>
      <c r="AI38" s="16" t="n">
        <f aca="false">Hedge_Total!G268</f>
        <v>10.3363843543999</v>
      </c>
      <c r="AJ38" s="16" t="n">
        <f aca="false">IF(B38&gt;$K$18,-1*$J$18,(($K$18-B38)*$I$18)-$J$18)</f>
        <v>8.55</v>
      </c>
      <c r="AK38" s="16" t="n">
        <f aca="false">Hedge_Total!G298</f>
        <v>-4.72470128576055</v>
      </c>
      <c r="AL38" s="16" t="n">
        <f aca="false">IF(B38&gt;$K$19,-1*$J$19,(($K$19-B38)*$I$19)-$J$19)</f>
        <v>7.52</v>
      </c>
      <c r="AM38" s="16" t="e">
        <f aca="false">Hedge_Total!G328</f>
        <v>#N/A</v>
      </c>
      <c r="AN38" s="16" t="e">
        <f aca="false">IF(B38&gt;$K$20,-1*$J$20,(($K$20-B38)*$I$20)-$J$20)</f>
        <v>#N/A</v>
      </c>
      <c r="AO38" s="16" t="e">
        <f aca="false">Hedge_Total!G358</f>
        <v>#N/A</v>
      </c>
      <c r="AP38" s="16" t="e">
        <f aca="false">IF(B38&gt;$K$21,-1*$J$21,(($K$21-B38)*$I$21)-$J$21)</f>
        <v>#N/A</v>
      </c>
      <c r="AQ38" s="16" t="e">
        <f aca="false">Hedge_Total!G388</f>
        <v>#N/A</v>
      </c>
      <c r="AR38" s="16" t="e">
        <f aca="false">IF(B38&gt;$K$22,-1*$J$22,(($K$22-B38)*$I$22)-$J$22)</f>
        <v>#N/A</v>
      </c>
      <c r="AS38" s="16" t="e">
        <f aca="false">Hedge_Total!G418</f>
        <v>#N/A</v>
      </c>
      <c r="AT38" s="16" t="e">
        <f aca="false">IF(B38&gt;$K$23,-1*$J$23,(($K$23-B38)*$I$23)-$J$23)</f>
        <v>#N/A</v>
      </c>
    </row>
    <row r="39" customFormat="false" ht="14.25" hidden="false" customHeight="true" outlineLevel="0" collapsed="false">
      <c r="B39" s="67" t="n">
        <f aca="false">B38-1</f>
        <v>72</v>
      </c>
      <c r="C39" s="68" t="e">
        <f aca="false">J39/$C$16</f>
        <v>#N/A</v>
      </c>
      <c r="D39" s="68" t="e">
        <f aca="false">K39/$C$16</f>
        <v>#N/A</v>
      </c>
      <c r="E39" s="16" t="n">
        <f aca="false">($C$10*B39)-$F$10</f>
        <v>-187.1122853315</v>
      </c>
      <c r="F39" s="69" t="n">
        <f aca="false">(E39/$F$10)</f>
        <v>-0.136994100020825</v>
      </c>
      <c r="H39" s="67" t="n">
        <f aca="false">H38-1</f>
        <v>72</v>
      </c>
      <c r="I39" s="68" t="e">
        <f aca="false">Hedge_Total!C449</f>
        <v>#N/A</v>
      </c>
      <c r="J39" s="16" t="e">
        <f aca="false">Hedge_Total!G449</f>
        <v>#N/A</v>
      </c>
      <c r="K39" s="16" t="e">
        <f aca="false">T39+V39+X39+Z39+AB39+AD39+AF39+AH39+AJ39+AL39+AN39+AP39+AR39+AT39</f>
        <v>#N/A</v>
      </c>
      <c r="L39" s="69" t="e">
        <f aca="false">N39/$F$10</f>
        <v>#N/A</v>
      </c>
      <c r="M39" s="69" t="e">
        <f aca="false">O39/$F$10</f>
        <v>#N/A</v>
      </c>
      <c r="N39" s="16" t="e">
        <f aca="false">E39+J39</f>
        <v>#N/A</v>
      </c>
      <c r="O39" s="16" t="e">
        <f aca="false">E39+K39</f>
        <v>#N/A</v>
      </c>
      <c r="P39" s="70" t="e">
        <f aca="false">J40-2*J39+J38</f>
        <v>#N/A</v>
      </c>
      <c r="Q39" s="71"/>
      <c r="R39" s="67" t="n">
        <f aca="false">R38-1</f>
        <v>72</v>
      </c>
      <c r="S39" s="16" t="n">
        <f aca="false">Hedge_Total!G32</f>
        <v>4.48593958862474</v>
      </c>
      <c r="T39" s="16" t="n">
        <f aca="false">IF(B39&gt;$K$10,-1*$J$10,(($K$10-B39)*$I$10)-$J$10)</f>
        <v>-8.82</v>
      </c>
      <c r="U39" s="16" t="n">
        <f aca="false">Hedge_Total!G61</f>
        <v>3.14844695868235</v>
      </c>
      <c r="V39" s="16" t="n">
        <f aca="false">IF(B39&gt;$K$11,-1*$J$11,(($K$11-B39)*$I$11)-$J$11)</f>
        <v>-7.1</v>
      </c>
      <c r="W39" s="16" t="n">
        <f aca="false">Hedge_Total!G90</f>
        <v>0.317193079855636</v>
      </c>
      <c r="X39" s="16" t="n">
        <f aca="false">IF(B39&gt;$K$12,-1*$J$12,(($K$12-B39)*$I$12)-$J$12)</f>
        <v>-0.43</v>
      </c>
      <c r="Y39" s="16" t="n">
        <f aca="false">Hedge_Total!G119</f>
        <v>6.33630523975742</v>
      </c>
      <c r="Z39" s="16" t="n">
        <f aca="false">IF(B39&gt;$K$13,-1*$J$13,(($K$13-B39)*$I$13)-$J$13)</f>
        <v>-2</v>
      </c>
      <c r="AA39" s="16" t="e">
        <f aca="false">Hedge_Total!G149</f>
        <v>#N/A</v>
      </c>
      <c r="AB39" s="16" t="e">
        <f aca="false">IF(B39&gt;$K$14,-1*$J$14,(($K$14-B39)*$I$14)-$J$14)</f>
        <v>#N/A</v>
      </c>
      <c r="AC39" s="16" t="n">
        <f aca="false">Hedge_Total!G179</f>
        <v>-0.26537754103611</v>
      </c>
      <c r="AD39" s="16" t="n">
        <f aca="false">IF(B39&gt;$K$15,-1*$J$15,(($K$15-B39)*$I$15)-$J$15)</f>
        <v>-4.2</v>
      </c>
      <c r="AE39" s="16" t="n">
        <f aca="false">Hedge_Total!G209</f>
        <v>3.18018048550944</v>
      </c>
      <c r="AF39" s="16" t="n">
        <f aca="false">IF(B39&gt;$K$16,-1*$J$16,(($K$16-B39)*$I$16)-$J$16)</f>
        <v>-6.3</v>
      </c>
      <c r="AG39" s="16" t="n">
        <f aca="false">Hedge_Total!G239</f>
        <v>7.4275409171613</v>
      </c>
      <c r="AH39" s="16" t="n">
        <f aca="false">IF(B39&gt;$K$17,-1*$J$17,(($K$17-B39)*$I$17)-$J$17)</f>
        <v>3.72</v>
      </c>
      <c r="AI39" s="16" t="n">
        <f aca="false">Hedge_Total!G269</f>
        <v>12.8077228371526</v>
      </c>
      <c r="AJ39" s="16" t="n">
        <f aca="false">IF(B39&gt;$K$18,-1*$J$18,(($K$18-B39)*$I$18)-$J$18)</f>
        <v>11.55</v>
      </c>
      <c r="AK39" s="16" t="n">
        <f aca="false">Hedge_Total!G299</f>
        <v>-2.89975001996049</v>
      </c>
      <c r="AL39" s="16" t="n">
        <f aca="false">IF(B39&gt;$K$19,-1*$J$19,(($K$19-B39)*$I$19)-$J$19)</f>
        <v>9.52</v>
      </c>
      <c r="AM39" s="16" t="e">
        <f aca="false">Hedge_Total!G329</f>
        <v>#N/A</v>
      </c>
      <c r="AN39" s="16" t="e">
        <f aca="false">IF(B39&gt;$K$20,-1*$J$20,(($K$20-B39)*$I$20)-$J$20)</f>
        <v>#N/A</v>
      </c>
      <c r="AO39" s="16" t="e">
        <f aca="false">Hedge_Total!G359</f>
        <v>#N/A</v>
      </c>
      <c r="AP39" s="16" t="e">
        <f aca="false">IF(B39&gt;$K$21,-1*$J$21,(($K$21-B39)*$I$21)-$J$21)</f>
        <v>#N/A</v>
      </c>
      <c r="AQ39" s="16" t="e">
        <f aca="false">Hedge_Total!G389</f>
        <v>#N/A</v>
      </c>
      <c r="AR39" s="16" t="e">
        <f aca="false">IF(B39&gt;$K$22,-1*$J$22,(($K$22-B39)*$I$22)-$J$22)</f>
        <v>#N/A</v>
      </c>
      <c r="AS39" s="16" t="e">
        <f aca="false">Hedge_Total!G419</f>
        <v>#N/A</v>
      </c>
      <c r="AT39" s="16" t="e">
        <f aca="false">IF(B39&gt;$K$23,-1*$J$23,(($K$23-B39)*$I$23)-$J$23)</f>
        <v>#N/A</v>
      </c>
    </row>
    <row r="40" customFormat="false" ht="14.25" hidden="false" customHeight="true" outlineLevel="0" collapsed="false">
      <c r="B40" s="67" t="n">
        <f aca="false">B39-1</f>
        <v>71</v>
      </c>
      <c r="C40" s="68" t="e">
        <f aca="false">J40/$C$16</f>
        <v>#N/A</v>
      </c>
      <c r="D40" s="68" t="e">
        <f aca="false">K40/$C$16</f>
        <v>#N/A</v>
      </c>
      <c r="E40" s="16" t="n">
        <f aca="false">($C$10*B40)-$F$10</f>
        <v>-203.4835303315</v>
      </c>
      <c r="F40" s="69" t="n">
        <f aca="false">(E40/$F$10)</f>
        <v>-0.148980293076091</v>
      </c>
      <c r="H40" s="67" t="n">
        <f aca="false">H39-1</f>
        <v>71</v>
      </c>
      <c r="I40" s="68" t="e">
        <f aca="false">Hedge_Total!C450</f>
        <v>#N/A</v>
      </c>
      <c r="J40" s="16" t="e">
        <f aca="false">Hedge_Total!G450</f>
        <v>#N/A</v>
      </c>
      <c r="K40" s="16" t="e">
        <f aca="false">T40+V40+X40+Z40+AB40+AD40+AF40+AH40+AJ40+AL40+AN40+AP40+AR40+AT40</f>
        <v>#N/A</v>
      </c>
      <c r="L40" s="69" t="e">
        <f aca="false">N40/$F$10</f>
        <v>#N/A</v>
      </c>
      <c r="M40" s="69" t="e">
        <f aca="false">O40/$F$10</f>
        <v>#N/A</v>
      </c>
      <c r="N40" s="16" t="e">
        <f aca="false">E40+J40</f>
        <v>#N/A</v>
      </c>
      <c r="O40" s="16" t="e">
        <f aca="false">E40+K40</f>
        <v>#N/A</v>
      </c>
      <c r="P40" s="70" t="e">
        <f aca="false">J41-2*J40+J39</f>
        <v>#N/A</v>
      </c>
      <c r="Q40" s="71"/>
      <c r="R40" s="67" t="n">
        <f aca="false">R39-1</f>
        <v>71</v>
      </c>
      <c r="S40" s="16" t="n">
        <f aca="false">Hedge_Total!G33</f>
        <v>5.83577345178443</v>
      </c>
      <c r="T40" s="16" t="n">
        <f aca="false">IF(B40&gt;$K$10,-1*$J$10,(($K$10-B40)*$I$10)-$J$10)</f>
        <v>-8.82</v>
      </c>
      <c r="U40" s="16" t="n">
        <f aca="false">Hedge_Total!G62</f>
        <v>3.9852128265993</v>
      </c>
      <c r="V40" s="16" t="n">
        <f aca="false">IF(B40&gt;$K$11,-1*$J$11,(($K$11-B40)*$I$11)-$J$11)</f>
        <v>-7.1</v>
      </c>
      <c r="W40" s="16" t="n">
        <f aca="false">Hedge_Total!G91</f>
        <v>0.444358312192367</v>
      </c>
      <c r="X40" s="16" t="n">
        <f aca="false">IF(B40&gt;$K$12,-1*$J$12,(($K$12-B40)*$I$12)-$J$12)</f>
        <v>-0.43</v>
      </c>
      <c r="Y40" s="16" t="n">
        <f aca="false">Hedge_Total!G120</f>
        <v>7.56628286878964</v>
      </c>
      <c r="Z40" s="16" t="n">
        <f aca="false">IF(B40&gt;$K$13,-1*$J$13,(($K$13-B40)*$I$13)-$J$13)</f>
        <v>-2</v>
      </c>
      <c r="AA40" s="16" t="e">
        <f aca="false">Hedge_Total!G150</f>
        <v>#N/A</v>
      </c>
      <c r="AB40" s="16" t="e">
        <f aca="false">IF(B40&gt;$K$14,-1*$J$14,(($K$14-B40)*$I$14)-$J$14)</f>
        <v>#N/A</v>
      </c>
      <c r="AC40" s="16" t="n">
        <f aca="false">Hedge_Total!G180</f>
        <v>0.665245025046531</v>
      </c>
      <c r="AD40" s="16" t="n">
        <f aca="false">IF(B40&gt;$K$15,-1*$J$15,(($K$15-B40)*$I$15)-$J$15)</f>
        <v>-4.2</v>
      </c>
      <c r="AE40" s="16" t="n">
        <f aca="false">Hedge_Total!G210</f>
        <v>5.15853273828786</v>
      </c>
      <c r="AF40" s="16" t="n">
        <f aca="false">IF(B40&gt;$K$16,-1*$J$16,(($K$16-B40)*$I$16)-$J$16)</f>
        <v>-6.3</v>
      </c>
      <c r="AG40" s="16" t="n">
        <f aca="false">Hedge_Total!G240</f>
        <v>9.53299435517809</v>
      </c>
      <c r="AH40" s="16" t="n">
        <f aca="false">IF(B40&gt;$K$17,-1*$J$17,(($K$17-B40)*$I$17)-$J$17)</f>
        <v>6.72</v>
      </c>
      <c r="AI40" s="16" t="n">
        <f aca="false">Hedge_Total!G270</f>
        <v>15.4095368739304</v>
      </c>
      <c r="AJ40" s="16" t="n">
        <f aca="false">IF(B40&gt;$K$18,-1*$J$18,(($K$18-B40)*$I$18)-$J$18)</f>
        <v>14.55</v>
      </c>
      <c r="AK40" s="16" t="n">
        <f aca="false">Hedge_Total!G300</f>
        <v>-1.02031754789886</v>
      </c>
      <c r="AL40" s="16" t="n">
        <f aca="false">IF(B40&gt;$K$19,-1*$J$19,(($K$19-B40)*$I$19)-$J$19)</f>
        <v>11.52</v>
      </c>
      <c r="AM40" s="16" t="e">
        <f aca="false">Hedge_Total!G330</f>
        <v>#N/A</v>
      </c>
      <c r="AN40" s="16" t="e">
        <f aca="false">IF(B40&gt;$K$20,-1*$J$20,(($K$20-B40)*$I$20)-$J$20)</f>
        <v>#N/A</v>
      </c>
      <c r="AO40" s="16" t="e">
        <f aca="false">Hedge_Total!G360</f>
        <v>#N/A</v>
      </c>
      <c r="AP40" s="16" t="e">
        <f aca="false">IF(B40&gt;$K$21,-1*$J$21,(($K$21-B40)*$I$21)-$J$21)</f>
        <v>#N/A</v>
      </c>
      <c r="AQ40" s="16" t="e">
        <f aca="false">Hedge_Total!G390</f>
        <v>#N/A</v>
      </c>
      <c r="AR40" s="16" t="e">
        <f aca="false">IF(B40&gt;$K$22,-1*$J$22,(($K$22-B40)*$I$22)-$J$22)</f>
        <v>#N/A</v>
      </c>
      <c r="AS40" s="16" t="e">
        <f aca="false">Hedge_Total!G420</f>
        <v>#N/A</v>
      </c>
      <c r="AT40" s="16" t="e">
        <f aca="false">IF(B40&gt;$K$23,-1*$J$23,(($K$23-B40)*$I$23)-$J$23)</f>
        <v>#N/A</v>
      </c>
    </row>
    <row r="41" customFormat="false" ht="14.25" hidden="false" customHeight="true" outlineLevel="0" collapsed="false">
      <c r="B41" s="67" t="n">
        <f aca="false">B40-1</f>
        <v>70</v>
      </c>
      <c r="C41" s="68" t="e">
        <f aca="false">J41/$C$16</f>
        <v>#N/A</v>
      </c>
      <c r="D41" s="68" t="e">
        <f aca="false">K41/$C$16</f>
        <v>#N/A</v>
      </c>
      <c r="E41" s="16" t="n">
        <f aca="false">($C$10*B41)-$F$10</f>
        <v>-219.8547753315</v>
      </c>
      <c r="F41" s="69" t="n">
        <f aca="false">(E41/$F$10)</f>
        <v>-0.160966486131358</v>
      </c>
      <c r="H41" s="67" t="n">
        <f aca="false">H40-1</f>
        <v>70</v>
      </c>
      <c r="I41" s="68" t="e">
        <f aca="false">Hedge_Total!C451</f>
        <v>#N/A</v>
      </c>
      <c r="J41" s="16" t="e">
        <f aca="false">Hedge_Total!G451</f>
        <v>#N/A</v>
      </c>
      <c r="K41" s="16" t="e">
        <f aca="false">T41+V41+X41+Z41+AB41+AD41+AF41+AH41+AJ41+AL41+AN41+AP41+AR41+AT41</f>
        <v>#N/A</v>
      </c>
      <c r="L41" s="69" t="e">
        <f aca="false">N41/$F$10</f>
        <v>#N/A</v>
      </c>
      <c r="M41" s="69" t="e">
        <f aca="false">O41/$F$10</f>
        <v>#N/A</v>
      </c>
      <c r="N41" s="16" t="e">
        <f aca="false">E41+J41</f>
        <v>#N/A</v>
      </c>
      <c r="O41" s="16" t="e">
        <f aca="false">E41+K41</f>
        <v>#N/A</v>
      </c>
      <c r="P41" s="70" t="e">
        <f aca="false">J42-2*J41+J40</f>
        <v>#N/A</v>
      </c>
      <c r="Q41" s="71"/>
      <c r="R41" s="67" t="n">
        <f aca="false">R40-1</f>
        <v>70</v>
      </c>
      <c r="S41" s="16" t="n">
        <f aca="false">Hedge_Total!G34</f>
        <v>7.30421807836566</v>
      </c>
      <c r="T41" s="16" t="n">
        <f aca="false">IF(B41&gt;$K$10,-1*$J$10,(($K$10-B41)*$I$10)-$J$10)</f>
        <v>-8.82</v>
      </c>
      <c r="U41" s="16" t="n">
        <f aca="false">Hedge_Total!G63</f>
        <v>4.87350315661461</v>
      </c>
      <c r="V41" s="16" t="n">
        <f aca="false">IF(B41&gt;$K$11,-1*$J$11,(($K$11-B41)*$I$11)-$J$11)</f>
        <v>-7.1</v>
      </c>
      <c r="W41" s="16" t="n">
        <f aca="false">Hedge_Total!G92</f>
        <v>0.590075727753737</v>
      </c>
      <c r="X41" s="16" t="n">
        <f aca="false">IF(B41&gt;$K$12,-1*$J$12,(($K$12-B41)*$I$12)-$J$12)</f>
        <v>-0.43</v>
      </c>
      <c r="Y41" s="16" t="n">
        <f aca="false">Hedge_Total!G121</f>
        <v>8.92340564987151</v>
      </c>
      <c r="Z41" s="16" t="n">
        <f aca="false">IF(B41&gt;$K$13,-1*$J$13,(($K$13-B41)*$I$13)-$J$13)</f>
        <v>-2</v>
      </c>
      <c r="AA41" s="16" t="e">
        <f aca="false">Hedge_Total!G151</f>
        <v>#N/A</v>
      </c>
      <c r="AB41" s="16" t="e">
        <f aca="false">IF(B41&gt;$K$14,-1*$J$14,(($K$14-B41)*$I$14)-$J$14)</f>
        <v>#N/A</v>
      </c>
      <c r="AC41" s="16" t="n">
        <f aca="false">Hedge_Total!G181</f>
        <v>1.77026875403818</v>
      </c>
      <c r="AD41" s="16" t="n">
        <f aca="false">IF(B41&gt;$K$15,-1*$J$15,(($K$15-B41)*$I$15)-$J$15)</f>
        <v>-4.2</v>
      </c>
      <c r="AE41" s="16" t="n">
        <f aca="false">Hedge_Total!G211</f>
        <v>7.41702735836777</v>
      </c>
      <c r="AF41" s="16" t="n">
        <f aca="false">IF(B41&gt;$K$16,-1*$J$16,(($K$16-B41)*$I$16)-$J$16)</f>
        <v>-6.3</v>
      </c>
      <c r="AG41" s="16" t="n">
        <f aca="false">Hedge_Total!G241</f>
        <v>11.8052084850515</v>
      </c>
      <c r="AH41" s="16" t="n">
        <f aca="false">IF(B41&gt;$K$17,-1*$J$17,(($K$17-B41)*$I$17)-$J$17)</f>
        <v>9.72</v>
      </c>
      <c r="AI41" s="16" t="n">
        <f aca="false">Hedge_Total!G271</f>
        <v>18.1190719761078</v>
      </c>
      <c r="AJ41" s="16" t="n">
        <f aca="false">IF(B41&gt;$K$18,-1*$J$18,(($K$18-B41)*$I$18)-$J$18)</f>
        <v>17.55</v>
      </c>
      <c r="AK41" s="16" t="n">
        <f aca="false">Hedge_Total!G301</f>
        <v>0.899801541460164</v>
      </c>
      <c r="AL41" s="16" t="n">
        <f aca="false">IF(B41&gt;$K$19,-1*$J$19,(($K$19-B41)*$I$19)-$J$19)</f>
        <v>13.52</v>
      </c>
      <c r="AM41" s="16" t="e">
        <f aca="false">Hedge_Total!G331</f>
        <v>#N/A</v>
      </c>
      <c r="AN41" s="16" t="e">
        <f aca="false">IF(B41&gt;$K$20,-1*$J$20,(($K$20-B41)*$I$20)-$J$20)</f>
        <v>#N/A</v>
      </c>
      <c r="AO41" s="16" t="e">
        <f aca="false">Hedge_Total!G361</f>
        <v>#N/A</v>
      </c>
      <c r="AP41" s="16" t="e">
        <f aca="false">IF(B41&gt;$K$21,-1*$J$21,(($K$21-B41)*$I$21)-$J$21)</f>
        <v>#N/A</v>
      </c>
      <c r="AQ41" s="16" t="e">
        <f aca="false">Hedge_Total!G391</f>
        <v>#N/A</v>
      </c>
      <c r="AR41" s="16" t="e">
        <f aca="false">IF(B41&gt;$K$22,-1*$J$22,(($K$22-B41)*$I$22)-$J$22)</f>
        <v>#N/A</v>
      </c>
      <c r="AS41" s="16" t="e">
        <f aca="false">Hedge_Total!G421</f>
        <v>#N/A</v>
      </c>
      <c r="AT41" s="16" t="e">
        <f aca="false">IF(B41&gt;$K$23,-1*$J$23,(($K$23-B41)*$I$23)-$J$23)</f>
        <v>#N/A</v>
      </c>
    </row>
    <row r="42" customFormat="false" ht="14.25" hidden="false" customHeight="true" outlineLevel="0" collapsed="false">
      <c r="B42" s="67" t="n">
        <f aca="false">B41-1</f>
        <v>69</v>
      </c>
      <c r="C42" s="68" t="e">
        <f aca="false">J42/$C$16</f>
        <v>#N/A</v>
      </c>
      <c r="D42" s="68" t="e">
        <f aca="false">K42/$C$16</f>
        <v>#N/A</v>
      </c>
      <c r="E42" s="16" t="n">
        <f aca="false">($C$10*B42)-$F$10</f>
        <v>-236.2260203315</v>
      </c>
      <c r="F42" s="69" t="n">
        <f aca="false">(E42/$F$10)</f>
        <v>-0.172952679186624</v>
      </c>
      <c r="H42" s="67" t="n">
        <f aca="false">H41-1</f>
        <v>69</v>
      </c>
      <c r="I42" s="68" t="e">
        <f aca="false">Hedge_Total!C452</f>
        <v>#N/A</v>
      </c>
      <c r="J42" s="16" t="e">
        <f aca="false">Hedge_Total!G452</f>
        <v>#N/A</v>
      </c>
      <c r="K42" s="16" t="e">
        <f aca="false">T42+V42+X42+Z42+AB42+AD42+AF42+AH42+AJ42+AL42+AN42+AP42+AR42+AT42</f>
        <v>#N/A</v>
      </c>
      <c r="L42" s="69" t="e">
        <f aca="false">N42/$F$10</f>
        <v>#N/A</v>
      </c>
      <c r="M42" s="69" t="e">
        <f aca="false">O42/$F$10</f>
        <v>#N/A</v>
      </c>
      <c r="N42" s="16" t="e">
        <f aca="false">E42+J42</f>
        <v>#N/A</v>
      </c>
      <c r="O42" s="16" t="e">
        <f aca="false">E42+K42</f>
        <v>#N/A</v>
      </c>
      <c r="P42" s="70" t="e">
        <f aca="false">J43-2*J42+J41</f>
        <v>#N/A</v>
      </c>
      <c r="Q42" s="71"/>
      <c r="R42" s="67" t="n">
        <f aca="false">R41-1</f>
        <v>69</v>
      </c>
      <c r="S42" s="16" t="n">
        <f aca="false">Hedge_Total!G35</f>
        <v>8.89900885346844</v>
      </c>
      <c r="T42" s="16" t="n">
        <f aca="false">IF(B42&gt;$K$10,-1*$J$10,(($K$10-B42)*$I$10)-$J$10)</f>
        <v>-8.82</v>
      </c>
      <c r="U42" s="16" t="n">
        <f aca="false">Hedge_Total!G64</f>
        <v>5.81453926905206</v>
      </c>
      <c r="V42" s="16" t="n">
        <f aca="false">IF(B42&gt;$K$11,-1*$J$11,(($K$11-B42)*$I$11)-$J$11)</f>
        <v>-5.1</v>
      </c>
      <c r="W42" s="16" t="n">
        <f aca="false">Hedge_Total!G93</f>
        <v>0.756385119887721</v>
      </c>
      <c r="X42" s="16" t="n">
        <f aca="false">IF(B42&gt;$K$12,-1*$J$12,(($K$12-B42)*$I$12)-$J$12)</f>
        <v>-0.43</v>
      </c>
      <c r="Y42" s="16" t="n">
        <f aca="false">Hedge_Total!G122</f>
        <v>10.4111655004649</v>
      </c>
      <c r="Z42" s="16" t="n">
        <f aca="false">IF(B42&gt;$K$13,-1*$J$13,(($K$13-B42)*$I$13)-$J$13)</f>
        <v>1</v>
      </c>
      <c r="AA42" s="16" t="e">
        <f aca="false">Hedge_Total!G152</f>
        <v>#N/A</v>
      </c>
      <c r="AB42" s="16" t="e">
        <f aca="false">IF(B42&gt;$K$14,-1*$J$14,(($K$14-B42)*$I$14)-$J$14)</f>
        <v>#N/A</v>
      </c>
      <c r="AC42" s="16" t="n">
        <f aca="false">Hedge_Total!G182</f>
        <v>3.06988767932001</v>
      </c>
      <c r="AD42" s="16" t="n">
        <f aca="false">IF(B42&gt;$K$15,-1*$J$15,(($K$15-B42)*$I$15)-$J$15)</f>
        <v>-4.2</v>
      </c>
      <c r="AE42" s="16" t="n">
        <f aca="false">Hedge_Total!G212</f>
        <v>9.96463308128994</v>
      </c>
      <c r="AF42" s="16" t="n">
        <f aca="false">IF(B42&gt;$K$16,-1*$J$16,(($K$16-B42)*$I$16)-$J$16)</f>
        <v>-1.3</v>
      </c>
      <c r="AG42" s="16" t="n">
        <f aca="false">Hedge_Total!G242</f>
        <v>14.2277031626546</v>
      </c>
      <c r="AH42" s="16" t="n">
        <f aca="false">IF(B42&gt;$K$17,-1*$J$17,(($K$17-B42)*$I$17)-$J$17)</f>
        <v>12.72</v>
      </c>
      <c r="AI42" s="16" t="n">
        <f aca="false">Hedge_Total!G272</f>
        <v>20.9142669199098</v>
      </c>
      <c r="AJ42" s="16" t="n">
        <f aca="false">IF(B42&gt;$K$18,-1*$J$18,(($K$18-B42)*$I$18)-$J$18)</f>
        <v>20.55</v>
      </c>
      <c r="AK42" s="16" t="n">
        <f aca="false">Hedge_Total!G302</f>
        <v>2.84900334742201</v>
      </c>
      <c r="AL42" s="16" t="n">
        <f aca="false">IF(B42&gt;$K$19,-1*$J$19,(($K$19-B42)*$I$19)-$J$19)</f>
        <v>15.52</v>
      </c>
      <c r="AM42" s="16" t="e">
        <f aca="false">Hedge_Total!G332</f>
        <v>#N/A</v>
      </c>
      <c r="AN42" s="16" t="e">
        <f aca="false">IF(B42&gt;$K$20,-1*$J$20,(($K$20-B42)*$I$20)-$J$20)</f>
        <v>#N/A</v>
      </c>
      <c r="AO42" s="16" t="e">
        <f aca="false">Hedge_Total!G362</f>
        <v>#N/A</v>
      </c>
      <c r="AP42" s="16" t="e">
        <f aca="false">IF(B42&gt;$K$21,-1*$J$21,(($K$21-B42)*$I$21)-$J$21)</f>
        <v>#N/A</v>
      </c>
      <c r="AQ42" s="16" t="e">
        <f aca="false">Hedge_Total!G392</f>
        <v>#N/A</v>
      </c>
      <c r="AR42" s="16" t="e">
        <f aca="false">IF(B42&gt;$K$22,-1*$J$22,(($K$22-B42)*$I$22)-$J$22)</f>
        <v>#N/A</v>
      </c>
      <c r="AS42" s="16" t="e">
        <f aca="false">Hedge_Total!G422</f>
        <v>#N/A</v>
      </c>
      <c r="AT42" s="16" t="e">
        <f aca="false">IF(B42&gt;$K$23,-1*$J$23,(($K$23-B42)*$I$23)-$J$23)</f>
        <v>#N/A</v>
      </c>
    </row>
    <row r="43" customFormat="false" ht="14.25" hidden="false" customHeight="true" outlineLevel="0" collapsed="false">
      <c r="B43" s="67" t="n">
        <f aca="false">B42-1</f>
        <v>68</v>
      </c>
      <c r="C43" s="68" t="e">
        <f aca="false">J43/$C$16</f>
        <v>#N/A</v>
      </c>
      <c r="D43" s="68" t="e">
        <f aca="false">K43/$C$16</f>
        <v>#N/A</v>
      </c>
      <c r="E43" s="16" t="n">
        <f aca="false">($C$10*B43)-$F$10</f>
        <v>-252.5972653315</v>
      </c>
      <c r="F43" s="69" t="n">
        <f aca="false">(E43/$F$10)</f>
        <v>-0.18493887224189</v>
      </c>
      <c r="H43" s="67" t="n">
        <f aca="false">H42-1</f>
        <v>68</v>
      </c>
      <c r="I43" s="68" t="e">
        <f aca="false">Hedge_Total!C453</f>
        <v>#N/A</v>
      </c>
      <c r="J43" s="16" t="e">
        <f aca="false">Hedge_Total!G453</f>
        <v>#N/A</v>
      </c>
      <c r="K43" s="16" t="e">
        <f aca="false">T43+V43+X43+Z43+AB43+AD43+AF43+AH43+AJ43+AL43+AN43+AP43+AR43+AT43</f>
        <v>#N/A</v>
      </c>
      <c r="L43" s="69" t="e">
        <f aca="false">N43/$F$10</f>
        <v>#N/A</v>
      </c>
      <c r="M43" s="69" t="e">
        <f aca="false">O43/$F$10</f>
        <v>#N/A</v>
      </c>
      <c r="N43" s="16" t="e">
        <f aca="false">E43+J43</f>
        <v>#N/A</v>
      </c>
      <c r="O43" s="16" t="e">
        <f aca="false">E43+K43</f>
        <v>#N/A</v>
      </c>
      <c r="P43" s="70" t="e">
        <f aca="false">J44-2*J43+J42</f>
        <v>#N/A</v>
      </c>
      <c r="Q43" s="71"/>
      <c r="R43" s="67" t="n">
        <f aca="false">R42-1</f>
        <v>68</v>
      </c>
      <c r="S43" s="16" t="n">
        <f aca="false">Hedge_Total!G36</f>
        <v>10.6280011874101</v>
      </c>
      <c r="T43" s="16" t="n">
        <f aca="false">IF(B43&gt;$K$10,-1*$J$10,(($K$10-B43)*$I$10)-$J$10)</f>
        <v>-8.82</v>
      </c>
      <c r="U43" s="16" t="n">
        <f aca="false">Hedge_Total!G65</f>
        <v>6.80934959900116</v>
      </c>
      <c r="V43" s="16" t="n">
        <f aca="false">IF(B43&gt;$K$11,-1*$J$11,(($K$11-B43)*$I$11)-$J$11)</f>
        <v>-3.1</v>
      </c>
      <c r="W43" s="16" t="n">
        <f aca="false">Hedge_Total!G94</f>
        <v>0.94541447501428</v>
      </c>
      <c r="X43" s="16" t="n">
        <f aca="false">IF(B43&gt;$K$12,-1*$J$12,(($K$12-B43)*$I$12)-$J$12)</f>
        <v>-0.43</v>
      </c>
      <c r="Y43" s="16" t="n">
        <f aca="false">Hedge_Total!G123</f>
        <v>12.0315936169997</v>
      </c>
      <c r="Z43" s="16" t="n">
        <f aca="false">IF(B43&gt;$K$13,-1*$J$13,(($K$13-B43)*$I$13)-$J$13)</f>
        <v>4</v>
      </c>
      <c r="AA43" s="16" t="e">
        <f aca="false">Hedge_Total!G153</f>
        <v>#N/A</v>
      </c>
      <c r="AB43" s="16" t="e">
        <f aca="false">IF(B43&gt;$K$14,-1*$J$14,(($K$14-B43)*$I$14)-$J$14)</f>
        <v>#N/A</v>
      </c>
      <c r="AC43" s="16" t="n">
        <f aca="false">Hedge_Total!G183</f>
        <v>4.58357047079893</v>
      </c>
      <c r="AD43" s="16" t="n">
        <f aca="false">IF(B43&gt;$K$15,-1*$J$15,(($K$15-B43)*$I$15)-$J$15)</f>
        <v>-4.2</v>
      </c>
      <c r="AE43" s="16" t="n">
        <f aca="false">Hedge_Total!G213</f>
        <v>12.8044748732552</v>
      </c>
      <c r="AF43" s="16" t="n">
        <f aca="false">IF(B43&gt;$K$16,-1*$J$16,(($K$16-B43)*$I$16)-$J$16)</f>
        <v>3.7</v>
      </c>
      <c r="AG43" s="16" t="n">
        <f aca="false">Hedge_Total!G243</f>
        <v>16.7815237430477</v>
      </c>
      <c r="AH43" s="16" t="n">
        <f aca="false">IF(B43&gt;$K$17,-1*$J$17,(($K$17-B43)*$I$17)-$J$17)</f>
        <v>15.72</v>
      </c>
      <c r="AI43" s="16" t="n">
        <f aca="false">Hedge_Total!G273</f>
        <v>23.7749677128114</v>
      </c>
      <c r="AJ43" s="16" t="n">
        <f aca="false">IF(B43&gt;$K$18,-1*$J$18,(($K$18-B43)*$I$18)-$J$18)</f>
        <v>23.55</v>
      </c>
      <c r="AK43" s="16" t="n">
        <f aca="false">Hedge_Total!G303</f>
        <v>4.81806665358283</v>
      </c>
      <c r="AL43" s="16" t="n">
        <f aca="false">IF(B43&gt;$K$19,-1*$J$19,(($K$19-B43)*$I$19)-$J$19)</f>
        <v>17.52</v>
      </c>
      <c r="AM43" s="16" t="e">
        <f aca="false">Hedge_Total!G333</f>
        <v>#N/A</v>
      </c>
      <c r="AN43" s="16" t="e">
        <f aca="false">IF(B43&gt;$K$20,-1*$J$20,(($K$20-B43)*$I$20)-$J$20)</f>
        <v>#N/A</v>
      </c>
      <c r="AO43" s="16" t="e">
        <f aca="false">Hedge_Total!G363</f>
        <v>#N/A</v>
      </c>
      <c r="AP43" s="16" t="e">
        <f aca="false">IF(B43&gt;$K$21,-1*$J$21,(($K$21-B43)*$I$21)-$J$21)</f>
        <v>#N/A</v>
      </c>
      <c r="AQ43" s="16" t="e">
        <f aca="false">Hedge_Total!G393</f>
        <v>#N/A</v>
      </c>
      <c r="AR43" s="16" t="e">
        <f aca="false">IF(B43&gt;$K$22,-1*$J$22,(($K$22-B43)*$I$22)-$J$22)</f>
        <v>#N/A</v>
      </c>
      <c r="AS43" s="16" t="e">
        <f aca="false">Hedge_Total!G423</f>
        <v>#N/A</v>
      </c>
      <c r="AT43" s="16" t="e">
        <f aca="false">IF(B43&gt;$K$23,-1*$J$23,(($K$23-B43)*$I$23)-$J$23)</f>
        <v>#N/A</v>
      </c>
    </row>
    <row r="44" customFormat="false" ht="14.25" hidden="false" customHeight="true" outlineLevel="0" collapsed="false">
      <c r="B44" s="67" t="n">
        <f aca="false">B43-1</f>
        <v>67</v>
      </c>
      <c r="C44" s="68" t="e">
        <f aca="false">J44/$C$16</f>
        <v>#N/A</v>
      </c>
      <c r="D44" s="68" t="e">
        <f aca="false">K44/$C$16</f>
        <v>#N/A</v>
      </c>
      <c r="E44" s="16" t="n">
        <f aca="false">($C$10*B44)-$F$10</f>
        <v>-268.9685103315</v>
      </c>
      <c r="F44" s="69" t="n">
        <f aca="false">(E44/$F$10)</f>
        <v>-0.196925065297157</v>
      </c>
      <c r="H44" s="67" t="n">
        <f aca="false">H43-1</f>
        <v>67</v>
      </c>
      <c r="I44" s="68" t="e">
        <f aca="false">Hedge_Total!C454</f>
        <v>#N/A</v>
      </c>
      <c r="J44" s="16" t="e">
        <f aca="false">Hedge_Total!G454</f>
        <v>#N/A</v>
      </c>
      <c r="K44" s="16" t="e">
        <f aca="false">T44+V44+X44+Z44+AB44+AD44+AF44+AH44+AJ44+AL44+AN44+AP44+AR44+AT44</f>
        <v>#N/A</v>
      </c>
      <c r="L44" s="69" t="e">
        <f aca="false">N44/$F$10</f>
        <v>#N/A</v>
      </c>
      <c r="M44" s="69" t="e">
        <f aca="false">O44/$F$10</f>
        <v>#N/A</v>
      </c>
      <c r="N44" s="16" t="e">
        <f aca="false">E44+J44</f>
        <v>#N/A</v>
      </c>
      <c r="O44" s="16" t="e">
        <f aca="false">E44+K44</f>
        <v>#N/A</v>
      </c>
      <c r="P44" s="70" t="e">
        <f aca="false">J45-2*J44+J43</f>
        <v>#N/A</v>
      </c>
      <c r="Q44" s="71"/>
      <c r="R44" s="67" t="n">
        <f aca="false">R43-1</f>
        <v>67</v>
      </c>
      <c r="S44" s="16" t="n">
        <f aca="false">Hedge_Total!G37</f>
        <v>12.4991119688317</v>
      </c>
      <c r="T44" s="16" t="n">
        <f aca="false">IF(B44&gt;$K$10,-1*$J$10,(($K$10-B44)*$I$10)-$J$10)</f>
        <v>-8.82</v>
      </c>
      <c r="U44" s="16" t="n">
        <f aca="false">Hedge_Total!G66</f>
        <v>7.85874727767586</v>
      </c>
      <c r="V44" s="16" t="n">
        <f aca="false">IF(B44&gt;$K$11,-1*$J$11,(($K$11-B44)*$I$11)-$J$11)</f>
        <v>-1.1</v>
      </c>
      <c r="W44" s="16" t="n">
        <f aca="false">Hedge_Total!G95</f>
        <v>1.15935536849542</v>
      </c>
      <c r="X44" s="16" t="n">
        <f aca="false">IF(B44&gt;$K$12,-1*$J$12,(($K$12-B44)*$I$12)-$J$12)</f>
        <v>-0.43</v>
      </c>
      <c r="Y44" s="16" t="n">
        <f aca="false">Hedge_Total!G124</f>
        <v>13.7851216082355</v>
      </c>
      <c r="Z44" s="16" t="n">
        <f aca="false">IF(B44&gt;$K$13,-1*$J$13,(($K$13-B44)*$I$13)-$J$13)</f>
        <v>7</v>
      </c>
      <c r="AA44" s="16" t="e">
        <f aca="false">Hedge_Total!G154</f>
        <v>#N/A</v>
      </c>
      <c r="AB44" s="16" t="e">
        <f aca="false">IF(B44&gt;$K$14,-1*$J$14,(($K$14-B44)*$I$14)-$J$14)</f>
        <v>#N/A</v>
      </c>
      <c r="AC44" s="16" t="n">
        <f aca="false">Hedge_Total!G184</f>
        <v>6.32926150471665</v>
      </c>
      <c r="AD44" s="16" t="n">
        <f aca="false">IF(B44&gt;$K$15,-1*$J$15,(($K$15-B44)*$I$15)-$J$15)</f>
        <v>-4.2</v>
      </c>
      <c r="AE44" s="16" t="n">
        <f aca="false">Hedge_Total!G214</f>
        <v>15.9333779894433</v>
      </c>
      <c r="AF44" s="16" t="n">
        <f aca="false">IF(B44&gt;$K$16,-1*$J$16,(($K$16-B44)*$I$16)-$J$16)</f>
        <v>8.7</v>
      </c>
      <c r="AG44" s="16" t="n">
        <f aca="false">Hedge_Total!G244</f>
        <v>19.4464831244054</v>
      </c>
      <c r="AH44" s="16" t="n">
        <f aca="false">IF(B44&gt;$K$17,-1*$J$17,(($K$17-B44)*$I$17)-$J$17)</f>
        <v>18.72</v>
      </c>
      <c r="AI44" s="16" t="n">
        <f aca="false">Hedge_Total!G274</f>
        <v>26.6837629414263</v>
      </c>
      <c r="AJ44" s="16" t="n">
        <f aca="false">IF(B44&gt;$K$18,-1*$J$18,(($K$18-B44)*$I$18)-$J$18)</f>
        <v>26.55</v>
      </c>
      <c r="AK44" s="16" t="n">
        <f aca="false">Hedge_Total!G304</f>
        <v>6.80006469166079</v>
      </c>
      <c r="AL44" s="16" t="n">
        <f aca="false">IF(B44&gt;$K$19,-1*$J$19,(($K$19-B44)*$I$19)-$J$19)</f>
        <v>19.52</v>
      </c>
      <c r="AM44" s="16" t="e">
        <f aca="false">Hedge_Total!G334</f>
        <v>#N/A</v>
      </c>
      <c r="AN44" s="16" t="e">
        <f aca="false">IF(B44&gt;$K$20,-1*$J$20,(($K$20-B44)*$I$20)-$J$20)</f>
        <v>#N/A</v>
      </c>
      <c r="AO44" s="16" t="e">
        <f aca="false">Hedge_Total!G364</f>
        <v>#N/A</v>
      </c>
      <c r="AP44" s="16" t="e">
        <f aca="false">IF(B44&gt;$K$21,-1*$J$21,(($K$21-B44)*$I$21)-$J$21)</f>
        <v>#N/A</v>
      </c>
      <c r="AQ44" s="16" t="e">
        <f aca="false">Hedge_Total!G394</f>
        <v>#N/A</v>
      </c>
      <c r="AR44" s="16" t="e">
        <f aca="false">IF(B44&gt;$K$22,-1*$J$22,(($K$22-B44)*$I$22)-$J$22)</f>
        <v>#N/A</v>
      </c>
      <c r="AS44" s="16" t="e">
        <f aca="false">Hedge_Total!G424</f>
        <v>#N/A</v>
      </c>
      <c r="AT44" s="16" t="e">
        <f aca="false">IF(B44&gt;$K$23,-1*$J$23,(($K$23-B44)*$I$23)-$J$23)</f>
        <v>#N/A</v>
      </c>
    </row>
    <row r="45" customFormat="false" ht="14.25" hidden="false" customHeight="true" outlineLevel="0" collapsed="false">
      <c r="B45" s="67" t="n">
        <f aca="false">B44-1</f>
        <v>66</v>
      </c>
      <c r="C45" s="68" t="e">
        <f aca="false">J45/$C$16</f>
        <v>#N/A</v>
      </c>
      <c r="D45" s="68" t="e">
        <f aca="false">K45/$C$16</f>
        <v>#N/A</v>
      </c>
      <c r="E45" s="16" t="n">
        <f aca="false">($C$10*B45)-$F$10</f>
        <v>-285.3397553315</v>
      </c>
      <c r="F45" s="69" t="n">
        <f aca="false">(E45/$F$10)</f>
        <v>-0.208911258352423</v>
      </c>
      <c r="H45" s="67" t="n">
        <f aca="false">H44-1</f>
        <v>66</v>
      </c>
      <c r="I45" s="68" t="e">
        <f aca="false">Hedge_Total!C455</f>
        <v>#N/A</v>
      </c>
      <c r="J45" s="16" t="e">
        <f aca="false">Hedge_Total!G455</f>
        <v>#N/A</v>
      </c>
      <c r="K45" s="16" t="e">
        <f aca="false">T45+V45+X45+Z45+AB45+AD45+AF45+AH45+AJ45+AL45+AN45+AP45+AR45+AT45</f>
        <v>#N/A</v>
      </c>
      <c r="L45" s="69" t="e">
        <f aca="false">N45/$F$10</f>
        <v>#N/A</v>
      </c>
      <c r="M45" s="69" t="e">
        <f aca="false">O45/$F$10</f>
        <v>#N/A</v>
      </c>
      <c r="N45" s="16" t="e">
        <f aca="false">E45+J45</f>
        <v>#N/A</v>
      </c>
      <c r="O45" s="16" t="e">
        <f aca="false">E45+K45</f>
        <v>#N/A</v>
      </c>
      <c r="P45" s="70" t="e">
        <f aca="false">J46-2*J45+J44</f>
        <v>#N/A</v>
      </c>
      <c r="Q45" s="71"/>
      <c r="R45" s="67" t="n">
        <f aca="false">R44-1</f>
        <v>66</v>
      </c>
      <c r="S45" s="16" t="n">
        <f aca="false">Hedge_Total!G38</f>
        <v>14.5202523640711</v>
      </c>
      <c r="T45" s="16" t="n">
        <f aca="false">IF(B45&gt;$K$10,-1*$J$10,(($K$10-B45)*$I$10)-$J$10)</f>
        <v>-8.82</v>
      </c>
      <c r="U45" s="16" t="n">
        <f aca="false">Hedge_Total!G67</f>
        <v>8.96330904911047</v>
      </c>
      <c r="V45" s="16" t="n">
        <f aca="false">IF(B45&gt;$K$11,-1*$J$11,(($K$11-B45)*$I$11)-$J$11)</f>
        <v>0.9</v>
      </c>
      <c r="W45" s="16" t="n">
        <f aca="false">Hedge_Total!G96</f>
        <v>1.40043231708228</v>
      </c>
      <c r="X45" s="16" t="n">
        <f aca="false">IF(B45&gt;$K$12,-1*$J$12,(($K$12-B45)*$I$12)-$J$12)</f>
        <v>-0.43</v>
      </c>
      <c r="Y45" s="16" t="n">
        <f aca="false">Hedge_Total!G125</f>
        <v>15.670494101117</v>
      </c>
      <c r="Z45" s="16" t="n">
        <f aca="false">IF(B45&gt;$K$13,-1*$J$13,(($K$13-B45)*$I$13)-$J$13)</f>
        <v>10</v>
      </c>
      <c r="AA45" s="16" t="e">
        <f aca="false">Hedge_Total!G155</f>
        <v>#N/A</v>
      </c>
      <c r="AB45" s="16" t="e">
        <f aca="false">IF(B45&gt;$K$14,-1*$J$14,(($K$14-B45)*$I$14)-$J$14)</f>
        <v>#N/A</v>
      </c>
      <c r="AC45" s="16" t="n">
        <f aca="false">Hedge_Total!G185</f>
        <v>8.32253350584457</v>
      </c>
      <c r="AD45" s="16" t="n">
        <f aca="false">IF(B45&gt;$K$15,-1*$J$15,(($K$15-B45)*$I$15)-$J$15)</f>
        <v>-4.2</v>
      </c>
      <c r="AE45" s="16" t="n">
        <f aca="false">Hedge_Total!G215</f>
        <v>19.3418031037782</v>
      </c>
      <c r="AF45" s="16" t="n">
        <f aca="false">IF(B45&gt;$K$16,-1*$J$16,(($K$16-B45)*$I$16)-$J$16)</f>
        <v>13.7</v>
      </c>
      <c r="AG45" s="16" t="n">
        <f aca="false">Hedge_Total!G245</f>
        <v>22.2024018928834</v>
      </c>
      <c r="AH45" s="16" t="n">
        <f aca="false">IF(B45&gt;$K$17,-1*$J$17,(($K$17-B45)*$I$17)-$J$17)</f>
        <v>21.72</v>
      </c>
      <c r="AI45" s="16" t="n">
        <f aca="false">Hedge_Total!G275</f>
        <v>29.6264012349377</v>
      </c>
      <c r="AJ45" s="16" t="n">
        <f aca="false">IF(B45&gt;$K$18,-1*$J$18,(($K$18-B45)*$I$18)-$J$18)</f>
        <v>29.55</v>
      </c>
      <c r="AK45" s="16" t="n">
        <f aca="false">Hedge_Total!G305</f>
        <v>8.79007955745854</v>
      </c>
      <c r="AL45" s="16" t="n">
        <f aca="false">IF(B45&gt;$K$19,-1*$J$19,(($K$19-B45)*$I$19)-$J$19)</f>
        <v>21.52</v>
      </c>
      <c r="AM45" s="16" t="e">
        <f aca="false">Hedge_Total!G335</f>
        <v>#N/A</v>
      </c>
      <c r="AN45" s="16" t="e">
        <f aca="false">IF(B45&gt;$K$20,-1*$J$20,(($K$20-B45)*$I$20)-$J$20)</f>
        <v>#N/A</v>
      </c>
      <c r="AO45" s="16" t="e">
        <f aca="false">Hedge_Total!G365</f>
        <v>#N/A</v>
      </c>
      <c r="AP45" s="16" t="e">
        <f aca="false">IF(B45&gt;$K$21,-1*$J$21,(($K$21-B45)*$I$21)-$J$21)</f>
        <v>#N/A</v>
      </c>
      <c r="AQ45" s="16" t="e">
        <f aca="false">Hedge_Total!G395</f>
        <v>#N/A</v>
      </c>
      <c r="AR45" s="16" t="e">
        <f aca="false">IF(B45&gt;$K$22,-1*$J$22,(($K$22-B45)*$I$22)-$J$22)</f>
        <v>#N/A</v>
      </c>
      <c r="AS45" s="16" t="e">
        <f aca="false">Hedge_Total!G425</f>
        <v>#N/A</v>
      </c>
      <c r="AT45" s="16" t="e">
        <f aca="false">IF(B45&gt;$K$23,-1*$J$23,(($K$23-B45)*$I$23)-$J$23)</f>
        <v>#N/A</v>
      </c>
    </row>
    <row r="46" customFormat="false" ht="14.25" hidden="false" customHeight="true" outlineLevel="0" collapsed="false">
      <c r="B46" s="67" t="n">
        <f aca="false">B45-1</f>
        <v>65</v>
      </c>
      <c r="C46" s="68" t="e">
        <f aca="false">J46/$C$16</f>
        <v>#N/A</v>
      </c>
      <c r="D46" s="68" t="e">
        <f aca="false">K46/$C$16</f>
        <v>#N/A</v>
      </c>
      <c r="E46" s="16" t="n">
        <f aca="false">($C$10*B46)-$F$10</f>
        <v>-301.7110003315</v>
      </c>
      <c r="F46" s="69" t="n">
        <f aca="false">(E46/$F$10)</f>
        <v>-0.220897451407689</v>
      </c>
      <c r="H46" s="67" t="n">
        <f aca="false">H45-1</f>
        <v>65</v>
      </c>
      <c r="I46" s="68" t="e">
        <f aca="false">Hedge_Total!C456</f>
        <v>#N/A</v>
      </c>
      <c r="J46" s="16" t="e">
        <f aca="false">Hedge_Total!G456</f>
        <v>#N/A</v>
      </c>
      <c r="K46" s="16" t="e">
        <f aca="false">T46+V46+X46+Z46+AB46+AD46+AF46+AH46+AJ46+AL46+AN46+AP46+AR46+AT46</f>
        <v>#N/A</v>
      </c>
      <c r="L46" s="69" t="e">
        <f aca="false">N46/$F$10</f>
        <v>#N/A</v>
      </c>
      <c r="M46" s="69" t="e">
        <f aca="false">O46/$F$10</f>
        <v>#N/A</v>
      </c>
      <c r="N46" s="16" t="e">
        <f aca="false">E46+J46</f>
        <v>#N/A</v>
      </c>
      <c r="O46" s="16" t="e">
        <f aca="false">E46+K46</f>
        <v>#N/A</v>
      </c>
      <c r="P46" s="70" t="e">
        <f aca="false">J47-2*J46+J45</f>
        <v>#N/A</v>
      </c>
      <c r="Q46" s="71"/>
      <c r="R46" s="67" t="n">
        <f aca="false">R45-1</f>
        <v>65</v>
      </c>
      <c r="S46" s="16" t="n">
        <f aca="false">Hedge_Total!G39</f>
        <v>16.6992519395061</v>
      </c>
      <c r="T46" s="16" t="n">
        <f aca="false">IF(B46&gt;$K$10,-1*$J$10,(($K$10-B46)*$I$10)-$J$10)</f>
        <v>-8.82</v>
      </c>
      <c r="U46" s="16" t="n">
        <f aca="false">Hedge_Total!G68</f>
        <v>10.1233561092752</v>
      </c>
      <c r="V46" s="16" t="n">
        <f aca="false">IF(B46&gt;$K$11,-1*$J$11,(($K$11-B46)*$I$11)-$J$11)</f>
        <v>2.9</v>
      </c>
      <c r="W46" s="16" t="n">
        <f aca="false">Hedge_Total!G97</f>
        <v>1.6708660619345</v>
      </c>
      <c r="X46" s="16" t="n">
        <f aca="false">IF(B46&gt;$K$12,-1*$J$12,(($K$12-B46)*$I$12)-$J$12)</f>
        <v>-0.43</v>
      </c>
      <c r="Y46" s="16" t="n">
        <f aca="false">Hedge_Total!G126</f>
        <v>17.6847422849923</v>
      </c>
      <c r="Z46" s="16" t="n">
        <f aca="false">IF(B46&gt;$K$13,-1*$J$13,(($K$13-B46)*$I$13)-$J$13)</f>
        <v>13</v>
      </c>
      <c r="AA46" s="16" t="e">
        <f aca="false">Hedge_Total!G156</f>
        <v>#N/A</v>
      </c>
      <c r="AB46" s="16" t="e">
        <f aca="false">IF(B46&gt;$K$14,-1*$J$14,(($K$14-B46)*$I$14)-$J$14)</f>
        <v>#N/A</v>
      </c>
      <c r="AC46" s="16" t="n">
        <f aca="false">Hedge_Total!G186</f>
        <v>10.5757457637257</v>
      </c>
      <c r="AD46" s="16" t="n">
        <f aca="false">IF(B46&gt;$K$15,-1*$J$15,(($K$15-B46)*$I$15)-$J$15)</f>
        <v>-4.2</v>
      </c>
      <c r="AE46" s="16" t="n">
        <f aca="false">Hedge_Total!G216</f>
        <v>23.0142086665976</v>
      </c>
      <c r="AF46" s="16" t="n">
        <f aca="false">IF(B46&gt;$K$16,-1*$J$16,(($K$16-B46)*$I$16)-$J$16)</f>
        <v>18.7</v>
      </c>
      <c r="AG46" s="16" t="n">
        <f aca="false">Hedge_Total!G246</f>
        <v>25.0302096434159</v>
      </c>
      <c r="AH46" s="16" t="n">
        <f aca="false">IF(B46&gt;$K$17,-1*$J$17,(($K$17-B46)*$I$17)-$J$17)</f>
        <v>24.72</v>
      </c>
      <c r="AI46" s="16" t="n">
        <f aca="false">Hedge_Total!G276</f>
        <v>32.5918226237865</v>
      </c>
      <c r="AJ46" s="16" t="n">
        <f aca="false">IF(B46&gt;$K$18,-1*$J$18,(($K$18-B46)*$I$18)-$J$18)</f>
        <v>32.55</v>
      </c>
      <c r="AK46" s="16" t="n">
        <f aca="false">Hedge_Total!G306</f>
        <v>10.7848132367678</v>
      </c>
      <c r="AL46" s="16" t="n">
        <f aca="false">IF(B46&gt;$K$19,-1*$J$19,(($K$19-B46)*$I$19)-$J$19)</f>
        <v>23.52</v>
      </c>
      <c r="AM46" s="16" t="e">
        <f aca="false">Hedge_Total!G336</f>
        <v>#N/A</v>
      </c>
      <c r="AN46" s="16" t="e">
        <f aca="false">IF(B46&gt;$K$20,-1*$J$20,(($K$20-B46)*$I$20)-$J$20)</f>
        <v>#N/A</v>
      </c>
      <c r="AO46" s="16" t="e">
        <f aca="false">Hedge_Total!G366</f>
        <v>#N/A</v>
      </c>
      <c r="AP46" s="16" t="e">
        <f aca="false">IF(B46&gt;$K$21,-1*$J$21,(($K$21-B46)*$I$21)-$J$21)</f>
        <v>#N/A</v>
      </c>
      <c r="AQ46" s="16" t="e">
        <f aca="false">Hedge_Total!G396</f>
        <v>#N/A</v>
      </c>
      <c r="AR46" s="16" t="e">
        <f aca="false">IF(B46&gt;$K$22,-1*$J$22,(($K$22-B46)*$I$22)-$J$22)</f>
        <v>#N/A</v>
      </c>
      <c r="AS46" s="16" t="e">
        <f aca="false">Hedge_Total!G426</f>
        <v>#N/A</v>
      </c>
      <c r="AT46" s="16" t="e">
        <f aca="false">IF(B46&gt;$K$23,-1*$J$23,(($K$23-B46)*$I$23)-$J$23)</f>
        <v>#N/A</v>
      </c>
    </row>
    <row r="47" customFormat="false" ht="14.25" hidden="false" customHeight="true" outlineLevel="0" collapsed="false">
      <c r="B47" s="67" t="n">
        <f aca="false">B46-1</f>
        <v>64</v>
      </c>
      <c r="C47" s="68" t="e">
        <f aca="false">J47/$C$16</f>
        <v>#N/A</v>
      </c>
      <c r="D47" s="68" t="e">
        <f aca="false">K47/$C$16</f>
        <v>#N/A</v>
      </c>
      <c r="E47" s="16" t="n">
        <f aca="false">($C$10*B47)-$F$10</f>
        <v>-318.0822453315</v>
      </c>
      <c r="F47" s="69" t="n">
        <f aca="false">(E47/$F$10)</f>
        <v>-0.232883644462956</v>
      </c>
      <c r="H47" s="67" t="n">
        <f aca="false">H46-1</f>
        <v>64</v>
      </c>
      <c r="I47" s="68" t="e">
        <f aca="false">Hedge_Total!C457</f>
        <v>#N/A</v>
      </c>
      <c r="J47" s="16" t="e">
        <f aca="false">Hedge_Total!G457</f>
        <v>#N/A</v>
      </c>
      <c r="K47" s="16" t="e">
        <f aca="false">T47+V47+X47+Z47+AB47+AD47+AF47+AH47+AJ47+AL47+AN47+AP47+AR47+AT47</f>
        <v>#N/A</v>
      </c>
      <c r="L47" s="69" t="e">
        <f aca="false">N47/$F$10</f>
        <v>#N/A</v>
      </c>
      <c r="M47" s="69" t="e">
        <f aca="false">O47/$F$10</f>
        <v>#N/A</v>
      </c>
      <c r="N47" s="16" t="e">
        <f aca="false">E47+J47</f>
        <v>#N/A</v>
      </c>
      <c r="O47" s="16" t="e">
        <f aca="false">E47+K47</f>
        <v>#N/A</v>
      </c>
      <c r="P47" s="70" t="e">
        <f aca="false">J48-2*J47+J46</f>
        <v>#N/A</v>
      </c>
      <c r="Q47" s="71"/>
      <c r="R47" s="67" t="n">
        <f aca="false">R46-1</f>
        <v>64</v>
      </c>
      <c r="S47" s="16" t="n">
        <f aca="false">Hedge_Total!G40</f>
        <v>19.0437743042742</v>
      </c>
      <c r="T47" s="16" t="n">
        <f aca="false">IF(B47&gt;$K$10,-1*$J$10,(($K$10-B47)*$I$10)-$J$10)</f>
        <v>-8.82</v>
      </c>
      <c r="U47" s="16" t="n">
        <f aca="false">Hedge_Total!G69</f>
        <v>11.3389374791208</v>
      </c>
      <c r="V47" s="16" t="n">
        <f aca="false">IF(B47&gt;$K$11,-1*$J$11,(($K$11-B47)*$I$11)-$J$11)</f>
        <v>4.9</v>
      </c>
      <c r="W47" s="16" t="n">
        <f aca="false">Hedge_Total!G98</f>
        <v>1.97283104774907</v>
      </c>
      <c r="X47" s="16" t="n">
        <f aca="false">IF(B47&gt;$K$12,-1*$J$12,(($K$12-B47)*$I$12)-$J$12)</f>
        <v>-0.43</v>
      </c>
      <c r="Y47" s="16" t="n">
        <f aca="false">Hedge_Total!G127</f>
        <v>19.8232247762132</v>
      </c>
      <c r="Z47" s="16" t="n">
        <f aca="false">IF(B47&gt;$K$13,-1*$J$13,(($K$13-B47)*$I$13)-$J$13)</f>
        <v>16</v>
      </c>
      <c r="AA47" s="16" t="e">
        <f aca="false">Hedge_Total!G157</f>
        <v>#N/A</v>
      </c>
      <c r="AB47" s="16" t="e">
        <f aca="false">IF(B47&gt;$K$14,-1*$J$14,(($K$14-B47)*$I$14)-$J$14)</f>
        <v>#N/A</v>
      </c>
      <c r="AC47" s="16" t="n">
        <f aca="false">Hedge_Total!G187</f>
        <v>13.0972721058869</v>
      </c>
      <c r="AD47" s="16" t="n">
        <f aca="false">IF(B47&gt;$K$15,-1*$J$15,(($K$15-B47)*$I$15)-$J$15)</f>
        <v>0.8</v>
      </c>
      <c r="AE47" s="16" t="n">
        <f aca="false">Hedge_Total!G217</f>
        <v>26.9298306534351</v>
      </c>
      <c r="AF47" s="16" t="n">
        <f aca="false">IF(B47&gt;$K$16,-1*$J$16,(($K$16-B47)*$I$16)-$J$16)</f>
        <v>23.7</v>
      </c>
      <c r="AG47" s="16" t="n">
        <f aca="false">Hedge_Total!G247</f>
        <v>27.9127999261757</v>
      </c>
      <c r="AH47" s="16" t="n">
        <f aca="false">IF(B47&gt;$K$17,-1*$J$17,(($K$17-B47)*$I$17)-$J$17)</f>
        <v>27.72</v>
      </c>
      <c r="AI47" s="16" t="n">
        <f aca="false">Hedge_Total!G277</f>
        <v>35.5718890098058</v>
      </c>
      <c r="AJ47" s="16" t="n">
        <f aca="false">IF(B47&gt;$K$18,-1*$J$18,(($K$18-B47)*$I$18)-$J$18)</f>
        <v>35.55</v>
      </c>
      <c r="AK47" s="16" t="n">
        <f aca="false">Hedge_Total!G307</f>
        <v>12.7821789079621</v>
      </c>
      <c r="AL47" s="16" t="n">
        <f aca="false">IF(B47&gt;$K$19,-1*$J$19,(($K$19-B47)*$I$19)-$J$19)</f>
        <v>25.52</v>
      </c>
      <c r="AM47" s="16" t="e">
        <f aca="false">Hedge_Total!G337</f>
        <v>#N/A</v>
      </c>
      <c r="AN47" s="16" t="e">
        <f aca="false">IF(B47&gt;$K$20,-1*$J$20,(($K$20-B47)*$I$20)-$J$20)</f>
        <v>#N/A</v>
      </c>
      <c r="AO47" s="16" t="e">
        <f aca="false">Hedge_Total!G367</f>
        <v>#N/A</v>
      </c>
      <c r="AP47" s="16" t="e">
        <f aca="false">IF(B47&gt;$K$21,-1*$J$21,(($K$21-B47)*$I$21)-$J$21)</f>
        <v>#N/A</v>
      </c>
      <c r="AQ47" s="16" t="e">
        <f aca="false">Hedge_Total!G397</f>
        <v>#N/A</v>
      </c>
      <c r="AR47" s="16" t="e">
        <f aca="false">IF(B47&gt;$K$22,-1*$J$22,(($K$22-B47)*$I$22)-$J$22)</f>
        <v>#N/A</v>
      </c>
      <c r="AS47" s="16" t="e">
        <f aca="false">Hedge_Total!G427</f>
        <v>#N/A</v>
      </c>
      <c r="AT47" s="16" t="e">
        <f aca="false">IF(B47&gt;$K$23,-1*$J$23,(($K$23-B47)*$I$23)-$J$23)</f>
        <v>#N/A</v>
      </c>
    </row>
    <row r="48" customFormat="false" ht="14.25" hidden="false" customHeight="true" outlineLevel="0" collapsed="false">
      <c r="B48" s="67" t="n">
        <f aca="false">B47-1</f>
        <v>63</v>
      </c>
      <c r="C48" s="68" t="e">
        <f aca="false">J48/$C$16</f>
        <v>#N/A</v>
      </c>
      <c r="D48" s="68" t="e">
        <f aca="false">K48/$C$16</f>
        <v>#N/A</v>
      </c>
      <c r="E48" s="16" t="n">
        <f aca="false">($C$10*B48)-$F$10</f>
        <v>-334.4534903315</v>
      </c>
      <c r="F48" s="69" t="n">
        <f aca="false">(E48/$F$10)</f>
        <v>-0.244869837518222</v>
      </c>
      <c r="H48" s="67" t="n">
        <f aca="false">H47-1</f>
        <v>63</v>
      </c>
      <c r="I48" s="68" t="e">
        <f aca="false">Hedge_Total!C458</f>
        <v>#N/A</v>
      </c>
      <c r="J48" s="16" t="e">
        <f aca="false">Hedge_Total!G458</f>
        <v>#N/A</v>
      </c>
      <c r="K48" s="16" t="e">
        <f aca="false">T48+V48+X48+Z48+AB48+AD48+AF48+AH48+AJ48+AL48+AN48+AP48+AR48+AT48</f>
        <v>#N/A</v>
      </c>
      <c r="L48" s="69" t="e">
        <f aca="false">N48/$F$10</f>
        <v>#N/A</v>
      </c>
      <c r="M48" s="69" t="e">
        <f aca="false">O48/$F$10</f>
        <v>#N/A</v>
      </c>
      <c r="N48" s="16" t="e">
        <f aca="false">E48+J48</f>
        <v>#N/A</v>
      </c>
      <c r="O48" s="16" t="e">
        <f aca="false">E48+K48</f>
        <v>#N/A</v>
      </c>
      <c r="P48" s="70" t="e">
        <f aca="false">J49-2*J48+J47</f>
        <v>#N/A</v>
      </c>
      <c r="Q48" s="71"/>
      <c r="R48" s="67" t="n">
        <f aca="false">R47-1</f>
        <v>63</v>
      </c>
      <c r="S48" s="16" t="n">
        <f aca="false">Hedge_Total!G41</f>
        <v>21.5612247310003</v>
      </c>
      <c r="T48" s="16" t="n">
        <f aca="false">IF(B48&gt;$K$10,-1*$J$10,(($K$10-B48)*$I$10)-$J$10)</f>
        <v>-8.82</v>
      </c>
      <c r="U48" s="16" t="n">
        <f aca="false">Hedge_Total!G70</f>
        <v>12.6098165304252</v>
      </c>
      <c r="V48" s="16" t="n">
        <f aca="false">IF(B48&gt;$K$11,-1*$J$11,(($K$11-B48)*$I$11)-$J$11)</f>
        <v>6.9</v>
      </c>
      <c r="W48" s="16" t="n">
        <f aca="false">Hedge_Total!G99</f>
        <v>2.30840771029668</v>
      </c>
      <c r="X48" s="16" t="n">
        <f aca="false">IF(B48&gt;$K$12,-1*$J$12,(($K$12-B48)*$I$12)-$J$12)</f>
        <v>-0.43</v>
      </c>
      <c r="Y48" s="16" t="n">
        <f aca="false">Hedge_Total!G128</f>
        <v>22.0797381695576</v>
      </c>
      <c r="Z48" s="16" t="n">
        <f aca="false">IF(B48&gt;$K$13,-1*$J$13,(($K$13-B48)*$I$13)-$J$13)</f>
        <v>19</v>
      </c>
      <c r="AA48" s="16" t="e">
        <f aca="false">Hedge_Total!G158</f>
        <v>#N/A</v>
      </c>
      <c r="AB48" s="16" t="e">
        <f aca="false">IF(B48&gt;$K$14,-1*$J$14,(($K$14-B48)*$I$14)-$J$14)</f>
        <v>#N/A</v>
      </c>
      <c r="AC48" s="16" t="n">
        <f aca="false">Hedge_Total!G188</f>
        <v>15.8908677486385</v>
      </c>
      <c r="AD48" s="16" t="n">
        <f aca="false">IF(B48&gt;$K$15,-1*$J$15,(($K$15-B48)*$I$15)-$J$15)</f>
        <v>5.8</v>
      </c>
      <c r="AE48" s="16" t="n">
        <f aca="false">Hedge_Total!G218</f>
        <v>31.0638206359318</v>
      </c>
      <c r="AF48" s="16" t="n">
        <f aca="false">IF(B48&gt;$K$16,-1*$J$16,(($K$16-B48)*$I$16)-$J$16)</f>
        <v>28.7</v>
      </c>
      <c r="AG48" s="16" t="n">
        <f aca="false">Hedge_Total!G248</f>
        <v>30.8355768707354</v>
      </c>
      <c r="AH48" s="16" t="n">
        <f aca="false">IF(B48&gt;$K$17,-1*$J$17,(($K$17-B48)*$I$17)-$J$17)</f>
        <v>30.72</v>
      </c>
      <c r="AI48" s="16" t="n">
        <f aca="false">Hedge_Total!G278</f>
        <v>38.5609259457613</v>
      </c>
      <c r="AJ48" s="16" t="n">
        <f aca="false">IF(B48&gt;$K$18,-1*$J$18,(($K$18-B48)*$I$18)-$J$18)</f>
        <v>38.55</v>
      </c>
      <c r="AK48" s="16" t="n">
        <f aca="false">Hedge_Total!G308</f>
        <v>14.7809324264056</v>
      </c>
      <c r="AL48" s="16" t="n">
        <f aca="false">IF(B48&gt;$K$19,-1*$J$19,(($K$19-B48)*$I$19)-$J$19)</f>
        <v>27.52</v>
      </c>
      <c r="AM48" s="16" t="e">
        <f aca="false">Hedge_Total!G338</f>
        <v>#N/A</v>
      </c>
      <c r="AN48" s="16" t="e">
        <f aca="false">IF(B48&gt;$K$20,-1*$J$20,(($K$20-B48)*$I$20)-$J$20)</f>
        <v>#N/A</v>
      </c>
      <c r="AO48" s="16" t="e">
        <f aca="false">Hedge_Total!G368</f>
        <v>#N/A</v>
      </c>
      <c r="AP48" s="16" t="e">
        <f aca="false">IF(B48&gt;$K$21,-1*$J$21,(($K$21-B48)*$I$21)-$J$21)</f>
        <v>#N/A</v>
      </c>
      <c r="AQ48" s="16" t="e">
        <f aca="false">Hedge_Total!G398</f>
        <v>#N/A</v>
      </c>
      <c r="AR48" s="16" t="e">
        <f aca="false">IF(B48&gt;$K$22,-1*$J$22,(($K$22-B48)*$I$22)-$J$22)</f>
        <v>#N/A</v>
      </c>
      <c r="AS48" s="16" t="e">
        <f aca="false">Hedge_Total!G428</f>
        <v>#N/A</v>
      </c>
      <c r="AT48" s="16" t="e">
        <f aca="false">IF(B48&gt;$K$23,-1*$J$23,(($K$23-B48)*$I$23)-$J$23)</f>
        <v>#N/A</v>
      </c>
    </row>
    <row r="49" customFormat="false" ht="14.25" hidden="false" customHeight="true" outlineLevel="0" collapsed="false">
      <c r="B49" s="67" t="n">
        <f aca="false">B48-1</f>
        <v>62</v>
      </c>
      <c r="C49" s="68" t="e">
        <f aca="false">J49/$C$16</f>
        <v>#N/A</v>
      </c>
      <c r="D49" s="68" t="e">
        <f aca="false">K49/$C$16</f>
        <v>#N/A</v>
      </c>
      <c r="E49" s="16" t="n">
        <f aca="false">($C$10*B49)-$F$10</f>
        <v>-350.8247353315</v>
      </c>
      <c r="F49" s="69" t="n">
        <f aca="false">(E49/$F$10)</f>
        <v>-0.256856030573488</v>
      </c>
      <c r="H49" s="67" t="n">
        <f aca="false">H48-1</f>
        <v>62</v>
      </c>
      <c r="I49" s="68" t="e">
        <f aca="false">Hedge_Total!C459</f>
        <v>#N/A</v>
      </c>
      <c r="J49" s="16" t="e">
        <f aca="false">Hedge_Total!G459</f>
        <v>#N/A</v>
      </c>
      <c r="K49" s="16" t="e">
        <f aca="false">T49+V49+X49+Z49+AB49+AD49+AF49+AH49+AJ49+AL49+AN49+AP49+AR49+AT49</f>
        <v>#N/A</v>
      </c>
      <c r="L49" s="69" t="e">
        <f aca="false">N49/$F$10</f>
        <v>#N/A</v>
      </c>
      <c r="M49" s="69" t="e">
        <f aca="false">O49/$F$10</f>
        <v>#N/A</v>
      </c>
      <c r="N49" s="16" t="e">
        <f aca="false">E49+J49</f>
        <v>#N/A</v>
      </c>
      <c r="O49" s="16" t="e">
        <f aca="false">E49+K49</f>
        <v>#N/A</v>
      </c>
      <c r="P49" s="70" t="e">
        <f aca="false">J50-2*J49+J48</f>
        <v>#N/A</v>
      </c>
      <c r="Q49" s="71"/>
      <c r="R49" s="67" t="n">
        <f aca="false">R48-1</f>
        <v>62</v>
      </c>
      <c r="S49" s="16" t="n">
        <f aca="false">Hedge_Total!G42</f>
        <v>24.2586505109173</v>
      </c>
      <c r="T49" s="16" t="n">
        <f aca="false">IF(B49&gt;$K$10,-1*$J$10,(($K$10-B49)*$I$10)-$J$10)</f>
        <v>-8.82</v>
      </c>
      <c r="U49" s="16" t="n">
        <f aca="false">Hedge_Total!G71</f>
        <v>13.9354612702444</v>
      </c>
      <c r="V49" s="16" t="n">
        <f aca="false">IF(B49&gt;$K$11,-1*$J$11,(($K$11-B49)*$I$11)-$J$11)</f>
        <v>8.9</v>
      </c>
      <c r="W49" s="16" t="n">
        <f aca="false">Hedge_Total!G100</f>
        <v>2.67953057622315</v>
      </c>
      <c r="X49" s="16" t="n">
        <f aca="false">IF(B49&gt;$K$12,-1*$J$12,(($K$12-B49)*$I$12)-$J$12)</f>
        <v>-0.43</v>
      </c>
      <c r="Y49" s="16" t="n">
        <f aca="false">Hedge_Total!G129</f>
        <v>24.4466949587349</v>
      </c>
      <c r="Z49" s="16" t="n">
        <f aca="false">IF(B49&gt;$K$13,-1*$J$13,(($K$13-B49)*$I$13)-$J$13)</f>
        <v>22</v>
      </c>
      <c r="AA49" s="16" t="e">
        <f aca="false">Hedge_Total!G159</f>
        <v>#N/A</v>
      </c>
      <c r="AB49" s="16" t="e">
        <f aca="false">IF(B49&gt;$K$14,-1*$J$14,(($K$14-B49)*$I$14)-$J$14)</f>
        <v>#N/A</v>
      </c>
      <c r="AC49" s="16" t="n">
        <f aca="false">Hedge_Total!G189</f>
        <v>18.9552419347082</v>
      </c>
      <c r="AD49" s="16" t="n">
        <f aca="false">IF(B49&gt;$K$15,-1*$J$15,(($K$15-B49)*$I$15)-$J$15)</f>
        <v>10.8</v>
      </c>
      <c r="AE49" s="16" t="n">
        <f aca="false">Hedge_Total!G219</f>
        <v>35.3886384776097</v>
      </c>
      <c r="AF49" s="16" t="n">
        <f aca="false">IF(B49&gt;$K$16,-1*$J$16,(($K$16-B49)*$I$16)-$J$16)</f>
        <v>33.7</v>
      </c>
      <c r="AG49" s="16" t="n">
        <f aca="false">Hedge_Total!G249</f>
        <v>33.7866832233228</v>
      </c>
      <c r="AH49" s="16" t="n">
        <f aca="false">IF(B49&gt;$K$17,-1*$J$17,(($K$17-B49)*$I$17)-$J$17)</f>
        <v>33.72</v>
      </c>
      <c r="AI49" s="16" t="n">
        <f aca="false">Hedge_Total!G279</f>
        <v>41.5551877212498</v>
      </c>
      <c r="AJ49" s="16" t="n">
        <f aca="false">IF(B49&gt;$K$18,-1*$J$18,(($K$18-B49)*$I$18)-$J$18)</f>
        <v>41.55</v>
      </c>
      <c r="AK49" s="16" t="n">
        <f aca="false">Hedge_Total!G309</f>
        <v>16.7803760767713</v>
      </c>
      <c r="AL49" s="16" t="n">
        <f aca="false">IF(B49&gt;$K$19,-1*$J$19,(($K$19-B49)*$I$19)-$J$19)</f>
        <v>29.52</v>
      </c>
      <c r="AM49" s="16" t="e">
        <f aca="false">Hedge_Total!G339</f>
        <v>#N/A</v>
      </c>
      <c r="AN49" s="16" t="e">
        <f aca="false">IF(B49&gt;$K$20,-1*$J$20,(($K$20-B49)*$I$20)-$J$20)</f>
        <v>#N/A</v>
      </c>
      <c r="AO49" s="16" t="e">
        <f aca="false">Hedge_Total!G369</f>
        <v>#N/A</v>
      </c>
      <c r="AP49" s="16" t="e">
        <f aca="false">IF(B49&gt;$K$21,-1*$J$21,(($K$21-B49)*$I$21)-$J$21)</f>
        <v>#N/A</v>
      </c>
      <c r="AQ49" s="16" t="e">
        <f aca="false">Hedge_Total!G399</f>
        <v>#N/A</v>
      </c>
      <c r="AR49" s="16" t="e">
        <f aca="false">IF(B49&gt;$K$22,-1*$J$22,(($K$22-B49)*$I$22)-$J$22)</f>
        <v>#N/A</v>
      </c>
      <c r="AS49" s="16" t="e">
        <f aca="false">Hedge_Total!G429</f>
        <v>#N/A</v>
      </c>
      <c r="AT49" s="16" t="e">
        <f aca="false">IF(B49&gt;$K$23,-1*$J$23,(($K$23-B49)*$I$23)-$J$23)</f>
        <v>#N/A</v>
      </c>
    </row>
    <row r="50" customFormat="false" ht="14.25" hidden="false" customHeight="true" outlineLevel="0" collapsed="false">
      <c r="B50" s="67" t="n">
        <f aca="false">B49-1</f>
        <v>61</v>
      </c>
      <c r="C50" s="68" t="e">
        <f aca="false">J50/$C$16</f>
        <v>#N/A</v>
      </c>
      <c r="D50" s="68" t="e">
        <f aca="false">K50/$C$16</f>
        <v>#N/A</v>
      </c>
      <c r="E50" s="16" t="n">
        <f aca="false">($C$10*B50)-$F$10</f>
        <v>-367.1959803315</v>
      </c>
      <c r="F50" s="69" t="n">
        <f aca="false">(E50/$F$10)</f>
        <v>-0.268842223628755</v>
      </c>
      <c r="H50" s="67" t="n">
        <f aca="false">H49-1</f>
        <v>61</v>
      </c>
      <c r="I50" s="68" t="e">
        <f aca="false">Hedge_Total!C460</f>
        <v>#N/A</v>
      </c>
      <c r="J50" s="16" t="e">
        <f aca="false">Hedge_Total!G460</f>
        <v>#N/A</v>
      </c>
      <c r="K50" s="16" t="e">
        <f aca="false">T50+V50+X50+Z50+AB50+AD50+AF50+AH50+AJ50+AL50+AN50+AP50+AR50+AT50</f>
        <v>#N/A</v>
      </c>
      <c r="L50" s="69" t="e">
        <f aca="false">N50/$F$10</f>
        <v>#N/A</v>
      </c>
      <c r="M50" s="69" t="e">
        <f aca="false">O50/$F$10</f>
        <v>#N/A</v>
      </c>
      <c r="N50" s="16" t="e">
        <f aca="false">E50+J50</f>
        <v>#N/A</v>
      </c>
      <c r="O50" s="16" t="e">
        <f aca="false">E50+K50</f>
        <v>#N/A</v>
      </c>
      <c r="P50" s="70" t="e">
        <f aca="false">J51-2*J50+J49</f>
        <v>#N/A</v>
      </c>
      <c r="Q50" s="71"/>
      <c r="R50" s="67" t="n">
        <f aca="false">R49-1</f>
        <v>61</v>
      </c>
      <c r="S50" s="16" t="n">
        <f aca="false">Hedge_Total!G43</f>
        <v>27.1426351339693</v>
      </c>
      <c r="T50" s="16" t="n">
        <f aca="false">IF(B50&gt;$K$10,-1*$J$10,(($K$10-B50)*$I$10)-$J$10)</f>
        <v>-8.82</v>
      </c>
      <c r="U50" s="16" t="n">
        <f aca="false">Hedge_Total!G72</f>
        <v>15.3150389532152</v>
      </c>
      <c r="V50" s="16" t="n">
        <f aca="false">IF(B50&gt;$K$11,-1*$J$11,(($K$11-B50)*$I$11)-$J$11)</f>
        <v>10.9</v>
      </c>
      <c r="W50" s="16" t="n">
        <f aca="false">Hedge_Total!G101</f>
        <v>3.08793359797389</v>
      </c>
      <c r="X50" s="16" t="n">
        <f aca="false">IF(B50&gt;$K$12,-1*$J$12,(($K$12-B50)*$I$12)-$J$12)</f>
        <v>-0.43</v>
      </c>
      <c r="Y50" s="16" t="n">
        <f aca="false">Hedge_Total!G130</f>
        <v>26.9153615405254</v>
      </c>
      <c r="Z50" s="16" t="n">
        <f aca="false">IF(B50&gt;$K$13,-1*$J$13,(($K$13-B50)*$I$13)-$J$13)</f>
        <v>25</v>
      </c>
      <c r="AA50" s="16" t="e">
        <f aca="false">Hedge_Total!G160</f>
        <v>#N/A</v>
      </c>
      <c r="AB50" s="16" t="e">
        <f aca="false">IF(B50&gt;$K$14,-1*$J$14,(($K$14-B50)*$I$14)-$J$14)</f>
        <v>#N/A</v>
      </c>
      <c r="AC50" s="16" t="n">
        <f aca="false">Hedge_Total!G190</f>
        <v>22.2838926748464</v>
      </c>
      <c r="AD50" s="16" t="n">
        <f aca="false">IF(B50&gt;$K$15,-1*$J$15,(($K$15-B50)*$I$15)-$J$15)</f>
        <v>15.8</v>
      </c>
      <c r="AE50" s="16" t="n">
        <f aca="false">Hedge_Total!G220</f>
        <v>39.8755638541509</v>
      </c>
      <c r="AF50" s="16" t="n">
        <f aca="false">IF(B50&gt;$K$16,-1*$J$16,(($K$16-B50)*$I$16)-$J$16)</f>
        <v>38.7</v>
      </c>
      <c r="AG50" s="16" t="n">
        <f aca="false">Hedge_Total!G250</f>
        <v>36.7569463463422</v>
      </c>
      <c r="AH50" s="16" t="n">
        <f aca="false">IF(B50&gt;$K$17,-1*$J$17,(($K$17-B50)*$I$17)-$J$17)</f>
        <v>36.72</v>
      </c>
      <c r="AI50" s="16" t="n">
        <f aca="false">Hedge_Total!G280</f>
        <v>44.5523366488918</v>
      </c>
      <c r="AJ50" s="16" t="n">
        <f aca="false">IF(B50&gt;$K$18,-1*$J$18,(($K$18-B50)*$I$18)-$J$18)</f>
        <v>44.55</v>
      </c>
      <c r="AK50" s="16" t="n">
        <f aca="false">Hedge_Total!G310</f>
        <v>18.7801425200109</v>
      </c>
      <c r="AL50" s="16" t="n">
        <f aca="false">IF(B50&gt;$K$19,-1*$J$19,(($K$19-B50)*$I$19)-$J$19)</f>
        <v>31.52</v>
      </c>
      <c r="AM50" s="16" t="e">
        <f aca="false">Hedge_Total!G340</f>
        <v>#N/A</v>
      </c>
      <c r="AN50" s="16" t="e">
        <f aca="false">IF(B50&gt;$K$20,-1*$J$20,(($K$20-B50)*$I$20)-$J$20)</f>
        <v>#N/A</v>
      </c>
      <c r="AO50" s="16" t="e">
        <f aca="false">Hedge_Total!G370</f>
        <v>#N/A</v>
      </c>
      <c r="AP50" s="16" t="e">
        <f aca="false">IF(B50&gt;$K$21,-1*$J$21,(($K$21-B50)*$I$21)-$J$21)</f>
        <v>#N/A</v>
      </c>
      <c r="AQ50" s="16" t="e">
        <f aca="false">Hedge_Total!G400</f>
        <v>#N/A</v>
      </c>
      <c r="AR50" s="16" t="e">
        <f aca="false">IF(B50&gt;$K$22,-1*$J$22,(($K$22-B50)*$I$22)-$J$22)</f>
        <v>#N/A</v>
      </c>
      <c r="AS50" s="16" t="e">
        <f aca="false">Hedge_Total!G430</f>
        <v>#N/A</v>
      </c>
      <c r="AT50" s="16" t="e">
        <f aca="false">IF(B50&gt;$K$23,-1*$J$23,(($K$23-B50)*$I$23)-$J$23)</f>
        <v>#N/A</v>
      </c>
    </row>
    <row r="51" customFormat="false" ht="14.25" hidden="false" customHeight="true" outlineLevel="0" collapsed="false">
      <c r="B51" s="67" t="n">
        <f aca="false">B50-1</f>
        <v>60</v>
      </c>
      <c r="C51" s="68" t="e">
        <f aca="false">J51/$C$16</f>
        <v>#N/A</v>
      </c>
      <c r="D51" s="68" t="e">
        <f aca="false">K51/$C$16</f>
        <v>#N/A</v>
      </c>
      <c r="E51" s="16" t="n">
        <f aca="false">($C$10*B51)-$F$10</f>
        <v>-383.5672253315</v>
      </c>
      <c r="F51" s="69" t="n">
        <f aca="false">(E51/$F$10)</f>
        <v>-0.280828416684021</v>
      </c>
      <c r="H51" s="67" t="n">
        <f aca="false">H50-1</f>
        <v>60</v>
      </c>
      <c r="I51" s="68" t="e">
        <f aca="false">Hedge_Total!C461</f>
        <v>#N/A</v>
      </c>
      <c r="J51" s="16" t="e">
        <f aca="false">Hedge_Total!G461</f>
        <v>#N/A</v>
      </c>
      <c r="K51" s="16" t="e">
        <f aca="false">T51+V51+X51+Z51+AB51+AD51+AF51+AH51+AJ51+AL51+AN51+AP51+AR51+AT51</f>
        <v>#N/A</v>
      </c>
      <c r="L51" s="69" t="e">
        <f aca="false">N51/$F$10</f>
        <v>#N/A</v>
      </c>
      <c r="M51" s="69" t="e">
        <f aca="false">O51/$F$10</f>
        <v>#N/A</v>
      </c>
      <c r="N51" s="16" t="e">
        <f aca="false">E51+J51</f>
        <v>#N/A</v>
      </c>
      <c r="O51" s="16" t="e">
        <f aca="false">E51+K51</f>
        <v>#N/A</v>
      </c>
      <c r="P51" s="70" t="e">
        <f aca="false">J52-2*J51+J50</f>
        <v>#N/A</v>
      </c>
      <c r="Q51" s="71"/>
      <c r="R51" s="67" t="n">
        <f aca="false">R50-1</f>
        <v>60</v>
      </c>
      <c r="S51" s="16" t="n">
        <f aca="false">Hedge_Total!G44</f>
        <v>30.2191877485418</v>
      </c>
      <c r="T51" s="16" t="n">
        <f aca="false">IF(B51&gt;$K$10,-1*$J$10,(($K$10-B51)*$I$10)-$J$10)</f>
        <v>-8.82</v>
      </c>
      <c r="U51" s="16" t="n">
        <f aca="false">Hedge_Total!G73</f>
        <v>16.7474155284393</v>
      </c>
      <c r="V51" s="16" t="n">
        <f aca="false">IF(B51&gt;$K$11,-1*$J$11,(($K$11-B51)*$I$11)-$J$11)</f>
        <v>12.9</v>
      </c>
      <c r="W51" s="16" t="n">
        <f aca="false">Hedge_Total!G102</f>
        <v>3.5350945683543</v>
      </c>
      <c r="X51" s="16" t="n">
        <f aca="false">IF(B51&gt;$K$12,-1*$J$12,(($K$12-B51)*$I$12)-$J$12)</f>
        <v>-0.43</v>
      </c>
      <c r="Y51" s="16" t="n">
        <f aca="false">Hedge_Total!G131</f>
        <v>29.4761442436311</v>
      </c>
      <c r="Z51" s="16" t="n">
        <f aca="false">IF(B51&gt;$K$13,-1*$J$13,(($K$13-B51)*$I$13)-$J$13)</f>
        <v>28</v>
      </c>
      <c r="AA51" s="16" t="e">
        <f aca="false">Hedge_Total!G161</f>
        <v>#N/A</v>
      </c>
      <c r="AB51" s="16" t="e">
        <f aca="false">IF(B51&gt;$K$14,-1*$J$14,(($K$14-B51)*$I$14)-$J$14)</f>
        <v>#N/A</v>
      </c>
      <c r="AC51" s="16" t="n">
        <f aca="false">Hedge_Total!G191</f>
        <v>25.8652407896324</v>
      </c>
      <c r="AD51" s="16" t="n">
        <f aca="false">IF(B51&gt;$K$15,-1*$J$15,(($K$15-B51)*$I$15)-$J$15)</f>
        <v>20.8</v>
      </c>
      <c r="AE51" s="16" t="n">
        <f aca="false">Hedge_Total!G221</f>
        <v>44.4961774759534</v>
      </c>
      <c r="AF51" s="16" t="n">
        <f aca="false">IF(B51&gt;$K$16,-1*$J$16,(($K$16-B51)*$I$16)-$J$16)</f>
        <v>43.7</v>
      </c>
      <c r="AG51" s="16" t="n">
        <f aca="false">Hedge_Total!G251</f>
        <v>39.7396118373696</v>
      </c>
      <c r="AH51" s="16" t="n">
        <f aca="false">IF(B51&gt;$K$17,-1*$J$17,(($K$17-B51)*$I$17)-$J$17)</f>
        <v>39.72</v>
      </c>
      <c r="AI51" s="16" t="n">
        <f aca="false">Hedge_Total!G281</f>
        <v>47.5509955594963</v>
      </c>
      <c r="AJ51" s="16" t="n">
        <f aca="false">IF(B51&gt;$K$18,-1*$J$18,(($K$18-B51)*$I$18)-$J$18)</f>
        <v>47.55</v>
      </c>
      <c r="AK51" s="16" t="n">
        <f aca="false">Hedge_Total!G311</f>
        <v>20.7800505821052</v>
      </c>
      <c r="AL51" s="16" t="n">
        <f aca="false">IF(B51&gt;$K$19,-1*$J$19,(($K$19-B51)*$I$19)-$J$19)</f>
        <v>33.52</v>
      </c>
      <c r="AM51" s="16" t="e">
        <f aca="false">Hedge_Total!G341</f>
        <v>#N/A</v>
      </c>
      <c r="AN51" s="16" t="e">
        <f aca="false">IF(B51&gt;$K$20,-1*$J$20,(($K$20-B51)*$I$20)-$J$20)</f>
        <v>#N/A</v>
      </c>
      <c r="AO51" s="16" t="e">
        <f aca="false">Hedge_Total!G371</f>
        <v>#N/A</v>
      </c>
      <c r="AP51" s="16" t="e">
        <f aca="false">IF(B51&gt;$K$21,-1*$J$21,(($K$21-B51)*$I$21)-$J$21)</f>
        <v>#N/A</v>
      </c>
      <c r="AQ51" s="16" t="e">
        <f aca="false">Hedge_Total!G401</f>
        <v>#N/A</v>
      </c>
      <c r="AR51" s="16" t="e">
        <f aca="false">IF(B51&gt;$K$22,-1*$J$22,(($K$22-B51)*$I$22)-$J$22)</f>
        <v>#N/A</v>
      </c>
      <c r="AS51" s="16" t="e">
        <f aca="false">Hedge_Total!G431</f>
        <v>#N/A</v>
      </c>
      <c r="AT51" s="16" t="e">
        <f aca="false">IF(B51&gt;$K$23,-1*$J$23,(($K$23-B51)*$I$23)-$J$23)</f>
        <v>#N/A</v>
      </c>
    </row>
    <row r="52" customFormat="false" ht="14.25" hidden="false" customHeight="true" outlineLevel="0" collapsed="false">
      <c r="B52" s="67" t="n">
        <f aca="false">B51-1</f>
        <v>59</v>
      </c>
      <c r="C52" s="68" t="e">
        <f aca="false">J52/$C$16</f>
        <v>#N/A</v>
      </c>
      <c r="D52" s="68" t="e">
        <f aca="false">K52/$C$16</f>
        <v>#N/A</v>
      </c>
      <c r="E52" s="16" t="n">
        <f aca="false">($C$10*B52)-$F$10</f>
        <v>-399.9384703315</v>
      </c>
      <c r="F52" s="69" t="n">
        <f aca="false">(E52/$F$10)</f>
        <v>-0.292814609739287</v>
      </c>
      <c r="H52" s="67" t="n">
        <f aca="false">H51-1</f>
        <v>59</v>
      </c>
      <c r="I52" s="68" t="e">
        <f aca="false">Hedge_Total!C462</f>
        <v>#N/A</v>
      </c>
      <c r="J52" s="16" t="e">
        <f aca="false">Hedge_Total!G462</f>
        <v>#N/A</v>
      </c>
      <c r="K52" s="16" t="e">
        <f aca="false">T52+V52+X52+Z52+AB52+AD52+AF52+AH52+AJ52+AL52+AN52+AP52+AR52+AT52</f>
        <v>#N/A</v>
      </c>
      <c r="L52" s="69" t="e">
        <f aca="false">N52/$F$10</f>
        <v>#N/A</v>
      </c>
      <c r="M52" s="69" t="e">
        <f aca="false">O52/$F$10</f>
        <v>#N/A</v>
      </c>
      <c r="N52" s="16" t="e">
        <f aca="false">E52+J52</f>
        <v>#N/A</v>
      </c>
      <c r="O52" s="16" t="e">
        <f aca="false">E52+K52</f>
        <v>#N/A</v>
      </c>
      <c r="P52" s="70" t="e">
        <f aca="false">J53-2*J52+J51</f>
        <v>#N/A</v>
      </c>
      <c r="Q52" s="71"/>
      <c r="R52" s="67" t="n">
        <f aca="false">R51-1</f>
        <v>59</v>
      </c>
      <c r="S52" s="16" t="n">
        <f aca="false">Hedge_Total!G45</f>
        <v>33.4936297408405</v>
      </c>
      <c r="T52" s="16" t="n">
        <f aca="false">IF(B52&gt;$K$10,-1*$J$10,(($K$10-B52)*$I$10)-$J$10)</f>
        <v>-1.82</v>
      </c>
      <c r="U52" s="16" t="n">
        <f aca="false">Hedge_Total!G74</f>
        <v>18.2311603375322</v>
      </c>
      <c r="V52" s="16" t="n">
        <f aca="false">IF(B52&gt;$K$11,-1*$J$11,(($K$11-B52)*$I$11)-$J$11)</f>
        <v>14.9</v>
      </c>
      <c r="W52" s="16" t="n">
        <f aca="false">Hedge_Total!G103</f>
        <v>4.0221808515085</v>
      </c>
      <c r="X52" s="16" t="n">
        <f aca="false">IF(B52&gt;$K$12,-1*$J$12,(($K$12-B52)*$I$12)-$J$12)</f>
        <v>0.57</v>
      </c>
      <c r="Y52" s="16" t="n">
        <f aca="false">Hedge_Total!G132</f>
        <v>32.1189072650857</v>
      </c>
      <c r="Z52" s="16" t="n">
        <f aca="false">IF(B52&gt;$K$13,-1*$J$13,(($K$13-B52)*$I$13)-$J$13)</f>
        <v>31</v>
      </c>
      <c r="AA52" s="16" t="e">
        <f aca="false">Hedge_Total!G162</f>
        <v>#N/A</v>
      </c>
      <c r="AB52" s="16" t="e">
        <f aca="false">IF(B52&gt;$K$14,-1*$J$14,(($K$14-B52)*$I$14)-$J$14)</f>
        <v>#N/A</v>
      </c>
      <c r="AC52" s="16" t="n">
        <f aca="false">Hedge_Total!G192</f>
        <v>29.6830740336196</v>
      </c>
      <c r="AD52" s="16" t="n">
        <f aca="false">IF(B52&gt;$K$15,-1*$J$15,(($K$15-B52)*$I$15)-$J$15)</f>
        <v>25.8</v>
      </c>
      <c r="AE52" s="16" t="n">
        <f aca="false">Hedge_Total!G222</f>
        <v>49.2236713575289</v>
      </c>
      <c r="AF52" s="16" t="n">
        <f aca="false">IF(B52&gt;$K$16,-1*$J$16,(($K$16-B52)*$I$16)-$J$16)</f>
        <v>48.7</v>
      </c>
      <c r="AG52" s="16" t="n">
        <f aca="false">Hedge_Total!G252</f>
        <v>42.729949252432</v>
      </c>
      <c r="AH52" s="16" t="n">
        <f aca="false">IF(B52&gt;$K$17,-1*$J$17,(($K$17-B52)*$I$17)-$J$17)</f>
        <v>42.72</v>
      </c>
      <c r="AI52" s="16" t="n">
        <f aca="false">Hedge_Total!G282</f>
        <v>50.5504000308283</v>
      </c>
      <c r="AJ52" s="16" t="n">
        <f aca="false">IF(B52&gt;$K$18,-1*$J$18,(($K$18-B52)*$I$18)-$J$18)</f>
        <v>50.55</v>
      </c>
      <c r="AK52" s="16" t="n">
        <f aca="false">Hedge_Total!G312</f>
        <v>22.7800167552561</v>
      </c>
      <c r="AL52" s="16" t="n">
        <f aca="false">IF(B52&gt;$K$19,-1*$J$19,(($K$19-B52)*$I$19)-$J$19)</f>
        <v>35.52</v>
      </c>
      <c r="AM52" s="16" t="e">
        <f aca="false">Hedge_Total!G342</f>
        <v>#N/A</v>
      </c>
      <c r="AN52" s="16" t="e">
        <f aca="false">IF(B52&gt;$K$20,-1*$J$20,(($K$20-B52)*$I$20)-$J$20)</f>
        <v>#N/A</v>
      </c>
      <c r="AO52" s="16" t="e">
        <f aca="false">Hedge_Total!G372</f>
        <v>#N/A</v>
      </c>
      <c r="AP52" s="16" t="e">
        <f aca="false">IF(B52&gt;$K$21,-1*$J$21,(($K$21-B52)*$I$21)-$J$21)</f>
        <v>#N/A</v>
      </c>
      <c r="AQ52" s="16" t="e">
        <f aca="false">Hedge_Total!G402</f>
        <v>#N/A</v>
      </c>
      <c r="AR52" s="16" t="e">
        <f aca="false">IF(B52&gt;$K$22,-1*$J$22,(($K$22-B52)*$I$22)-$J$22)</f>
        <v>#N/A</v>
      </c>
      <c r="AS52" s="16" t="e">
        <f aca="false">Hedge_Total!G432</f>
        <v>#N/A</v>
      </c>
      <c r="AT52" s="16" t="e">
        <f aca="false">IF(B52&gt;$K$23,-1*$J$23,(($K$23-B52)*$I$23)-$J$23)</f>
        <v>#N/A</v>
      </c>
    </row>
    <row r="53" customFormat="false" ht="14.25" hidden="false" customHeight="true" outlineLevel="0" collapsed="false">
      <c r="B53" s="67" t="n">
        <f aca="false">B52-1</f>
        <v>58</v>
      </c>
      <c r="C53" s="68" t="e">
        <f aca="false">J53/$C$16</f>
        <v>#N/A</v>
      </c>
      <c r="D53" s="68" t="e">
        <f aca="false">K53/$C$16</f>
        <v>#N/A</v>
      </c>
      <c r="E53" s="16" t="n">
        <f aca="false">($C$10*B53)-$F$10</f>
        <v>-416.3097153315</v>
      </c>
      <c r="F53" s="69" t="n">
        <f aca="false">(E53/$F$10)</f>
        <v>-0.304800802794554</v>
      </c>
      <c r="H53" s="67" t="n">
        <f aca="false">H52-1</f>
        <v>58</v>
      </c>
      <c r="I53" s="68" t="e">
        <f aca="false">Hedge_Total!C463</f>
        <v>#N/A</v>
      </c>
      <c r="J53" s="16" t="e">
        <f aca="false">Hedge_Total!G463</f>
        <v>#N/A</v>
      </c>
      <c r="K53" s="16" t="e">
        <f aca="false">T53+V53+X53+Z53+AB53+AD53+AF53+AH53+AJ53+AL53+AN53+AP53+AR53+AT53</f>
        <v>#N/A</v>
      </c>
      <c r="L53" s="69" t="e">
        <f aca="false">N53/$F$10</f>
        <v>#N/A</v>
      </c>
      <c r="M53" s="69" t="e">
        <f aca="false">O53/$F$10</f>
        <v>#N/A</v>
      </c>
      <c r="N53" s="16" t="e">
        <f aca="false">E53+J53</f>
        <v>#N/A</v>
      </c>
      <c r="O53" s="16" t="e">
        <f aca="false">E53+K53</f>
        <v>#N/A</v>
      </c>
      <c r="P53" s="70" t="e">
        <f aca="false">J54-2*J53+J52</f>
        <v>#N/A</v>
      </c>
      <c r="Q53" s="71"/>
      <c r="R53" s="67" t="n">
        <f aca="false">R52-1</f>
        <v>58</v>
      </c>
      <c r="S53" s="16" t="n">
        <f aca="false">Hedge_Total!G46</f>
        <v>36.970480668811</v>
      </c>
      <c r="T53" s="16" t="n">
        <f aca="false">IF(B53&gt;$K$10,-1*$J$10,(($K$10-B53)*$I$10)-$J$10)</f>
        <v>5.18</v>
      </c>
      <c r="U53" s="16" t="n">
        <f aca="false">Hedge_Total!G75</f>
        <v>19.7645563621566</v>
      </c>
      <c r="V53" s="16" t="n">
        <f aca="false">IF(B53&gt;$K$11,-1*$J$11,(($K$11-B53)*$I$11)-$J$11)</f>
        <v>16.9</v>
      </c>
      <c r="W53" s="16" t="n">
        <f aca="false">Hedge_Total!G104</f>
        <v>4.54999899178207</v>
      </c>
      <c r="X53" s="16" t="n">
        <f aca="false">IF(B53&gt;$K$12,-1*$J$12,(($K$12-B53)*$I$12)-$J$12)</f>
        <v>1.57</v>
      </c>
      <c r="Y53" s="16" t="n">
        <f aca="false">Hedge_Total!G133</f>
        <v>34.833303552626</v>
      </c>
      <c r="Z53" s="16" t="n">
        <f aca="false">IF(B53&gt;$K$13,-1*$J$13,(($K$13-B53)*$I$13)-$J$13)</f>
        <v>34</v>
      </c>
      <c r="AA53" s="16" t="e">
        <f aca="false">Hedge_Total!G163</f>
        <v>#N/A</v>
      </c>
      <c r="AB53" s="16" t="e">
        <f aca="false">IF(B53&gt;$K$14,-1*$J$14,(($K$14-B53)*$I$14)-$J$14)</f>
        <v>#N/A</v>
      </c>
      <c r="AC53" s="16" t="n">
        <f aca="false">Hedge_Total!G193</f>
        <v>33.7172810814967</v>
      </c>
      <c r="AD53" s="16" t="n">
        <f aca="false">IF(B53&gt;$K$15,-1*$J$15,(($K$15-B53)*$I$15)-$J$15)</f>
        <v>30.8</v>
      </c>
      <c r="AE53" s="16" t="n">
        <f aca="false">Hedge_Total!G223</f>
        <v>54.033876537712</v>
      </c>
      <c r="AF53" s="16" t="n">
        <f aca="false">IF(B53&gt;$K$16,-1*$J$16,(($K$16-B53)*$I$16)-$J$16)</f>
        <v>53.7</v>
      </c>
      <c r="AG53" s="16" t="n">
        <f aca="false">Hedge_Total!G253</f>
        <v>45.7248113609445</v>
      </c>
      <c r="AH53" s="16" t="n">
        <f aca="false">IF(B53&gt;$K$17,-1*$J$17,(($K$17-B53)*$I$17)-$J$17)</f>
        <v>45.72</v>
      </c>
      <c r="AI53" s="16" t="n">
        <f aca="false">Hedge_Total!G283</f>
        <v>53.550151112315</v>
      </c>
      <c r="AJ53" s="16" t="n">
        <f aca="false">IF(B53&gt;$K$18,-1*$J$18,(($K$18-B53)*$I$18)-$J$18)</f>
        <v>53.55</v>
      </c>
      <c r="AK53" s="16" t="n">
        <f aca="false">Hedge_Total!G313</f>
        <v>24.7800051614321</v>
      </c>
      <c r="AL53" s="16" t="n">
        <f aca="false">IF(B53&gt;$K$19,-1*$J$19,(($K$19-B53)*$I$19)-$J$19)</f>
        <v>37.52</v>
      </c>
      <c r="AM53" s="16" t="e">
        <f aca="false">Hedge_Total!G343</f>
        <v>#N/A</v>
      </c>
      <c r="AN53" s="16" t="e">
        <f aca="false">IF(B53&gt;$K$20,-1*$J$20,(($K$20-B53)*$I$20)-$J$20)</f>
        <v>#N/A</v>
      </c>
      <c r="AO53" s="16" t="e">
        <f aca="false">Hedge_Total!G373</f>
        <v>#N/A</v>
      </c>
      <c r="AP53" s="16" t="e">
        <f aca="false">IF(B53&gt;$K$21,-1*$J$21,(($K$21-B53)*$I$21)-$J$21)</f>
        <v>#N/A</v>
      </c>
      <c r="AQ53" s="16" t="e">
        <f aca="false">Hedge_Total!G403</f>
        <v>#N/A</v>
      </c>
      <c r="AR53" s="16" t="e">
        <f aca="false">IF(B53&gt;$K$22,-1*$J$22,(($K$22-B53)*$I$22)-$J$22)</f>
        <v>#N/A</v>
      </c>
      <c r="AS53" s="16" t="e">
        <f aca="false">Hedge_Total!G433</f>
        <v>#N/A</v>
      </c>
      <c r="AT53" s="16" t="e">
        <f aca="false">IF(B53&gt;$K$23,-1*$J$23,(($K$23-B53)*$I$23)-$J$23)</f>
        <v>#N/A</v>
      </c>
    </row>
    <row r="54" customFormat="false" ht="14.25" hidden="false" customHeight="true" outlineLevel="0" collapsed="false">
      <c r="B54" s="67" t="n">
        <f aca="false">B53-1</f>
        <v>57</v>
      </c>
      <c r="C54" s="68" t="e">
        <f aca="false">J54/$C$16</f>
        <v>#N/A</v>
      </c>
      <c r="D54" s="68" t="e">
        <f aca="false">K54/$C$16</f>
        <v>#N/A</v>
      </c>
      <c r="E54" s="16" t="n">
        <f aca="false">($C$10*B54)-$F$10</f>
        <v>-432.6809603315</v>
      </c>
      <c r="F54" s="69" t="n">
        <f aca="false">(E54/$F$10)</f>
        <v>-0.31678699584982</v>
      </c>
      <c r="H54" s="67" t="n">
        <f aca="false">H53-1</f>
        <v>57</v>
      </c>
      <c r="I54" s="68" t="e">
        <f aca="false">Hedge_Total!C464</f>
        <v>#N/A</v>
      </c>
      <c r="J54" s="16" t="e">
        <f aca="false">Hedge_Total!G464</f>
        <v>#N/A</v>
      </c>
      <c r="K54" s="16" t="e">
        <f aca="false">T54+V54+X54+Z54+AB54+AD54+AF54+AH54+AJ54+AL54+AN54+AP54+AR54+AT54</f>
        <v>#N/A</v>
      </c>
      <c r="L54" s="69" t="e">
        <f aca="false">N54/$F$10</f>
        <v>#N/A</v>
      </c>
      <c r="M54" s="69" t="e">
        <f aca="false">O54/$F$10</f>
        <v>#N/A</v>
      </c>
      <c r="N54" s="16" t="e">
        <f aca="false">E54+J54</f>
        <v>#N/A</v>
      </c>
      <c r="O54" s="16" t="e">
        <f aca="false">E54+K54</f>
        <v>#N/A</v>
      </c>
      <c r="P54" s="15"/>
      <c r="R54" s="67" t="n">
        <f aca="false">R53-1</f>
        <v>57</v>
      </c>
      <c r="S54" s="16" t="n">
        <f aca="false">Hedge_Total!G47</f>
        <v>40.6533461744824</v>
      </c>
      <c r="T54" s="16" t="n">
        <f aca="false">IF(B54&gt;$K$10,-1*$J$10,(($K$10-B54)*$I$10)-$J$10)</f>
        <v>12.18</v>
      </c>
      <c r="U54" s="16" t="n">
        <f aca="false">Hedge_Total!G76</f>
        <v>21.3456161738461</v>
      </c>
      <c r="V54" s="16" t="n">
        <f aca="false">IF(B54&gt;$K$11,-1*$J$11,(($K$11-B54)*$I$11)-$J$11)</f>
        <v>18.9</v>
      </c>
      <c r="W54" s="16" t="n">
        <f aca="false">Hedge_Total!G105</f>
        <v>5.1189509768711</v>
      </c>
      <c r="X54" s="16" t="n">
        <f aca="false">IF(B54&gt;$K$12,-1*$J$12,(($K$12-B54)*$I$12)-$J$12)</f>
        <v>2.57</v>
      </c>
      <c r="Y54" s="16" t="n">
        <f aca="false">Hedge_Total!G134</f>
        <v>37.6090984430115</v>
      </c>
      <c r="Z54" s="16" t="n">
        <f aca="false">IF(B54&gt;$K$13,-1*$J$13,(($K$13-B54)*$I$13)-$J$13)</f>
        <v>37</v>
      </c>
      <c r="AA54" s="16" t="e">
        <f aca="false">Hedge_Total!G164</f>
        <v>#N/A</v>
      </c>
      <c r="AB54" s="16" t="e">
        <f aca="false">IF(B54&gt;$K$14,-1*$J$14,(($K$14-B54)*$I$14)-$J$14)</f>
        <v>#N/A</v>
      </c>
      <c r="AC54" s="16" t="n">
        <f aca="false">Hedge_Total!G194</f>
        <v>37.9448235281048</v>
      </c>
      <c r="AD54" s="16" t="n">
        <f aca="false">IF(B54&gt;$K$15,-1*$J$15,(($K$15-B54)*$I$15)-$J$15)</f>
        <v>35.8</v>
      </c>
      <c r="AE54" s="16" t="n">
        <f aca="false">Hedge_Total!G224</f>
        <v>58.9059409340005</v>
      </c>
      <c r="AF54" s="16" t="n">
        <f aca="false">IF(B54&gt;$K$16,-1*$J$16,(($K$16-B54)*$I$16)-$J$16)</f>
        <v>58.7</v>
      </c>
      <c r="AG54" s="16" t="n">
        <f aca="false">Hedge_Total!G254</f>
        <v>48.7222119343169</v>
      </c>
      <c r="AH54" s="16" t="n">
        <f aca="false">IF(B54&gt;$K$17,-1*$J$17,(($K$17-B54)*$I$17)-$J$17)</f>
        <v>48.72</v>
      </c>
      <c r="AI54" s="16" t="n">
        <f aca="false">Hedge_Total!G284</f>
        <v>56.5500534859827</v>
      </c>
      <c r="AJ54" s="16" t="n">
        <f aca="false">IF(B54&gt;$K$18,-1*$J$18,(($K$18-B54)*$I$18)-$J$18)</f>
        <v>56.55</v>
      </c>
      <c r="AK54" s="16" t="n">
        <f aca="false">Hedge_Total!G314</f>
        <v>26.7800014729889</v>
      </c>
      <c r="AL54" s="16" t="n">
        <f aca="false">IF(B54&gt;$K$19,-1*$J$19,(($K$19-B54)*$I$19)-$J$19)</f>
        <v>39.52</v>
      </c>
      <c r="AM54" s="16" t="e">
        <f aca="false">Hedge_Total!G344</f>
        <v>#N/A</v>
      </c>
      <c r="AN54" s="16" t="e">
        <f aca="false">IF(B54&gt;$K$20,-1*$J$20,(($K$20-B54)*$I$20)-$J$20)</f>
        <v>#N/A</v>
      </c>
      <c r="AO54" s="16" t="e">
        <f aca="false">Hedge_Total!G374</f>
        <v>#N/A</v>
      </c>
      <c r="AP54" s="16" t="e">
        <f aca="false">IF(B54&gt;$K$21,-1*$J$21,(($K$21-B54)*$I$21)-$J$21)</f>
        <v>#N/A</v>
      </c>
      <c r="AQ54" s="16" t="e">
        <f aca="false">Hedge_Total!G404</f>
        <v>#N/A</v>
      </c>
      <c r="AR54" s="16" t="e">
        <f aca="false">IF(B54&gt;$K$22,-1*$J$22,(($K$22-B54)*$I$22)-$J$22)</f>
        <v>#N/A</v>
      </c>
      <c r="AS54" s="16" t="e">
        <f aca="false">Hedge_Total!G434</f>
        <v>#N/A</v>
      </c>
      <c r="AT54" s="16" t="e">
        <f aca="false">IF(B54&gt;$K$23,-1*$J$23,(($K$23-B54)*$I$23)-$J$23)</f>
        <v>#N/A</v>
      </c>
    </row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>
      <c r="B57" s="33"/>
      <c r="C57" s="33"/>
      <c r="E57" s="72"/>
      <c r="F57" s="72"/>
    </row>
    <row r="58" customFormat="false" ht="14.25" hidden="false" customHeight="true" outlineLevel="0" collapsed="false">
      <c r="C58" s="3"/>
    </row>
    <row r="59" customFormat="false" ht="14.25" hidden="false" customHeight="true" outlineLevel="0" collapsed="false">
      <c r="C59" s="3"/>
    </row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>
      <c r="B62" s="33"/>
      <c r="C62" s="33"/>
      <c r="E62" s="72"/>
      <c r="F62" s="72"/>
    </row>
    <row r="63" customFormat="false" ht="14.25" hidden="false" customHeight="true" outlineLevel="0" collapsed="false">
      <c r="C63" s="3"/>
    </row>
    <row r="64" customFormat="false" ht="14.25" hidden="false" customHeight="true" outlineLevel="0" collapsed="false">
      <c r="C64" s="3"/>
    </row>
    <row r="65" customFormat="false" ht="14.2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21">
    <mergeCell ref="R1:S1"/>
    <mergeCell ref="K2:L2"/>
    <mergeCell ref="R2:S2"/>
    <mergeCell ref="R3:S3"/>
    <mergeCell ref="A7:F7"/>
    <mergeCell ref="B26:F26"/>
    <mergeCell ref="H26:O26"/>
    <mergeCell ref="S26:T26"/>
    <mergeCell ref="U26:V26"/>
    <mergeCell ref="W26:X26"/>
    <mergeCell ref="Y26:Z26"/>
    <mergeCell ref="AA26:AB26"/>
    <mergeCell ref="AC26:AD26"/>
    <mergeCell ref="AE26:AF26"/>
    <mergeCell ref="AG26:AH26"/>
    <mergeCell ref="AI26:AJ26"/>
    <mergeCell ref="AK26:AL26"/>
    <mergeCell ref="AM26:AN26"/>
    <mergeCell ref="AO26:AP26"/>
    <mergeCell ref="AQ26:AR26"/>
    <mergeCell ref="AS26:AT2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2" width="23.97"/>
    <col collapsed="false" customWidth="true" hidden="false" outlineLevel="0" max="13" min="13" style="2" width="19.73"/>
  </cols>
  <sheetData>
    <row r="1" customFormat="false" ht="15" hidden="false" customHeight="true" outlineLevel="0" collapsed="false">
      <c r="A1" s="19" t="s">
        <v>0</v>
      </c>
      <c r="B1" s="19" t="s">
        <v>12</v>
      </c>
      <c r="C1" s="19" t="s">
        <v>13</v>
      </c>
      <c r="D1" s="19" t="s">
        <v>14</v>
      </c>
      <c r="E1" s="19" t="s">
        <v>15</v>
      </c>
      <c r="F1" s="19" t="s">
        <v>16</v>
      </c>
      <c r="G1" s="19" t="s">
        <v>17</v>
      </c>
      <c r="H1" s="19" t="s">
        <v>18</v>
      </c>
      <c r="I1" s="19" t="s">
        <v>19</v>
      </c>
      <c r="J1" s="19" t="s">
        <v>20</v>
      </c>
      <c r="K1" s="19" t="s">
        <v>21</v>
      </c>
      <c r="L1" s="19" t="s">
        <v>22</v>
      </c>
      <c r="M1" s="19" t="s">
        <v>23</v>
      </c>
      <c r="N1" s="19" t="s">
        <v>151</v>
      </c>
      <c r="O1" s="19" t="s">
        <v>152</v>
      </c>
      <c r="P1" s="19" t="s">
        <v>153</v>
      </c>
      <c r="R1" s="2" t="s">
        <v>154</v>
      </c>
      <c r="S1" s="2" t="s">
        <v>155</v>
      </c>
    </row>
    <row r="2" customFormat="false" ht="13.5" hidden="false" customHeight="true" outlineLevel="0" collapsed="false">
      <c r="A2" s="2" t="str">
        <f aca="false">Far_laeyr!B20</f>
        <v>SOL-29MAY26-60-P-USDT</v>
      </c>
      <c r="B2" s="2" t="n">
        <f aca="false">VLOOKUP(A2,OptionBoard!$A$2:$M$86,2,FALSE())</f>
        <v>60</v>
      </c>
      <c r="C2" s="2" t="n">
        <f aca="false">VLOOKUP(A2,OptionBoard!$A$2:$M$86,3,0)</f>
        <v>-0.05332898</v>
      </c>
      <c r="D2" s="2" t="n">
        <f aca="false">VLOOKUP(A2,OptionBoard!$A$2:$M$86,4,0)</f>
        <v>0.00539004</v>
      </c>
      <c r="E2" s="2" t="n">
        <f aca="false">VLOOKUP(A2,OptionBoard!$A$2:$M$86,5,0)</f>
        <v>0.03060818</v>
      </c>
      <c r="F2" s="2" t="n">
        <f aca="false">VLOOKUP(A2,OptionBoard!$A$2:$M$86,6,0)</f>
        <v>-0.02746493</v>
      </c>
      <c r="G2" s="2" t="n">
        <f aca="false">VLOOKUP(A2,Far_laeyr!$B$9:$H$16,7,0)</f>
        <v>0.99</v>
      </c>
      <c r="H2" s="2" t="n">
        <f aca="false">VLOOKUP(A2,OptionBoard!$A$2:$M$86,8,0)</f>
        <v>0.7144</v>
      </c>
      <c r="I2" s="2" t="n">
        <f aca="false">VLOOKUP(A2,OptionBoard!$A$2:$M$86,9,0)</f>
        <v>39</v>
      </c>
      <c r="J2" s="2" t="n">
        <f aca="false">VLOOKUP(A2,OptionBoard!$A$2:$M$86,10,0)</f>
        <v>0.106849315068493</v>
      </c>
      <c r="K2" s="2" t="str">
        <f aca="false">VLOOKUP(A2,OptionBoard!$A$2:$M$86,11,FALSE())</f>
        <v>PUT</v>
      </c>
      <c r="L2" s="2" t="n">
        <f aca="false">VLOOKUP(A2,OptionBoard!$A$2:$M$86,12,0)</f>
        <v>85.58</v>
      </c>
      <c r="M2" s="2" t="n">
        <f aca="false">VLOOKUP(A2,OptionBoard!$A$2:$M$86,13,0)</f>
        <v>0.0127552992307692</v>
      </c>
      <c r="N2" s="20" t="n">
        <f aca="false">G2*P2</f>
        <v>6.93</v>
      </c>
      <c r="O2" s="21" t="s">
        <v>156</v>
      </c>
      <c r="P2" s="21" t="n">
        <f aca="false">Far_laeyr!G20</f>
        <v>7</v>
      </c>
      <c r="R2" s="2" t="n">
        <f aca="false">G2</f>
        <v>0.99</v>
      </c>
      <c r="S2" s="2" t="n">
        <f aca="false">VLOOKUP(A2,OptionBoard!$A$2:$G$93,7,FALSE())</f>
        <v>0.49745667</v>
      </c>
      <c r="U2" s="2" t="n">
        <f aca="false">R2-S2</f>
        <v>0.49254333</v>
      </c>
    </row>
    <row r="3" customFormat="false" ht="13.5" hidden="false" customHeight="true" outlineLevel="0" collapsed="false">
      <c r="A3" s="2" t="str">
        <f aca="false">Far_laeyr!B21</f>
        <v>SOL-29MAY26-70-P-USDT</v>
      </c>
      <c r="B3" s="2" t="n">
        <f aca="false">VLOOKUP(A3,OptionBoard!$A$2:$M$86,2,FALSE())</f>
        <v>70</v>
      </c>
      <c r="C3" s="2" t="n">
        <f aca="false">VLOOKUP(A3,OptionBoard!$A$2:$M$86,3,0)</f>
        <v>-0.15294325</v>
      </c>
      <c r="D3" s="2" t="n">
        <f aca="false">VLOOKUP(A3,OptionBoard!$A$2:$M$86,4,0)</f>
        <v>0.01274985</v>
      </c>
      <c r="E3" s="2" t="n">
        <f aca="false">VLOOKUP(A3,OptionBoard!$A$2:$M$86,5,0)</f>
        <v>0.06659421</v>
      </c>
      <c r="F3" s="2" t="n">
        <f aca="false">VLOOKUP(A3,OptionBoard!$A$2:$M$86,6,0)</f>
        <v>-0.0549621</v>
      </c>
      <c r="G3" s="2" t="n">
        <f aca="false">VLOOKUP(A3,Far_laeyr!$B$9:$H$16,7,0)</f>
        <v>2.26</v>
      </c>
      <c r="H3" s="2" t="n">
        <f aca="false">VLOOKUP(A3,OptionBoard!$A$2:$M$86,8,0)</f>
        <v>0.6571</v>
      </c>
      <c r="I3" s="2" t="n">
        <f aca="false">VLOOKUP(A3,OptionBoard!$A$2:$M$86,9,0)</f>
        <v>39</v>
      </c>
      <c r="J3" s="2" t="n">
        <f aca="false">VLOOKUP(A3,OptionBoard!$A$2:$M$86,10,0)</f>
        <v>0.106849315068493</v>
      </c>
      <c r="K3" s="2" t="str">
        <f aca="false">VLOOKUP(A3,OptionBoard!$A$2:$M$86,11,FALSE())</f>
        <v>PUT</v>
      </c>
      <c r="L3" s="2" t="n">
        <f aca="false">VLOOKUP(A3,OptionBoard!$A$2:$M$86,12,0)</f>
        <v>85.58</v>
      </c>
      <c r="M3" s="2" t="n">
        <f aca="false">VLOOKUP(A3,OptionBoard!$A$2:$M$86,13,0)</f>
        <v>0.0418368223076923</v>
      </c>
      <c r="N3" s="20" t="n">
        <f aca="false">G3*P3</f>
        <v>4.52</v>
      </c>
      <c r="O3" s="21" t="s">
        <v>156</v>
      </c>
      <c r="P3" s="21" t="n">
        <f aca="false">Far_laeyr!G21</f>
        <v>2</v>
      </c>
      <c r="R3" s="2" t="n">
        <f aca="false">G3</f>
        <v>2.26</v>
      </c>
      <c r="S3" s="2" t="n">
        <f aca="false">VLOOKUP(A3,OptionBoard!$A$2:$G$93,7,FALSE())</f>
        <v>1.63163607</v>
      </c>
      <c r="U3" s="2" t="n">
        <f aca="false">R3-S3</f>
        <v>0.62836393</v>
      </c>
    </row>
    <row r="4" customFormat="false" ht="13.5" hidden="false" customHeight="true" outlineLevel="0" collapsed="false">
      <c r="A4" s="2" t="str">
        <f aca="false">Far_laeyr!B22</f>
        <v>SOL-8MAY26-60-P-USDT</v>
      </c>
      <c r="B4" s="2" t="n">
        <f aca="false">VLOOKUP(A4,OptionBoard!$A$2:$M$86,2,FALSE())</f>
        <v>60</v>
      </c>
      <c r="C4" s="2" t="n">
        <f aca="false">VLOOKUP(A4,OptionBoard!$A$2:$M$86,3,0)</f>
        <v>-0.01827967</v>
      </c>
      <c r="D4" s="2" t="n">
        <f aca="false">VLOOKUP(A4,OptionBoard!$A$2:$M$86,4,0)</f>
        <v>0.00296159</v>
      </c>
      <c r="E4" s="2" t="n">
        <f aca="false">VLOOKUP(A4,OptionBoard!$A$2:$M$86,5,0)</f>
        <v>0.00870756</v>
      </c>
      <c r="F4" s="2" t="n">
        <f aca="false">VLOOKUP(A4,OptionBoard!$A$2:$M$86,6,0)</f>
        <v>-0.01806298</v>
      </c>
      <c r="G4" s="2" t="n">
        <f aca="false">VLOOKUP(A4,Far_laeyr!$B$9:$H$16,7,0)</f>
        <v>0.65</v>
      </c>
      <c r="H4" s="2" t="n">
        <f aca="false">VLOOKUP(A4,OptionBoard!$A$2:$M$86,8,0)</f>
        <v>0.7802</v>
      </c>
      <c r="I4" s="2" t="n">
        <f aca="false">VLOOKUP(A4,OptionBoard!$A$2:$M$86,9,0)</f>
        <v>18</v>
      </c>
      <c r="J4" s="2" t="n">
        <f aca="false">VLOOKUP(A4,OptionBoard!$A$2:$M$86,10,0)</f>
        <v>0.0493150684931507</v>
      </c>
      <c r="K4" s="2" t="str">
        <f aca="false">VLOOKUP(A4,OptionBoard!$A$2:$M$86,11,FALSE())</f>
        <v>PUT</v>
      </c>
      <c r="L4" s="2" t="n">
        <f aca="false">VLOOKUP(A4,OptionBoard!$A$2:$M$86,12,0)</f>
        <v>85.58</v>
      </c>
      <c r="M4" s="2" t="n">
        <f aca="false">VLOOKUP(A4,OptionBoard!$A$2:$M$86,13,0)</f>
        <v>0.00593145722222222</v>
      </c>
      <c r="N4" s="20" t="n">
        <f aca="false">G4*P4</f>
        <v>0</v>
      </c>
      <c r="O4" s="21" t="s">
        <v>156</v>
      </c>
      <c r="P4" s="21" t="n">
        <f aca="false">Far_laeyr!G22</f>
        <v>0</v>
      </c>
      <c r="R4" s="2" t="n">
        <v>1.4</v>
      </c>
      <c r="S4" s="2" t="n">
        <f aca="false">VLOOKUP(A4,OptionBoard!$A$2:$G$93,7,FALSE())</f>
        <v>0.10676623</v>
      </c>
      <c r="U4" s="2" t="n">
        <f aca="false">R4-S4</f>
        <v>1.29323377</v>
      </c>
    </row>
    <row r="5" customFormat="false" ht="13.5" hidden="false" customHeight="true" outlineLevel="0" collapsed="false">
      <c r="A5" s="2" t="str">
        <f aca="false">Far_laeyr!B23</f>
        <v>SOL-1MAY26-60-P-USDT</v>
      </c>
      <c r="B5" s="2" t="n">
        <f aca="false">VLOOKUP(A5,OptionBoard!$A$2:$M$86,2,FALSE())</f>
        <v>60</v>
      </c>
      <c r="C5" s="2" t="n">
        <f aca="false">VLOOKUP(A5,OptionBoard!$A$2:$M$86,3,0)</f>
        <v>-0.0159575</v>
      </c>
      <c r="D5" s="2" t="n">
        <f aca="false">VLOOKUP(A5,OptionBoard!$A$2:$M$86,4,0)</f>
        <v>0.00271988</v>
      </c>
      <c r="E5" s="2" t="n">
        <f aca="false">VLOOKUP(A5,OptionBoard!$A$2:$M$86,5,0)</f>
        <v>0.00613836</v>
      </c>
      <c r="F5" s="2" t="n">
        <f aca="false">VLOOKUP(A5,OptionBoard!$A$2:$M$86,6,0)</f>
        <v>-0.02483851</v>
      </c>
      <c r="G5" s="2" t="n">
        <f aca="false">VLOOKUP(A5,Far_laeyr!$B$9:$H$16,7,0)</f>
        <v>2</v>
      </c>
      <c r="H5" s="2" t="n">
        <f aca="false">VLOOKUP(A5,OptionBoard!$A$2:$M$86,8,0)</f>
        <v>0.9553</v>
      </c>
      <c r="I5" s="2" t="n">
        <f aca="false">VLOOKUP(A5,OptionBoard!$A$2:$M$86,9,0)</f>
        <v>11</v>
      </c>
      <c r="J5" s="2" t="n">
        <f aca="false">VLOOKUP(A5,OptionBoard!$A$2:$M$86,10,0)</f>
        <v>0.0301369863013699</v>
      </c>
      <c r="K5" s="2" t="str">
        <f aca="false">VLOOKUP(A5,OptionBoard!$A$2:$M$86,11,FALSE())</f>
        <v>PUT</v>
      </c>
      <c r="L5" s="2" t="n">
        <f aca="false">VLOOKUP(A5,OptionBoard!$A$2:$M$86,12,0)</f>
        <v>85.58</v>
      </c>
      <c r="M5" s="2" t="n">
        <f aca="false">VLOOKUP(A5,OptionBoard!$A$2:$M$86,13,0)</f>
        <v>0.0080595</v>
      </c>
      <c r="N5" s="20" t="n">
        <f aca="false">G5*P5</f>
        <v>2</v>
      </c>
      <c r="O5" s="21" t="s">
        <v>156</v>
      </c>
      <c r="P5" s="21" t="n">
        <f aca="false">Far_laeyr!G23</f>
        <v>1</v>
      </c>
      <c r="R5" s="2" t="n">
        <f aca="false">G5</f>
        <v>2</v>
      </c>
      <c r="S5" s="2" t="n">
        <f aca="false">VLOOKUP(A5,OptionBoard!$A$2:$G$93,7,FALSE())</f>
        <v>0.0886545</v>
      </c>
      <c r="U5" s="2" t="n">
        <f aca="false">R5-S5</f>
        <v>1.9113455</v>
      </c>
    </row>
    <row r="6" customFormat="false" ht="13.5" hidden="false" customHeight="true" outlineLevel="0" collapsed="false">
      <c r="A6" s="2" t="str">
        <f aca="false">Far_laeyr!B24</f>
        <v>SOL-1MAY26-70-P-USDT</v>
      </c>
      <c r="B6" s="2" t="n">
        <f aca="false">VLOOKUP(A6,OptionBoard!$A$2:$M$86,2,FALSE())</f>
        <v>70</v>
      </c>
      <c r="C6" s="2" t="n">
        <f aca="false">VLOOKUP(A6,OptionBoard!$A$2:$M$86,3,0)</f>
        <v>-0.06118015</v>
      </c>
      <c r="D6" s="2" t="n">
        <f aca="false">VLOOKUP(A6,OptionBoard!$A$2:$M$86,4,0)</f>
        <v>0.01047067</v>
      </c>
      <c r="E6" s="2" t="n">
        <f aca="false">VLOOKUP(A6,OptionBoard!$A$2:$M$86,5,0)</f>
        <v>0.01859074</v>
      </c>
      <c r="F6" s="2" t="n">
        <f aca="false">VLOOKUP(A6,OptionBoard!$A$2:$M$86,6,0)</f>
        <v>-0.05918201</v>
      </c>
      <c r="G6" s="2" t="n">
        <f aca="false">VLOOKUP(A6,Far_laeyr!$B$9:$H$16,7,0)</f>
        <v>0.89</v>
      </c>
      <c r="H6" s="2" t="n">
        <f aca="false">VLOOKUP(A6,OptionBoard!$A$2:$M$86,8,0)</f>
        <v>0.7516</v>
      </c>
      <c r="I6" s="2" t="n">
        <f aca="false">VLOOKUP(A6,OptionBoard!$A$2:$M$86,9,0)</f>
        <v>11</v>
      </c>
      <c r="J6" s="2" t="n">
        <f aca="false">VLOOKUP(A6,OptionBoard!$A$2:$M$86,10,0)</f>
        <v>0.0301369863013699</v>
      </c>
      <c r="K6" s="2" t="str">
        <f aca="false">VLOOKUP(A6,OptionBoard!$A$2:$M$86,11,FALSE())</f>
        <v>PUT</v>
      </c>
      <c r="L6" s="2" t="n">
        <f aca="false">VLOOKUP(A6,OptionBoard!$A$2:$M$86,12,0)</f>
        <v>85.58</v>
      </c>
      <c r="M6" s="2" t="n">
        <f aca="false">VLOOKUP(A6,OptionBoard!$A$2:$M$86,13,0)</f>
        <v>0.0292728490909091</v>
      </c>
      <c r="N6" s="20" t="n">
        <f aca="false">G6*P6</f>
        <v>2.67</v>
      </c>
      <c r="O6" s="21" t="s">
        <v>156</v>
      </c>
      <c r="P6" s="21" t="n">
        <f aca="false">Far_laeyr!G24</f>
        <v>3</v>
      </c>
      <c r="R6" s="2" t="n">
        <f aca="false">G6</f>
        <v>0.89</v>
      </c>
      <c r="S6" s="2" t="n">
        <f aca="false">VLOOKUP(A6,OptionBoard!$A$2:$G$93,7,FALSE())</f>
        <v>0.32200134</v>
      </c>
      <c r="U6" s="2" t="n">
        <f aca="false">R6-S6</f>
        <v>0.56799866</v>
      </c>
    </row>
    <row r="7" customFormat="false" ht="13.5" hidden="false" customHeight="true" outlineLevel="0" collapsed="false">
      <c r="A7" s="2" t="str">
        <f aca="false">Far_laeyr!B25</f>
        <v>SOL-1MAY26-72-P-USDT</v>
      </c>
      <c r="B7" s="2" t="n">
        <f aca="false">VLOOKUP(A7,OptionBoard!$A$2:$M$86,2,FALSE())</f>
        <v>72</v>
      </c>
      <c r="C7" s="2" t="n">
        <f aca="false">VLOOKUP(A7,OptionBoard!$A$2:$M$86,3,0)</f>
        <v>-0.08120607</v>
      </c>
      <c r="D7" s="2" t="n">
        <f aca="false">VLOOKUP(A7,OptionBoard!$A$2:$M$86,4,0)</f>
        <v>0.01366986</v>
      </c>
      <c r="E7" s="2" t="n">
        <f aca="false">VLOOKUP(A7,OptionBoard!$A$2:$M$86,5,0)</f>
        <v>0.02311023</v>
      </c>
      <c r="F7" s="2" t="n">
        <f aca="false">VLOOKUP(A7,OptionBoard!$A$2:$M$86,6,0)</f>
        <v>-0.07005112</v>
      </c>
      <c r="G7" s="2" t="n">
        <f aca="false">VLOOKUP(A7,Far_laeyr!$B$9:$H$16,7,0)</f>
        <v>1.09</v>
      </c>
      <c r="H7" s="2" t="n">
        <f aca="false">VLOOKUP(A7,OptionBoard!$A$2:$M$86,8,0)</f>
        <v>0.7157</v>
      </c>
      <c r="I7" s="2" t="n">
        <f aca="false">VLOOKUP(A7,OptionBoard!$A$2:$M$86,9,0)</f>
        <v>11</v>
      </c>
      <c r="J7" s="2" t="n">
        <f aca="false">VLOOKUP(A7,OptionBoard!$A$2:$M$86,10,0)</f>
        <v>0.0301369863013699</v>
      </c>
      <c r="K7" s="2" t="str">
        <f aca="false">VLOOKUP(A7,OptionBoard!$A$2:$M$86,11,FALSE())</f>
        <v>PUT</v>
      </c>
      <c r="L7" s="2" t="n">
        <f aca="false">VLOOKUP(A7,OptionBoard!$A$2:$M$86,12,0)</f>
        <v>85.58</v>
      </c>
      <c r="M7" s="2" t="n">
        <f aca="false">VLOOKUP(A7,OptionBoard!$A$2:$M$86,13,0)</f>
        <v>0.0389082645454546</v>
      </c>
      <c r="N7" s="20" t="n">
        <f aca="false">G7*P7</f>
        <v>0</v>
      </c>
      <c r="O7" s="21" t="s">
        <v>156</v>
      </c>
      <c r="P7" s="21" t="n">
        <f aca="false">Far_laeyr!G25</f>
        <v>0</v>
      </c>
      <c r="R7" s="2" t="n">
        <f aca="false">G7</f>
        <v>1.09</v>
      </c>
      <c r="S7" s="2" t="n">
        <f aca="false">VLOOKUP(A7,OptionBoard!$A$2:$G$93,7,FALSE())</f>
        <v>0.42799091</v>
      </c>
      <c r="U7" s="2" t="n">
        <f aca="false">R7-S7</f>
        <v>0.66200909</v>
      </c>
    </row>
    <row r="8" customFormat="false" ht="13.5" hidden="false" customHeight="true" outlineLevel="0" collapsed="false">
      <c r="A8" s="2" t="str">
        <f aca="false">Far_laeyr!B26</f>
        <v>SOL-1MAY26-74-P-USDT</v>
      </c>
      <c r="B8" s="2" t="n">
        <f aca="false">VLOOKUP(A8,OptionBoard!$A$2:$M$86,2,FALSE())</f>
        <v>74</v>
      </c>
      <c r="C8" s="2" t="n">
        <f aca="false">VLOOKUP(A8,OptionBoard!$A$2:$M$86,3,0)</f>
        <v>-0.1081426</v>
      </c>
      <c r="D8" s="2" t="n">
        <f aca="false">VLOOKUP(A8,OptionBoard!$A$2:$M$86,4,0)</f>
        <v>0.01772316</v>
      </c>
      <c r="E8" s="2" t="n">
        <f aca="false">VLOOKUP(A8,OptionBoard!$A$2:$M$86,5,0)</f>
        <v>0.02855013</v>
      </c>
      <c r="F8" s="2" t="n">
        <f aca="false">VLOOKUP(A8,OptionBoard!$A$2:$M$86,6,0)</f>
        <v>-0.08246046</v>
      </c>
      <c r="G8" s="2" t="n">
        <f aca="false">VLOOKUP(A8,Far_laeyr!$B$9:$H$16,7,0)</f>
        <v>1.21</v>
      </c>
      <c r="H8" s="2" t="n">
        <f aca="false">VLOOKUP(A8,OptionBoard!$A$2:$M$86,8,0)</f>
        <v>0.6819</v>
      </c>
      <c r="I8" s="2" t="n">
        <f aca="false">VLOOKUP(A8,OptionBoard!$A$2:$M$86,9,0)</f>
        <v>11</v>
      </c>
      <c r="J8" s="2" t="n">
        <f aca="false">VLOOKUP(A8,OptionBoard!$A$2:$M$86,10,0)</f>
        <v>0.0301369863013699</v>
      </c>
      <c r="K8" s="2" t="str">
        <f aca="false">VLOOKUP(A8,OptionBoard!$A$2:$M$86,11,FALSE())</f>
        <v>PUT</v>
      </c>
      <c r="L8" s="2" t="n">
        <f aca="false">VLOOKUP(A8,OptionBoard!$A$2:$M$86,12,0)</f>
        <v>85.58</v>
      </c>
      <c r="M8" s="2" t="n">
        <f aca="false">VLOOKUP(A8,OptionBoard!$A$2:$M$86,13,0)</f>
        <v>0.0522596309090909</v>
      </c>
      <c r="N8" s="20" t="n">
        <f aca="false">G8*P8</f>
        <v>0</v>
      </c>
      <c r="O8" s="21" t="s">
        <v>156</v>
      </c>
      <c r="P8" s="21" t="n">
        <f aca="false">Far_laeyr!G26</f>
        <v>0</v>
      </c>
      <c r="R8" s="2"/>
      <c r="S8" s="2" t="n">
        <f aca="false">VLOOKUP(A8,OptionBoard!$A$2:$G$93,7,FALSE())</f>
        <v>0.57485594</v>
      </c>
      <c r="U8" s="2" t="n">
        <f aca="false">R8-S8</f>
        <v>-0.57485594</v>
      </c>
    </row>
    <row r="9" customFormat="false" ht="13.5" hidden="false" customHeight="true" outlineLevel="0" collapsed="false">
      <c r="A9" s="2" t="str">
        <f aca="false">Far_laeyr!B27</f>
        <v>SOL-29MAY26-60-P-USDT</v>
      </c>
      <c r="B9" s="2" t="n">
        <f aca="false">VLOOKUP(A9,OptionBoard!$A$2:$M$86,2,FALSE())</f>
        <v>60</v>
      </c>
      <c r="C9" s="2" t="n">
        <f aca="false">VLOOKUP(A9,OptionBoard!$A$2:$M$86,3,0)</f>
        <v>-0.05332898</v>
      </c>
      <c r="D9" s="2" t="n">
        <f aca="false">VLOOKUP(A9,OptionBoard!$A$2:$M$86,4,0)</f>
        <v>0.00539004</v>
      </c>
      <c r="E9" s="2" t="n">
        <f aca="false">VLOOKUP(A9,OptionBoard!$A$2:$M$86,5,0)</f>
        <v>0.03060818</v>
      </c>
      <c r="F9" s="2" t="n">
        <f aca="false">VLOOKUP(A9,OptionBoard!$A$2:$M$86,6,0)</f>
        <v>-0.02746493</v>
      </c>
      <c r="G9" s="2" t="n">
        <f aca="false">VLOOKUP(A9,Far_laeyr!$B$9:$H$16,7,0)</f>
        <v>0.99</v>
      </c>
      <c r="H9" s="2" t="n">
        <f aca="false">VLOOKUP(A9,OptionBoard!$A$2:$M$86,8,0)</f>
        <v>0.7144</v>
      </c>
      <c r="I9" s="2" t="n">
        <f aca="false">VLOOKUP(A9,OptionBoard!$A$2:$M$86,9,0)</f>
        <v>39</v>
      </c>
      <c r="J9" s="2" t="n">
        <f aca="false">VLOOKUP(A9,OptionBoard!$A$2:$M$86,10,0)</f>
        <v>0.106849315068493</v>
      </c>
      <c r="K9" s="2" t="str">
        <f aca="false">VLOOKUP(A9,OptionBoard!$A$2:$M$86,11,FALSE())</f>
        <v>PUT</v>
      </c>
      <c r="L9" s="2" t="n">
        <f aca="false">VLOOKUP(A9,OptionBoard!$A$2:$M$86,12,0)</f>
        <v>85.58</v>
      </c>
      <c r="M9" s="2" t="n">
        <f aca="false">VLOOKUP(A9,OptionBoard!$A$2:$M$86,13,0)</f>
        <v>0.0127552992307692</v>
      </c>
      <c r="N9" s="20" t="n">
        <f aca="false">G9*P9</f>
        <v>0</v>
      </c>
      <c r="O9" s="21" t="s">
        <v>156</v>
      </c>
      <c r="P9" s="21" t="n">
        <f aca="false">Far_laeyr!G27</f>
        <v>0</v>
      </c>
      <c r="R9" s="2"/>
      <c r="S9" s="2" t="n">
        <f aca="false">VLOOKUP(A9,OptionBoard!$A$2:$G$93,7,FALSE())</f>
        <v>0.49745667</v>
      </c>
      <c r="U9" s="2" t="n">
        <f aca="false">R9-S9</f>
        <v>-0.49745667</v>
      </c>
    </row>
    <row r="10" customFormat="false" ht="13.5" hidden="false" customHeight="true" outlineLevel="0" collapsed="false">
      <c r="A10" s="2" t="str">
        <f aca="false">Far_laeyr!B28</f>
        <v>SOL-29MAY26-60-P-USDT</v>
      </c>
      <c r="B10" s="2" t="n">
        <f aca="false">VLOOKUP(A10,OptionBoard!$A$2:$M$86,2,FALSE())</f>
        <v>60</v>
      </c>
      <c r="C10" s="2" t="n">
        <f aca="false">VLOOKUP(A10,OptionBoard!$A$2:$M$86,3,0)</f>
        <v>-0.05332898</v>
      </c>
      <c r="D10" s="2" t="n">
        <f aca="false">VLOOKUP(A10,OptionBoard!$A$2:$M$86,4,0)</f>
        <v>0.00539004</v>
      </c>
      <c r="E10" s="2" t="n">
        <f aca="false">VLOOKUP(A10,OptionBoard!$A$2:$M$86,5,0)</f>
        <v>0.03060818</v>
      </c>
      <c r="F10" s="2" t="n">
        <f aca="false">VLOOKUP(A10,OptionBoard!$A$2:$M$86,6,0)</f>
        <v>-0.02746493</v>
      </c>
      <c r="G10" s="2" t="n">
        <f aca="false">VLOOKUP(A10,Far_laeyr!$B$9:$H$16,7,0)</f>
        <v>0.99</v>
      </c>
      <c r="H10" s="2" t="n">
        <f aca="false">VLOOKUP(A10,OptionBoard!$A$2:$M$86,8,0)</f>
        <v>0.7144</v>
      </c>
      <c r="I10" s="2" t="n">
        <f aca="false">VLOOKUP(A10,OptionBoard!$A$2:$M$86,9,0)</f>
        <v>39</v>
      </c>
      <c r="J10" s="2" t="n">
        <f aca="false">VLOOKUP(A10,OptionBoard!$A$2:$M$86,10,0)</f>
        <v>0.106849315068493</v>
      </c>
      <c r="K10" s="2" t="str">
        <f aca="false">VLOOKUP(A10,OptionBoard!$A$2:$M$86,11,FALSE())</f>
        <v>PUT</v>
      </c>
      <c r="L10" s="2" t="n">
        <f aca="false">VLOOKUP(A10,OptionBoard!$A$2:$M$86,12,0)</f>
        <v>85.58</v>
      </c>
      <c r="M10" s="2" t="n">
        <f aca="false">VLOOKUP(A10,OptionBoard!$A$2:$M$86,13,0)</f>
        <v>0.0127552992307692</v>
      </c>
      <c r="N10" s="20" t="n">
        <f aca="false">G10*P10</f>
        <v>0</v>
      </c>
      <c r="O10" s="21" t="s">
        <v>156</v>
      </c>
      <c r="P10" s="21" t="n">
        <f aca="false">Far_laeyr!G28</f>
        <v>0</v>
      </c>
      <c r="R10" s="2"/>
      <c r="S10" s="2" t="n">
        <f aca="false">VLOOKUP(A10,OptionBoard!$A$2:$G$93,7,FALSE())</f>
        <v>0.49745667</v>
      </c>
      <c r="U10" s="2" t="n">
        <f aca="false">R10-S10</f>
        <v>-0.49745667</v>
      </c>
    </row>
    <row r="11" customFormat="false" ht="13.5" hidden="false" customHeight="true" outlineLevel="0" collapsed="false">
      <c r="A11" s="2" t="str">
        <f aca="false">Far_laeyr!B29</f>
        <v>SOL-29MAY26-70-P-USDT</v>
      </c>
      <c r="B11" s="2" t="n">
        <f aca="false">VLOOKUP(A11,OptionBoard!$A$2:$M$86,2,FALSE())</f>
        <v>70</v>
      </c>
      <c r="C11" s="2" t="n">
        <f aca="false">VLOOKUP(A11,OptionBoard!$A$2:$M$86,3,0)</f>
        <v>-0.15294325</v>
      </c>
      <c r="D11" s="2" t="n">
        <f aca="false">VLOOKUP(A11,OptionBoard!$A$2:$M$86,4,0)</f>
        <v>0.01274985</v>
      </c>
      <c r="E11" s="2" t="n">
        <f aca="false">VLOOKUP(A11,OptionBoard!$A$2:$M$86,5,0)</f>
        <v>0.06659421</v>
      </c>
      <c r="F11" s="2" t="n">
        <f aca="false">VLOOKUP(A11,OptionBoard!$A$2:$M$86,6,0)</f>
        <v>-0.0549621</v>
      </c>
      <c r="G11" s="2" t="n">
        <f aca="false">VLOOKUP(A11,Far_laeyr!$B$9:$H$16,7,0)</f>
        <v>2.26</v>
      </c>
      <c r="H11" s="2" t="n">
        <f aca="false">VLOOKUP(A11,OptionBoard!$A$2:$M$86,8,0)</f>
        <v>0.6571</v>
      </c>
      <c r="I11" s="2" t="n">
        <f aca="false">VLOOKUP(A11,OptionBoard!$A$2:$M$86,9,0)</f>
        <v>39</v>
      </c>
      <c r="J11" s="2" t="n">
        <f aca="false">VLOOKUP(A11,OptionBoard!$A$2:$M$86,10,0)</f>
        <v>0.106849315068493</v>
      </c>
      <c r="K11" s="2" t="str">
        <f aca="false">VLOOKUP(A11,OptionBoard!$A$2:$M$86,11,FALSE())</f>
        <v>PUT</v>
      </c>
      <c r="L11" s="2" t="n">
        <f aca="false">VLOOKUP(A11,OptionBoard!$A$2:$M$86,12,0)</f>
        <v>85.58</v>
      </c>
      <c r="M11" s="2" t="n">
        <f aca="false">VLOOKUP(A11,OptionBoard!$A$2:$M$86,13,0)</f>
        <v>0.0418368223076923</v>
      </c>
      <c r="N11" s="20" t="n">
        <f aca="false">G11*P11</f>
        <v>0</v>
      </c>
      <c r="O11" s="21" t="s">
        <v>156</v>
      </c>
      <c r="P11" s="21" t="n">
        <f aca="false">Far_laeyr!G29</f>
        <v>0</v>
      </c>
      <c r="R11" s="2"/>
      <c r="S11" s="2" t="n">
        <f aca="false">VLOOKUP(A11,OptionBoard!$A$2:$G$93,7,FALSE())</f>
        <v>1.63163607</v>
      </c>
      <c r="U11" s="2" t="n">
        <f aca="false">R11-S11</f>
        <v>-1.63163607</v>
      </c>
    </row>
    <row r="12" customFormat="false" ht="13.5" hidden="false" customHeight="true" outlineLevel="0" collapsed="false">
      <c r="N12" s="20"/>
      <c r="O12" s="21"/>
      <c r="P12" s="21"/>
    </row>
    <row r="13" customFormat="false" ht="13.5" hidden="false" customHeight="true" outlineLevel="0" collapsed="false">
      <c r="B13" s="3"/>
      <c r="C13" s="22"/>
      <c r="D13" s="22"/>
      <c r="E13" s="22"/>
      <c r="F13" s="22"/>
      <c r="G13" s="22"/>
      <c r="H13" s="3"/>
      <c r="I13" s="3"/>
      <c r="J13" s="22"/>
      <c r="K13" s="3"/>
      <c r="L13" s="3"/>
      <c r="M13" s="3"/>
      <c r="N13" s="3"/>
      <c r="O13" s="3"/>
      <c r="P13" s="3"/>
    </row>
    <row r="14" customFormat="false" ht="13.5" hidden="false" customHeight="true" outlineLevel="0" collapsed="false">
      <c r="A14" s="2" t="s">
        <v>157</v>
      </c>
      <c r="C14" s="2" t="n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-0.87868731</v>
      </c>
      <c r="D14" s="2" t="n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0.09736187</v>
      </c>
      <c r="E14" s="2" t="n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0.40935626</v>
      </c>
      <c r="F14" s="2" t="n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-0.50456325</v>
      </c>
      <c r="G14" s="2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16.12</v>
      </c>
      <c r="H14" s="2"/>
      <c r="M14" s="2" t="n">
        <f aca="false">M2*P2+M3*P3+M5*P5+M4*P4+M6*P6+M7*P7+M8*P8+M9*P9+M10*P10</f>
        <v>0.268838786503496</v>
      </c>
      <c r="S14" s="2" t="n">
        <f aca="false">F14/C14</f>
        <v>0.574223895415082</v>
      </c>
    </row>
    <row r="16" customFormat="false" ht="17.25" hidden="false" customHeight="true" outlineLevel="0" collapsed="false">
      <c r="A16" s="2" t="str">
        <f aca="false">A2</f>
        <v>SOL-29MAY26-60-P-USDT</v>
      </c>
      <c r="B16" s="23"/>
      <c r="C16" s="19" t="s">
        <v>13</v>
      </c>
      <c r="D16" s="19" t="s">
        <v>14</v>
      </c>
      <c r="E16" s="19" t="s">
        <v>15</v>
      </c>
      <c r="F16" s="19" t="s">
        <v>16</v>
      </c>
      <c r="G16" s="19" t="s">
        <v>17</v>
      </c>
      <c r="I16" s="19" t="s">
        <v>158</v>
      </c>
      <c r="J16" s="19" t="s">
        <v>159</v>
      </c>
    </row>
    <row r="17" customFormat="false" ht="13.5" hidden="false" customHeight="true" outlineLevel="0" collapsed="false">
      <c r="B17" s="24" t="n">
        <f aca="false">Portfolio!B28</f>
        <v>83</v>
      </c>
      <c r="C17" s="25" t="n">
        <f aca="false">IF($O$2="sell",-1,1) *  IF($K$2="call",  NORMDIST(I17,0,1,1),  NORMDIST(I17,0,1,1)-1  ) * $P$2</f>
        <v>-0.4619331247266</v>
      </c>
      <c r="D17" s="25" t="n">
        <f aca="false">IF($O$2="sell",-1,1) * NORMDIST(I17,0,1,0)/(B17*$H$2*SQRT($J$2)) * $P$2</f>
        <v>0.0463324247468739</v>
      </c>
      <c r="E17" s="25" t="n">
        <f aca="false">IF($O$2="sell",-1,1) * (B17*NORMDIST(I17,0,1,0)*SQRT($J$2)/365) * $P$2</f>
        <v>0.0667515781454018</v>
      </c>
      <c r="F17" s="25" t="n">
        <f aca="false">IF($O$2="sell",-1,1) * (-(B17*NORMDIST(I17,0,1,0)*$H$2)/(2*SQRT($J$2))/365) *$P$2</f>
        <v>-0.223152237319005</v>
      </c>
      <c r="G17" s="25" t="n">
        <f aca="false">IF($O$2="buy",1,-1)*( IF($K$2="call",B17*NORMDIST(I17,0,1,1) - $B$2*NORMDIST(J17,0,1,1),$B$2*NORMDIST(-J17,0,1,1) - B17*NORMDIST(-I17,0,1,1) ) - $G$2) * $P$2</f>
        <v>-2.62283184856018</v>
      </c>
      <c r="I17" s="26" t="n">
        <f aca="false">(LN(B17/$B$2)+($H$2^2/2)*($J$2))/($H$2*SQRT($J$2))</f>
        <v>1.50633618803496</v>
      </c>
      <c r="J17" s="26" t="n">
        <f aca="false">I17 - $H$2*SQRT($J$2)</f>
        <v>1.27281444847028</v>
      </c>
    </row>
    <row r="18" customFormat="false" ht="13.5" hidden="false" customHeight="true" outlineLevel="0" collapsed="false">
      <c r="B18" s="24" t="n">
        <f aca="false">Portfolio!B29</f>
        <v>82</v>
      </c>
      <c r="C18" s="25" t="n">
        <f aca="false">IF($O$2="sell",-1,1) *  IF($K$2="call",  NORMDIST(I18,0,1,1),  NORMDIST(I18,0,1,1)-1  ) * $P$2</f>
        <v>-0.510395516358415</v>
      </c>
      <c r="D18" s="25" t="n">
        <f aca="false">IF($O$2="sell",-1,1) * NORMDIST(I18,0,1,0)/(B18*$H$2*SQRT($J$2)) * $P$2</f>
        <v>0.0506432165014909</v>
      </c>
      <c r="E18" s="25" t="n">
        <f aca="false">IF($O$2="sell",-1,1) * (B18*NORMDIST(I18,0,1,0)*SQRT($J$2)/365) * $P$2</f>
        <v>0.0712146443900413</v>
      </c>
      <c r="F18" s="25" t="n">
        <f aca="false">IF($O$2="sell",-1,1) * (-(B18*NORMDIST(I18,0,1,0)*$H$2)/(2*SQRT($J$2))/365) *$P$2</f>
        <v>-0.238072382212431</v>
      </c>
      <c r="G18" s="25" t="n">
        <f aca="false">IF($O$2="buy",1,-1)*( IF($K$2="call",B18*NORMDIST(I18,0,1,1) - $B$2*NORMDIST(J18,0,1,1),$B$2*NORMDIST(-J18,0,1,1) - B18*NORMDIST(-I18,0,1,1) ) - $G$2) * $P$2</f>
        <v>-2.13702674714436</v>
      </c>
      <c r="I18" s="26" t="n">
        <f aca="false">(LN(B18/$B$2)+($H$2^2/2)*($J$2))/($H$2*SQRT($J$2))</f>
        <v>1.45442941243907</v>
      </c>
      <c r="J18" s="26" t="n">
        <f aca="false">I18 - $H$2*SQRT($J$2)</f>
        <v>1.22090767287439</v>
      </c>
      <c r="L18" s="2"/>
    </row>
    <row r="19" customFormat="false" ht="13.5" hidden="false" customHeight="true" outlineLevel="0" collapsed="false">
      <c r="B19" s="24" t="n">
        <f aca="false">Portfolio!B30</f>
        <v>81</v>
      </c>
      <c r="C19" s="25" t="n">
        <f aca="false">IF($O$2="sell",-1,1) *  IF($K$2="call",  NORMDIST(I19,0,1,1),  NORMDIST(I19,0,1,1)-1  ) * $P$2</f>
        <v>-0.563322805473309</v>
      </c>
      <c r="D19" s="25" t="n">
        <f aca="false">IF($O$2="sell",-1,1) * NORMDIST(I19,0,1,0)/(B19*$H$2*SQRT($J$2)) * $P$2</f>
        <v>0.0552636874358834</v>
      </c>
      <c r="E19" s="25" t="n">
        <f aca="false">IF($O$2="sell",-1,1) * (B19*NORMDIST(I19,0,1,0)*SQRT($J$2)/365) * $P$2</f>
        <v>0.0758281082386875</v>
      </c>
      <c r="F19" s="25" t="n">
        <f aca="false">IF($O$2="sell",-1,1) * (-(B19*NORMDIST(I19,0,1,0)*$H$2)/(2*SQRT($J$2))/365) *$P$2</f>
        <v>-0.2534953101524</v>
      </c>
      <c r="G19" s="25" t="n">
        <f aca="false">IF($O$2="buy",1,-1)*( IF($K$2="call",B19*NORMDIST(I19,0,1,1) - $B$2*NORMDIST(J19,0,1,1),$B$2*NORMDIST(-J19,0,1,1) - B19*NORMDIST(-I19,0,1,1) ) - $G$2) * $P$2</f>
        <v>-1.60055261462302</v>
      </c>
      <c r="I19" s="26" t="n">
        <f aca="false">(LN(B19/$B$2)+($H$2^2/2)*($J$2))/($H$2*SQRT($J$2))</f>
        <v>1.40188572800657</v>
      </c>
      <c r="J19" s="26" t="n">
        <f aca="false">I19 - $H$2*SQRT($J$2)</f>
        <v>1.16836398844189</v>
      </c>
      <c r="L19" s="2"/>
      <c r="M19" s="27"/>
    </row>
    <row r="20" customFormat="false" ht="13.5" hidden="false" customHeight="true" outlineLevel="0" collapsed="false">
      <c r="B20" s="24" t="n">
        <f aca="false">Portfolio!B31</f>
        <v>80</v>
      </c>
      <c r="C20" s="25" t="n">
        <f aca="false">IF($O$2="sell",-1,1) *  IF($K$2="call",  NORMDIST(I20,0,1,1),  NORMDIST(I20,0,1,1)-1  ) * $P$2</f>
        <v>-0.621028731670164</v>
      </c>
      <c r="D20" s="25" t="n">
        <f aca="false">IF($O$2="sell",-1,1) * NORMDIST(I20,0,1,0)/(B20*$H$2*SQRT($J$2)) * $P$2</f>
        <v>0.0602016003247905</v>
      </c>
      <c r="E20" s="25" t="n">
        <f aca="false">IF($O$2="sell",-1,1) * (B20*NORMDIST(I20,0,1,0)*SQRT($J$2)/365) * $P$2</f>
        <v>0.0805764879617097</v>
      </c>
      <c r="F20" s="25" t="n">
        <f aca="false">IF($O$2="sell",-1,1) * (-(B20*NORMDIST(I20,0,1,0)*$H$2)/(2*SQRT($J$2))/365) *$P$2</f>
        <v>-0.269369265319789</v>
      </c>
      <c r="G20" s="25" t="n">
        <f aca="false">IF($O$2="buy",1,-1)*( IF($K$2="call",B20*NORMDIST(I20,0,1,1) - $B$2*NORMDIST(J20,0,1,1),$B$2*NORMDIST(-J20,0,1,1) - B20*NORMDIST(-I20,0,1,1) ) - $G$2) * $P$2</f>
        <v>-1.00878833124963</v>
      </c>
      <c r="I20" s="26" t="n">
        <f aca="false">(LN(B20/$B$2)+($H$2^2/2)*($J$2))/($H$2*SQRT($J$2))</f>
        <v>1.34868931031238</v>
      </c>
      <c r="J20" s="26" t="n">
        <f aca="false">I20 - $H$2*SQRT($J$2)</f>
        <v>1.1151675707477</v>
      </c>
      <c r="L20" s="2"/>
      <c r="M20" s="27"/>
      <c r="N20" s="27"/>
    </row>
    <row r="21" customFormat="false" ht="13.5" hidden="false" customHeight="true" outlineLevel="0" collapsed="false">
      <c r="B21" s="24" t="n">
        <f aca="false">Portfolio!B32</f>
        <v>79</v>
      </c>
      <c r="C21" s="25" t="n">
        <f aca="false">IF($O$2="sell",-1,1) *  IF($K$2="call",  NORMDIST(I21,0,1,1),  NORMDIST(I21,0,1,1)-1  ) * $P$2</f>
        <v>-0.683833644351512</v>
      </c>
      <c r="D21" s="25" t="n">
        <f aca="false">IF($O$2="sell",-1,1) * NORMDIST(I21,0,1,0)/(B21*$H$2*SQRT($J$2)) * $P$2</f>
        <v>0.065462331760472</v>
      </c>
      <c r="E21" s="25" t="n">
        <f aca="false">IF($O$2="sell",-1,1) * (B21*NORMDIST(I21,0,1,0)*SQRT($J$2)/365) * $P$2</f>
        <v>0.0854409320576963</v>
      </c>
      <c r="F21" s="25" t="n">
        <f aca="false">IF($O$2="sell",-1,1) * (-(B21*NORMDIST(I21,0,1,0)*$H$2)/(2*SQRT($J$2))/365) *$P$2</f>
        <v>-0.285631226662008</v>
      </c>
      <c r="G21" s="25" t="n">
        <f aca="false">IF($O$2="buy",1,-1)*( IF($K$2="call",B21*NORMDIST(I21,0,1,1) - $B$2*NORMDIST(J21,0,1,1),$B$2*NORMDIST(-J21,0,1,1) - B21*NORMDIST(-I21,0,1,1) ) - $G$2) * $P$2</f>
        <v>-0.356795533989191</v>
      </c>
      <c r="I21" s="26" t="n">
        <f aca="false">(LN(B21/$B$2)+($H$2^2/2)*($J$2))/($H$2*SQRT($J$2))</f>
        <v>1.29482373775238</v>
      </c>
      <c r="J21" s="26" t="n">
        <f aca="false">I21 - $H$2*SQRT($J$2)</f>
        <v>1.06130199818769</v>
      </c>
      <c r="L21" s="2"/>
      <c r="M21" s="27"/>
      <c r="N21" s="27"/>
    </row>
    <row r="22" customFormat="false" ht="13.5" hidden="false" customHeight="true" outlineLevel="0" collapsed="false">
      <c r="B22" s="24" t="n">
        <f aca="false">Portfolio!B33</f>
        <v>78</v>
      </c>
      <c r="C22" s="25" t="n">
        <f aca="false">IF($O$2="sell",-1,1) *  IF($K$2="call",  NORMDIST(I22,0,1,1),  NORMDIST(I22,0,1,1)-1  ) * $P$2</f>
        <v>-0.752061868644482</v>
      </c>
      <c r="D22" s="25" t="n">
        <f aca="false">IF($O$2="sell",-1,1) * NORMDIST(I22,0,1,0)/(B22*$H$2*SQRT($J$2)) * $P$2</f>
        <v>0.0710483692781321</v>
      </c>
      <c r="E22" s="25" t="n">
        <f aca="false">IF($O$2="sell",-1,1) * (B22*NORMDIST(I22,0,1,0)*SQRT($J$2)/365) * $P$2</f>
        <v>0.090399003621677</v>
      </c>
      <c r="F22" s="25" t="n">
        <f aca="false">IF($O$2="sell",-1,1) * (-(B22*NORMDIST(I22,0,1,0)*$H$2)/(2*SQRT($J$2))/365) *$P$2</f>
        <v>-0.302206187030436</v>
      </c>
      <c r="G22" s="25" t="n">
        <f aca="false">IF($O$2="buy",1,-1)*( IF($K$2="call",B22*NORMDIST(I22,0,1,1) - $B$2*NORMDIST(J22,0,1,1),$B$2*NORMDIST(-J22,0,1,1) - B22*NORMDIST(-I22,0,1,1) ) - $G$2) * $P$2</f>
        <v>0.360686718156028</v>
      </c>
      <c r="I22" s="26" t="n">
        <f aca="false">(LN(B22/$B$2)+($H$2^2/2)*($J$2))/($H$2*SQRT($J$2))</f>
        <v>1.24027196111189</v>
      </c>
      <c r="J22" s="26" t="n">
        <f aca="false">I22 - $H$2*SQRT($J$2)</f>
        <v>1.00675022154721</v>
      </c>
      <c r="L22" s="2"/>
      <c r="M22" s="27"/>
      <c r="N22" s="27"/>
    </row>
    <row r="23" customFormat="false" ht="13.5" hidden="false" customHeight="true" outlineLevel="0" collapsed="false">
      <c r="B23" s="24" t="n">
        <f aca="false">Portfolio!B34</f>
        <v>77</v>
      </c>
      <c r="C23" s="25" t="n">
        <f aca="false">IF($O$2="sell",-1,1) *  IF($K$2="call",  NORMDIST(I23,0,1,1),  NORMDIST(I23,0,1,1)-1  ) * $P$2</f>
        <v>-0.826038547766945</v>
      </c>
      <c r="D23" s="25" t="n">
        <f aca="false">IF($O$2="sell",-1,1) * NORMDIST(I23,0,1,0)/(B23*$H$2*SQRT($J$2)) * $P$2</f>
        <v>0.0769587677492967</v>
      </c>
      <c r="E23" s="25" t="n">
        <f aca="false">IF($O$2="sell",-1,1) * (B23*NORMDIST(I23,0,1,0)*SQRT($J$2)/365) * $P$2</f>
        <v>0.0954244970425419</v>
      </c>
      <c r="F23" s="25" t="n">
        <f aca="false">IF($O$2="sell",-1,1) * (-(B23*NORMDIST(I23,0,1,0)*$H$2)/(2*SQRT($J$2))/365) *$P$2</f>
        <v>-0.319006540395193</v>
      </c>
      <c r="G23" s="25" t="n">
        <f aca="false">IF($O$2="buy",1,-1)*( IF($K$2="call",B23*NORMDIST(I23,0,1,1) - $B$2*NORMDIST(J23,0,1,1),$B$2*NORMDIST(-J23,0,1,1) - B23*NORMDIST(-I23,0,1,1) ) - $G$2) * $P$2</f>
        <v>1.14924438636137</v>
      </c>
      <c r="I23" s="26" t="n">
        <f aca="false">(LN(B23/$B$2)+($H$2^2/2)*($J$2))/($H$2*SQRT($J$2))</f>
        <v>1.18501627117073</v>
      </c>
      <c r="J23" s="26" t="n">
        <f aca="false">I23 - $H$2*SQRT($J$2)</f>
        <v>0.951494531606045</v>
      </c>
      <c r="L23" s="2"/>
      <c r="M23" s="27"/>
      <c r="N23" s="27"/>
    </row>
    <row r="24" customFormat="false" ht="13.5" hidden="false" customHeight="true" outlineLevel="0" collapsed="false">
      <c r="B24" s="24" t="n">
        <f aca="false">Portfolio!B35</f>
        <v>76</v>
      </c>
      <c r="C24" s="25" t="n">
        <f aca="false">IF($O$2="sell",-1,1) *  IF($K$2="call",  NORMDIST(I24,0,1,1),  NORMDIST(I24,0,1,1)-1  ) * $P$2</f>
        <v>-0.906085923331129</v>
      </c>
      <c r="D24" s="25" t="n">
        <f aca="false">IF($O$2="sell",-1,1) * NORMDIST(I24,0,1,0)/(B24*$H$2*SQRT($J$2)) * $P$2</f>
        <v>0.0831885698425578</v>
      </c>
      <c r="E24" s="25" t="n">
        <f aca="false">IF($O$2="sell",-1,1) * (B24*NORMDIST(I24,0,1,0)*SQRT($J$2)/365) * $P$2</f>
        <v>0.100487297533247</v>
      </c>
      <c r="F24" s="25" t="n">
        <f aca="false">IF($O$2="sell",-1,1) * (-(B24*NORMDIST(I24,0,1,0)*$H$2)/(2*SQRT($J$2))/365) *$P$2</f>
        <v>-0.335931612251016</v>
      </c>
      <c r="G24" s="25" t="n">
        <f aca="false">IF($O$2="buy",1,-1)*( IF($K$2="call",B24*NORMDIST(I24,0,1,1) - $B$2*NORMDIST(J24,0,1,1),$B$2*NORMDIST(-J24,0,1,1) - B24*NORMDIST(-I24,0,1,1) ) - $G$2) * $P$2</f>
        <v>2.01478745852696</v>
      </c>
      <c r="I24" s="26" t="n">
        <f aca="false">(LN(B24/$B$2)+($H$2^2/2)*($J$2))/($H$2*SQRT($J$2))</f>
        <v>1.12903826419064</v>
      </c>
      <c r="J24" s="26" t="n">
        <f aca="false">I24 - $H$2*SQRT($J$2)</f>
        <v>0.895516524625962</v>
      </c>
      <c r="L24" s="2"/>
      <c r="M24" s="27"/>
      <c r="N24" s="27"/>
    </row>
    <row r="25" customFormat="false" ht="13.5" hidden="false" customHeight="true" outlineLevel="0" collapsed="false">
      <c r="B25" s="24" t="n">
        <f aca="false">Portfolio!B36</f>
        <v>75</v>
      </c>
      <c r="C25" s="25" t="n">
        <f aca="false">IF($O$2="sell",-1,1) *  IF($K$2="call",  NORMDIST(I25,0,1,1),  NORMDIST(I25,0,1,1)-1  ) * $P$2</f>
        <v>-0.992519020987439</v>
      </c>
      <c r="D25" s="25" t="n">
        <f aca="false">IF($O$2="sell",-1,1) * NORMDIST(I25,0,1,0)/(B25*$H$2*SQRT($J$2)) * $P$2</f>
        <v>0.0897281976321296</v>
      </c>
      <c r="E25" s="25" t="n">
        <f aca="false">IF($O$2="sell",-1,1) * (B25*NORMDIST(I25,0,1,0)*SQRT($J$2)/365) * $P$2</f>
        <v>0.105553294991209</v>
      </c>
      <c r="F25" s="25" t="n">
        <f aca="false">IF($O$2="sell",-1,1) * (-(B25*NORMDIST(I25,0,1,0)*$H$2)/(2*SQRT($J$2))/365) *$P$2</f>
        <v>-0.352867371650355</v>
      </c>
      <c r="G25" s="25" t="n">
        <f aca="false">IF($O$2="buy",1,-1)*( IF($K$2="call",B25*NORMDIST(I25,0,1,1) - $B$2*NORMDIST(J25,0,1,1),$B$2*NORMDIST(-J25,0,1,1) - B25*NORMDIST(-I25,0,1,1) ) - $G$2) * $P$2</f>
        <v>2.96354494120675</v>
      </c>
      <c r="I25" s="26" t="n">
        <f aca="false">(LN(B25/$B$2)+($H$2^2/2)*($J$2))/($H$2*SQRT($J$2))</f>
        <v>1.0723188051171</v>
      </c>
      <c r="J25" s="26" t="n">
        <f aca="false">I25 - $H$2*SQRT($J$2)</f>
        <v>0.838797065552423</v>
      </c>
      <c r="L25" s="2"/>
      <c r="M25" s="27"/>
      <c r="N25" s="27"/>
    </row>
    <row r="26" customFormat="false" ht="13.5" hidden="false" customHeight="true" outlineLevel="0" collapsed="false">
      <c r="B26" s="24" t="n">
        <f aca="false">Portfolio!B37</f>
        <v>74</v>
      </c>
      <c r="C26" s="25" t="n">
        <f aca="false">IF($O$2="sell",-1,1) *  IF($K$2="call",  NORMDIST(I26,0,1,1),  NORMDIST(I26,0,1,1)-1  ) * $P$2</f>
        <v>-1.08564071718017</v>
      </c>
      <c r="D26" s="25" t="n">
        <f aca="false">IF($O$2="sell",-1,1) * NORMDIST(I26,0,1,0)/(B26*$H$2*SQRT($J$2)) * $P$2</f>
        <v>0.0965628250707844</v>
      </c>
      <c r="E26" s="25" t="n">
        <f aca="false">IF($O$2="sell",-1,1) * (B26*NORMDIST(I26,0,1,0)*SQRT($J$2)/365) * $P$2</f>
        <v>0.11058436451934</v>
      </c>
      <c r="F26" s="25" t="n">
        <f aca="false">IF($O$2="sell",-1,1) * (-(B26*NORMDIST(I26,0,1,0)*$H$2)/(2*SQRT($J$2))/365) *$P$2</f>
        <v>-0.369686366084681</v>
      </c>
      <c r="G26" s="25" t="n">
        <f aca="false">IF($O$2="buy",1,-1)*( IF($K$2="call",B26*NORMDIST(I26,0,1,1) - $B$2*NORMDIST(J26,0,1,1),$B$2*NORMDIST(-J26,0,1,1) - B26*NORMDIST(-I26,0,1,1) ) - $G$2) * $P$2</f>
        <v>4.00205522933602</v>
      </c>
      <c r="I26" s="26" t="n">
        <f aca="false">(LN(B26/$B$2)+($H$2^2/2)*($J$2))/($H$2*SQRT($J$2))</f>
        <v>1.01483798831108</v>
      </c>
      <c r="J26" s="26" t="n">
        <f aca="false">I26 - $H$2*SQRT($J$2)</f>
        <v>0.781316248746403</v>
      </c>
      <c r="L26" s="2"/>
      <c r="M26" s="27"/>
      <c r="N26" s="27"/>
    </row>
    <row r="27" customFormat="false" ht="13.5" hidden="false" customHeight="true" outlineLevel="0" collapsed="false">
      <c r="B27" s="24" t="n">
        <f aca="false">Portfolio!B38</f>
        <v>73</v>
      </c>
      <c r="C27" s="25" t="n">
        <f aca="false">IF($O$2="sell",-1,1) *  IF($K$2="call",  NORMDIST(I27,0,1,1),  NORMDIST(I27,0,1,1)-1  ) * $P$2</f>
        <v>-1.18573617396677</v>
      </c>
      <c r="D27" s="25" t="n">
        <f aca="false">IF($O$2="sell",-1,1) * NORMDIST(I27,0,1,0)/(B27*$H$2*SQRT($J$2)) * $P$2</f>
        <v>0.103671744026634</v>
      </c>
      <c r="E27" s="25" t="n">
        <f aca="false">IF($O$2="sell",-1,1) * (B27*NORMDIST(I27,0,1,0)*SQRT($J$2)/365) * $P$2</f>
        <v>0.115538426534899</v>
      </c>
      <c r="F27" s="25" t="n">
        <f aca="false">IF($O$2="sell",-1,1) * (-(B27*NORMDIST(I27,0,1,0)*$H$2)/(2*SQRT($J$2))/365) *$P$2</f>
        <v>-0.386247922429924</v>
      </c>
      <c r="G27" s="25" t="n">
        <f aca="false">IF($O$2="buy",1,-1)*( IF($K$2="call",B27*NORMDIST(I27,0,1,1) - $B$2*NORMDIST(J27,0,1,1),$B$2*NORMDIST(-J27,0,1,1) - B27*NORMDIST(-I27,0,1,1) ) - $G$2) * $P$2</f>
        <v>5.13715122728755</v>
      </c>
      <c r="I27" s="26" t="n">
        <f aca="false">(LN(B27/$B$2)+($H$2^2/2)*($J$2))/($H$2*SQRT($J$2))</f>
        <v>0.956575095609353</v>
      </c>
      <c r="J27" s="26" t="n">
        <f aca="false">I27 - $H$2*SQRT($J$2)</f>
        <v>0.723053356044671</v>
      </c>
      <c r="L27" s="2"/>
      <c r="M27" s="27"/>
      <c r="N27" s="27"/>
    </row>
    <row r="28" customFormat="false" ht="13.5" hidden="false" customHeight="true" outlineLevel="0" collapsed="false">
      <c r="B28" s="24" t="n">
        <f aca="false">Portfolio!B39</f>
        <v>72</v>
      </c>
      <c r="C28" s="25" t="n">
        <f aca="false">IF($O$2="sell",-1,1) *  IF($K$2="call",  NORMDIST(I28,0,1,1),  NORMDIST(I28,0,1,1)-1  ) * $P$2</f>
        <v>-1.29306664317779</v>
      </c>
      <c r="D28" s="25" t="n">
        <f aca="false">IF($O$2="sell",-1,1) * NORMDIST(I28,0,1,0)/(B28*$H$2*SQRT($J$2)) * $P$2</f>
        <v>0.111027739884787</v>
      </c>
      <c r="E28" s="25" t="n">
        <f aca="false">IF($O$2="sell",-1,1) * (B28*NORMDIST(I28,0,1,0)*SQRT($J$2)/365) * $P$2</f>
        <v>0.120369599667807</v>
      </c>
      <c r="F28" s="25" t="n">
        <f aca="false">IF($O$2="sell",-1,1) * (-(B28*NORMDIST(I28,0,1,0)*$H$2)/(2*SQRT($J$2))/365) *$P$2</f>
        <v>-0.40239865808947</v>
      </c>
      <c r="G28" s="25" t="n">
        <f aca="false">IF($O$2="buy",1,-1)*( IF($K$2="call",B28*NORMDIST(I28,0,1,1) - $B$2*NORMDIST(J28,0,1,1),$B$2*NORMDIST(-J28,0,1,1) - B28*NORMDIST(-I28,0,1,1) ) - $G$2) * $P$2</f>
        <v>6.37593958862474</v>
      </c>
      <c r="I28" s="26" t="n">
        <f aca="false">(LN(B28/$B$2)+($H$2^2/2)*($J$2))/($H$2*SQRT($J$2))</f>
        <v>0.897508551492096</v>
      </c>
      <c r="J28" s="26" t="n">
        <f aca="false">I28 - $H$2*SQRT($J$2)</f>
        <v>0.663986811927415</v>
      </c>
      <c r="L28" s="2"/>
      <c r="M28" s="27"/>
      <c r="N28" s="27"/>
    </row>
    <row r="29" customFormat="false" ht="13.5" hidden="false" customHeight="true" outlineLevel="0" collapsed="false">
      <c r="B29" s="24" t="n">
        <f aca="false">Portfolio!B40</f>
        <v>71</v>
      </c>
      <c r="C29" s="25" t="n">
        <f aca="false">IF($O$2="sell",-1,1) *  IF($K$2="call",  NORMDIST(I29,0,1,1),  NORMDIST(I29,0,1,1)-1  ) * $P$2</f>
        <v>-1.40786265896007</v>
      </c>
      <c r="D29" s="25" t="n">
        <f aca="false">IF($O$2="sell",-1,1) * NORMDIST(I29,0,1,0)/(B29*$H$2*SQRT($J$2)) * $P$2</f>
        <v>0.118596496281805</v>
      </c>
      <c r="E29" s="25" t="n">
        <f aca="false">IF($O$2="sell",-1,1) * (B29*NORMDIST(I29,0,1,0)*SQRT($J$2)/365) * $P$2</f>
        <v>0.12502845950684</v>
      </c>
      <c r="F29" s="25" t="n">
        <f aca="false">IF($O$2="sell",-1,1) * (-(B29*NORMDIST(I29,0,1,0)*$H$2)/(2*SQRT($J$2))/365) *$P$2</f>
        <v>-0.417973345989301</v>
      </c>
      <c r="G29" s="25" t="n">
        <f aca="false">IF($O$2="buy",1,-1)*( IF($K$2="call",B29*NORMDIST(I29,0,1,1) - $B$2*NORMDIST(J29,0,1,1),$B$2*NORMDIST(-J29,0,1,1) - B29*NORMDIST(-I29,0,1,1) ) - $G$2) * $P$2</f>
        <v>7.72577345178443</v>
      </c>
      <c r="I29" s="26" t="n">
        <f aca="false">(LN(B29/$B$2)+($H$2^2/2)*($J$2))/($H$2*SQRT($J$2))</f>
        <v>0.837615875115104</v>
      </c>
      <c r="J29" s="26" t="n">
        <f aca="false">I29 - $H$2*SQRT($J$2)</f>
        <v>0.604094135550422</v>
      </c>
      <c r="L29" s="2"/>
      <c r="M29" s="27"/>
      <c r="N29" s="27"/>
    </row>
    <row r="30" customFormat="false" ht="13.5" hidden="false" customHeight="true" outlineLevel="0" collapsed="false">
      <c r="B30" s="24" t="n">
        <f aca="false">Portfolio!B41</f>
        <v>70</v>
      </c>
      <c r="C30" s="25" t="n">
        <f aca="false">IF($O$2="sell",-1,1) *  IF($K$2="call",  NORMDIST(I30,0,1,1),  NORMDIST(I30,0,1,1)-1  ) * $P$2</f>
        <v>-1.53031665917688</v>
      </c>
      <c r="D30" s="25" t="n">
        <f aca="false">IF($O$2="sell",-1,1) * NORMDIST(I30,0,1,0)/(B30*$H$2*SQRT($J$2)) * $P$2</f>
        <v>0.126336052288939</v>
      </c>
      <c r="E30" s="25" t="n">
        <f aca="false">IF($O$2="sell",-1,1) * (B30*NORMDIST(I30,0,1,0)*SQRT($J$2)/365) * $P$2</f>
        <v>0.129462415588832</v>
      </c>
      <c r="F30" s="25" t="n">
        <f aca="false">IF($O$2="sell",-1,1) * (-(B30*NORMDIST(I30,0,1,0)*$H$2)/(2*SQRT($J$2))/365) *$P$2</f>
        <v>-0.432796174862583</v>
      </c>
      <c r="G30" s="25" t="n">
        <f aca="false">IF($O$2="buy",1,-1)*( IF($K$2="call",B30*NORMDIST(I30,0,1,1) - $B$2*NORMDIST(J30,0,1,1),$B$2*NORMDIST(-J30,0,1,1) - B30*NORMDIST(-I30,0,1,1) ) - $G$2) * $P$2</f>
        <v>9.19421807836566</v>
      </c>
      <c r="I30" s="26" t="n">
        <f aca="false">(LN(B30/$B$2)+($H$2^2/2)*($J$2))/($H$2*SQRT($J$2))</f>
        <v>0.776873628939657</v>
      </c>
      <c r="J30" s="26" t="n">
        <f aca="false">I30 - $H$2*SQRT($J$2)</f>
        <v>0.543351889374975</v>
      </c>
      <c r="L30" s="2"/>
      <c r="M30" s="27"/>
      <c r="N30" s="27"/>
    </row>
    <row r="31" customFormat="false" ht="13.5" hidden="false" customHeight="true" outlineLevel="0" collapsed="false">
      <c r="B31" s="24" t="n">
        <f aca="false">Portfolio!B42</f>
        <v>69</v>
      </c>
      <c r="C31" s="25" t="n">
        <f aca="false">IF($O$2="sell",-1,1) *  IF($K$2="call",  NORMDIST(I31,0,1,1),  NORMDIST(I31,0,1,1)-1  ) * $P$2</f>
        <v>-1.66057510136004</v>
      </c>
      <c r="D31" s="25" t="n">
        <f aca="false">IF($O$2="sell",-1,1) * NORMDIST(I31,0,1,0)/(B31*$H$2*SQRT($J$2)) * $P$2</f>
        <v>0.134196339168508</v>
      </c>
      <c r="E31" s="25" t="n">
        <f aca="false">IF($O$2="sell",-1,1) * (B31*NORMDIST(I31,0,1,0)*SQRT($J$2)/365) * $P$2</f>
        <v>0.133616217736906</v>
      </c>
      <c r="F31" s="25" t="n">
        <f aca="false">IF($O$2="sell",-1,1) * (-(B31*NORMDIST(I31,0,1,0)*$H$2)/(2*SQRT($J$2))/365) *$P$2</f>
        <v>-0.446682441951342</v>
      </c>
      <c r="G31" s="25" t="n">
        <f aca="false">IF($O$2="buy",1,-1)*( IF($K$2="call",B31*NORMDIST(I31,0,1,1) - $B$2*NORMDIST(J31,0,1,1),$B$2*NORMDIST(-J31,0,1,1) - B31*NORMDIST(-I31,0,1,1) ) - $G$2) * $P$2</f>
        <v>10.7890088534684</v>
      </c>
      <c r="I31" s="26" t="n">
        <f aca="false">(LN(B31/$B$2)+($H$2^2/2)*($J$2))/($H$2*SQRT($J$2))</f>
        <v>0.715257363666358</v>
      </c>
      <c r="J31" s="26" t="n">
        <f aca="false">I31 - $H$2*SQRT($J$2)</f>
        <v>0.481735624101676</v>
      </c>
      <c r="L31" s="2"/>
      <c r="M31" s="27"/>
      <c r="N31" s="27"/>
    </row>
    <row r="32" customFormat="false" ht="13.5" hidden="false" customHeight="true" outlineLevel="0" collapsed="false">
      <c r="B32" s="24" t="n">
        <f aca="false">Portfolio!B43</f>
        <v>68</v>
      </c>
      <c r="C32" s="25" t="n">
        <f aca="false">IF($O$2="sell",-1,1) *  IF($K$2="call",  NORMDIST(I32,0,1,1),  NORMDIST(I32,0,1,1)-1  ) * $P$2</f>
        <v>-1.79873016790291</v>
      </c>
      <c r="D32" s="25" t="n">
        <f aca="false">IF($O$2="sell",-1,1) * NORMDIST(I32,0,1,0)/(B32*$H$2*SQRT($J$2)) * $P$2</f>
        <v>0.142118827533299</v>
      </c>
      <c r="E32" s="25" t="n">
        <f aca="false">IF($O$2="sell",-1,1) * (B32*NORMDIST(I32,0,1,0)*SQRT($J$2)/365) * $P$2</f>
        <v>0.137432600834175</v>
      </c>
      <c r="F32" s="25" t="n">
        <f aca="false">IF($O$2="sell",-1,1) * (-(B32*NORMDIST(I32,0,1,0)*$H$2)/(2*SQRT($J$2))/365) *$P$2</f>
        <v>-0.459440708501488</v>
      </c>
      <c r="G32" s="25" t="n">
        <f aca="false">IF($O$2="buy",1,-1)*( IF($K$2="call",B32*NORMDIST(I32,0,1,1) - $B$2*NORMDIST(J32,0,1,1),$B$2*NORMDIST(-J32,0,1,1) - B32*NORMDIST(-I32,0,1,1) ) - $G$2) * $P$2</f>
        <v>12.5180011874101</v>
      </c>
      <c r="I32" s="26" t="n">
        <f aca="false">(LN(B32/$B$2)+($H$2^2/2)*($J$2))/($H$2*SQRT($J$2))</f>
        <v>0.652741559149113</v>
      </c>
      <c r="J32" s="26" t="n">
        <f aca="false">I32 - $H$2*SQRT($J$2)</f>
        <v>0.419219819584431</v>
      </c>
      <c r="L32" s="2"/>
      <c r="M32" s="27"/>
      <c r="N32" s="27"/>
    </row>
    <row r="33" customFormat="false" ht="13.5" hidden="false" customHeight="true" outlineLevel="0" collapsed="false">
      <c r="B33" s="24" t="n">
        <f aca="false">Portfolio!B44</f>
        <v>67</v>
      </c>
      <c r="C33" s="25" t="n">
        <f aca="false">IF($O$2="sell",-1,1) *  IF($K$2="call",  NORMDIST(I33,0,1,1),  NORMDIST(I33,0,1,1)-1  ) * $P$2</f>
        <v>-1.94481118774514</v>
      </c>
      <c r="D33" s="25" t="n">
        <f aca="false">IF($O$2="sell",-1,1) * NORMDIST(I33,0,1,0)/(B33*$H$2*SQRT($J$2)) * $P$2</f>
        <v>0.150036319131405</v>
      </c>
      <c r="E33" s="25" t="n">
        <f aca="false">IF($O$2="sell",-1,1) * (B33*NORMDIST(I33,0,1,0)*SQRT($J$2)/365) * $P$2</f>
        <v>0.14085307427286</v>
      </c>
      <c r="F33" s="25" t="n">
        <f aca="false">IF($O$2="sell",-1,1) * (-(B33*NORMDIST(I33,0,1,0)*$H$2)/(2*SQRT($J$2))/365) *$P$2</f>
        <v>-0.470875438911459</v>
      </c>
      <c r="G33" s="25" t="n">
        <f aca="false">IF($O$2="buy",1,-1)*( IF($K$2="call",B33*NORMDIST(I33,0,1,1) - $B$2*NORMDIST(J33,0,1,1),$B$2*NORMDIST(-J33,0,1,1) - B33*NORMDIST(-I33,0,1,1) ) - $G$2) * $P$2</f>
        <v>14.3891119688317</v>
      </c>
      <c r="I33" s="26" t="n">
        <f aca="false">(LN(B33/$B$2)+($H$2^2/2)*($J$2))/($H$2*SQRT($J$2))</f>
        <v>0.58929956093191</v>
      </c>
      <c r="J33" s="26" t="n">
        <f aca="false">I33 - $H$2*SQRT($J$2)</f>
        <v>0.355777821367229</v>
      </c>
      <c r="L33" s="2"/>
      <c r="M33" s="27"/>
      <c r="N33" s="27"/>
    </row>
    <row r="34" customFormat="false" ht="13.5" hidden="false" customHeight="true" outlineLevel="0" collapsed="false">
      <c r="B34" s="24" t="n">
        <f aca="false">Portfolio!B45</f>
        <v>66</v>
      </c>
      <c r="C34" s="25" t="n">
        <f aca="false">IF($O$2="sell",-1,1) *  IF($K$2="call",  NORMDIST(I34,0,1,1),  NORMDIST(I34,0,1,1)-1  ) * $P$2</f>
        <v>-2.09877593749212</v>
      </c>
      <c r="D34" s="25" t="n">
        <f aca="false">IF($O$2="sell",-1,1) * NORMDIST(I34,0,1,0)/(B34*$H$2*SQRT($J$2)) * $P$2</f>
        <v>0.157872920297899</v>
      </c>
      <c r="E34" s="25" t="n">
        <f aca="false">IF($O$2="sell",-1,1) * (B34*NORMDIST(I34,0,1,0)*SQRT($J$2)/365) * $P$2</f>
        <v>0.143818858564722</v>
      </c>
      <c r="F34" s="25" t="n">
        <f aca="false">IF($O$2="sell",-1,1) * (-(B34*NORMDIST(I34,0,1,0)*$H$2)/(2*SQRT($J$2))/365) *$P$2</f>
        <v>-0.480790131844905</v>
      </c>
      <c r="G34" s="25" t="n">
        <f aca="false">IF($O$2="buy",1,-1)*( IF($K$2="call",B34*NORMDIST(I34,0,1,1) - $B$2*NORMDIST(J34,0,1,1),$B$2*NORMDIST(-J34,0,1,1) - B34*NORMDIST(-I34,0,1,1) ) - $G$2) * $P$2</f>
        <v>16.4102523640711</v>
      </c>
      <c r="I34" s="26" t="n">
        <f aca="false">(LN(B34/$B$2)+($H$2^2/2)*($J$2))/($H$2*SQRT($J$2))</f>
        <v>0.524903512013411</v>
      </c>
      <c r="J34" s="26" t="n">
        <f aca="false">I34 - $H$2*SQRT($J$2)</f>
        <v>0.291381772448729</v>
      </c>
      <c r="L34" s="2"/>
      <c r="M34" s="27"/>
      <c r="N34" s="27"/>
    </row>
    <row r="35" customFormat="false" ht="13.5" hidden="false" customHeight="true" outlineLevel="0" collapsed="false">
      <c r="B35" s="24" t="n">
        <f aca="false">Portfolio!B46</f>
        <v>65</v>
      </c>
      <c r="C35" s="25" t="n">
        <f aca="false">IF($O$2="sell",-1,1) *  IF($K$2="call",  NORMDIST(I35,0,1,1),  NORMDIST(I35,0,1,1)-1  ) * $P$2</f>
        <v>-2.26050202300861</v>
      </c>
      <c r="D35" s="25" t="n">
        <f aca="false">IF($O$2="sell",-1,1) * NORMDIST(I35,0,1,0)/(B35*$H$2*SQRT($J$2)) * $P$2</f>
        <v>0.165544236048341</v>
      </c>
      <c r="E35" s="25" t="n">
        <f aca="false">IF($O$2="sell",-1,1) * (B35*NORMDIST(I35,0,1,0)*SQRT($J$2)/365) * $P$2</f>
        <v>0.146271966882581</v>
      </c>
      <c r="F35" s="25" t="n">
        <f aca="false">IF($O$2="sell",-1,1) * (-(B35*NORMDIST(I35,0,1,0)*$H$2)/(2*SQRT($J$2))/365) *$P$2</f>
        <v>-0.488990935851721</v>
      </c>
      <c r="G35" s="25" t="n">
        <f aca="false">IF($O$2="buy",1,-1)*( IF($K$2="call",B35*NORMDIST(I35,0,1,1) - $B$2*NORMDIST(J35,0,1,1),$B$2*NORMDIST(-J35,0,1,1) - B35*NORMDIST(-I35,0,1,1) ) - $G$2) * $P$2</f>
        <v>18.5892519395061</v>
      </c>
      <c r="I35" s="26" t="n">
        <f aca="false">(LN(B35/$B$2)+($H$2^2/2)*($J$2))/($H$2*SQRT($J$2))</f>
        <v>0.459524279402137</v>
      </c>
      <c r="J35" s="26" t="n">
        <f aca="false">I35 - $H$2*SQRT($J$2)</f>
        <v>0.226002539837455</v>
      </c>
      <c r="L35" s="2"/>
      <c r="M35" s="27"/>
      <c r="N35" s="27"/>
    </row>
    <row r="36" customFormat="false" ht="13.5" hidden="false" customHeight="true" outlineLevel="0" collapsed="false">
      <c r="B36" s="24" t="n">
        <f aca="false">Portfolio!B47</f>
        <v>64</v>
      </c>
      <c r="C36" s="25" t="n">
        <f aca="false">IF($O$2="sell",-1,1) *  IF($K$2="call",  NORMDIST(I36,0,1,1),  NORMDIST(I36,0,1,1)-1  ) * $P$2</f>
        <v>-2.42977858196428</v>
      </c>
      <c r="D36" s="25" t="n">
        <f aca="false">IF($O$2="sell",-1,1) * NORMDIST(I36,0,1,0)/(B36*$H$2*SQRT($J$2)) * $P$2</f>
        <v>0.172957824476549</v>
      </c>
      <c r="E36" s="25" t="n">
        <f aca="false">IF($O$2="sell",-1,1) * (B36*NORMDIST(I36,0,1,0)*SQRT($J$2)/365) * $P$2</f>
        <v>0.14815642360741</v>
      </c>
      <c r="F36" s="25" t="n">
        <f aca="false">IF($O$2="sell",-1,1) * (-(B36*NORMDIST(I36,0,1,0)*$H$2)/(2*SQRT($J$2))/365) *$P$2</f>
        <v>-0.495290723002227</v>
      </c>
      <c r="G36" s="25" t="n">
        <f aca="false">IF($O$2="buy",1,-1)*( IF($K$2="call",B36*NORMDIST(I36,0,1,1) - $B$2*NORMDIST(J36,0,1,1),$B$2*NORMDIST(-J36,0,1,1) - B36*NORMDIST(-I36,0,1,1) ) - $G$2) * $P$2</f>
        <v>20.9337743042742</v>
      </c>
      <c r="I36" s="26" t="n">
        <f aca="false">(LN(B36/$B$2)+($H$2^2/2)*($J$2))/($H$2*SQRT($J$2))</f>
        <v>0.393131374977619</v>
      </c>
      <c r="J36" s="26" t="n">
        <f aca="false">I36 - $H$2*SQRT($J$2)</f>
        <v>0.159609635412937</v>
      </c>
      <c r="L36" s="2"/>
      <c r="M36" s="27"/>
      <c r="N36" s="27"/>
    </row>
    <row r="37" customFormat="false" ht="13.5" hidden="false" customHeight="true" outlineLevel="0" collapsed="false">
      <c r="B37" s="24" t="n">
        <f aca="false">Portfolio!B48</f>
        <v>63</v>
      </c>
      <c r="C37" s="25" t="n">
        <f aca="false">IF($O$2="sell",-1,1) *  IF($K$2="call",  NORMDIST(I37,0,1,1),  NORMDIST(I37,0,1,1)-1  ) * $P$2</f>
        <v>-2.60629858714639</v>
      </c>
      <c r="D37" s="25" t="n">
        <f aca="false">IF($O$2="sell",-1,1) * NORMDIST(I37,0,1,0)/(B37*$H$2*SQRT($J$2)) * $P$2</f>
        <v>0.180013950157868</v>
      </c>
      <c r="E37" s="25" t="n">
        <f aca="false">IF($O$2="sell",-1,1) * (B37*NORMDIST(I37,0,1,0)*SQRT($J$2)/365) * $P$2</f>
        <v>0.149419605314232</v>
      </c>
      <c r="F37" s="25" t="n">
        <f aca="false">IF($O$2="sell",-1,1) * (-(B37*NORMDIST(I37,0,1,0)*$H$2)/(2*SQRT($J$2))/365) *$P$2</f>
        <v>-0.499513571837409</v>
      </c>
      <c r="G37" s="25" t="n">
        <f aca="false">IF($O$2="buy",1,-1)*( IF($K$2="call",B37*NORMDIST(I37,0,1,1) - $B$2*NORMDIST(J37,0,1,1),$B$2*NORMDIST(-J37,0,1,1) - B37*NORMDIST(-I37,0,1,1) ) - $G$2) * $P$2</f>
        <v>23.4512247310003</v>
      </c>
      <c r="I37" s="26" t="n">
        <f aca="false">(LN(B37/$B$2)+($H$2^2/2)*($J$2))/($H$2*SQRT($J$2))</f>
        <v>0.325692870119371</v>
      </c>
      <c r="J37" s="26" t="n">
        <f aca="false">I37 - $H$2*SQRT($J$2)</f>
        <v>0.0921711305546896</v>
      </c>
      <c r="L37" s="2"/>
      <c r="M37" s="27"/>
      <c r="N37" s="27"/>
    </row>
    <row r="38" customFormat="false" ht="13.5" hidden="false" customHeight="true" outlineLevel="0" collapsed="false">
      <c r="B38" s="24" t="n">
        <f aca="false">Portfolio!B49</f>
        <v>62</v>
      </c>
      <c r="C38" s="25" t="n">
        <f aca="false">IF($O$2="sell",-1,1) *  IF($K$2="call",  NORMDIST(I38,0,1,1),  NORMDIST(I38,0,1,1)-1  ) * $P$2</f>
        <v>-2.78965206772648</v>
      </c>
      <c r="D38" s="25" t="n">
        <f aca="false">IF($O$2="sell",-1,1) * NORMDIST(I38,0,1,0)/(B38*$H$2*SQRT($J$2)) * $P$2</f>
        <v>0.186606672217655</v>
      </c>
      <c r="E38" s="25" t="n">
        <f aca="false">IF($O$2="sell",-1,1) * (B38*NORMDIST(I38,0,1,0)*SQRT($J$2)/365) * $P$2</f>
        <v>0.150013682139889</v>
      </c>
      <c r="F38" s="25" t="n">
        <f aca="false">IF($O$2="sell",-1,1) * (-(B38*NORMDIST(I38,0,1,0)*$H$2)/(2*SQRT($J$2))/365) *$P$2</f>
        <v>-0.50149958589832</v>
      </c>
      <c r="G38" s="25" t="n">
        <f aca="false">IF($O$2="buy",1,-1)*( IF($K$2="call",B38*NORMDIST(I38,0,1,1) - $B$2*NORMDIST(J38,0,1,1),$B$2*NORMDIST(-J38,0,1,1) - B38*NORMDIST(-I38,0,1,1) ) - $G$2) * $P$2</f>
        <v>26.1486505109173</v>
      </c>
      <c r="I38" s="26" t="n">
        <f aca="false">(LN(B38/$B$2)+($H$2^2/2)*($J$2))/($H$2*SQRT($J$2))</f>
        <v>0.257175303505368</v>
      </c>
      <c r="J38" s="26" t="n">
        <f aca="false">I38 - $H$2*SQRT($J$2)</f>
        <v>0.023653563940686</v>
      </c>
      <c r="L38" s="2"/>
      <c r="M38" s="27"/>
      <c r="N38" s="27"/>
    </row>
    <row r="39" customFormat="false" ht="13.5" hidden="false" customHeight="true" outlineLevel="0" collapsed="false">
      <c r="B39" s="24" t="n">
        <f aca="false">Portfolio!B50</f>
        <v>61</v>
      </c>
      <c r="C39" s="25" t="n">
        <f aca="false">IF($O$2="sell",-1,1) *  IF($K$2="call",  NORMDIST(I39,0,1,1),  NORMDIST(I39,0,1,1)-1  ) * $P$2</f>
        <v>-2.97932059877541</v>
      </c>
      <c r="D39" s="25" t="n">
        <f aca="false">IF($O$2="sell",-1,1) * NORMDIST(I39,0,1,0)/(B39*$H$2*SQRT($J$2)) * $P$2</f>
        <v>0.192625297162963</v>
      </c>
      <c r="E39" s="25" t="n">
        <f aca="false">IF($O$2="sell",-1,1) * (B39*NORMDIST(I39,0,1,0)*SQRT($J$2)/365) * $P$2</f>
        <v>0.149897129311164</v>
      </c>
      <c r="F39" s="25" t="n">
        <f aca="false">IF($O$2="sell",-1,1) * (-(B39*NORMDIST(I39,0,1,0)*$H$2)/(2*SQRT($J$2))/365) *$P$2</f>
        <v>-0.501109946803359</v>
      </c>
      <c r="G39" s="25" t="n">
        <f aca="false">IF($O$2="buy",1,-1)*( IF($K$2="call",B39*NORMDIST(I39,0,1,1) - $B$2*NORMDIST(J39,0,1,1),$B$2*NORMDIST(-J39,0,1,1) - B39*NORMDIST(-I39,0,1,1) ) - $G$2) * $P$2</f>
        <v>29.0326351339693</v>
      </c>
      <c r="I39" s="26" t="n">
        <f aca="false">(LN(B39/$B$2)+($H$2^2/2)*($J$2))/($H$2*SQRT($J$2))</f>
        <v>0.187543581413487</v>
      </c>
      <c r="J39" s="26" t="n">
        <f aca="false">I39 - $H$2*SQRT($J$2)</f>
        <v>-0.0459781581511947</v>
      </c>
      <c r="L39" s="2"/>
      <c r="M39" s="27"/>
      <c r="N39" s="27"/>
    </row>
    <row r="40" customFormat="false" ht="13.5" hidden="false" customHeight="true" outlineLevel="0" collapsed="false">
      <c r="B40" s="24" t="n">
        <f aca="false">Portfolio!B51</f>
        <v>60</v>
      </c>
      <c r="C40" s="25" t="n">
        <f aca="false">IF($O$2="sell",-1,1) *  IF($K$2="call",  NORMDIST(I40,0,1,1),  NORMDIST(I40,0,1,1)-1  ) * $P$2</f>
        <v>-3.17467343542882</v>
      </c>
      <c r="D40" s="25" t="n">
        <f aca="false">IF($O$2="sell",-1,1) * NORMDIST(I40,0,1,0)/(B40*$H$2*SQRT($J$2)) * $P$2</f>
        <v>0.197956218073099</v>
      </c>
      <c r="E40" s="25" t="n">
        <f aca="false">IF($O$2="sell",-1,1) * (B40*NORMDIST(I40,0,1,0)*SQRT($J$2)/365) * $P$2</f>
        <v>0.149036270036972</v>
      </c>
      <c r="F40" s="25" t="n">
        <f aca="false">IF($O$2="sell",-1,1) * (-(B40*NORMDIST(I40,0,1,0)*$H$2)/(2*SQRT($J$2))/365) *$P$2</f>
        <v>-0.49823207217642</v>
      </c>
      <c r="G40" s="25" t="n">
        <f aca="false">IF($O$2="buy",1,-1)*( IF($K$2="call",B40*NORMDIST(I40,0,1,1) - $B$2*NORMDIST(J40,0,1,1),$B$2*NORMDIST(-J40,0,1,1) - B40*NORMDIST(-I40,0,1,1) ) - $G$2) * $P$2</f>
        <v>32.1091877485418</v>
      </c>
      <c r="I40" s="26" t="n">
        <f aca="false">(LN(B40/$B$2)+($H$2^2/2)*($J$2))/($H$2*SQRT($J$2))</f>
        <v>0.116760869782341</v>
      </c>
      <c r="J40" s="26" t="n">
        <f aca="false">I40 - $H$2*SQRT($J$2)</f>
        <v>-0.116760869782341</v>
      </c>
      <c r="L40" s="2"/>
      <c r="M40" s="27"/>
      <c r="N40" s="27"/>
    </row>
    <row r="41" customFormat="false" ht="13.5" hidden="false" customHeight="true" outlineLevel="0" collapsed="false">
      <c r="B41" s="24" t="n">
        <f aca="false">Portfolio!B52</f>
        <v>59</v>
      </c>
      <c r="C41" s="25" t="n">
        <f aca="false">IF($O$2="sell",-1,1) *  IF($K$2="call",  NORMDIST(I41,0,1,1),  NORMDIST(I41,0,1,1)-1  ) * $P$2</f>
        <v>-3.37496568408669</v>
      </c>
      <c r="D41" s="25" t="n">
        <f aca="false">IF($O$2="sell",-1,1) * NORMDIST(I41,0,1,0)/(B41*$H$2*SQRT($J$2)) * $P$2</f>
        <v>0.20248514994009</v>
      </c>
      <c r="E41" s="25" t="n">
        <f aca="false">IF($O$2="sell",-1,1) * (B41*NORMDIST(I41,0,1,0)*SQRT($J$2)/365) * $P$2</f>
        <v>0.147406802347007</v>
      </c>
      <c r="F41" s="25" t="n">
        <f aca="false">IF($O$2="sell",-1,1) * (-(B41*NORMDIST(I41,0,1,0)*$H$2)/(2*SQRT($J$2))/365) *$P$2</f>
        <v>-0.492784719907642</v>
      </c>
      <c r="G41" s="25" t="n">
        <f aca="false">IF($O$2="buy",1,-1)*( IF($K$2="call",B41*NORMDIST(I41,0,1,1) - $B$2*NORMDIST(J41,0,1,1),$B$2*NORMDIST(-J41,0,1,1) - B41*NORMDIST(-I41,0,1,1) ) - $G$2) * $P$2</f>
        <v>35.3836297408405</v>
      </c>
      <c r="I41" s="26" t="n">
        <f aca="false">(LN(B41/$B$2)+($H$2^2/2)*($J$2))/($H$2*SQRT($J$2))</f>
        <v>0.044788477200339</v>
      </c>
      <c r="J41" s="26" t="n">
        <f aca="false">I41 - $H$2*SQRT($J$2)</f>
        <v>-0.188733262364343</v>
      </c>
      <c r="L41" s="2"/>
      <c r="M41" s="27"/>
      <c r="N41" s="27"/>
    </row>
    <row r="42" customFormat="false" ht="13.5" hidden="false" customHeight="true" outlineLevel="0" collapsed="false">
      <c r="B42" s="24" t="n">
        <f aca="false">Portfolio!B53</f>
        <v>58</v>
      </c>
      <c r="C42" s="25" t="n">
        <f aca="false">IF($O$2="sell",-1,1) *  IF($K$2="call",  NORMDIST(I42,0,1,1),  NORMDIST(I42,0,1,1)-1  ) * $P$2</f>
        <v>-3.57933890544344</v>
      </c>
      <c r="D42" s="25" t="n">
        <f aca="false">IF($O$2="sell",-1,1) * NORMDIST(I42,0,1,0)/(B42*$H$2*SQRT($J$2)) * $P$2</f>
        <v>0.206099755587497</v>
      </c>
      <c r="E42" s="25" t="n">
        <f aca="false">IF($O$2="sell",-1,1) * (B42*NORMDIST(I42,0,1,0)*SQRT($J$2)/365) * $P$2</f>
        <v>0.144995254259565</v>
      </c>
      <c r="F42" s="25" t="n">
        <f aca="false">IF($O$2="sell",-1,1) * (-(B42*NORMDIST(I42,0,1,0)*$H$2)/(2*SQRT($J$2))/365) *$P$2</f>
        <v>-0.484722852816758</v>
      </c>
      <c r="G42" s="25" t="n">
        <f aca="false">IF($O$2="buy",1,-1)*( IF($K$2="call",B42*NORMDIST(I42,0,1,1) - $B$2*NORMDIST(J42,0,1,1),$B$2*NORMDIST(-J42,0,1,1) - B42*NORMDIST(-I42,0,1,1) ) - $G$2) * $P$2</f>
        <v>38.860480668811</v>
      </c>
      <c r="I42" s="26" t="n">
        <f aca="false">(LN(B42/$B$2)+($H$2^2/2)*($J$2))/($H$2*SQRT($J$2))</f>
        <v>-0.0284142721075693</v>
      </c>
      <c r="J42" s="26" t="n">
        <f aca="false">I42 - $H$2*SQRT($J$2)</f>
        <v>-0.261936011672251</v>
      </c>
      <c r="L42" s="2"/>
      <c r="M42" s="27"/>
      <c r="N42" s="27"/>
    </row>
    <row r="43" customFormat="false" ht="13.5" hidden="false" customHeight="true" outlineLevel="0" collapsed="false">
      <c r="B43" s="24" t="n">
        <f aca="false">Portfolio!B54</f>
        <v>57</v>
      </c>
      <c r="C43" s="25" t="n">
        <f aca="false">IF($O$2="sell",-1,1) *  IF($K$2="call",  NORMDIST(I43,0,1,1),  NORMDIST(I43,0,1,1)-1  ) * $P$2</f>
        <v>-3.78682452936989</v>
      </c>
      <c r="D43" s="25" t="n">
        <f aca="false">IF($O$2="sell",-1,1) * NORMDIST(I43,0,1,0)/(B43*$H$2*SQRT($J$2)) * $P$2</f>
        <v>0.20869263758367</v>
      </c>
      <c r="E43" s="25" t="n">
        <f aca="false">IF($O$2="sell",-1,1) * (B43*NORMDIST(I43,0,1,0)*SQRT($J$2)/365) * $P$2</f>
        <v>0.141800304454401</v>
      </c>
      <c r="F43" s="25" t="n">
        <f aca="false">IF($O$2="sell",-1,1) * (-(B43*NORMDIST(I43,0,1,0)*$H$2)/(2*SQRT($J$2))/365) *$P$2</f>
        <v>-0.474042053696303</v>
      </c>
      <c r="G43" s="25" t="n">
        <f aca="false">IF($O$2="buy",1,-1)*( IF($K$2="call",B43*NORMDIST(I43,0,1,1) - $B$2*NORMDIST(J43,0,1,1),$B$2*NORMDIST(-J43,0,1,1) - B43*NORMDIST(-I43,0,1,1) ) - $G$2) * $P$2</f>
        <v>42.5433461744824</v>
      </c>
      <c r="I43" s="26" t="n">
        <f aca="false">(LN(B43/$B$2)+($H$2^2/2)*($J$2))/($H$2*SQRT($J$2))</f>
        <v>-0.102890176339398</v>
      </c>
      <c r="J43" s="26" t="n">
        <f aca="false">I43 - $H$2*SQRT($J$2)</f>
        <v>-0.33641191590408</v>
      </c>
      <c r="L43" s="2"/>
      <c r="M43" s="27"/>
      <c r="N43" s="27"/>
    </row>
    <row r="45" customFormat="false" ht="17.25" hidden="false" customHeight="true" outlineLevel="0" collapsed="false">
      <c r="A45" s="2" t="str">
        <f aca="false">A3</f>
        <v>SOL-29MAY26-70-P-USDT</v>
      </c>
      <c r="B45" s="23"/>
      <c r="C45" s="19" t="s">
        <v>13</v>
      </c>
      <c r="D45" s="19" t="s">
        <v>14</v>
      </c>
      <c r="E45" s="19" t="s">
        <v>15</v>
      </c>
      <c r="F45" s="19" t="s">
        <v>16</v>
      </c>
      <c r="G45" s="19" t="s">
        <v>17</v>
      </c>
      <c r="I45" s="19" t="s">
        <v>158</v>
      </c>
      <c r="J45" s="19" t="s">
        <v>159</v>
      </c>
    </row>
    <row r="46" customFormat="false" ht="13.5" hidden="false" customHeight="true" outlineLevel="0" collapsed="false">
      <c r="B46" s="24" t="n">
        <f aca="false">B17</f>
        <v>83</v>
      </c>
      <c r="C46" s="25" t="n">
        <f aca="false">IF($O$3="sell",-1,1) *  IF($K$3="call",  NORMDIST(I46,0,1,1),  NORMDIST(I46,0,1,1)-1  ) * $P$3</f>
        <v>-0.367870990754713</v>
      </c>
      <c r="D46" s="25" t="n">
        <f aca="false">IF($O$3="sell",-1,1) * NORMDIST(I46,0,1,0)/(B46*$H$3*SQRT($J$3)) * $P$3</f>
        <v>0.0298381714051566</v>
      </c>
      <c r="E46" s="25" t="n">
        <f aca="false">IF($O$3="sell",-1,1) * (B46*NORMDIST(I46,0,1,0)*SQRT($J$3)/365) * $P$3</f>
        <v>0.0395401884167293</v>
      </c>
      <c r="F46" s="25" t="n">
        <f aca="false">IF($O$3="sell",-1,1) * (-(B46*NORMDIST(I46,0,1,0)*$H$3)/(2*SQRT($J$3))/365) *$P$3</f>
        <v>-0.121581770514756</v>
      </c>
      <c r="G46" s="25" t="n">
        <f aca="false">IF($O$3="buy",1,-1)*( IF($K$3="call",B46*NORMDIST(I46,0,1,1) - $B$3*NORMDIST(J46,0,1,1),$B$3*NORMDIST(-J46,0,1,1) - B46*NORMDIST(-I46,0,1,1) ) - $G$3) * $P$3</f>
        <v>-0.549109097982104</v>
      </c>
      <c r="I46" s="73" t="n">
        <f aca="false">(LN(B46/$B$3)+($H$3^2/2)*($J$3))/($H$3*SQRT($J$3))</f>
        <v>0.900468482375407</v>
      </c>
      <c r="J46" s="26" t="n">
        <f aca="false">I46 - $H$3*SQRT($J$3)</f>
        <v>0.685676859939863</v>
      </c>
    </row>
    <row r="47" customFormat="false" ht="13.5" hidden="false" customHeight="true" outlineLevel="0" collapsed="false">
      <c r="B47" s="24" t="n">
        <f aca="false">B18</f>
        <v>82</v>
      </c>
      <c r="C47" s="25" t="n">
        <f aca="false">IF($O$3="sell",-1,1) *  IF($K$3="call",  NORMDIST(I47,0,1,1),  NORMDIST(I47,0,1,1)-1  ) * $P$3</f>
        <v>-0.398649643051374</v>
      </c>
      <c r="D47" s="25" t="n">
        <f aca="false">IF($O$3="sell",-1,1) * NORMDIST(I47,0,1,0)/(B47*$H$3*SQRT($J$3)) * $P$3</f>
        <v>0.0317259116113829</v>
      </c>
      <c r="E47" s="25" t="n">
        <f aca="false">IF($O$3="sell",-1,1) * (B47*NORMDIST(I47,0,1,0)*SQRT($J$3)/365) * $P$3</f>
        <v>0.041034784784963</v>
      </c>
      <c r="F47" s="25" t="n">
        <f aca="false">IF($O$3="sell",-1,1) * (-(B47*NORMDIST(I47,0,1,0)*$H$3)/(2*SQRT($J$3))/365) *$P$3</f>
        <v>-0.126177491474393</v>
      </c>
      <c r="G47" s="25" t="n">
        <f aca="false">IF($O$3="buy",1,-1)*( IF($K$3="call",B47*NORMDIST(I47,0,1,1) - $B$3*NORMDIST(J47,0,1,1),$B$3*NORMDIST(-J47,0,1,1) - B47*NORMDIST(-I47,0,1,1) ) - $G$3) * $P$3</f>
        <v>-0.166006106277958</v>
      </c>
      <c r="I47" s="73" t="n">
        <f aca="false">(LN(B47/$B$3)+($H$3^2/2)*($J$3))/($H$3*SQRT($J$3))</f>
        <v>0.844035366433084</v>
      </c>
      <c r="J47" s="26" t="n">
        <f aca="false">I47 - $H$3*SQRT($J$3)</f>
        <v>0.62924374399754</v>
      </c>
      <c r="L47" s="2"/>
    </row>
    <row r="48" customFormat="false" ht="13.5" hidden="false" customHeight="true" outlineLevel="0" collapsed="false">
      <c r="B48" s="24" t="n">
        <f aca="false">B19</f>
        <v>81</v>
      </c>
      <c r="C48" s="25" t="n">
        <f aca="false">IF($O$3="sell",-1,1) *  IF($K$3="call",  NORMDIST(I48,0,1,1),  NORMDIST(I48,0,1,1)-1  ) * $P$3</f>
        <v>-0.431334668895632</v>
      </c>
      <c r="D48" s="25" t="n">
        <f aca="false">IF($O$3="sell",-1,1) * NORMDIST(I48,0,1,0)/(B48*$H$3*SQRT($J$3)) * $P$3</f>
        <v>0.0336491626591481</v>
      </c>
      <c r="E48" s="25" t="n">
        <f aca="false">IF($O$3="sell",-1,1) * (B48*NORMDIST(I48,0,1,0)*SQRT($J$3)/365) * $P$3</f>
        <v>0.0424672994550026</v>
      </c>
      <c r="F48" s="25" t="n">
        <f aca="false">IF($O$3="sell",-1,1) * (-(B48*NORMDIST(I48,0,1,0)*$H$3)/(2*SQRT($J$3))/365) *$P$3</f>
        <v>-0.130582317977398</v>
      </c>
      <c r="G48" s="25" t="n">
        <f aca="false">IF($O$3="buy",1,-1)*( IF($K$3="call",B48*NORMDIST(I48,0,1,1) - $B$3*NORMDIST(J48,0,1,1),$B$3*NORMDIST(-J48,0,1,1) - B48*NORMDIST(-I48,0,1,1) ) - $G$3) * $P$3</f>
        <v>0.248825763013844</v>
      </c>
      <c r="I48" s="73" t="n">
        <f aca="false">(LN(B48/$B$3)+($H$3^2/2)*($J$3))/($H$3*SQRT($J$3))</f>
        <v>0.786909802350637</v>
      </c>
      <c r="J48" s="26" t="n">
        <f aca="false">I48 - $H$3*SQRT($J$3)</f>
        <v>0.572118179915094</v>
      </c>
      <c r="L48" s="2"/>
      <c r="M48" s="27"/>
    </row>
    <row r="49" customFormat="false" ht="13.5" hidden="false" customHeight="true" outlineLevel="0" collapsed="false">
      <c r="B49" s="24" t="n">
        <f aca="false">B20</f>
        <v>80</v>
      </c>
      <c r="C49" s="25" t="n">
        <f aca="false">IF($O$3="sell",-1,1) *  IF($K$3="call",  NORMDIST(I49,0,1,1),  NORMDIST(I49,0,1,1)-1  ) * $P$3</f>
        <v>-0.465956039527081</v>
      </c>
      <c r="D49" s="25" t="n">
        <f aca="false">IF($O$3="sell",-1,1) * NORMDIST(I49,0,1,0)/(B49*$H$3*SQRT($J$3)) * $P$3</f>
        <v>0.035596571770675</v>
      </c>
      <c r="E49" s="25" t="n">
        <f aca="false">IF($O$3="sell",-1,1) * (B49*NORMDIST(I49,0,1,0)*SQRT($J$3)/365) * $P$3</f>
        <v>0.0438226355766818</v>
      </c>
      <c r="F49" s="25" t="n">
        <f aca="false">IF($O$3="sell",-1,1) * (-(B49*NORMDIST(I49,0,1,0)*$H$3)/(2*SQRT($J$3))/365) *$P$3</f>
        <v>-0.134749828854676</v>
      </c>
      <c r="G49" s="25" t="n">
        <f aca="false">IF($O$3="buy",1,-1)*( IF($K$3="call",B49*NORMDIST(I49,0,1,1) - $B$3*NORMDIST(J49,0,1,1),$B$3*NORMDIST(-J49,0,1,1) - B49*NORMDIST(-I49,0,1,1) ) - $G$3) * $P$3</f>
        <v>0.697308815063298</v>
      </c>
      <c r="I49" s="73" t="n">
        <f aca="false">(LN(B49/$B$3)+($H$3^2/2)*($J$3))/($H$3*SQRT($J$3))</f>
        <v>0.729074585791923</v>
      </c>
      <c r="J49" s="26" t="n">
        <f aca="false">I49 - $H$3*SQRT($J$3)</f>
        <v>0.514282963356379</v>
      </c>
      <c r="L49" s="2"/>
      <c r="M49" s="27"/>
      <c r="N49" s="27"/>
    </row>
    <row r="50" customFormat="false" ht="13.5" hidden="false" customHeight="true" outlineLevel="0" collapsed="false">
      <c r="B50" s="24" t="n">
        <f aca="false">B21</f>
        <v>79</v>
      </c>
      <c r="C50" s="25" t="n">
        <f aca="false">IF($O$3="sell",-1,1) *  IF($K$3="call",  NORMDIST(I50,0,1,1),  NORMDIST(I50,0,1,1)-1  ) * $P$3</f>
        <v>-0.502531546548169</v>
      </c>
      <c r="D50" s="25" t="n">
        <f aca="false">IF($O$3="sell",-1,1) * NORMDIST(I50,0,1,0)/(B50*$H$3*SQRT($J$3)) * $P$3</f>
        <v>0.0375551272445676</v>
      </c>
      <c r="E50" s="25" t="n">
        <f aca="false">IF($O$3="sell",-1,1) * (B50*NORMDIST(I50,0,1,0)*SQRT($J$3)/365) * $P$3</f>
        <v>0.0450851756163284</v>
      </c>
      <c r="F50" s="25" t="n">
        <f aca="false">IF($O$3="sell",-1,1) * (-(B50*NORMDIST(I50,0,1,0)*$H$3)/(2*SQRT($J$3))/365) *$P$3</f>
        <v>-0.138632001892098</v>
      </c>
      <c r="G50" s="25" t="n">
        <f aca="false">IF($O$3="buy",1,-1)*( IF($K$3="call",B50*NORMDIST(I50,0,1,1) - $B$3*NORMDIST(J50,0,1,1),$B$3*NORMDIST(-J50,0,1,1) - B50*NORMDIST(-I50,0,1,1) ) - $G$3) * $P$3</f>
        <v>1.18138937474393</v>
      </c>
      <c r="I50" s="73" t="n">
        <f aca="false">(LN(B50/$B$3)+($H$3^2/2)*($J$3))/($H$3*SQRT($J$3))</f>
        <v>0.670511863166953</v>
      </c>
      <c r="J50" s="26" t="n">
        <f aca="false">I50 - $H$3*SQRT($J$3)</f>
        <v>0.455720240731409</v>
      </c>
      <c r="L50" s="2"/>
      <c r="M50" s="27"/>
      <c r="N50" s="27"/>
    </row>
    <row r="51" customFormat="false" ht="13.5" hidden="false" customHeight="true" outlineLevel="0" collapsed="false">
      <c r="B51" s="24" t="n">
        <f aca="false">B22</f>
        <v>78</v>
      </c>
      <c r="C51" s="25" t="n">
        <f aca="false">IF($O$3="sell",-1,1) *  IF($K$3="call",  NORMDIST(I51,0,1,1),  NORMDIST(I51,0,1,1)-1  ) * $P$3</f>
        <v>-0.54106513232926</v>
      </c>
      <c r="D51" s="25" t="n">
        <f aca="false">IF($O$3="sell",-1,1) * NORMDIST(I51,0,1,0)/(B51*$H$3*SQRT($J$3)) * $P$3</f>
        <v>0.0395101422438699</v>
      </c>
      <c r="E51" s="25" t="n">
        <f aca="false">IF($O$3="sell",-1,1) * (B51*NORMDIST(I51,0,1,0)*SQRT($J$3)/365) * $P$3</f>
        <v>0.0462389692070948</v>
      </c>
      <c r="F51" s="25" t="n">
        <f aca="false">IF($O$3="sell",-1,1) * (-(B51*NORMDIST(I51,0,1,0)*$H$3)/(2*SQRT($J$3))/365) *$P$3</f>
        <v>-0.142179791449788</v>
      </c>
      <c r="G51" s="25" t="n">
        <f aca="false">IF($O$3="buy",1,-1)*( IF($K$3="call",B51*NORMDIST(I51,0,1,1) - $B$3*NORMDIST(J51,0,1,1),$B$3*NORMDIST(-J51,0,1,1) - B51*NORMDIST(-I51,0,1,1) ) - $G$3) * $P$3</f>
        <v>1.70302477355693</v>
      </c>
      <c r="I51" s="73" t="n">
        <f aca="false">(LN(B51/$B$3)+($H$3^2/2)*($J$3))/($H$3*SQRT($J$3))</f>
        <v>0.61120309854671</v>
      </c>
      <c r="J51" s="26" t="n">
        <f aca="false">I51 - $H$3*SQRT($J$3)</f>
        <v>0.396411476111166</v>
      </c>
      <c r="L51" s="2"/>
      <c r="M51" s="27"/>
      <c r="N51" s="27"/>
    </row>
    <row r="52" customFormat="false" ht="13.5" hidden="false" customHeight="true" outlineLevel="0" collapsed="false">
      <c r="B52" s="24" t="n">
        <f aca="false">B23</f>
        <v>77</v>
      </c>
      <c r="C52" s="25" t="n">
        <f aca="false">IF($O$3="sell",-1,1) *  IF($K$3="call",  NORMDIST(I52,0,1,1),  NORMDIST(I52,0,1,1)-1  ) * $P$3</f>
        <v>-0.581545220537015</v>
      </c>
      <c r="D52" s="25" t="n">
        <f aca="false">IF($O$3="sell",-1,1) * NORMDIST(I52,0,1,0)/(B52*$H$3*SQRT($J$3)) * $P$3</f>
        <v>0.0414452722007651</v>
      </c>
      <c r="E52" s="25" t="n">
        <f aca="false">IF($O$3="sell",-1,1) * (B52*NORMDIST(I52,0,1,0)*SQRT($J$3)/365) * $P$3</f>
        <v>0.0472679526657401</v>
      </c>
      <c r="F52" s="25" t="n">
        <f aca="false">IF($O$3="sell",-1,1) * (-(B52*NORMDIST(I52,0,1,0)*$H$3)/(2*SQRT($J$3))/365) *$P$3</f>
        <v>-0.145343803452309</v>
      </c>
      <c r="G52" s="25" t="n">
        <f aca="false">IF($O$3="buy",1,-1)*( IF($K$3="call",B52*NORMDIST(I52,0,1,1) - $B$3*NORMDIST(J52,0,1,1),$B$3*NORMDIST(-J52,0,1,1) - B52*NORMDIST(-I52,0,1,1) ) - $G$3) * $P$3</f>
        <v>2.26416866422089</v>
      </c>
      <c r="I52" s="73" t="n">
        <f aca="false">(LN(B52/$B$3)+($H$3^2/2)*($J$3))/($H$3*SQRT($J$3))</f>
        <v>0.551129038443272</v>
      </c>
      <c r="J52" s="26" t="n">
        <f aca="false">I52 - $H$3*SQRT($J$3)</f>
        <v>0.336337416007728</v>
      </c>
      <c r="L52" s="2"/>
      <c r="M52" s="27"/>
      <c r="N52" s="27"/>
    </row>
    <row r="53" customFormat="false" ht="13.5" hidden="false" customHeight="true" outlineLevel="0" collapsed="false">
      <c r="B53" s="24" t="n">
        <f aca="false">B24</f>
        <v>76</v>
      </c>
      <c r="C53" s="25" t="n">
        <f aca="false">IF($O$3="sell",-1,1) *  IF($K$3="call",  NORMDIST(I53,0,1,1),  NORMDIST(I53,0,1,1)-1  ) * $P$3</f>
        <v>-0.62394308324655</v>
      </c>
      <c r="D53" s="25" t="n">
        <f aca="false">IF($O$3="sell",-1,1) * NORMDIST(I53,0,1,0)/(B53*$H$3*SQRT($J$3)) * $P$3</f>
        <v>0.0433425715244934</v>
      </c>
      <c r="E53" s="25" t="n">
        <f aca="false">IF($O$3="sell",-1,1) * (B53*NORMDIST(I53,0,1,0)*SQRT($J$3)/365) * $P$3</f>
        <v>0.048156199437472</v>
      </c>
      <c r="F53" s="25" t="n">
        <f aca="false">IF($O$3="sell",-1,1) * (-(B53*NORMDIST(I53,0,1,0)*$H$3)/(2*SQRT($J$3))/365) *$P$3</f>
        <v>-0.148075065479262</v>
      </c>
      <c r="G53" s="25" t="n">
        <f aca="false">IF($O$3="buy",1,-1)*( IF($K$3="call",B53*NORMDIST(I53,0,1,1) - $B$3*NORMDIST(J53,0,1,1),$B$3*NORMDIST(-J53,0,1,1) - B53*NORMDIST(-I53,0,1,1) ) - $G$3) * $P$3</f>
        <v>2.86675468080623</v>
      </c>
      <c r="I53" s="73" t="n">
        <f aca="false">(LN(B53/$B$3)+($H$3^2/2)*($J$3))/($H$3*SQRT($J$3))</f>
        <v>0.490269674287783</v>
      </c>
      <c r="J53" s="26" t="n">
        <f aca="false">I53 - $H$3*SQRT($J$3)</f>
        <v>0.27547805185224</v>
      </c>
      <c r="L53" s="2"/>
      <c r="M53" s="27"/>
      <c r="N53" s="27"/>
    </row>
    <row r="54" customFormat="false" ht="13.5" hidden="false" customHeight="true" outlineLevel="0" collapsed="false">
      <c r="B54" s="24" t="n">
        <f aca="false">B25</f>
        <v>75</v>
      </c>
      <c r="C54" s="25" t="n">
        <f aca="false">IF($O$3="sell",-1,1) *  IF($K$3="call",  NORMDIST(I54,0,1,1),  NORMDIST(I54,0,1,1)-1  ) * $P$3</f>
        <v>-0.668211286746353</v>
      </c>
      <c r="D54" s="25" t="n">
        <f aca="false">IF($O$3="sell",-1,1) * NORMDIST(I54,0,1,0)/(B54*$H$3*SQRT($J$3)) * $P$3</f>
        <v>0.0451825951865571</v>
      </c>
      <c r="E54" s="25" t="n">
        <f aca="false">IF($O$3="sell",-1,1) * (B54*NORMDIST(I54,0,1,0)*SQRT($J$3)/365) * $P$3</f>
        <v>0.0488881996494531</v>
      </c>
      <c r="F54" s="25" t="n">
        <f aca="false">IF($O$3="sell",-1,1) * (-(B54*NORMDIST(I54,0,1,0)*$H$3)/(2*SQRT($J$3))/365) *$P$3</f>
        <v>-0.15032588636185</v>
      </c>
      <c r="G54" s="25" t="n">
        <f aca="false">IF($O$3="buy",1,-1)*( IF($K$3="call",B54*NORMDIST(I54,0,1,1) - $B$3*NORMDIST(J54,0,1,1),$B$3*NORMDIST(-J54,0,1,1) - B54*NORMDIST(-I54,0,1,1) ) - $G$3) * $P$3</f>
        <v>3.51267850158802</v>
      </c>
      <c r="I54" s="73" t="n">
        <f aca="false">(LN(B54/$B$3)+($H$3^2/2)*($J$3))/($H$3*SQRT($J$3))</f>
        <v>0.428604202423324</v>
      </c>
      <c r="J54" s="26" t="n">
        <f aca="false">I54 - $H$3*SQRT($J$3)</f>
        <v>0.21381257998778</v>
      </c>
      <c r="L54" s="2"/>
      <c r="M54" s="27"/>
      <c r="N54" s="27"/>
    </row>
    <row r="55" customFormat="false" ht="13.5" hidden="false" customHeight="true" outlineLevel="0" collapsed="false">
      <c r="B55" s="24" t="n">
        <f aca="false">B26</f>
        <v>74</v>
      </c>
      <c r="C55" s="25" t="n">
        <f aca="false">IF($O$3="sell",-1,1) *  IF($K$3="call",  NORMDIST(I55,0,1,1),  NORMDIST(I55,0,1,1)-1  ) * $P$3</f>
        <v>-0.71428226356426</v>
      </c>
      <c r="D55" s="25" t="n">
        <f aca="false">IF($O$3="sell",-1,1) * NORMDIST(I55,0,1,0)/(B55*$H$3*SQRT($J$3)) * $P$3</f>
        <v>0.0469445504038817</v>
      </c>
      <c r="E55" s="25" t="n">
        <f aca="false">IF($O$3="sell",-1,1) * (B55*NORMDIST(I55,0,1,0)*SQRT($J$3)/365) * $P$3</f>
        <v>0.0494491657266198</v>
      </c>
      <c r="F55" s="25" t="n">
        <f aca="false">IF($O$3="sell",-1,1) * (-(B55*NORMDIST(I55,0,1,0)*$H$3)/(2*SQRT($J$3))/365) *$P$3</f>
        <v>-0.152050795918219</v>
      </c>
      <c r="G55" s="25" t="n">
        <f aca="false">IF($O$3="buy",1,-1)*( IF($K$3="call",B55*NORMDIST(I55,0,1,1) - $B$3*NORMDIST(J55,0,1,1),$B$3*NORMDIST(-J55,0,1,1) - B55*NORMDIST(-I55,0,1,1) ) - $G$3) * $P$3</f>
        <v>4.20377841663842</v>
      </c>
      <c r="I55" s="73" t="n">
        <f aca="false">(LN(B55/$B$3)+($H$3^2/2)*($J$3))/($H$3*SQRT($J$3))</f>
        <v>0.366110981412487</v>
      </c>
      <c r="J55" s="26" t="n">
        <f aca="false">I55 - $H$3*SQRT($J$3)</f>
        <v>0.151319358976944</v>
      </c>
      <c r="L55" s="2"/>
      <c r="M55" s="27"/>
      <c r="N55" s="27"/>
    </row>
    <row r="56" customFormat="false" ht="13.5" hidden="false" customHeight="true" outlineLevel="0" collapsed="false">
      <c r="B56" s="24" t="n">
        <f aca="false">B27</f>
        <v>73</v>
      </c>
      <c r="C56" s="25" t="n">
        <f aca="false">IF($O$3="sell",-1,1) *  IF($K$3="call",  NORMDIST(I56,0,1,1),  NORMDIST(I56,0,1,1)-1  ) * $P$3</f>
        <v>-0.762067063169536</v>
      </c>
      <c r="D56" s="25" t="n">
        <f aca="false">IF($O$3="sell",-1,1) * NORMDIST(I56,0,1,0)/(B56*$H$3*SQRT($J$3)) * $P$3</f>
        <v>0.0486065030015316</v>
      </c>
      <c r="E56" s="25" t="n">
        <f aca="false">IF($O$3="sell",-1,1) * (B56*NORMDIST(I56,0,1,0)*SQRT($J$3)/365) * $P$3</f>
        <v>0.049825359670798</v>
      </c>
      <c r="F56" s="25" t="n">
        <f aca="false">IF($O$3="sell",-1,1) * (-(B56*NORMDIST(I56,0,1,0)*$H$3)/(2*SQRT($J$3))/365) *$P$3</f>
        <v>-0.153207551301073</v>
      </c>
      <c r="G56" s="25" t="n">
        <f aca="false">IF($O$3="buy",1,-1)*( IF($K$3="call",B56*NORMDIST(I56,0,1,1) - $B$3*NORMDIST(J56,0,1,1),$B$3*NORMDIST(-J56,0,1,1) - B56*NORMDIST(-I56,0,1,1) ) - $G$3) * $P$3</f>
        <v>4.9418145522253</v>
      </c>
      <c r="I56" s="73" t="n">
        <f aca="false">(LN(B56/$B$3)+($H$3^2/2)*($J$3))/($H$3*SQRT($J$3))</f>
        <v>0.302767486440464</v>
      </c>
      <c r="J56" s="26" t="n">
        <f aca="false">I56 - $H$3*SQRT($J$3)</f>
        <v>0.0879758640049204</v>
      </c>
      <c r="L56" s="2"/>
      <c r="M56" s="27"/>
      <c r="N56" s="27"/>
    </row>
    <row r="57" customFormat="false" ht="13.5" hidden="false" customHeight="true" outlineLevel="0" collapsed="false">
      <c r="B57" s="24" t="n">
        <f aca="false">B28</f>
        <v>72</v>
      </c>
      <c r="C57" s="25" t="n">
        <f aca="false">IF($O$3="sell",-1,1) *  IF($K$3="call",  NORMDIST(I57,0,1,1),  NORMDIST(I57,0,1,1)-1  ) * $P$3</f>
        <v>-0.811454337933196</v>
      </c>
      <c r="D57" s="25" t="n">
        <f aca="false">IF($O$3="sell",-1,1) * NORMDIST(I57,0,1,0)/(B57*$H$3*SQRT($J$3)) * $P$3</f>
        <v>0.0501456420695234</v>
      </c>
      <c r="E57" s="25" t="n">
        <f aca="false">IF($O$3="sell",-1,1) * (B57*NORMDIST(I57,0,1,0)*SQRT($J$3)/365) * $P$3</f>
        <v>0.0500044361571148</v>
      </c>
      <c r="F57" s="25" t="n">
        <f aca="false">IF($O$3="sell",-1,1) * (-(B57*NORMDIST(I57,0,1,0)*$H$3)/(2*SQRT($J$3))/365) *$P$3</f>
        <v>-0.153758191981752</v>
      </c>
      <c r="G57" s="25" t="n">
        <f aca="false">IF($O$3="buy",1,-1)*( IF($K$3="call",B57*NORMDIST(I57,0,1,1) - $B$3*NORMDIST(J57,0,1,1),$B$3*NORMDIST(-J57,0,1,1) - B57*NORMDIST(-I57,0,1,1) ) - $G$3) * $P$3</f>
        <v>5.72844695868235</v>
      </c>
      <c r="I57" s="73" t="n">
        <f aca="false">(LN(B57/$B$3)+($H$3^2/2)*($J$3))/($H$3*SQRT($J$3))</f>
        <v>0.238550260573216</v>
      </c>
      <c r="J57" s="26" t="n">
        <f aca="false">I57 - $H$3*SQRT($J$3)</f>
        <v>0.0237586381376724</v>
      </c>
      <c r="L57" s="2"/>
      <c r="M57" s="27"/>
      <c r="N57" s="27"/>
    </row>
    <row r="58" customFormat="false" ht="13.5" hidden="false" customHeight="true" outlineLevel="0" collapsed="false">
      <c r="B58" s="24" t="n">
        <f aca="false">B29</f>
        <v>71</v>
      </c>
      <c r="C58" s="25" t="n">
        <f aca="false">IF($O$3="sell",-1,1) *  IF($K$3="call",  NORMDIST(I58,0,1,1),  NORMDIST(I58,0,1,1)-1  ) * $P$3</f>
        <v>-0.862309623909053</v>
      </c>
      <c r="D58" s="25" t="n">
        <f aca="false">IF($O$3="sell",-1,1) * NORMDIST(I58,0,1,0)/(B58*$H$3*SQRT($J$3)) * $P$3</f>
        <v>0.0515386051966414</v>
      </c>
      <c r="E58" s="25" t="n">
        <f aca="false">IF($O$3="sell",-1,1) * (B58*NORMDIST(I58,0,1,0)*SQRT($J$3)/365) * $P$3</f>
        <v>0.0499757941040429</v>
      </c>
      <c r="F58" s="25" t="n">
        <f aca="false">IF($O$3="sell",-1,1) * (-(B58*NORMDIST(I58,0,1,0)*$H$3)/(2*SQRT($J$3))/365) *$P$3</f>
        <v>-0.153670120789805</v>
      </c>
      <c r="G58" s="25" t="n">
        <f aca="false">IF($O$3="buy",1,-1)*( IF($K$3="call",B58*NORMDIST(I58,0,1,1) - $B$3*NORMDIST(J58,0,1,1),$B$3*NORMDIST(-J58,0,1,1) - B58*NORMDIST(-I58,0,1,1) ) - $G$3) * $P$3</f>
        <v>6.5652128265993</v>
      </c>
      <c r="I58" s="73" t="n">
        <f aca="false">(LN(B58/$B$3)+($H$3^2/2)*($J$3))/($H$3*SQRT($J$3))</f>
        <v>0.173434862606813</v>
      </c>
      <c r="J58" s="26" t="n">
        <f aca="false">I58 - $H$3*SQRT($J$3)</f>
        <v>-0.0413567598287308</v>
      </c>
      <c r="L58" s="2"/>
      <c r="M58" s="27"/>
      <c r="N58" s="27"/>
    </row>
    <row r="59" customFormat="false" ht="13.5" hidden="false" customHeight="true" outlineLevel="0" collapsed="false">
      <c r="B59" s="24" t="n">
        <f aca="false">B30</f>
        <v>70</v>
      </c>
      <c r="C59" s="25" t="n">
        <f aca="false">IF($O$3="sell",-1,1) *  IF($K$3="call",  NORMDIST(I59,0,1,1),  NORMDIST(I59,0,1,1)-1  ) * $P$3</f>
        <v>-0.914474977452753</v>
      </c>
      <c r="D59" s="25" t="n">
        <f aca="false">IF($O$3="sell",-1,1) * NORMDIST(I59,0,1,0)/(B59*$H$3*SQRT($J$3)) * $P$3</f>
        <v>0.0527618648409658</v>
      </c>
      <c r="E59" s="25" t="n">
        <f aca="false">IF($O$3="sell",-1,1) * (B59*NORMDIST(I59,0,1,0)*SQRT($J$3)/365) * $P$3</f>
        <v>0.0497309278818198</v>
      </c>
      <c r="F59" s="25" t="n">
        <f aca="false">IF($O$3="sell",-1,1) * (-(B59*NORMDIST(I59,0,1,0)*$H$3)/(2*SQRT($J$3))/365) *$P$3</f>
        <v>-0.152917183840609</v>
      </c>
      <c r="G59" s="25" t="n">
        <f aca="false">IF($O$3="buy",1,-1)*( IF($K$3="call",B59*NORMDIST(I59,0,1,1) - $B$3*NORMDIST(J59,0,1,1),$B$3*NORMDIST(-J59,0,1,1) - B59*NORMDIST(-I59,0,1,1) ) - $G$3) * $P$3</f>
        <v>7.45350315661461</v>
      </c>
      <c r="I59" s="73" t="n">
        <f aca="false">(LN(B59/$B$3)+($H$3^2/2)*($J$3))/($H$3*SQRT($J$3))</f>
        <v>0.107395811217772</v>
      </c>
      <c r="J59" s="26" t="n">
        <f aca="false">I59 - $H$3*SQRT($J$3)</f>
        <v>-0.107395811217772</v>
      </c>
      <c r="L59" s="2"/>
      <c r="M59" s="27"/>
      <c r="N59" s="27"/>
    </row>
    <row r="60" customFormat="false" ht="13.5" hidden="false" customHeight="true" outlineLevel="0" collapsed="false">
      <c r="B60" s="24" t="n">
        <f aca="false">B31</f>
        <v>69</v>
      </c>
      <c r="C60" s="25" t="n">
        <f aca="false">IF($O$3="sell",-1,1) *  IF($K$3="call",  NORMDIST(I60,0,1,1),  NORMDIST(I60,0,1,1)-1  ) * $P$3</f>
        <v>-0.967769028225748</v>
      </c>
      <c r="D60" s="25" t="n">
        <f aca="false">IF($O$3="sell",-1,1) * NORMDIST(I60,0,1,0)/(B60*$H$3*SQRT($J$3)) * $P$3</f>
        <v>0.05379217426934</v>
      </c>
      <c r="E60" s="25" t="n">
        <f aca="false">IF($O$3="sell",-1,1) * (B60*NORMDIST(I60,0,1,0)*SQRT($J$3)/365) * $P$3</f>
        <v>0.0492637679084078</v>
      </c>
      <c r="F60" s="25" t="n">
        <f aca="false">IF($O$3="sell",-1,1) * (-(B60*NORMDIST(I60,0,1,0)*$H$3)/(2*SQRT($J$3))/365) *$P$3</f>
        <v>-0.151480717830825</v>
      </c>
      <c r="G60" s="25" t="n">
        <f aca="false">IF($O$3="buy",1,-1)*( IF($K$3="call",B60*NORMDIST(I60,0,1,1) - $B$3*NORMDIST(J60,0,1,1),$B$3*NORMDIST(-J60,0,1,1) - B60*NORMDIST(-I60,0,1,1) ) - $G$3) * $P$3</f>
        <v>8.39453926905206</v>
      </c>
      <c r="I60" s="73" t="n">
        <f aca="false">(LN(B60/$B$3)+($H$3^2/2)*($J$3))/($H$3*SQRT($J$3))</f>
        <v>0.0404065250950441</v>
      </c>
      <c r="J60" s="26" t="n">
        <f aca="false">I60 - $H$3*SQRT($J$3)</f>
        <v>-0.1743850973405</v>
      </c>
      <c r="L60" s="2"/>
      <c r="M60" s="27"/>
      <c r="N60" s="27"/>
    </row>
    <row r="61" customFormat="false" ht="13.5" hidden="false" customHeight="true" outlineLevel="0" collapsed="false">
      <c r="B61" s="24" t="n">
        <f aca="false">B32</f>
        <v>68</v>
      </c>
      <c r="C61" s="25" t="n">
        <f aca="false">IF($O$3="sell",-1,1) *  IF($K$3="call",  NORMDIST(I61,0,1,1),  NORMDIST(I61,0,1,1)-1  ) * $P$3</f>
        <v>-1.02198750633302</v>
      </c>
      <c r="D61" s="25" t="n">
        <f aca="false">IF($O$3="sell",-1,1) * NORMDIST(I61,0,1,0)/(B61*$H$3*SQRT($J$3)) * $P$3</f>
        <v>0.0546070689727305</v>
      </c>
      <c r="E61" s="25" t="n">
        <f aca="false">IF($O$3="sell",-1,1) * (B61*NORMDIST(I61,0,1,0)*SQRT($J$3)/365) * $P$3</f>
        <v>0.0485709991251192</v>
      </c>
      <c r="F61" s="25" t="n">
        <f aca="false">IF($O$3="sell",-1,1) * (-(B61*NORMDIST(I61,0,1,0)*$H$3)/(2*SQRT($J$3))/365) *$P$3</f>
        <v>-0.149350529316247</v>
      </c>
      <c r="G61" s="25" t="n">
        <f aca="false">IF($O$3="buy",1,-1)*( IF($K$3="call",B61*NORMDIST(I61,0,1,1) - $B$3*NORMDIST(J61,0,1,1),$B$3*NORMDIST(-J61,0,1,1) - B61*NORMDIST(-I61,0,1,1) ) - $G$3) * $P$3</f>
        <v>9.38934959900116</v>
      </c>
      <c r="I61" s="73" t="n">
        <f aca="false">(LN(B61/$B$3)+($H$3^2/2)*($J$3))/($H$3*SQRT($J$3))</f>
        <v>-0.0275607412983818</v>
      </c>
      <c r="J61" s="26" t="n">
        <f aca="false">I61 - $H$3*SQRT($J$3)</f>
        <v>-0.242352363733926</v>
      </c>
      <c r="L61" s="2"/>
      <c r="M61" s="27"/>
      <c r="N61" s="27"/>
    </row>
    <row r="62" customFormat="false" ht="13.5" hidden="false" customHeight="true" outlineLevel="0" collapsed="false">
      <c r="B62" s="24" t="n">
        <f aca="false">B33</f>
        <v>67</v>
      </c>
      <c r="C62" s="25" t="n">
        <f aca="false">IF($O$3="sell",-1,1) *  IF($K$3="call",  NORMDIST(I62,0,1,1),  NORMDIST(I62,0,1,1)-1  ) * $P$3</f>
        <v>-1.07690429583291</v>
      </c>
      <c r="D62" s="25" t="n">
        <f aca="false">IF($O$3="sell",-1,1) * NORMDIST(I62,0,1,0)/(B62*$H$3*SQRT($J$3)) * $P$3</f>
        <v>0.0551854165725119</v>
      </c>
      <c r="E62" s="25" t="n">
        <f aca="false">IF($O$3="sell",-1,1) * (B62*NORMDIST(I62,0,1,0)*SQRT($J$3)/365) * $P$3</f>
        <v>0.0476523448388657</v>
      </c>
      <c r="F62" s="25" t="n">
        <f aca="false">IF($O$3="sell",-1,1) * (-(B62*NORMDIST(I62,0,1,0)*$H$3)/(2*SQRT($J$3))/365) *$P$3</f>
        <v>-0.14652576749578</v>
      </c>
      <c r="G62" s="25" t="n">
        <f aca="false">IF($O$3="buy",1,-1)*( IF($K$3="call",B62*NORMDIST(I62,0,1,1) - $B$3*NORMDIST(J62,0,1,1),$B$3*NORMDIST(-J62,0,1,1) - B62*NORMDIST(-I62,0,1,1) ) - $G$3) * $P$3</f>
        <v>10.4387472776759</v>
      </c>
      <c r="I62" s="73" t="n">
        <f aca="false">(LN(B62/$B$3)+($H$3^2/2)*($J$3))/($H$3*SQRT($J$3))</f>
        <v>-0.0965349667227761</v>
      </c>
      <c r="J62" s="26" t="n">
        <f aca="false">I62 - $H$3*SQRT($J$3)</f>
        <v>-0.31132658915832</v>
      </c>
      <c r="L62" s="2"/>
      <c r="M62" s="27"/>
      <c r="N62" s="27"/>
    </row>
    <row r="63" customFormat="false" ht="13.5" hidden="false" customHeight="true" outlineLevel="0" collapsed="false">
      <c r="B63" s="24" t="n">
        <f aca="false">B34</f>
        <v>66</v>
      </c>
      <c r="C63" s="25" t="n">
        <f aca="false">IF($O$3="sell",-1,1) *  IF($K$3="call",  NORMDIST(I63,0,1,1),  NORMDIST(I63,0,1,1)-1  ) * $P$3</f>
        <v>-1.13227305829561</v>
      </c>
      <c r="D63" s="25" t="n">
        <f aca="false">IF($O$3="sell",-1,1) * NORMDIST(I63,0,1,0)/(B63*$H$3*SQRT($J$3)) * $P$3</f>
        <v>0.0555080050351541</v>
      </c>
      <c r="E63" s="25" t="n">
        <f aca="false">IF($O$3="sell",-1,1) * (B63*NORMDIST(I63,0,1,0)*SQRT($J$3)/365) * $P$3</f>
        <v>0.0465108027659175</v>
      </c>
      <c r="F63" s="25" t="n">
        <f aca="false">IF($O$3="sell",-1,1) * (-(B63*NORMDIST(I63,0,1,0)*$H$3)/(2*SQRT($J$3))/365) *$P$3</f>
        <v>-0.14301565002028</v>
      </c>
      <c r="G63" s="25" t="n">
        <f aca="false">IF($O$3="buy",1,-1)*( IF($K$3="call",B63*NORMDIST(I63,0,1,1) - $B$3*NORMDIST(J63,0,1,1),$B$3*NORMDIST(-J63,0,1,1) - B63*NORMDIST(-I63,0,1,1) ) - $G$3) * $P$3</f>
        <v>11.5433090491105</v>
      </c>
      <c r="I63" s="73" t="n">
        <f aca="false">(LN(B63/$B$3)+($H$3^2/2)*($J$3))/($H$3*SQRT($J$3))</f>
        <v>-0.166546437347303</v>
      </c>
      <c r="J63" s="26" t="n">
        <f aca="false">I63 - $H$3*SQRT($J$3)</f>
        <v>-0.381338059782847</v>
      </c>
      <c r="L63" s="2"/>
      <c r="M63" s="27"/>
      <c r="N63" s="27"/>
    </row>
    <row r="64" customFormat="false" ht="13.5" hidden="false" customHeight="true" outlineLevel="0" collapsed="false">
      <c r="B64" s="24" t="n">
        <f aca="false">B35</f>
        <v>65</v>
      </c>
      <c r="C64" s="25" t="n">
        <f aca="false">IF($O$3="sell",-1,1) *  IF($K$3="call",  NORMDIST(I64,0,1,1),  NORMDIST(I64,0,1,1)-1  ) * $P$3</f>
        <v>-1.18782945821323</v>
      </c>
      <c r="D64" s="25" t="n">
        <f aca="false">IF($O$3="sell",-1,1) * NORMDIST(I64,0,1,0)/(B64*$H$3*SQRT($J$3)) * $P$3</f>
        <v>0.0555581556053242</v>
      </c>
      <c r="E64" s="25" t="n">
        <f aca="false">IF($O$3="sell",-1,1) * (B64*NORMDIST(I64,0,1,0)*SQRT($J$3)/365) * $P$3</f>
        <v>0.0451528199178218</v>
      </c>
      <c r="F64" s="25" t="n">
        <f aca="false">IF($O$3="sell",-1,1) * (-(B64*NORMDIST(I64,0,1,0)*$H$3)/(2*SQRT($J$3))/365) *$P$3</f>
        <v>-0.138840000747695</v>
      </c>
      <c r="G64" s="25" t="n">
        <f aca="false">IF($O$3="buy",1,-1)*( IF($K$3="call",B64*NORMDIST(I64,0,1,1) - $B$3*NORMDIST(J64,0,1,1),$B$3*NORMDIST(-J64,0,1,1) - B64*NORMDIST(-I64,0,1,1) ) - $G$3) * $P$3</f>
        <v>12.7033561092752</v>
      </c>
      <c r="I64" s="73" t="n">
        <f aca="false">(LN(B64/$B$3)+($H$3^2/2)*($J$3))/($H$3*SQRT($J$3))</f>
        <v>-0.237626826599309</v>
      </c>
      <c r="J64" s="26" t="n">
        <f aca="false">I64 - $H$3*SQRT($J$3)</f>
        <v>-0.452418449034853</v>
      </c>
      <c r="L64" s="2"/>
      <c r="M64" s="27"/>
      <c r="N64" s="27"/>
    </row>
    <row r="65" customFormat="false" ht="13.5" hidden="false" customHeight="true" outlineLevel="0" collapsed="false">
      <c r="B65" s="24" t="n">
        <f aca="false">B36</f>
        <v>64</v>
      </c>
      <c r="C65" s="25" t="n">
        <f aca="false">IF($O$3="sell",-1,1) *  IF($K$3="call",  NORMDIST(I65,0,1,1),  NORMDIST(I65,0,1,1)-1  ) * $P$3</f>
        <v>-1.24329400673245</v>
      </c>
      <c r="D65" s="25" t="n">
        <f aca="false">IF($O$3="sell",-1,1) * NORMDIST(I65,0,1,0)/(B65*$H$3*SQRT($J$3)) * $P$3</f>
        <v>0.0553223433841305</v>
      </c>
      <c r="E65" s="25" t="n">
        <f aca="false">IF($O$3="sell",-1,1) * (B65*NORMDIST(I65,0,1,0)*SQRT($J$3)/365) * $P$3</f>
        <v>0.0435883933361118</v>
      </c>
      <c r="F65" s="25" t="n">
        <f aca="false">IF($O$3="sell",-1,1) * (-(B65*NORMDIST(I65,0,1,0)*$H$3)/(2*SQRT($J$3))/365) *$P$3</f>
        <v>-0.134029559491321</v>
      </c>
      <c r="G65" s="25" t="n">
        <f aca="false">IF($O$3="buy",1,-1)*( IF($K$3="call",B65*NORMDIST(I65,0,1,1) - $B$3*NORMDIST(J65,0,1,1),$B$3*NORMDIST(-J65,0,1,1) - B65*NORMDIST(-I65,0,1,1) ) - $G$3) * $P$3</f>
        <v>13.9189374791208</v>
      </c>
      <c r="I65" s="73" t="n">
        <f aca="false">(LN(B65/$B$3)+($H$3^2/2)*($J$3))/($H$3*SQRT($J$3))</f>
        <v>-0.309809281204204</v>
      </c>
      <c r="J65" s="26" t="n">
        <f aca="false">I65 - $H$3*SQRT($J$3)</f>
        <v>-0.524600903639748</v>
      </c>
      <c r="L65" s="2"/>
      <c r="M65" s="27"/>
      <c r="N65" s="27"/>
    </row>
    <row r="66" customFormat="false" ht="13.5" hidden="false" customHeight="true" outlineLevel="0" collapsed="false">
      <c r="B66" s="24" t="n">
        <f aca="false">B37</f>
        <v>63</v>
      </c>
      <c r="C66" s="25" t="n">
        <f aca="false">IF($O$3="sell",-1,1) *  IF($K$3="call",  NORMDIST(I66,0,1,1),  NORMDIST(I66,0,1,1)-1  ) * $P$3</f>
        <v>-1.29837552139826</v>
      </c>
      <c r="D66" s="25" t="n">
        <f aca="false">IF($O$3="sell",-1,1) * NORMDIST(I66,0,1,0)/(B66*$H$3*SQRT($J$3)) * $P$3</f>
        <v>0.0547908050945587</v>
      </c>
      <c r="E66" s="25" t="n">
        <f aca="false">IF($O$3="sell",-1,1) * (B66*NORMDIST(I66,0,1,0)*SQRT($J$3)/365) * $P$3</f>
        <v>0.0418310847013366</v>
      </c>
      <c r="F66" s="25" t="n">
        <f aca="false">IF($O$3="sell",-1,1) * (-(B66*NORMDIST(I66,0,1,0)*$H$3)/(2*SQRT($J$3))/365) *$P$3</f>
        <v>-0.12862602694097</v>
      </c>
      <c r="G66" s="25" t="n">
        <f aca="false">IF($O$3="buy",1,-1)*( IF($K$3="call",B66*NORMDIST(I66,0,1,1) - $B$3*NORMDIST(J66,0,1,1),$B$3*NORMDIST(-J66,0,1,1) - B66*NORMDIST(-I66,0,1,1) ) - $G$3) * $P$3</f>
        <v>15.1898165304252</v>
      </c>
      <c r="I66" s="73" t="n">
        <f aca="false">(LN(B66/$B$3)+($H$3^2/2)*($J$3))/($H$3*SQRT($J$3))</f>
        <v>-0.383128514000935</v>
      </c>
      <c r="J66" s="26" t="n">
        <f aca="false">I66 - $H$3*SQRT($J$3)</f>
        <v>-0.597920136436479</v>
      </c>
      <c r="L66" s="2"/>
      <c r="M66" s="27"/>
      <c r="N66" s="27"/>
    </row>
    <row r="67" customFormat="false" ht="13.5" hidden="false" customHeight="true" outlineLevel="0" collapsed="false">
      <c r="B67" s="24" t="n">
        <f aca="false">B38</f>
        <v>62</v>
      </c>
      <c r="C67" s="25" t="n">
        <f aca="false">IF($O$3="sell",-1,1) *  IF($K$3="call",  NORMDIST(I67,0,1,1),  NORMDIST(I67,0,1,1)-1  ) * $P$3</f>
        <v>-1.35277517756796</v>
      </c>
      <c r="D67" s="25" t="n">
        <f aca="false">IF($O$3="sell",-1,1) * NORMDIST(I67,0,1,0)/(B67*$H$3*SQRT($J$3)) * $P$3</f>
        <v>0.0539581105041387</v>
      </c>
      <c r="E67" s="25" t="n">
        <f aca="false">IF($O$3="sell",-1,1) * (B67*NORMDIST(I67,0,1,0)*SQRT($J$3)/365) * $P$3</f>
        <v>0.0398979385880263</v>
      </c>
      <c r="F67" s="25" t="n">
        <f aca="false">IF($O$3="sell",-1,1) * (-(B67*NORMDIST(I67,0,1,0)*$H$3)/(2*SQRT($J$3))/365) *$P$3</f>
        <v>-0.122681813305899</v>
      </c>
      <c r="G67" s="25" t="n">
        <f aca="false">IF($O$3="buy",1,-1)*( IF($K$3="call",B67*NORMDIST(I67,0,1,1) - $B$3*NORMDIST(J67,0,1,1),$B$3*NORMDIST(-J67,0,1,1) - B67*NORMDIST(-I67,0,1,1) ) - $G$3) * $P$3</f>
        <v>16.5154612702444</v>
      </c>
      <c r="I67" s="73" t="n">
        <f aca="false">(LN(B67/$B$3)+($H$3^2/2)*($J$3))/($H$3*SQRT($J$3))</f>
        <v>-0.457620904183623</v>
      </c>
      <c r="J67" s="26" t="n">
        <f aca="false">I67 - $H$3*SQRT($J$3)</f>
        <v>-0.672412526619167</v>
      </c>
      <c r="L67" s="2"/>
      <c r="M67" s="27"/>
      <c r="N67" s="27"/>
    </row>
    <row r="68" customFormat="false" ht="13.5" hidden="false" customHeight="true" outlineLevel="0" collapsed="false">
      <c r="B68" s="24" t="n">
        <f aca="false">B39</f>
        <v>61</v>
      </c>
      <c r="C68" s="25" t="n">
        <f aca="false">IF($O$3="sell",-1,1) *  IF($K$3="call",  NORMDIST(I68,0,1,1),  NORMDIST(I68,0,1,1)-1  ) * $P$3</f>
        <v>-1.40619110231107</v>
      </c>
      <c r="D68" s="25" t="n">
        <f aca="false">IF($O$3="sell",-1,1) * NORMDIST(I68,0,1,0)/(B68*$H$3*SQRT($J$3)) * $P$3</f>
        <v>0.0528236714651783</v>
      </c>
      <c r="E68" s="25" t="n">
        <f aca="false">IF($O$3="sell",-1,1) * (B68*NORMDIST(I68,0,1,0)*SQRT($J$3)/365) * $P$3</f>
        <v>0.0378092966565908</v>
      </c>
      <c r="F68" s="25" t="n">
        <f aca="false">IF($O$3="sell",-1,1) * (-(B68*NORMDIST(I68,0,1,0)*$H$3)/(2*SQRT($J$3))/365) *$P$3</f>
        <v>-0.11625946697515</v>
      </c>
      <c r="G68" s="25" t="n">
        <f aca="false">IF($O$3="buy",1,-1)*( IF($K$3="call",B68*NORMDIST(I68,0,1,1) - $B$3*NORMDIST(J68,0,1,1),$B$3*NORMDIST(-J68,0,1,1) - B68*NORMDIST(-I68,0,1,1) ) - $G$3) * $P$3</f>
        <v>17.8950389532152</v>
      </c>
      <c r="I68" s="73" t="n">
        <f aca="false">(LN(B68/$B$3)+($H$3^2/2)*($J$3))/($H$3*SQRT($J$3))</f>
        <v>-0.533324605693955</v>
      </c>
      <c r="J68" s="26" t="n">
        <f aca="false">I68 - $H$3*SQRT($J$3)</f>
        <v>-0.748116228129498</v>
      </c>
      <c r="L68" s="2"/>
      <c r="M68" s="27"/>
      <c r="N68" s="27"/>
    </row>
    <row r="69" customFormat="false" ht="13.5" hidden="false" customHeight="true" outlineLevel="0" collapsed="false">
      <c r="B69" s="24" t="n">
        <f aca="false">B40</f>
        <v>60</v>
      </c>
      <c r="C69" s="25" t="n">
        <f aca="false">IF($O$3="sell",-1,1) *  IF($K$3="call",  NORMDIST(I69,0,1,1),  NORMDIST(I69,0,1,1)-1  ) * $P$3</f>
        <v>-1.45832343465447</v>
      </c>
      <c r="D69" s="25" t="n">
        <f aca="false">IF($O$3="sell",-1,1) * NORMDIST(I69,0,1,0)/(B69*$H$3*SQRT($J$3)) * $P$3</f>
        <v>0.0513921608623614</v>
      </c>
      <c r="E69" s="25" t="n">
        <f aca="false">IF($O$3="sell",-1,1) * (B69*NORMDIST(I69,0,1,0)*SQRT($J$3)/365) * $P$3</f>
        <v>0.0355885033734895</v>
      </c>
      <c r="F69" s="25" t="n">
        <f aca="false">IF($O$3="sell",-1,1) * (-(B69*NORMDIST(I69,0,1,0)*$H$3)/(2*SQRT($J$3))/365) *$P$3</f>
        <v>-0.109430769639138</v>
      </c>
      <c r="G69" s="25" t="n">
        <f aca="false">IF($O$3="buy",1,-1)*( IF($K$3="call",B69*NORMDIST(I69,0,1,1) - $B$3*NORMDIST(J69,0,1,1),$B$3*NORMDIST(-J69,0,1,1) - B69*NORMDIST(-I69,0,1,1) ) - $G$3) * $P$3</f>
        <v>19.3274155284393</v>
      </c>
      <c r="I69" s="73" t="n">
        <f aca="false">(LN(B69/$B$3)+($H$3^2/2)*($J$3))/($H$3*SQRT($J$3))</f>
        <v>-0.610279664572803</v>
      </c>
      <c r="J69" s="26" t="n">
        <f aca="false">I69 - $H$3*SQRT($J$3)</f>
        <v>-0.825071287008347</v>
      </c>
      <c r="L69" s="2"/>
      <c r="M69" s="27"/>
      <c r="N69" s="27"/>
    </row>
    <row r="70" customFormat="false" ht="13.5" hidden="false" customHeight="true" outlineLevel="0" collapsed="false">
      <c r="B70" s="24" t="n">
        <f aca="false">B41</f>
        <v>59</v>
      </c>
      <c r="C70" s="25" t="n">
        <f aca="false">IF($O$3="sell",-1,1) *  IF($K$3="call",  NORMDIST(I70,0,1,1),  NORMDIST(I70,0,1,1)-1  ) * $P$3</f>
        <v>-1.50887974794485</v>
      </c>
      <c r="D70" s="25" t="n">
        <f aca="false">IF($O$3="sell",-1,1) * NORMDIST(I70,0,1,0)/(B70*$H$3*SQRT($J$3)) * $P$3</f>
        <v>0.0496738132168889</v>
      </c>
      <c r="E70" s="25" t="n">
        <f aca="false">IF($O$3="sell",-1,1) * (B70*NORMDIST(I70,0,1,0)*SQRT($J$3)/365) * $P$3</f>
        <v>0.0332615028914467</v>
      </c>
      <c r="F70" s="25" t="n">
        <f aca="false">IF($O$3="sell",-1,1) * (-(B70*NORMDIST(I70,0,1,0)*$H$3)/(2*SQRT($J$3))/365) *$P$3</f>
        <v>-0.102275496740243</v>
      </c>
      <c r="G70" s="25" t="n">
        <f aca="false">IF($O$3="buy",1,-1)*( IF($K$3="call",B70*NORMDIST(I70,0,1,1) - $B$3*NORMDIST(J70,0,1,1),$B$3*NORMDIST(-J70,0,1,1) - B70*NORMDIST(-I70,0,1,1) ) - $G$3) * $P$3</f>
        <v>20.8111603375322</v>
      </c>
      <c r="I70" s="73" t="n">
        <f aca="false">(LN(B70/$B$3)+($H$3^2/2)*($J$3))/($H$3*SQRT($J$3))</f>
        <v>-0.688528146174663</v>
      </c>
      <c r="J70" s="26" t="n">
        <f aca="false">I70 - $H$3*SQRT($J$3)</f>
        <v>-0.903319768610206</v>
      </c>
      <c r="L70" s="2"/>
      <c r="M70" s="27"/>
      <c r="N70" s="27"/>
    </row>
    <row r="71" customFormat="false" ht="13.5" hidden="false" customHeight="true" outlineLevel="0" collapsed="false">
      <c r="B71" s="24" t="n">
        <f aca="false">B42</f>
        <v>58</v>
      </c>
      <c r="C71" s="25" t="n">
        <f aca="false">IF($O$3="sell",-1,1) *  IF($K$3="call",  NORMDIST(I71,0,1,1),  NORMDIST(I71,0,1,1)-1  ) * $P$3</f>
        <v>-1.55758070215819</v>
      </c>
      <c r="D71" s="25" t="n">
        <f aca="false">IF($O$3="sell",-1,1) * NORMDIST(I71,0,1,0)/(B71*$H$3*SQRT($J$3)) * $P$3</f>
        <v>0.0476845795715324</v>
      </c>
      <c r="E71" s="25" t="n">
        <f aca="false">IF($O$3="sell",-1,1) * (B71*NORMDIST(I71,0,1,0)*SQRT($J$3)/365) * $P$3</f>
        <v>0.0308563314038192</v>
      </c>
      <c r="F71" s="25" t="n">
        <f aca="false">IF($O$3="sell",-1,1) * (-(B71*NORMDIST(I71,0,1,0)*$H$3)/(2*SQRT($J$3))/365) *$P$3</f>
        <v>-0.0948798565178089</v>
      </c>
      <c r="G71" s="25" t="n">
        <f aca="false">IF($O$3="buy",1,-1)*( IF($K$3="call",B71*NORMDIST(I71,0,1,1) - $B$3*NORMDIST(J71,0,1,1),$B$3*NORMDIST(-J71,0,1,1) - B71*NORMDIST(-I71,0,1,1) ) - $G$3) * $P$3</f>
        <v>22.3445563621566</v>
      </c>
      <c r="I71" s="73" t="n">
        <f aca="false">(LN(B71/$B$3)+($H$3^2/2)*($J$3))/($H$3*SQRT($J$3))</f>
        <v>-0.768114273256643</v>
      </c>
      <c r="J71" s="26" t="n">
        <f aca="false">I71 - $H$3*SQRT($J$3)</f>
        <v>-0.982905895692187</v>
      </c>
      <c r="L71" s="2"/>
      <c r="M71" s="27"/>
      <c r="N71" s="27"/>
    </row>
    <row r="72" customFormat="false" ht="13.5" hidden="false" customHeight="true" outlineLevel="0" collapsed="false">
      <c r="B72" s="24" t="n">
        <f aca="false">B43</f>
        <v>57</v>
      </c>
      <c r="C72" s="25" t="n">
        <f aca="false">IF($O$3="sell",-1,1) *  IF($K$3="call",  NORMDIST(I72,0,1,1),  NORMDIST(I72,0,1,1)-1  ) * $P$3</f>
        <v>-1.60416576773549</v>
      </c>
      <c r="D72" s="25" t="n">
        <f aca="false">IF($O$3="sell",-1,1) * NORMDIST(I72,0,1,0)/(B72*$H$3*SQRT($J$3)) * $P$3</f>
        <v>0.0454461118287512</v>
      </c>
      <c r="E72" s="25" t="n">
        <f aca="false">IF($O$3="sell",-1,1) * (B72*NORMDIST(I72,0,1,0)*SQRT($J$3)/365) * $P$3</f>
        <v>0.0284025144493564</v>
      </c>
      <c r="F72" s="25" t="n">
        <f aca="false">IF($O$3="sell",-1,1) * (-(B72*NORMDIST(I72,0,1,0)*$H$3)/(2*SQRT($J$3))/365) *$P$3</f>
        <v>-0.0873346367859656</v>
      </c>
      <c r="G72" s="25" t="n">
        <f aca="false">IF($O$3="buy",1,-1)*( IF($K$3="call",B72*NORMDIST(I72,0,1,1) - $B$3*NORMDIST(J72,0,1,1),$B$3*NORMDIST(-J72,0,1,1) - B72*NORMDIST(-I72,0,1,1) ) - $G$3) * $P$3</f>
        <v>23.9256161738461</v>
      </c>
      <c r="I72" s="73" t="n">
        <f aca="false">(LN(B72/$B$3)+($H$3^2/2)*($J$3))/($H$3*SQRT($J$3))</f>
        <v>-0.849084576076942</v>
      </c>
      <c r="J72" s="26" t="n">
        <f aca="false">I72 - $H$3*SQRT($J$3)</f>
        <v>-1.06387619851249</v>
      </c>
      <c r="L72" s="2"/>
      <c r="M72" s="27"/>
      <c r="N72" s="27"/>
    </row>
    <row r="74" customFormat="false" ht="17.25" hidden="false" customHeight="true" outlineLevel="0" collapsed="false">
      <c r="B74" s="23"/>
      <c r="C74" s="19" t="s">
        <v>13</v>
      </c>
      <c r="D74" s="19" t="s">
        <v>14</v>
      </c>
      <c r="E74" s="19" t="s">
        <v>15</v>
      </c>
      <c r="F74" s="19" t="s">
        <v>16</v>
      </c>
      <c r="G74" s="19" t="s">
        <v>17</v>
      </c>
      <c r="I74" s="19" t="s">
        <v>158</v>
      </c>
      <c r="J74" s="19" t="s">
        <v>159</v>
      </c>
    </row>
    <row r="75" customFormat="false" ht="13.5" hidden="false" customHeight="true" outlineLevel="0" collapsed="false">
      <c r="A75" s="2" t="str">
        <f aca="false">A4</f>
        <v>SOL-8MAY26-60-P-USDT</v>
      </c>
      <c r="B75" s="29" t="n">
        <f aca="false">B46</f>
        <v>83</v>
      </c>
      <c r="C75" s="25" t="n">
        <f aca="false">IF($O$4="sell",-1,1) *  IF($K$4="call",  NORMDIST(I75,0,1,1),  NORMDIST(I75,0,1,1)-1  ) * $P$4</f>
        <v>-0</v>
      </c>
      <c r="D75" s="25" t="n">
        <f aca="false">IF($O$4="sell",-1,1) * NORMDIST(I75,0,1,0)/(B75*$H$4*SQRT($J$4)) * $P$4</f>
        <v>0</v>
      </c>
      <c r="E75" s="25" t="n">
        <f aca="false">IF($O$4="sell",-1,1) * (B75*NORMDIST(I75,0,1,0)*SQRT($J$4)/365) * $P$4</f>
        <v>0</v>
      </c>
      <c r="F75" s="25" t="n">
        <f aca="false">IF($O$4="sell",-1,1) * (-(B75*NORMDIST(I75,0,1,0)*$H$4)/(2*SQRT($J$4))/365) *$P$4</f>
        <v>-0</v>
      </c>
      <c r="G75" s="25" t="n">
        <f aca="false">IF($O$4="buy",1,-1)*( IF($K$4="call",B75*NORMDIST(I75,0,1,1) - $B$4*NORMDIST(J75,0,1,1),$B$4*NORMDIST(-J75,0,1,1) - B75*NORMDIST(-I75,0,1,1) ) - $G$4) * $P$4</f>
        <v>-0</v>
      </c>
      <c r="I75" s="26" t="n">
        <f aca="false">(LN(B75/$B$4)+($H$4^2/2)*($J$4))/($H$4*SQRT($J$4))</f>
        <v>1.95952540756623</v>
      </c>
      <c r="J75" s="26" t="n">
        <f aca="false">I75 - $H$4*SQRT($J$4)</f>
        <v>1.78626642238738</v>
      </c>
    </row>
    <row r="76" customFormat="false" ht="13.5" hidden="false" customHeight="true" outlineLevel="0" collapsed="false">
      <c r="B76" s="29" t="n">
        <f aca="false">B47</f>
        <v>82</v>
      </c>
      <c r="C76" s="25" t="n">
        <f aca="false">IF($O$4="sell",-1,1) *  IF($K$4="call",  NORMDIST(I76,0,1,1),  NORMDIST(I76,0,1,1)-1  ) * $P$4</f>
        <v>-0</v>
      </c>
      <c r="D76" s="25" t="n">
        <f aca="false">IF($O$4="sell",-1,1) * NORMDIST(I76,0,1,0)/(B76*$H$4*SQRT($J$4)) * $P$4</f>
        <v>0</v>
      </c>
      <c r="E76" s="25" t="n">
        <f aca="false">IF($O$4="sell",-1,1) * (B76*NORMDIST(I76,0,1,0)*SQRT($J$4)/365) * $P$4</f>
        <v>0</v>
      </c>
      <c r="F76" s="25" t="n">
        <f aca="false">IF($O$4="sell",-1,1) * (-(B76*NORMDIST(I76,0,1,0)*$H$4)/(2*SQRT($J$4))/365) *$P$4</f>
        <v>-0</v>
      </c>
      <c r="G76" s="25" t="n">
        <f aca="false">IF($O$4="buy",1,-1)*( IF($K$4="call",B76*NORMDIST(I76,0,1,1) - $B$4*NORMDIST(J76,0,1,1),$B$4*NORMDIST(-J76,0,1,1) - B76*NORMDIST(-I76,0,1,1) ) - $G$4) * $P$4</f>
        <v>-0</v>
      </c>
      <c r="I76" s="26" t="n">
        <f aca="false">(LN(B76/$B$4)+($H$4^2/2)*($J$4))/($H$4*SQRT($J$4))</f>
        <v>1.88956447295824</v>
      </c>
      <c r="J76" s="26" t="n">
        <f aca="false">I76 - $H$4*SQRT($J$4)</f>
        <v>1.71630548777938</v>
      </c>
    </row>
    <row r="77" customFormat="false" ht="13.5" hidden="false" customHeight="true" outlineLevel="0" collapsed="false">
      <c r="B77" s="29" t="n">
        <f aca="false">B48</f>
        <v>81</v>
      </c>
      <c r="C77" s="25" t="n">
        <f aca="false">IF($O$4="sell",-1,1) *  IF($K$4="call",  NORMDIST(I77,0,1,1),  NORMDIST(I77,0,1,1)-1  ) * $P$4</f>
        <v>-0</v>
      </c>
      <c r="D77" s="25" t="n">
        <f aca="false">IF($O$4="sell",-1,1) * NORMDIST(I77,0,1,0)/(B77*$H$4*SQRT($J$4)) * $P$4</f>
        <v>0</v>
      </c>
      <c r="E77" s="25" t="n">
        <f aca="false">IF($O$4="sell",-1,1) * (B77*NORMDIST(I77,0,1,0)*SQRT($J$4)/365) * $P$4</f>
        <v>0</v>
      </c>
      <c r="F77" s="25" t="n">
        <f aca="false">IF($O$4="sell",-1,1) * (-(B77*NORMDIST(I77,0,1,0)*$H$4)/(2*SQRT($J$4))/365) *$P$4</f>
        <v>-0</v>
      </c>
      <c r="G77" s="25" t="n">
        <f aca="false">IF($O$4="buy",1,-1)*( IF($K$4="call",B77*NORMDIST(I77,0,1,1) - $B$4*NORMDIST(J77,0,1,1),$B$4*NORMDIST(-J77,0,1,1) - B77*NORMDIST(-I77,0,1,1) ) - $G$4) * $P$4</f>
        <v>-0</v>
      </c>
      <c r="I77" s="26" t="n">
        <f aca="false">(LN(B77/$B$4)+($H$4^2/2)*($J$4))/($H$4*SQRT($J$4))</f>
        <v>1.81874510056524</v>
      </c>
      <c r="J77" s="26" t="n">
        <f aca="false">I77 - $H$4*SQRT($J$4)</f>
        <v>1.64548611538638</v>
      </c>
    </row>
    <row r="78" customFormat="false" ht="13.5" hidden="false" customHeight="true" outlineLevel="0" collapsed="false">
      <c r="B78" s="29" t="n">
        <f aca="false">B49</f>
        <v>80</v>
      </c>
      <c r="C78" s="25" t="n">
        <f aca="false">IF($O$4="sell",-1,1) *  IF($K$4="call",  NORMDIST(I78,0,1,1),  NORMDIST(I78,0,1,1)-1  ) * $P$4</f>
        <v>-0</v>
      </c>
      <c r="D78" s="25" t="n">
        <f aca="false">IF($O$4="sell",-1,1) * NORMDIST(I78,0,1,0)/(B78*$H$4*SQRT($J$4)) * $P$4</f>
        <v>0</v>
      </c>
      <c r="E78" s="25" t="n">
        <f aca="false">IF($O$4="sell",-1,1) * (B78*NORMDIST(I78,0,1,0)*SQRT($J$4)/365) * $P$4</f>
        <v>0</v>
      </c>
      <c r="F78" s="25" t="n">
        <f aca="false">IF($O$4="sell",-1,1) * (-(B78*NORMDIST(I78,0,1,0)*$H$4)/(2*SQRT($J$4))/365) *$P$4</f>
        <v>-0</v>
      </c>
      <c r="G78" s="25" t="n">
        <f aca="false">IF($O$4="buy",1,-1)*( IF($K$4="call",B78*NORMDIST(I78,0,1,1) - $B$4*NORMDIST(J78,0,1,1),$B$4*NORMDIST(-J78,0,1,1) - B78*NORMDIST(-I78,0,1,1) ) - $G$4) * $P$4</f>
        <v>-0</v>
      </c>
      <c r="I78" s="26" t="n">
        <f aca="false">(LN(B78/$B$4)+($H$4^2/2)*($J$4))/($H$4*SQRT($J$4))</f>
        <v>1.74704596192758</v>
      </c>
      <c r="J78" s="26" t="n">
        <f aca="false">I78 - $H$4*SQRT($J$4)</f>
        <v>1.57378697674873</v>
      </c>
    </row>
    <row r="79" customFormat="false" ht="13.5" hidden="false" customHeight="true" outlineLevel="0" collapsed="false">
      <c r="B79" s="29" t="n">
        <f aca="false">B50</f>
        <v>79</v>
      </c>
      <c r="C79" s="25" t="n">
        <f aca="false">IF($O$4="sell",-1,1) *  IF($K$4="call",  NORMDIST(I79,0,1,1),  NORMDIST(I79,0,1,1)-1  ) * $P$4</f>
        <v>-0</v>
      </c>
      <c r="D79" s="25" t="n">
        <f aca="false">IF($O$4="sell",-1,1) * NORMDIST(I79,0,1,0)/(B79*$H$4*SQRT($J$4)) * $P$4</f>
        <v>0</v>
      </c>
      <c r="E79" s="25" t="n">
        <f aca="false">IF($O$4="sell",-1,1) * (B79*NORMDIST(I79,0,1,0)*SQRT($J$4)/365) * $P$4</f>
        <v>0</v>
      </c>
      <c r="F79" s="25" t="n">
        <f aca="false">IF($O$4="sell",-1,1) * (-(B79*NORMDIST(I79,0,1,0)*$H$4)/(2*SQRT($J$4))/365) *$P$4</f>
        <v>-0</v>
      </c>
      <c r="G79" s="25" t="n">
        <f aca="false">IF($O$4="buy",1,-1)*( IF($K$4="call",B79*NORMDIST(I79,0,1,1) - $B$4*NORMDIST(J79,0,1,1),$B$4*NORMDIST(-J79,0,1,1) - B79*NORMDIST(-I79,0,1,1) ) - $G$4) * $P$4</f>
        <v>-0</v>
      </c>
      <c r="I79" s="26" t="n">
        <f aca="false">(LN(B79/$B$4)+($H$4^2/2)*($J$4))/($H$4*SQRT($J$4))</f>
        <v>1.67444492369643</v>
      </c>
      <c r="J79" s="26" t="n">
        <f aca="false">I79 - $H$4*SQRT($J$4)</f>
        <v>1.50118593851758</v>
      </c>
    </row>
    <row r="80" customFormat="false" ht="13.5" hidden="false" customHeight="true" outlineLevel="0" collapsed="false">
      <c r="B80" s="29" t="n">
        <f aca="false">B51</f>
        <v>78</v>
      </c>
      <c r="C80" s="25" t="n">
        <f aca="false">IF($O$4="sell",-1,1) *  IF($K$4="call",  NORMDIST(I80,0,1,1),  NORMDIST(I80,0,1,1)-1  ) * $P$4</f>
        <v>-0</v>
      </c>
      <c r="D80" s="25" t="n">
        <f aca="false">IF($O$4="sell",-1,1) * NORMDIST(I80,0,1,0)/(B80*$H$4*SQRT($J$4)) * $P$4</f>
        <v>0</v>
      </c>
      <c r="E80" s="25" t="n">
        <f aca="false">IF($O$4="sell",-1,1) * (B80*NORMDIST(I80,0,1,0)*SQRT($J$4)/365) * $P$4</f>
        <v>0</v>
      </c>
      <c r="F80" s="25" t="n">
        <f aca="false">IF($O$4="sell",-1,1) * (-(B80*NORMDIST(I80,0,1,0)*$H$4)/(2*SQRT($J$4))/365) *$P$4</f>
        <v>-0</v>
      </c>
      <c r="G80" s="25" t="n">
        <f aca="false">IF($O$4="buy",1,-1)*( IF($K$4="call",B80*NORMDIST(I80,0,1,1) - $B$4*NORMDIST(J80,0,1,1),$B$4*NORMDIST(-J80,0,1,1) - B80*NORMDIST(-I80,0,1,1) ) - $G$4) * $P$4</f>
        <v>-0</v>
      </c>
      <c r="I80" s="26" t="n">
        <f aca="false">(LN(B80/$B$4)+($H$4^2/2)*($J$4))/($H$4*SQRT($J$4))</f>
        <v>1.60091900661756</v>
      </c>
      <c r="J80" s="26" t="n">
        <f aca="false">I80 - $H$4*SQRT($J$4)</f>
        <v>1.42766002143871</v>
      </c>
    </row>
    <row r="81" customFormat="false" ht="13.5" hidden="false" customHeight="true" outlineLevel="0" collapsed="false">
      <c r="B81" s="29" t="n">
        <f aca="false">B52</f>
        <v>77</v>
      </c>
      <c r="C81" s="25" t="n">
        <f aca="false">IF($O$4="sell",-1,1) *  IF($K$4="call",  NORMDIST(I81,0,1,1),  NORMDIST(I81,0,1,1)-1  ) * $P$4</f>
        <v>-0</v>
      </c>
      <c r="D81" s="25" t="n">
        <f aca="false">IF($O$4="sell",-1,1) * NORMDIST(I81,0,1,0)/(B81*$H$4*SQRT($J$4)) * $P$4</f>
        <v>0</v>
      </c>
      <c r="E81" s="25" t="n">
        <f aca="false">IF($O$4="sell",-1,1) * (B81*NORMDIST(I81,0,1,0)*SQRT($J$4)/365) * $P$4</f>
        <v>0</v>
      </c>
      <c r="F81" s="25" t="n">
        <f aca="false">IF($O$4="sell",-1,1) * (-(B81*NORMDIST(I81,0,1,0)*$H$4)/(2*SQRT($J$4))/365) *$P$4</f>
        <v>-0</v>
      </c>
      <c r="G81" s="25" t="n">
        <f aca="false">IF($O$4="buy",1,-1)*( IF($K$4="call",B81*NORMDIST(I81,0,1,1) - $B$4*NORMDIST(J81,0,1,1),$B$4*NORMDIST(-J81,0,1,1) - B81*NORMDIST(-I81,0,1,1) ) - $G$4) * $P$4</f>
        <v>-0</v>
      </c>
      <c r="I81" s="26" t="n">
        <f aca="false">(LN(B81/$B$4)+($H$4^2/2)*($J$4))/($H$4*SQRT($J$4))</f>
        <v>1.52644434186879</v>
      </c>
      <c r="J81" s="26" t="n">
        <f aca="false">I81 - $H$4*SQRT($J$4)</f>
        <v>1.35318535668994</v>
      </c>
    </row>
    <row r="82" customFormat="false" ht="13.5" hidden="false" customHeight="true" outlineLevel="0" collapsed="false">
      <c r="B82" s="29" t="n">
        <f aca="false">B53</f>
        <v>76</v>
      </c>
      <c r="C82" s="25" t="n">
        <f aca="false">IF($O$4="sell",-1,1) *  IF($K$4="call",  NORMDIST(I82,0,1,1),  NORMDIST(I82,0,1,1)-1  ) * $P$4</f>
        <v>-0</v>
      </c>
      <c r="D82" s="25" t="n">
        <f aca="false">IF($O$4="sell",-1,1) * NORMDIST(I82,0,1,0)/(B82*$H$4*SQRT($J$4)) * $P$4</f>
        <v>0</v>
      </c>
      <c r="E82" s="25" t="n">
        <f aca="false">IF($O$4="sell",-1,1) * (B82*NORMDIST(I82,0,1,0)*SQRT($J$4)/365) * $P$4</f>
        <v>0</v>
      </c>
      <c r="F82" s="25" t="n">
        <f aca="false">IF($O$4="sell",-1,1) * (-(B82*NORMDIST(I82,0,1,0)*$H$4)/(2*SQRT($J$4))/365) *$P$4</f>
        <v>-0</v>
      </c>
      <c r="G82" s="25" t="n">
        <f aca="false">IF($O$4="buy",1,-1)*( IF($K$4="call",B82*NORMDIST(I82,0,1,1) - $B$4*NORMDIST(J82,0,1,1),$B$4*NORMDIST(-J82,0,1,1) - B82*NORMDIST(-I82,0,1,1) ) - $G$4) * $P$4</f>
        <v>-0</v>
      </c>
      <c r="I82" s="26" t="n">
        <f aca="false">(LN(B82/$B$4)+($H$4^2/2)*($J$4))/($H$4*SQRT($J$4))</f>
        <v>1.45099612454338</v>
      </c>
      <c r="J82" s="26" t="n">
        <f aca="false">I82 - $H$4*SQRT($J$4)</f>
        <v>1.27773713936453</v>
      </c>
    </row>
    <row r="83" customFormat="false" ht="13.5" hidden="false" customHeight="true" outlineLevel="0" collapsed="false">
      <c r="B83" s="29" t="n">
        <f aca="false">B54</f>
        <v>75</v>
      </c>
      <c r="C83" s="25" t="n">
        <f aca="false">IF($O$4="sell",-1,1) *  IF($K$4="call",  NORMDIST(I83,0,1,1),  NORMDIST(I83,0,1,1)-1  ) * $P$4</f>
        <v>-0</v>
      </c>
      <c r="D83" s="25" t="n">
        <f aca="false">IF($O$4="sell",-1,1) * NORMDIST(I83,0,1,0)/(B83*$H$4*SQRT($J$4)) * $P$4</f>
        <v>0</v>
      </c>
      <c r="E83" s="25" t="n">
        <f aca="false">IF($O$4="sell",-1,1) * (B83*NORMDIST(I83,0,1,0)*SQRT($J$4)/365) * $P$4</f>
        <v>0</v>
      </c>
      <c r="F83" s="25" t="n">
        <f aca="false">IF($O$4="sell",-1,1) * (-(B83*NORMDIST(I83,0,1,0)*$H$4)/(2*SQRT($J$4))/365) *$P$4</f>
        <v>-0</v>
      </c>
      <c r="G83" s="25" t="n">
        <f aca="false">IF($O$4="buy",1,-1)*( IF($K$4="call",B83*NORMDIST(I83,0,1,1) - $B$4*NORMDIST(J83,0,1,1),$B$4*NORMDIST(-J83,0,1,1) - B83*NORMDIST(-I83,0,1,1) ) - $G$4) * $P$4</f>
        <v>-0</v>
      </c>
      <c r="I83" s="26" t="n">
        <f aca="false">(LN(B83/$B$4)+($H$4^2/2)*($J$4))/($H$4*SQRT($J$4))</f>
        <v>1.37454856405267</v>
      </c>
      <c r="J83" s="26" t="n">
        <f aca="false">I83 - $H$4*SQRT($J$4)</f>
        <v>1.20128957887382</v>
      </c>
    </row>
    <row r="84" customFormat="false" ht="13.5" hidden="false" customHeight="true" outlineLevel="0" collapsed="false">
      <c r="B84" s="29" t="n">
        <f aca="false">B55</f>
        <v>74</v>
      </c>
      <c r="C84" s="25" t="n">
        <f aca="false">IF($O$4="sell",-1,1) *  IF($K$4="call",  NORMDIST(I84,0,1,1),  NORMDIST(I84,0,1,1)-1  ) * $P$4</f>
        <v>-0</v>
      </c>
      <c r="D84" s="25" t="n">
        <f aca="false">IF($O$4="sell",-1,1) * NORMDIST(I84,0,1,0)/(B84*$H$4*SQRT($J$4)) * $P$4</f>
        <v>0</v>
      </c>
      <c r="E84" s="25" t="n">
        <f aca="false">IF($O$4="sell",-1,1) * (B84*NORMDIST(I84,0,1,0)*SQRT($J$4)/365) * $P$4</f>
        <v>0</v>
      </c>
      <c r="F84" s="25" t="n">
        <f aca="false">IF($O$4="sell",-1,1) * (-(B84*NORMDIST(I84,0,1,0)*$H$4)/(2*SQRT($J$4))/365) *$P$4</f>
        <v>-0</v>
      </c>
      <c r="G84" s="25" t="n">
        <f aca="false">IF($O$4="buy",1,-1)*( IF($K$4="call",B84*NORMDIST(I84,0,1,1) - $B$4*NORMDIST(J84,0,1,1),$B$4*NORMDIST(-J84,0,1,1) - B84*NORMDIST(-I84,0,1,1) ) - $G$4) * $P$4</f>
        <v>-0</v>
      </c>
      <c r="I84" s="26" t="n">
        <f aca="false">(LN(B84/$B$4)+($H$4^2/2)*($J$4))/($H$4*SQRT($J$4))</f>
        <v>1.29707483119959</v>
      </c>
      <c r="J84" s="26" t="n">
        <f aca="false">I84 - $H$4*SQRT($J$4)</f>
        <v>1.12381584602074</v>
      </c>
    </row>
    <row r="85" customFormat="false" ht="13.5" hidden="false" customHeight="true" outlineLevel="0" collapsed="false">
      <c r="B85" s="29" t="n">
        <f aca="false">B56</f>
        <v>73</v>
      </c>
      <c r="C85" s="25" t="n">
        <f aca="false">IF($O$4="sell",-1,1) *  IF($K$4="call",  NORMDIST(I85,0,1,1),  NORMDIST(I85,0,1,1)-1  ) * $P$4</f>
        <v>-0</v>
      </c>
      <c r="D85" s="25" t="n">
        <f aca="false">IF($O$4="sell",-1,1) * NORMDIST(I85,0,1,0)/(B85*$H$4*SQRT($J$4)) * $P$4</f>
        <v>0</v>
      </c>
      <c r="E85" s="25" t="n">
        <f aca="false">IF($O$4="sell",-1,1) * (B85*NORMDIST(I85,0,1,0)*SQRT($J$4)/365) * $P$4</f>
        <v>0</v>
      </c>
      <c r="F85" s="25" t="n">
        <f aca="false">IF($O$4="sell",-1,1) * (-(B85*NORMDIST(I85,0,1,0)*$H$4)/(2*SQRT($J$4))/365) *$P$4</f>
        <v>-0</v>
      </c>
      <c r="G85" s="25" t="n">
        <f aca="false">IF($O$4="buy",1,-1)*( IF($K$4="call",B85*NORMDIST(I85,0,1,1) - $B$4*NORMDIST(J85,0,1,1),$B$4*NORMDIST(-J85,0,1,1) - B85*NORMDIST(-I85,0,1,1) ) - $G$4) * $P$4</f>
        <v>0</v>
      </c>
      <c r="I85" s="26" t="n">
        <f aca="false">(LN(B85/$B$4)+($H$4^2/2)*($J$4))/($H$4*SQRT($J$4))</f>
        <v>1.21854700165163</v>
      </c>
      <c r="J85" s="26" t="n">
        <f aca="false">I85 - $H$4*SQRT($J$4)</f>
        <v>1.04528801647278</v>
      </c>
    </row>
    <row r="86" customFormat="false" ht="13.5" hidden="false" customHeight="true" outlineLevel="0" collapsed="false">
      <c r="B86" s="29" t="n">
        <f aca="false">B57</f>
        <v>72</v>
      </c>
      <c r="C86" s="25" t="n">
        <f aca="false">IF($O$4="sell",-1,1) *  IF($K$4="call",  NORMDIST(I86,0,1,1),  NORMDIST(I86,0,1,1)-1  ) * $P$4</f>
        <v>-0</v>
      </c>
      <c r="D86" s="25" t="n">
        <f aca="false">IF($O$4="sell",-1,1) * NORMDIST(I86,0,1,0)/(B86*$H$4*SQRT($J$4)) * $P$4</f>
        <v>0</v>
      </c>
      <c r="E86" s="25" t="n">
        <f aca="false">IF($O$4="sell",-1,1) * (B86*NORMDIST(I86,0,1,0)*SQRT($J$4)/365) * $P$4</f>
        <v>0</v>
      </c>
      <c r="F86" s="25" t="n">
        <f aca="false">IF($O$4="sell",-1,1) * (-(B86*NORMDIST(I86,0,1,0)*$H$4)/(2*SQRT($J$4))/365) *$P$4</f>
        <v>-0</v>
      </c>
      <c r="G86" s="25" t="n">
        <f aca="false">IF($O$4="buy",1,-1)*( IF($K$4="call",B86*NORMDIST(I86,0,1,1) - $B$4*NORMDIST(J86,0,1,1),$B$4*NORMDIST(-J86,0,1,1) - B86*NORMDIST(-I86,0,1,1) ) - $G$4) * $P$4</f>
        <v>0</v>
      </c>
      <c r="I86" s="26" t="n">
        <f aca="false">(LN(B86/$B$4)+($H$4^2/2)*($J$4))/($H$4*SQRT($J$4))</f>
        <v>1.13893599551479</v>
      </c>
      <c r="J86" s="26" t="n">
        <f aca="false">I86 - $H$4*SQRT($J$4)</f>
        <v>0.965677010335938</v>
      </c>
    </row>
    <row r="87" customFormat="false" ht="13.5" hidden="false" customHeight="true" outlineLevel="0" collapsed="false">
      <c r="B87" s="29" t="n">
        <f aca="false">B58</f>
        <v>71</v>
      </c>
      <c r="C87" s="25" t="n">
        <f aca="false">IF($O$4="sell",-1,1) *  IF($K$4="call",  NORMDIST(I87,0,1,1),  NORMDIST(I87,0,1,1)-1  ) * $P$4</f>
        <v>-0</v>
      </c>
      <c r="D87" s="25" t="n">
        <f aca="false">IF($O$4="sell",-1,1) * NORMDIST(I87,0,1,0)/(B87*$H$4*SQRT($J$4)) * $P$4</f>
        <v>0</v>
      </c>
      <c r="E87" s="25" t="n">
        <f aca="false">IF($O$4="sell",-1,1) * (B87*NORMDIST(I87,0,1,0)*SQRT($J$4)/365) * $P$4</f>
        <v>0</v>
      </c>
      <c r="F87" s="25" t="n">
        <f aca="false">IF($O$4="sell",-1,1) * (-(B87*NORMDIST(I87,0,1,0)*$H$4)/(2*SQRT($J$4))/365) *$P$4</f>
        <v>-0</v>
      </c>
      <c r="G87" s="25" t="n">
        <f aca="false">IF($O$4="buy",1,-1)*( IF($K$4="call",B87*NORMDIST(I87,0,1,1) - $B$4*NORMDIST(J87,0,1,1),$B$4*NORMDIST(-J87,0,1,1) - B87*NORMDIST(-I87,0,1,1) ) - $G$4) * $P$4</f>
        <v>0</v>
      </c>
      <c r="I87" s="26" t="n">
        <f aca="false">(LN(B87/$B$4)+($H$4^2/2)*($J$4))/($H$4*SQRT($J$4))</f>
        <v>1.05821151268175</v>
      </c>
      <c r="J87" s="26" t="n">
        <f aca="false">I87 - $H$4*SQRT($J$4)</f>
        <v>0.884952527502899</v>
      </c>
    </row>
    <row r="88" customFormat="false" ht="13.5" hidden="false" customHeight="true" outlineLevel="0" collapsed="false">
      <c r="B88" s="29" t="n">
        <f aca="false">B59</f>
        <v>70</v>
      </c>
      <c r="C88" s="25" t="n">
        <f aca="false">IF($O$4="sell",-1,1) *  IF($K$4="call",  NORMDIST(I88,0,1,1),  NORMDIST(I88,0,1,1)-1  ) * $P$4</f>
        <v>-0</v>
      </c>
      <c r="D88" s="25" t="n">
        <f aca="false">IF($O$4="sell",-1,1) * NORMDIST(I88,0,1,0)/(B88*$H$4*SQRT($J$4)) * $P$4</f>
        <v>0</v>
      </c>
      <c r="E88" s="25" t="n">
        <f aca="false">IF($O$4="sell",-1,1) * (B88*NORMDIST(I88,0,1,0)*SQRT($J$4)/365) * $P$4</f>
        <v>0</v>
      </c>
      <c r="F88" s="25" t="n">
        <f aca="false">IF($O$4="sell",-1,1) * (-(B88*NORMDIST(I88,0,1,0)*$H$4)/(2*SQRT($J$4))/365) *$P$4</f>
        <v>-0</v>
      </c>
      <c r="G88" s="25" t="n">
        <f aca="false">IF($O$4="buy",1,-1)*( IF($K$4="call",B88*NORMDIST(I88,0,1,1) - $B$4*NORMDIST(J88,0,1,1),$B$4*NORMDIST(-J88,0,1,1) - B88*NORMDIST(-I88,0,1,1) ) - $G$4) * $P$4</f>
        <v>0</v>
      </c>
      <c r="I88" s="26" t="n">
        <f aca="false">(LN(B88/$B$4)+($H$4^2/2)*($J$4))/($H$4*SQRT($J$4))</f>
        <v>0.976341963594216</v>
      </c>
      <c r="J88" s="26" t="n">
        <f aca="false">I88 - $H$4*SQRT($J$4)</f>
        <v>0.803082978415365</v>
      </c>
    </row>
    <row r="89" customFormat="false" ht="13.5" hidden="false" customHeight="true" outlineLevel="0" collapsed="false">
      <c r="B89" s="29" t="n">
        <f aca="false">B60</f>
        <v>69</v>
      </c>
      <c r="C89" s="25" t="n">
        <f aca="false">IF($O$4="sell",-1,1) *  IF($K$4="call",  NORMDIST(I89,0,1,1),  NORMDIST(I89,0,1,1)-1  ) * $P$4</f>
        <v>-0</v>
      </c>
      <c r="D89" s="25" t="n">
        <f aca="false">IF($O$4="sell",-1,1) * NORMDIST(I89,0,1,0)/(B89*$H$4*SQRT($J$4)) * $P$4</f>
        <v>0</v>
      </c>
      <c r="E89" s="25" t="n">
        <f aca="false">IF($O$4="sell",-1,1) * (B89*NORMDIST(I89,0,1,0)*SQRT($J$4)/365) * $P$4</f>
        <v>0</v>
      </c>
      <c r="F89" s="25" t="n">
        <f aca="false">IF($O$4="sell",-1,1) * (-(B89*NORMDIST(I89,0,1,0)*$H$4)/(2*SQRT($J$4))/365) *$P$4</f>
        <v>-0</v>
      </c>
      <c r="G89" s="25" t="n">
        <f aca="false">IF($O$4="buy",1,-1)*( IF($K$4="call",B89*NORMDIST(I89,0,1,1) - $B$4*NORMDIST(J89,0,1,1),$B$4*NORMDIST(-J89,0,1,1) - B89*NORMDIST(-I89,0,1,1) ) - $G$4) * $P$4</f>
        <v>0</v>
      </c>
      <c r="I89" s="26" t="n">
        <f aca="false">(LN(B89/$B$4)+($H$4^2/2)*($J$4))/($H$4*SQRT($J$4))</f>
        <v>0.893294395023695</v>
      </c>
      <c r="J89" s="26" t="n">
        <f aca="false">I89 - $H$4*SQRT($J$4)</f>
        <v>0.720035409844843</v>
      </c>
    </row>
    <row r="90" customFormat="false" ht="13.5" hidden="false" customHeight="true" outlineLevel="0" collapsed="false">
      <c r="B90" s="29" t="n">
        <f aca="false">B61</f>
        <v>68</v>
      </c>
      <c r="C90" s="25" t="n">
        <f aca="false">IF($O$4="sell",-1,1) *  IF($K$4="call",  NORMDIST(I90,0,1,1),  NORMDIST(I90,0,1,1)-1  ) * $P$4</f>
        <v>-0</v>
      </c>
      <c r="D90" s="25" t="n">
        <f aca="false">IF($O$4="sell",-1,1) * NORMDIST(I90,0,1,0)/(B90*$H$4*SQRT($J$4)) * $P$4</f>
        <v>0</v>
      </c>
      <c r="E90" s="25" t="n">
        <f aca="false">IF($O$4="sell",-1,1) * (B90*NORMDIST(I90,0,1,0)*SQRT($J$4)/365) * $P$4</f>
        <v>0</v>
      </c>
      <c r="F90" s="25" t="n">
        <f aca="false">IF($O$4="sell",-1,1) * (-(B90*NORMDIST(I90,0,1,0)*$H$4)/(2*SQRT($J$4))/365) *$P$4</f>
        <v>-0</v>
      </c>
      <c r="G90" s="25" t="n">
        <f aca="false">IF($O$4="buy",1,-1)*( IF($K$4="call",B90*NORMDIST(I90,0,1,1) - $B$4*NORMDIST(J90,0,1,1),$B$4*NORMDIST(-J90,0,1,1) - B90*NORMDIST(-I90,0,1,1) ) - $G$4) * $P$4</f>
        <v>0</v>
      </c>
      <c r="I90" s="26" t="n">
        <f aca="false">(LN(B90/$B$4)+($H$4^2/2)*($J$4))/($H$4*SQRT($J$4))</f>
        <v>0.809034410434251</v>
      </c>
      <c r="J90" s="26" t="n">
        <f aca="false">I90 - $H$4*SQRT($J$4)</f>
        <v>0.6357754252554</v>
      </c>
    </row>
    <row r="91" customFormat="false" ht="13.5" hidden="false" customHeight="true" outlineLevel="0" collapsed="false">
      <c r="B91" s="29" t="n">
        <f aca="false">B62</f>
        <v>67</v>
      </c>
      <c r="C91" s="25" t="n">
        <f aca="false">IF($O$4="sell",-1,1) *  IF($K$4="call",  NORMDIST(I91,0,1,1),  NORMDIST(I91,0,1,1)-1  ) * $P$4</f>
        <v>-0</v>
      </c>
      <c r="D91" s="25" t="n">
        <f aca="false">IF($O$4="sell",-1,1) * NORMDIST(I91,0,1,0)/(B91*$H$4*SQRT($J$4)) * $P$4</f>
        <v>0</v>
      </c>
      <c r="E91" s="25" t="n">
        <f aca="false">IF($O$4="sell",-1,1) * (B91*NORMDIST(I91,0,1,0)*SQRT($J$4)/365) * $P$4</f>
        <v>0</v>
      </c>
      <c r="F91" s="25" t="n">
        <f aca="false">IF($O$4="sell",-1,1) * (-(B91*NORMDIST(I91,0,1,0)*$H$4)/(2*SQRT($J$4))/365) *$P$4</f>
        <v>-0</v>
      </c>
      <c r="G91" s="25" t="n">
        <f aca="false">IF($O$4="buy",1,-1)*( IF($K$4="call",B91*NORMDIST(I91,0,1,1) - $B$4*NORMDIST(J91,0,1,1),$B$4*NORMDIST(-J91,0,1,1) - B91*NORMDIST(-I91,0,1,1) ) - $G$4) * $P$4</f>
        <v>0</v>
      </c>
      <c r="I91" s="26" t="n">
        <f aca="false">(LN(B91/$B$4)+($H$4^2/2)*($J$4))/($H$4*SQRT($J$4))</f>
        <v>0.723526084445574</v>
      </c>
      <c r="J91" s="26" t="n">
        <f aca="false">I91 - $H$4*SQRT($J$4)</f>
        <v>0.550267099266723</v>
      </c>
    </row>
    <row r="92" customFormat="false" ht="13.5" hidden="false" customHeight="true" outlineLevel="0" collapsed="false">
      <c r="B92" s="29" t="n">
        <f aca="false">B63</f>
        <v>66</v>
      </c>
      <c r="C92" s="25" t="n">
        <f aca="false">IF($O$4="sell",-1,1) *  IF($K$4="call",  NORMDIST(I92,0,1,1),  NORMDIST(I92,0,1,1)-1  ) * $P$4</f>
        <v>-0</v>
      </c>
      <c r="D92" s="25" t="n">
        <f aca="false">IF($O$4="sell",-1,1) * NORMDIST(I92,0,1,0)/(B92*$H$4*SQRT($J$4)) * $P$4</f>
        <v>0</v>
      </c>
      <c r="E92" s="25" t="n">
        <f aca="false">IF($O$4="sell",-1,1) * (B92*NORMDIST(I92,0,1,0)*SQRT($J$4)/365) * $P$4</f>
        <v>0</v>
      </c>
      <c r="F92" s="25" t="n">
        <f aca="false">IF($O$4="sell",-1,1) * (-(B92*NORMDIST(I92,0,1,0)*$H$4)/(2*SQRT($J$4))/365) *$P$4</f>
        <v>-0</v>
      </c>
      <c r="G92" s="25" t="n">
        <f aca="false">IF($O$4="buy",1,-1)*( IF($K$4="call",B92*NORMDIST(I92,0,1,1) - $B$4*NORMDIST(J92,0,1,1),$B$4*NORMDIST(-J92,0,1,1) - B92*NORMDIST(-I92,0,1,1) ) - $G$4) * $P$4</f>
        <v>0</v>
      </c>
      <c r="I92" s="26" t="n">
        <f aca="false">(LN(B92/$B$4)+($H$4^2/2)*($J$4))/($H$4*SQRT($J$4))</f>
        <v>0.636731870863997</v>
      </c>
      <c r="J92" s="26" t="n">
        <f aca="false">I92 - $H$4*SQRT($J$4)</f>
        <v>0.463472885685146</v>
      </c>
    </row>
    <row r="93" customFormat="false" ht="13.5" hidden="false" customHeight="true" outlineLevel="0" collapsed="false">
      <c r="B93" s="29" t="n">
        <f aca="false">B64</f>
        <v>65</v>
      </c>
      <c r="C93" s="25" t="n">
        <f aca="false">IF($O$4="sell",-1,1) *  IF($K$4="call",  NORMDIST(I93,0,1,1),  NORMDIST(I93,0,1,1)-1  ) * $P$4</f>
        <v>-0</v>
      </c>
      <c r="D93" s="25" t="n">
        <f aca="false">IF($O$4="sell",-1,1) * NORMDIST(I93,0,1,0)/(B93*$H$4*SQRT($J$4)) * $P$4</f>
        <v>0</v>
      </c>
      <c r="E93" s="25" t="n">
        <f aca="false">IF($O$4="sell",-1,1) * (B93*NORMDIST(I93,0,1,0)*SQRT($J$4)/365) * $P$4</f>
        <v>0</v>
      </c>
      <c r="F93" s="25" t="n">
        <f aca="false">IF($O$4="sell",-1,1) * (-(B93*NORMDIST(I93,0,1,0)*$H$4)/(2*SQRT($J$4))/365) *$P$4</f>
        <v>-0</v>
      </c>
      <c r="G93" s="25" t="n">
        <f aca="false">IF($O$4="buy",1,-1)*( IF($K$4="call",B93*NORMDIST(I93,0,1,1) - $B$4*NORMDIST(J93,0,1,1),$B$4*NORMDIST(-J93,0,1,1) - B93*NORMDIST(-I93,0,1,1) ) - $G$4) * $P$4</f>
        <v>0</v>
      </c>
      <c r="I93" s="26" t="n">
        <f aca="false">(LN(B93/$B$4)+($H$4^2/2)*($J$4))/($H$4*SQRT($J$4))</f>
        <v>0.548612503692198</v>
      </c>
      <c r="J93" s="26" t="n">
        <f aca="false">I93 - $H$4*SQRT($J$4)</f>
        <v>0.375353518513346</v>
      </c>
    </row>
    <row r="94" customFormat="false" ht="13.5" hidden="false" customHeight="true" outlineLevel="0" collapsed="false">
      <c r="B94" s="29" t="n">
        <f aca="false">B65</f>
        <v>64</v>
      </c>
      <c r="C94" s="25" t="n">
        <f aca="false">IF($O$4="sell",-1,1) *  IF($K$4="call",  NORMDIST(I94,0,1,1),  NORMDIST(I94,0,1,1)-1  ) * $P$4</f>
        <v>-0</v>
      </c>
      <c r="D94" s="25" t="n">
        <f aca="false">IF($O$4="sell",-1,1) * NORMDIST(I94,0,1,0)/(B94*$H$4*SQRT($J$4)) * $P$4</f>
        <v>0</v>
      </c>
      <c r="E94" s="25" t="n">
        <f aca="false">IF($O$4="sell",-1,1) * (B94*NORMDIST(I94,0,1,0)*SQRT($J$4)/365) * $P$4</f>
        <v>0</v>
      </c>
      <c r="F94" s="25" t="n">
        <f aca="false">IF($O$4="sell",-1,1) * (-(B94*NORMDIST(I94,0,1,0)*$H$4)/(2*SQRT($J$4))/365) *$P$4</f>
        <v>-0</v>
      </c>
      <c r="G94" s="25" t="n">
        <f aca="false">IF($O$4="buy",1,-1)*( IF($K$4="call",B94*NORMDIST(I94,0,1,1) - $B$4*NORMDIST(J94,0,1,1),$B$4*NORMDIST(-J94,0,1,1) - B94*NORMDIST(-I94,0,1,1) ) - $G$4) * $P$4</f>
        <v>0</v>
      </c>
      <c r="I94" s="26" t="n">
        <f aca="false">(LN(B94/$B$4)+($H$4^2/2)*($J$4))/($H$4*SQRT($J$4))</f>
        <v>0.459126890464344</v>
      </c>
      <c r="J94" s="26" t="n">
        <f aca="false">I94 - $H$4*SQRT($J$4)</f>
        <v>0.285867905285492</v>
      </c>
    </row>
    <row r="95" customFormat="false" ht="13.5" hidden="false" customHeight="true" outlineLevel="0" collapsed="false">
      <c r="B95" s="29" t="n">
        <f aca="false">B66</f>
        <v>63</v>
      </c>
      <c r="C95" s="25" t="n">
        <f aca="false">IF($O$4="sell",-1,1) *  IF($K$4="call",  NORMDIST(I95,0,1,1),  NORMDIST(I95,0,1,1)-1  ) * $P$4</f>
        <v>-0</v>
      </c>
      <c r="D95" s="25" t="n">
        <f aca="false">IF($O$4="sell",-1,1) * NORMDIST(I95,0,1,0)/(B95*$H$4*SQRT($J$4)) * $P$4</f>
        <v>0</v>
      </c>
      <c r="E95" s="25" t="n">
        <f aca="false">IF($O$4="sell",-1,1) * (B95*NORMDIST(I95,0,1,0)*SQRT($J$4)/365) * $P$4</f>
        <v>0</v>
      </c>
      <c r="F95" s="25" t="n">
        <f aca="false">IF($O$4="sell",-1,1) * (-(B95*NORMDIST(I95,0,1,0)*$H$4)/(2*SQRT($J$4))/365) *$P$4</f>
        <v>-0</v>
      </c>
      <c r="G95" s="25" t="n">
        <f aca="false">IF($O$4="buy",1,-1)*( IF($K$4="call",B95*NORMDIST(I95,0,1,1) - $B$4*NORMDIST(J95,0,1,1),$B$4*NORMDIST(-J95,0,1,1) - B95*NORMDIST(-I95,0,1,1) ) - $G$4) * $P$4</f>
        <v>0</v>
      </c>
      <c r="I95" s="26" t="n">
        <f aca="false">(LN(B95/$B$4)+($H$4^2/2)*($J$4))/($H$4*SQRT($J$4))</f>
        <v>0.368231997181421</v>
      </c>
      <c r="J95" s="26" t="n">
        <f aca="false">I95 - $H$4*SQRT($J$4)</f>
        <v>0.19497301200257</v>
      </c>
    </row>
    <row r="96" customFormat="false" ht="13.5" hidden="false" customHeight="true" outlineLevel="0" collapsed="false">
      <c r="B96" s="29" t="n">
        <f aca="false">B67</f>
        <v>62</v>
      </c>
      <c r="C96" s="25" t="n">
        <f aca="false">IF($O$4="sell",-1,1) *  IF($K$4="call",  NORMDIST(I96,0,1,1),  NORMDIST(I96,0,1,1)-1  ) * $P$4</f>
        <v>-0</v>
      </c>
      <c r="D96" s="25" t="n">
        <f aca="false">IF($O$4="sell",-1,1) * NORMDIST(I96,0,1,0)/(B96*$H$4*SQRT($J$4)) * $P$4</f>
        <v>0</v>
      </c>
      <c r="E96" s="25" t="n">
        <f aca="false">IF($O$4="sell",-1,1) * (B96*NORMDIST(I96,0,1,0)*SQRT($J$4)/365) * $P$4</f>
        <v>0</v>
      </c>
      <c r="F96" s="25" t="n">
        <f aca="false">IF($O$4="sell",-1,1) * (-(B96*NORMDIST(I96,0,1,0)*$H$4)/(2*SQRT($J$4))/365) *$P$4</f>
        <v>-0</v>
      </c>
      <c r="G96" s="25" t="n">
        <f aca="false">IF($O$4="buy",1,-1)*( IF($K$4="call",B96*NORMDIST(I96,0,1,1) - $B$4*NORMDIST(J96,0,1,1),$B$4*NORMDIST(-J96,0,1,1) - B96*NORMDIST(-I96,0,1,1) ) - $G$4) * $P$4</f>
        <v>0</v>
      </c>
      <c r="I96" s="26" t="n">
        <f aca="false">(LN(B96/$B$4)+($H$4^2/2)*($J$4))/($H$4*SQRT($J$4))</f>
        <v>0.275882724040267</v>
      </c>
      <c r="J96" s="26" t="n">
        <f aca="false">I96 - $H$4*SQRT($J$4)</f>
        <v>0.102623738861415</v>
      </c>
    </row>
    <row r="97" customFormat="false" ht="13.5" hidden="false" customHeight="true" outlineLevel="0" collapsed="false">
      <c r="B97" s="29" t="n">
        <f aca="false">B68</f>
        <v>61</v>
      </c>
      <c r="C97" s="25" t="n">
        <f aca="false">IF($O$4="sell",-1,1) *  IF($K$4="call",  NORMDIST(I97,0,1,1),  NORMDIST(I97,0,1,1)-1  ) * $P$4</f>
        <v>-0</v>
      </c>
      <c r="D97" s="25" t="n">
        <f aca="false">IF($O$4="sell",-1,1) * NORMDIST(I97,0,1,0)/(B97*$H$4*SQRT($J$4)) * $P$4</f>
        <v>0</v>
      </c>
      <c r="E97" s="25" t="n">
        <f aca="false">IF($O$4="sell",-1,1) * (B97*NORMDIST(I97,0,1,0)*SQRT($J$4)/365) * $P$4</f>
        <v>0</v>
      </c>
      <c r="F97" s="25" t="n">
        <f aca="false">IF($O$4="sell",-1,1) * (-(B97*NORMDIST(I97,0,1,0)*$H$4)/(2*SQRT($J$4))/365) *$P$4</f>
        <v>-0</v>
      </c>
      <c r="G97" s="25" t="n">
        <f aca="false">IF($O$4="buy",1,-1)*( IF($K$4="call",B97*NORMDIST(I97,0,1,1) - $B$4*NORMDIST(J97,0,1,1),$B$4*NORMDIST(-J97,0,1,1) - B97*NORMDIST(-I97,0,1,1) ) - $G$4) * $P$4</f>
        <v>0</v>
      </c>
      <c r="I97" s="26" t="n">
        <f aca="false">(LN(B97/$B$4)+($H$4^2/2)*($J$4))/($H$4*SQRT($J$4))</f>
        <v>0.182031771057972</v>
      </c>
      <c r="J97" s="26" t="n">
        <f aca="false">I97 - $H$4*SQRT($J$4)</f>
        <v>0.00877278587912048</v>
      </c>
    </row>
    <row r="98" customFormat="false" ht="13.5" hidden="false" customHeight="true" outlineLevel="0" collapsed="false">
      <c r="B98" s="29" t="n">
        <f aca="false">B69</f>
        <v>60</v>
      </c>
      <c r="C98" s="25" t="n">
        <f aca="false">IF($O$4="sell",-1,1) *  IF($K$4="call",  NORMDIST(I98,0,1,1),  NORMDIST(I98,0,1,1)-1  ) * $P$4</f>
        <v>-0</v>
      </c>
      <c r="D98" s="25" t="n">
        <f aca="false">IF($O$4="sell",-1,1) * NORMDIST(I98,0,1,0)/(B98*$H$4*SQRT($J$4)) * $P$4</f>
        <v>0</v>
      </c>
      <c r="E98" s="25" t="n">
        <f aca="false">IF($O$4="sell",-1,1) * (B98*NORMDIST(I98,0,1,0)*SQRT($J$4)/365) * $P$4</f>
        <v>0</v>
      </c>
      <c r="F98" s="25" t="n">
        <f aca="false">IF($O$4="sell",-1,1) * (-(B98*NORMDIST(I98,0,1,0)*$H$4)/(2*SQRT($J$4))/365) *$P$4</f>
        <v>-0</v>
      </c>
      <c r="G98" s="25" t="n">
        <f aca="false">IF($O$4="buy",1,-1)*( IF($K$4="call",B98*NORMDIST(I98,0,1,1) - $B$4*NORMDIST(J98,0,1,1),$B$4*NORMDIST(-J98,0,1,1) - B98*NORMDIST(-I98,0,1,1) ) - $G$4) * $P$4</f>
        <v>0</v>
      </c>
      <c r="I98" s="26" t="n">
        <f aca="false">(LN(B98/$B$4)+($H$4^2/2)*($J$4))/($H$4*SQRT($J$4))</f>
        <v>0.0866294925894258</v>
      </c>
      <c r="J98" s="26" t="n">
        <f aca="false">I98 - $H$4*SQRT($J$4)</f>
        <v>-0.0866294925894257</v>
      </c>
    </row>
    <row r="99" customFormat="false" ht="13.5" hidden="false" customHeight="true" outlineLevel="0" collapsed="false">
      <c r="B99" s="29" t="n">
        <f aca="false">B70</f>
        <v>59</v>
      </c>
      <c r="C99" s="25" t="n">
        <f aca="false">IF($O$4="sell",-1,1) *  IF($K$4="call",  NORMDIST(I99,0,1,1),  NORMDIST(I99,0,1,1)-1  ) * $P$4</f>
        <v>-0</v>
      </c>
      <c r="D99" s="25" t="n">
        <f aca="false">IF($O$4="sell",-1,1) * NORMDIST(I99,0,1,0)/(B99*$H$4*SQRT($J$4)) * $P$4</f>
        <v>0</v>
      </c>
      <c r="E99" s="25" t="n">
        <f aca="false">IF($O$4="sell",-1,1) * (B99*NORMDIST(I99,0,1,0)*SQRT($J$4)/365) * $P$4</f>
        <v>0</v>
      </c>
      <c r="F99" s="25" t="n">
        <f aca="false">IF($O$4="sell",-1,1) * (-(B99*NORMDIST(I99,0,1,0)*$H$4)/(2*SQRT($J$4))/365) *$P$4</f>
        <v>-0</v>
      </c>
      <c r="G99" s="25" t="n">
        <f aca="false">IF($O$4="buy",1,-1)*( IF($K$4="call",B99*NORMDIST(I99,0,1,1) - $B$4*NORMDIST(J99,0,1,1),$B$4*NORMDIST(-J99,0,1,1) - B99*NORMDIST(-I99,0,1,1) ) - $G$4) * $P$4</f>
        <v>0</v>
      </c>
      <c r="I99" s="26" t="n">
        <f aca="false">(LN(B99/$B$4)+($H$4^2/2)*($J$4))/($H$4*SQRT($J$4))</f>
        <v>-0.0103762603822407</v>
      </c>
      <c r="J99" s="26" t="n">
        <f aca="false">I99 - $H$4*SQRT($J$4)</f>
        <v>-0.183635245561092</v>
      </c>
    </row>
    <row r="100" customFormat="false" ht="13.5" hidden="false" customHeight="true" outlineLevel="0" collapsed="false">
      <c r="B100" s="29" t="n">
        <f aca="false">B71</f>
        <v>58</v>
      </c>
      <c r="C100" s="25" t="n">
        <f aca="false">IF($O$4="sell",-1,1) *  IF($K$4="call",  NORMDIST(I100,0,1,1),  NORMDIST(I100,0,1,1)-1  ) * $P$4</f>
        <v>-0</v>
      </c>
      <c r="D100" s="25" t="n">
        <f aca="false">IF($O$4="sell",-1,1) * NORMDIST(I100,0,1,0)/(B100*$H$4*SQRT($J$4)) * $P$4</f>
        <v>0</v>
      </c>
      <c r="E100" s="25" t="n">
        <f aca="false">IF($O$4="sell",-1,1) * (B100*NORMDIST(I100,0,1,0)*SQRT($J$4)/365) * $P$4</f>
        <v>0</v>
      </c>
      <c r="F100" s="25" t="n">
        <f aca="false">IF($O$4="sell",-1,1) * (-(B100*NORMDIST(I100,0,1,0)*$H$4)/(2*SQRT($J$4))/365) *$P$4</f>
        <v>-0</v>
      </c>
      <c r="G100" s="25" t="n">
        <f aca="false">IF($O$4="buy",1,-1)*( IF($K$4="call",B100*NORMDIST(I100,0,1,1) - $B$4*NORMDIST(J100,0,1,1),$B$4*NORMDIST(-J100,0,1,1) - B100*NORMDIST(-I100,0,1,1) ) - $G$4) * $P$4</f>
        <v>0</v>
      </c>
      <c r="I100" s="26" t="n">
        <f aca="false">(LN(B100/$B$4)+($H$4^2/2)*($J$4))/($H$4*SQRT($J$4))</f>
        <v>-0.109040311436527</v>
      </c>
      <c r="J100" s="26" t="n">
        <f aca="false">I100 - $H$4*SQRT($J$4)</f>
        <v>-0.282299296615379</v>
      </c>
    </row>
    <row r="101" customFormat="false" ht="13.5" hidden="false" customHeight="true" outlineLevel="0" collapsed="false">
      <c r="B101" s="29" t="n">
        <f aca="false">B72</f>
        <v>57</v>
      </c>
      <c r="C101" s="25" t="n">
        <f aca="false">IF($O$4="sell",-1,1) *  IF($K$4="call",  NORMDIST(I101,0,1,1),  NORMDIST(I101,0,1,1)-1  ) * $P$4</f>
        <v>-0</v>
      </c>
      <c r="D101" s="25" t="n">
        <f aca="false">IF($O$4="sell",-1,1) * NORMDIST(I101,0,1,0)/(B101*$H$4*SQRT($J$4)) * $P$4</f>
        <v>0</v>
      </c>
      <c r="E101" s="25" t="n">
        <f aca="false">IF($O$4="sell",-1,1) * (B101*NORMDIST(I101,0,1,0)*SQRT($J$4)/365) * $P$4</f>
        <v>0</v>
      </c>
      <c r="F101" s="25" t="n">
        <f aca="false">IF($O$4="sell",-1,1) * (-(B101*NORMDIST(I101,0,1,0)*$H$4)/(2*SQRT($J$4))/365) *$P$4</f>
        <v>-0</v>
      </c>
      <c r="G101" s="25" t="n">
        <f aca="false">IF($O$4="buy",1,-1)*( IF($K$4="call",B101*NORMDIST(I101,0,1,1) - $B$4*NORMDIST(J101,0,1,1),$B$4*NORMDIST(-J101,0,1,1) - B101*NORMDIST(-I101,0,1,1) ) - $G$4) * $P$4</f>
        <v>0</v>
      </c>
      <c r="I101" s="26" t="n">
        <f aca="false">(LN(B101/$B$4)+($H$4^2/2)*($J$4))/($H$4*SQRT($J$4))</f>
        <v>-0.209420344794775</v>
      </c>
      <c r="J101" s="26" t="n">
        <f aca="false">I101 - $H$4*SQRT($J$4)</f>
        <v>-0.382679329973626</v>
      </c>
    </row>
    <row r="102" customFormat="false" ht="13.5" hidden="false" customHeight="true" outlineLevel="0" collapsed="false">
      <c r="B102" s="30"/>
      <c r="C102" s="22"/>
      <c r="D102" s="22"/>
      <c r="E102" s="22"/>
      <c r="F102" s="22"/>
      <c r="G102" s="22"/>
      <c r="I102" s="31"/>
      <c r="J102" s="31"/>
    </row>
    <row r="103" customFormat="false" ht="17.25" hidden="false" customHeight="true" outlineLevel="0" collapsed="false">
      <c r="B103" s="23"/>
      <c r="C103" s="19" t="s">
        <v>13</v>
      </c>
      <c r="D103" s="19" t="s">
        <v>14</v>
      </c>
      <c r="E103" s="19" t="s">
        <v>15</v>
      </c>
      <c r="F103" s="19" t="s">
        <v>16</v>
      </c>
      <c r="G103" s="19" t="s">
        <v>17</v>
      </c>
      <c r="I103" s="19" t="s">
        <v>158</v>
      </c>
      <c r="J103" s="19" t="s">
        <v>159</v>
      </c>
    </row>
    <row r="104" customFormat="false" ht="13.5" hidden="false" customHeight="true" outlineLevel="0" collapsed="false">
      <c r="A104" s="2" t="str">
        <f aca="false">A5</f>
        <v>SOL-1MAY26-60-P-USDT</v>
      </c>
      <c r="B104" s="29" t="n">
        <f aca="false">B75</f>
        <v>83</v>
      </c>
      <c r="C104" s="25" t="n">
        <f aca="false">IF($O$5="sell",-1,1) *  IF($K$5="call",  NORMDIST(I104,0,1,1),  NORMDIST(I104,0,1,1)-1  ) * $P$5</f>
        <v>-0.020695106394759</v>
      </c>
      <c r="D104" s="25" t="n">
        <f aca="false">IF($O$5="sell",-1,1) * NORMDIST(I104,0,1,0)/(B104*$H$5*SQRT($J$5)) * $P$5</f>
        <v>0.00362090349456947</v>
      </c>
      <c r="E104" s="25" t="n">
        <f aca="false">IF($O$5="sell",-1,1) * (B104*NORMDIST(I104,0,1,0)*SQRT($J$5)/365) * $P$5</f>
        <v>0.00196752323049413</v>
      </c>
      <c r="F104" s="25" t="n">
        <f aca="false">IF($O$5="sell",-1,1) * (-(B104*NORMDIST(I104,0,1,0)*$H$5)/(2*SQRT($J$5))/365) *$P$5</f>
        <v>-0.0311838569937832</v>
      </c>
      <c r="G104" s="25" t="n">
        <f aca="false">IF($O$5="buy",1,-1)*( IF($K$5="call",B104*NORMDIST(I104,0,1,1) - $B$5*NORMDIST(J104,0,1,1),$B$5*NORMDIST(-J104,0,1,1) - B104*NORMDIST(-I104,0,1,1) ) - $G$5) * $P$5</f>
        <v>-1.88878656773891</v>
      </c>
      <c r="I104" s="26" t="n">
        <f aca="false">(LN(B104/$B$5)+($H$5^2/2)*($J$5))/($H$5*SQRT($J$5))</f>
        <v>2.03959969172735</v>
      </c>
      <c r="J104" s="26" t="n">
        <f aca="false">I104 - $H$5*SQRT($J$5)</f>
        <v>1.87375953936072</v>
      </c>
    </row>
    <row r="105" customFormat="false" ht="13.5" hidden="false" customHeight="true" outlineLevel="0" collapsed="false">
      <c r="B105" s="29" t="n">
        <f aca="false">B76</f>
        <v>82</v>
      </c>
      <c r="C105" s="25" t="n">
        <f aca="false">IF($O$5="sell",-1,1) *  IF($K$5="call",  NORMDIST(I105,0,1,1),  NORMDIST(I105,0,1,1)-1  ) * $P$5</f>
        <v>-0.0246199180696086</v>
      </c>
      <c r="D105" s="25" t="n">
        <f aca="false">IF($O$5="sell",-1,1) * NORMDIST(I105,0,1,0)/(B105*$H$5*SQRT($J$5)) * $P$5</f>
        <v>0.00424291035212492</v>
      </c>
      <c r="E105" s="25" t="n">
        <f aca="false">IF($O$5="sell",-1,1) * (B105*NORMDIST(I105,0,1,0)*SQRT($J$5)/365) * $P$5</f>
        <v>0.00225028898564944</v>
      </c>
      <c r="F105" s="25" t="n">
        <f aca="false">IF($O$5="sell",-1,1) * (-(B105*NORMDIST(I105,0,1,0)*$H$5)/(2*SQRT($J$5))/365) *$P$5</f>
        <v>-0.0356654949916674</v>
      </c>
      <c r="G105" s="25" t="n">
        <f aca="false">IF($O$5="buy",1,-1)*( IF($K$5="call",B105*NORMDIST(I105,0,1,1) - $B$5*NORMDIST(J105,0,1,1),$B$5*NORMDIST(-J105,0,1,1) - B105*NORMDIST(-I105,0,1,1) ) - $G$5) * $P$5</f>
        <v>-1.86618087738082</v>
      </c>
      <c r="I105" s="26" t="n">
        <f aca="false">(LN(B105/$B$5)+($H$5^2/2)*($J$5))/($H$5*SQRT($J$5))</f>
        <v>1.96650906584835</v>
      </c>
      <c r="J105" s="26" t="n">
        <f aca="false">I105 - $H$5*SQRT($J$5)</f>
        <v>1.80066891348172</v>
      </c>
    </row>
    <row r="106" customFormat="false" ht="13.5" hidden="false" customHeight="true" outlineLevel="0" collapsed="false">
      <c r="B106" s="29" t="n">
        <f aca="false">B77</f>
        <v>81</v>
      </c>
      <c r="C106" s="25" t="n">
        <f aca="false">IF($O$5="sell",-1,1) *  IF($K$5="call",  NORMDIST(I106,0,1,1),  NORMDIST(I106,0,1,1)-1  ) * $P$5</f>
        <v>-0.0292107592433745</v>
      </c>
      <c r="D106" s="25" t="n">
        <f aca="false">IF($O$5="sell",-1,1) * NORMDIST(I106,0,1,0)/(B106*$H$5*SQRT($J$5)) * $P$5</f>
        <v>0.00495441689020419</v>
      </c>
      <c r="E106" s="25" t="n">
        <f aca="false">IF($O$5="sell",-1,1) * (B106*NORMDIST(I106,0,1,0)*SQRT($J$5)/365) * $P$5</f>
        <v>0.0025639486281637</v>
      </c>
      <c r="F106" s="25" t="n">
        <f aca="false">IF($O$5="sell",-1,1) * (-(B106*NORMDIST(I106,0,1,0)*$H$5)/(2*SQRT($J$5))/365) *$P$5</f>
        <v>-0.0406367793380431</v>
      </c>
      <c r="G106" s="25" t="n">
        <f aca="false">IF($O$5="buy",1,-1)*( IF($K$5="call",B106*NORMDIST(I106,0,1,1) - $B$5*NORMDIST(J106,0,1,1),$B$5*NORMDIST(-J106,0,1,1) - B106*NORMDIST(-I106,0,1,1) ) - $G$5) * $P$5</f>
        <v>-1.83932481877074</v>
      </c>
      <c r="I106" s="26" t="n">
        <f aca="false">(LN(B106/$B$5)+($H$5^2/2)*($J$5))/($H$5*SQRT($J$5))</f>
        <v>1.89252160010671</v>
      </c>
      <c r="J106" s="26" t="n">
        <f aca="false">I106 - $H$5*SQRT($J$5)</f>
        <v>1.72668144774008</v>
      </c>
    </row>
    <row r="107" customFormat="false" ht="13.5" hidden="false" customHeight="true" outlineLevel="0" collapsed="false">
      <c r="B107" s="29" t="n">
        <f aca="false">B78</f>
        <v>80</v>
      </c>
      <c r="C107" s="25" t="n">
        <f aca="false">IF($O$5="sell",-1,1) *  IF($K$5="call",  NORMDIST(I107,0,1,1),  NORMDIST(I107,0,1,1)-1  ) * $P$5</f>
        <v>-0.0345614977797097</v>
      </c>
      <c r="D107" s="25" t="n">
        <f aca="false">IF($O$5="sell",-1,1) * NORMDIST(I107,0,1,0)/(B107*$H$5*SQRT($J$5)) * $P$5</f>
        <v>0.0057641565482766</v>
      </c>
      <c r="E107" s="25" t="n">
        <f aca="false">IF($O$5="sell",-1,1) * (B107*NORMDIST(I107,0,1,0)*SQRT($J$5)/365) * $P$5</f>
        <v>0.00290979554918395</v>
      </c>
      <c r="F107" s="25" t="n">
        <f aca="false">IF($O$5="sell",-1,1) * (-(B107*NORMDIST(I107,0,1,0)*$H$5)/(2*SQRT($J$5))/365) *$P$5</f>
        <v>-0.0461182093713378</v>
      </c>
      <c r="G107" s="25" t="n">
        <f aca="false">IF($O$5="buy",1,-1)*( IF($K$5="call",B107*NORMDIST(I107,0,1,1) - $B$5*NORMDIST(J107,0,1,1),$B$5*NORMDIST(-J107,0,1,1) - B107*NORMDIST(-I107,0,1,1) ) - $G$5) * $P$5</f>
        <v>-1.8075061565945</v>
      </c>
      <c r="I107" s="26" t="n">
        <f aca="false">(LN(B107/$B$5)+($H$5^2/2)*($J$5))/($H$5*SQRT($J$5))</f>
        <v>1.81761501191754</v>
      </c>
      <c r="J107" s="26" t="n">
        <f aca="false">I107 - $H$5*SQRT($J$5)</f>
        <v>1.65177485955091</v>
      </c>
    </row>
    <row r="108" customFormat="false" ht="13.5" hidden="false" customHeight="true" outlineLevel="0" collapsed="false">
      <c r="B108" s="29" t="n">
        <f aca="false">B79</f>
        <v>79</v>
      </c>
      <c r="C108" s="25" t="n">
        <f aca="false">IF($O$5="sell",-1,1) *  IF($K$5="call",  NORMDIST(I108,0,1,1),  NORMDIST(I108,0,1,1)-1  ) * $P$5</f>
        <v>-0.0407746836111016</v>
      </c>
      <c r="D108" s="25" t="n">
        <f aca="false">IF($O$5="sell",-1,1) * NORMDIST(I108,0,1,0)/(B108*$H$5*SQRT($J$5)) * $P$5</f>
        <v>0.00668071539146093</v>
      </c>
      <c r="E108" s="25" t="n">
        <f aca="false">IF($O$5="sell",-1,1) * (B108*NORMDIST(I108,0,1,0)*SQRT($J$5)/365) * $P$5</f>
        <v>0.00328869718912834</v>
      </c>
      <c r="F108" s="25" t="n">
        <f aca="false">IF($O$5="sell",-1,1) * (-(B108*NORMDIST(I108,0,1,0)*$H$5)/(2*SQRT($J$5))/365) *$P$5</f>
        <v>-0.0521235334110282</v>
      </c>
      <c r="G108" s="25" t="n">
        <f aca="false">IF($O$5="buy",1,-1)*( IF($K$5="call",B108*NORMDIST(I108,0,1,1) - $B$5*NORMDIST(J108,0,1,1),$B$5*NORMDIST(-J108,0,1,1) - B108*NORMDIST(-I108,0,1,1) ) - $G$5) * $P$5</f>
        <v>-1.76991443444377</v>
      </c>
      <c r="I108" s="26" t="n">
        <f aca="false">(LN(B108/$B$5)+($H$5^2/2)*($J$5))/($H$5*SQRT($J$5))</f>
        <v>1.74176617780014</v>
      </c>
      <c r="J108" s="26" t="n">
        <f aca="false">I108 - $H$5*SQRT($J$5)</f>
        <v>1.57592602543351</v>
      </c>
    </row>
    <row r="109" customFormat="false" ht="13.5" hidden="false" customHeight="true" outlineLevel="0" collapsed="false">
      <c r="B109" s="29" t="n">
        <f aca="false">B80</f>
        <v>78</v>
      </c>
      <c r="C109" s="25" t="n">
        <f aca="false">IF($O$5="sell",-1,1) *  IF($K$5="call",  NORMDIST(I109,0,1,1),  NORMDIST(I109,0,1,1)-1  ) * $P$5</f>
        <v>-0.0479612570117667</v>
      </c>
      <c r="D109" s="25" t="n">
        <f aca="false">IF($O$5="sell",-1,1) * NORMDIST(I109,0,1,0)/(B109*$H$5*SQRT($J$5)) * $P$5</f>
        <v>0.00771223280530542</v>
      </c>
      <c r="E109" s="25" t="n">
        <f aca="false">IF($O$5="sell",-1,1) * (B109*NORMDIST(I109,0,1,0)*SQRT($J$5)/365) * $P$5</f>
        <v>0.00370097430835757</v>
      </c>
      <c r="F109" s="25" t="n">
        <f aca="false">IF($O$5="sell",-1,1) * (-(B109*NORMDIST(I109,0,1,0)*$H$5)/(2*SQRT($J$5))/365) *$P$5</f>
        <v>-0.0586578352828411</v>
      </c>
      <c r="G109" s="25" t="n">
        <f aca="false">IF($O$5="buy",1,-1)*( IF($K$5="call",B109*NORMDIST(I109,0,1,1) - $B$5*NORMDIST(J109,0,1,1),$B$5*NORMDIST(-J109,0,1,1) - B109*NORMDIST(-I109,0,1,1) ) - $G$5) * $P$5</f>
        <v>-1.72563241367472</v>
      </c>
      <c r="I109" s="26" t="n">
        <f aca="false">(LN(B109/$B$5)+($H$5^2/2)*($J$5))/($H$5*SQRT($J$5))</f>
        <v>1.66495109052702</v>
      </c>
      <c r="J109" s="26" t="n">
        <f aca="false">I109 - $H$5*SQRT($J$5)</f>
        <v>1.49911093816039</v>
      </c>
    </row>
    <row r="110" customFormat="false" ht="13.5" hidden="false" customHeight="true" outlineLevel="0" collapsed="false">
      <c r="B110" s="29" t="n">
        <f aca="false">B81</f>
        <v>77</v>
      </c>
      <c r="C110" s="25" t="n">
        <f aca="false">IF($O$5="sell",-1,1) *  IF($K$5="call",  NORMDIST(I110,0,1,1),  NORMDIST(I110,0,1,1)-1  ) * $P$5</f>
        <v>-0.056239925141526</v>
      </c>
      <c r="D110" s="25" t="n">
        <f aca="false">IF($O$5="sell",-1,1) * NORMDIST(I110,0,1,0)/(B110*$H$5*SQRT($J$5)) * $P$5</f>
        <v>0.00886603679554047</v>
      </c>
      <c r="E110" s="25" t="n">
        <f aca="false">IF($O$5="sell",-1,1) * (B110*NORMDIST(I110,0,1,0)*SQRT($J$5)/365) * $P$5</f>
        <v>0.00414627128215356</v>
      </c>
      <c r="F110" s="25" t="n">
        <f aca="false">IF($O$5="sell",-1,1) * (-(B110*NORMDIST(I110,0,1,0)*$H$5)/(2*SQRT($J$5))/365) *$P$5</f>
        <v>-0.0657154785855488</v>
      </c>
      <c r="G110" s="25" t="n">
        <f aca="false">IF($O$5="buy",1,-1)*( IF($K$5="call",B110*NORMDIST(I110,0,1,1) - $B$5*NORMDIST(J110,0,1,1),$B$5*NORMDIST(-J110,0,1,1) - B110*NORMDIST(-I110,0,1,1) ) - $G$5) * $P$5</f>
        <v>-1.67362796440556</v>
      </c>
      <c r="I110" s="26" t="n">
        <f aca="false">(LN(B110/$B$5)+($H$5^2/2)*($J$5))/($H$5*SQRT($J$5))</f>
        <v>1.58714481350804</v>
      </c>
      <c r="J110" s="26" t="n">
        <f aca="false">I110 - $H$5*SQRT($J$5)</f>
        <v>1.42130466114141</v>
      </c>
    </row>
    <row r="111" customFormat="false" ht="13.5" hidden="false" customHeight="true" outlineLevel="0" collapsed="false">
      <c r="B111" s="29" t="n">
        <f aca="false">B82</f>
        <v>76</v>
      </c>
      <c r="C111" s="25" t="n">
        <f aca="false">IF($O$5="sell",-1,1) *  IF($K$5="call",  NORMDIST(I111,0,1,1),  NORMDIST(I111,0,1,1)-1  ) * $P$5</f>
        <v>-0.0657361402558754</v>
      </c>
      <c r="D111" s="25" t="n">
        <f aca="false">IF($O$5="sell",-1,1) * NORMDIST(I111,0,1,0)/(B111*$H$5*SQRT($J$5)) * $P$5</f>
        <v>0.010148211937572</v>
      </c>
      <c r="E111" s="25" t="n">
        <f aca="false">IF($O$5="sell",-1,1) * (B111*NORMDIST(I111,0,1,0)*SQRT($J$5)/365) * $P$5</f>
        <v>0.00462342106202832</v>
      </c>
      <c r="F111" s="25" t="n">
        <f aca="false">IF($O$5="sell",-1,1) * (-(B111*NORMDIST(I111,0,1,0)*$H$5)/(2*SQRT($J$5))/365) *$P$5</f>
        <v>-0.0732779664228551</v>
      </c>
      <c r="G111" s="25" t="n">
        <f aca="false">IF($O$5="buy",1,-1)*( IF($K$5="call",B111*NORMDIST(I111,0,1,1) - $B$5*NORMDIST(J111,0,1,1),$B$5*NORMDIST(-J111,0,1,1) - B111*NORMDIST(-I111,0,1,1) ) - $G$5) * $P$5</f>
        <v>-1.61274677351998</v>
      </c>
      <c r="I111" s="26" t="n">
        <f aca="false">(LN(B111/$B$5)+($H$5^2/2)*($J$5))/($H$5*SQRT($J$5))</f>
        <v>1.50832143219292</v>
      </c>
      <c r="J111" s="26" t="n">
        <f aca="false">I111 - $H$5*SQRT($J$5)</f>
        <v>1.34248127982629</v>
      </c>
    </row>
    <row r="112" customFormat="false" ht="13.5" hidden="false" customHeight="true" outlineLevel="0" collapsed="false">
      <c r="B112" s="29" t="n">
        <f aca="false">B83</f>
        <v>75</v>
      </c>
      <c r="C112" s="25" t="n">
        <f aca="false">IF($O$5="sell",-1,1) *  IF($K$5="call",  NORMDIST(I112,0,1,1),  NORMDIST(I112,0,1,1)-1  ) * $P$5</f>
        <v>-0.0765806125794956</v>
      </c>
      <c r="D112" s="25" t="n">
        <f aca="false">IF($O$5="sell",-1,1) * NORMDIST(I112,0,1,0)/(B112*$H$5*SQRT($J$5)) * $P$5</f>
        <v>0.011563101302884</v>
      </c>
      <c r="E112" s="25" t="n">
        <f aca="false">IF($O$5="sell",-1,1) * (B112*NORMDIST(I112,0,1,0)*SQRT($J$5)/365) * $P$5</f>
        <v>0.00513030979916429</v>
      </c>
      <c r="F112" s="25" t="n">
        <f aca="false">IF($O$5="sell",-1,1) * (-(B112*NORMDIST(I112,0,1,0)*$H$5)/(2*SQRT($J$5))/365) *$P$5</f>
        <v>-0.0813117957803045</v>
      </c>
      <c r="G112" s="25" t="n">
        <f aca="false">IF($O$5="buy",1,-1)*( IF($K$5="call",B112*NORMDIST(I112,0,1,1) - $B$5*NORMDIST(J112,0,1,1),$B$5*NORMDIST(-J112,0,1,1) - B112*NORMDIST(-I112,0,1,1) ) - $G$5) * $P$5</f>
        <v>-1.54170630162091</v>
      </c>
      <c r="I112" s="26" t="n">
        <f aca="false">(LN(B112/$B$5)+($H$5^2/2)*($J$5))/($H$5*SQRT($J$5))</f>
        <v>1.42845400225509</v>
      </c>
      <c r="J112" s="26" t="n">
        <f aca="false">I112 - $H$5*SQRT($J$5)</f>
        <v>1.26261384988846</v>
      </c>
    </row>
    <row r="113" customFormat="false" ht="13.5" hidden="false" customHeight="true" outlineLevel="0" collapsed="false">
      <c r="B113" s="29" t="n">
        <f aca="false">B84</f>
        <v>74</v>
      </c>
      <c r="C113" s="25" t="n">
        <f aca="false">IF($O$5="sell",-1,1) *  IF($K$5="call",  NORMDIST(I113,0,1,1),  NORMDIST(I113,0,1,1)-1  ) * $P$5</f>
        <v>-0.0889072942434879</v>
      </c>
      <c r="D113" s="25" t="n">
        <f aca="false">IF($O$5="sell",-1,1) * NORMDIST(I113,0,1,0)/(B113*$H$5*SQRT($J$5)) * $P$5</f>
        <v>0.0131127480223719</v>
      </c>
      <c r="E113" s="25" t="n">
        <f aca="false">IF($O$5="sell",-1,1) * (B113*NORMDIST(I113,0,1,0)*SQRT($J$5)/365) * $P$5</f>
        <v>0.00566374757499086</v>
      </c>
      <c r="F113" s="25" t="n">
        <f aca="false">IF($O$5="sell",-1,1) * (-(B113*NORMDIST(I113,0,1,0)*$H$5)/(2*SQRT($J$5))/365) *$P$5</f>
        <v>-0.0897664086959955</v>
      </c>
      <c r="G113" s="25" t="n">
        <f aca="false">IF($O$5="buy",1,-1)*( IF($K$5="call",B113*NORMDIST(I113,0,1,1) - $B$5*NORMDIST(J113,0,1,1),$B$5*NORMDIST(-J113,0,1,1) - B113*NORMDIST(-I113,0,1,1) ) - $G$5) * $P$5</f>
        <v>-1.45909148654107</v>
      </c>
      <c r="I113" s="26" t="n">
        <f aca="false">(LN(B113/$B$5)+($H$5^2/2)*($J$5))/($H$5*SQRT($J$5))</f>
        <v>1.34751449429765</v>
      </c>
      <c r="J113" s="26" t="n">
        <f aca="false">I113 - $H$5*SQRT($J$5)</f>
        <v>1.18167434193103</v>
      </c>
    </row>
    <row r="114" customFormat="false" ht="13.5" hidden="false" customHeight="true" outlineLevel="0" collapsed="false">
      <c r="B114" s="29" t="n">
        <f aca="false">B85</f>
        <v>73</v>
      </c>
      <c r="C114" s="25" t="n">
        <f aca="false">IF($O$5="sell",-1,1) *  IF($K$5="call",  NORMDIST(I114,0,1,1),  NORMDIST(I114,0,1,1)-1  ) * $P$5</f>
        <v>-0.102850778970761</v>
      </c>
      <c r="D114" s="25" t="n">
        <f aca="false">IF($O$5="sell",-1,1) * NORMDIST(I114,0,1,0)/(B114*$H$5*SQRT($J$5)) * $P$5</f>
        <v>0.0147962875782343</v>
      </c>
      <c r="E114" s="25" t="n">
        <f aca="false">IF($O$5="sell",-1,1) * (B114*NORMDIST(I114,0,1,0)*SQRT($J$5)/365) * $P$5</f>
        <v>0.00621935315033439</v>
      </c>
      <c r="F114" s="25" t="n">
        <f aca="false">IF($O$5="sell",-1,1) * (-(B114*NORMDIST(I114,0,1,0)*$H$5)/(2*SQRT($J$5))/365) *$P$5</f>
        <v>-0.0985723656158078</v>
      </c>
      <c r="G114" s="25" t="n">
        <f aca="false">IF($O$5="buy",1,-1)*( IF($K$5="call",B114*NORMDIST(I114,0,1,1) - $B$5*NORMDIST(J114,0,1,1),$B$5*NORMDIST(-J114,0,1,1) - B114*NORMDIST(-I114,0,1,1) ) - $G$5) * $P$5</f>
        <v>-1.36335275092724</v>
      </c>
      <c r="I114" s="26" t="n">
        <f aca="false">(LN(B114/$B$5)+($H$5^2/2)*($J$5))/($H$5*SQRT($J$5))</f>
        <v>1.2654737347975</v>
      </c>
      <c r="J114" s="26" t="n">
        <f aca="false">I114 - $H$5*SQRT($J$5)</f>
        <v>1.09963358243088</v>
      </c>
    </row>
    <row r="115" customFormat="false" ht="13.5" hidden="false" customHeight="true" outlineLevel="0" collapsed="false">
      <c r="B115" s="29" t="n">
        <f aca="false">B86</f>
        <v>72</v>
      </c>
      <c r="C115" s="25" t="n">
        <f aca="false">IF($O$5="sell",-1,1) *  IF($K$5="call",  NORMDIST(I115,0,1,1),  NORMDIST(I115,0,1,1)-1  ) * $P$5</f>
        <v>-0.118543076449926</v>
      </c>
      <c r="D115" s="25" t="n">
        <f aca="false">IF($O$5="sell",-1,1) * NORMDIST(I115,0,1,0)/(B115*$H$5*SQRT($J$5)) * $P$5</f>
        <v>0.0166093084144058</v>
      </c>
      <c r="E115" s="25" t="n">
        <f aca="false">IF($O$5="sell",-1,1) * (B115*NORMDIST(I115,0,1,0)*SQRT($J$5)/365) * $P$5</f>
        <v>0.00679146202025103</v>
      </c>
      <c r="F115" s="25" t="n">
        <f aca="false">IF($O$5="sell",-1,1) * (-(B115*NORMDIST(I115,0,1,0)*$H$5)/(2*SQRT($J$5))/365) *$P$5</f>
        <v>-0.107639888127283</v>
      </c>
      <c r="G115" s="25" t="n">
        <f aca="false">IF($O$5="buy",1,-1)*( IF($K$5="call",B115*NORMDIST(I115,0,1,1) - $B$5*NORMDIST(J115,0,1,1),$B$5*NORMDIST(-J115,0,1,1) - B115*NORMDIST(-I115,0,1,1) ) - $G$5) * $P$5</f>
        <v>-1.25280692014436</v>
      </c>
      <c r="I115" s="26" t="n">
        <f aca="false">(LN(B115/$B$5)+($H$5^2/2)*($J$5))/($H$5*SQRT($J$5))</f>
        <v>1.18230134297624</v>
      </c>
      <c r="J115" s="26" t="n">
        <f aca="false">I115 - $H$5*SQRT($J$5)</f>
        <v>1.01646119060961</v>
      </c>
    </row>
    <row r="116" customFormat="false" ht="13.5" hidden="false" customHeight="true" outlineLevel="0" collapsed="false">
      <c r="B116" s="29" t="n">
        <f aca="false">B87</f>
        <v>71</v>
      </c>
      <c r="C116" s="25" t="n">
        <f aca="false">IF($O$5="sell",-1,1) *  IF($K$5="call",  NORMDIST(I116,0,1,1),  NORMDIST(I116,0,1,1)-1  ) * $P$5</f>
        <v>-0.136109741571552</v>
      </c>
      <c r="D116" s="25" t="n">
        <f aca="false">IF($O$5="sell",-1,1) * NORMDIST(I116,0,1,0)/(B116*$H$5*SQRT($J$5)) * $P$5</f>
        <v>0.0185432058774798</v>
      </c>
      <c r="E116" s="25" t="n">
        <f aca="false">IF($O$5="sell",-1,1) * (B116*NORMDIST(I116,0,1,0)*SQRT($J$5)/365) * $P$5</f>
        <v>0.00737306820788004</v>
      </c>
      <c r="F116" s="25" t="n">
        <f aca="false">IF($O$5="sell",-1,1) * (-(B116*NORMDIST(I116,0,1,0)*$H$5)/(2*SQRT($J$5))/365) *$P$5</f>
        <v>-0.116857936433207</v>
      </c>
      <c r="G116" s="25" t="n">
        <f aca="false">IF($O$5="buy",1,-1)*( IF($K$5="call",B116*NORMDIST(I116,0,1,1) - $B$5*NORMDIST(J116,0,1,1),$B$5*NORMDIST(-J116,0,1,1) - B116*NORMDIST(-I116,0,1,1) ) - $G$5) * $P$5</f>
        <v>-1.12564168780763</v>
      </c>
      <c r="I116" s="26" t="n">
        <f aca="false">(LN(B116/$B$5)+($H$5^2/2)*($J$5))/($H$5*SQRT($J$5))</f>
        <v>1.09796566325604</v>
      </c>
      <c r="J116" s="26" t="n">
        <f aca="false">I116 - $H$5*SQRT($J$5)</f>
        <v>0.932125510889417</v>
      </c>
    </row>
    <row r="117" customFormat="false" ht="13.5" hidden="false" customHeight="true" outlineLevel="0" collapsed="false">
      <c r="B117" s="29" t="n">
        <f aca="false">B88</f>
        <v>70</v>
      </c>
      <c r="C117" s="25" t="n">
        <f aca="false">IF($O$5="sell",-1,1) *  IF($K$5="call",  NORMDIST(I117,0,1,1),  NORMDIST(I117,0,1,1)-1  ) * $P$5</f>
        <v>-0.155665367705423</v>
      </c>
      <c r="D117" s="25" t="n">
        <f aca="false">IF($O$5="sell",-1,1) * NORMDIST(I117,0,1,0)/(B117*$H$5*SQRT($J$5)) * $P$5</f>
        <v>0.0205845625593966</v>
      </c>
      <c r="E117" s="25" t="n">
        <f aca="false">IF($O$5="sell",-1,1) * (B117*NORMDIST(I117,0,1,0)*SQRT($J$5)/365) * $P$5</f>
        <v>0.00795581098022329</v>
      </c>
      <c r="F117" s="25" t="n">
        <f aca="false">IF($O$5="sell",-1,1) * (-(B117*NORMDIST(I117,0,1,0)*$H$5)/(2*SQRT($J$5))/365) *$P$5</f>
        <v>-0.126093998806076</v>
      </c>
      <c r="G117" s="25" t="n">
        <f aca="false">IF($O$5="buy",1,-1)*( IF($K$5="call",B117*NORMDIST(I117,0,1,1) - $B$5*NORMDIST(J117,0,1,1),$B$5*NORMDIST(-J117,0,1,1) - B117*NORMDIST(-I117,0,1,1) ) - $G$5) * $P$5</f>
        <v>-0.979924272246263</v>
      </c>
      <c r="I117" s="26" t="n">
        <f aca="false">(LN(B117/$B$5)+($H$5^2/2)*($J$5))/($H$5*SQRT($J$5))</f>
        <v>1.01243369292477</v>
      </c>
      <c r="J117" s="26" t="n">
        <f aca="false">I117 - $H$5*SQRT($J$5)</f>
        <v>0.846593540558142</v>
      </c>
    </row>
    <row r="118" customFormat="false" ht="13.5" hidden="false" customHeight="true" outlineLevel="0" collapsed="false">
      <c r="B118" s="29" t="n">
        <f aca="false">B89</f>
        <v>69</v>
      </c>
      <c r="C118" s="25" t="n">
        <f aca="false">IF($O$5="sell",-1,1) *  IF($K$5="call",  NORMDIST(I118,0,1,1),  NORMDIST(I118,0,1,1)-1  ) * $P$5</f>
        <v>-0.177308490396886</v>
      </c>
      <c r="D118" s="25" t="n">
        <f aca="false">IF($O$5="sell",-1,1) * NORMDIST(I118,0,1,0)/(B118*$H$5*SQRT($J$5)) * $P$5</f>
        <v>0.0227145963510342</v>
      </c>
      <c r="E118" s="25" t="n">
        <f aca="false">IF($O$5="sell",-1,1) * (B118*NORMDIST(I118,0,1,0)*SQRT($J$5)/365) * $P$5</f>
        <v>0.00853001783216485</v>
      </c>
      <c r="F118" s="25" t="n">
        <f aca="false">IF($O$5="sell",-1,1) * (-(B118*NORMDIST(I118,0,1,0)*$H$5)/(2*SQRT($J$5))/365) *$P$5</f>
        <v>-0.135194772854522</v>
      </c>
      <c r="G118" s="25" t="n">
        <f aca="false">IF($O$5="buy",1,-1)*( IF($K$5="call",B118*NORMDIST(I118,0,1,1) - $B$5*NORMDIST(J118,0,1,1),$B$5*NORMDIST(-J118,0,1,1) - B118*NORMDIST(-I118,0,1,1) ) - $G$5) * $P$5</f>
        <v>-0.813614880112279</v>
      </c>
      <c r="I118" s="26" t="n">
        <f aca="false">(LN(B118/$B$5)+($H$5^2/2)*($J$5))/($H$5*SQRT($J$5))</f>
        <v>0.925671004596493</v>
      </c>
      <c r="J118" s="26" t="n">
        <f aca="false">I118 - $H$5*SQRT($J$5)</f>
        <v>0.759830852229865</v>
      </c>
    </row>
    <row r="119" customFormat="false" ht="13.5" hidden="false" customHeight="true" outlineLevel="0" collapsed="false">
      <c r="B119" s="29" t="n">
        <f aca="false">B90</f>
        <v>68</v>
      </c>
      <c r="C119" s="25" t="n">
        <f aca="false">IF($O$5="sell",-1,1) *  IF($K$5="call",  NORMDIST(I119,0,1,1),  NORMDIST(I119,0,1,1)-1  ) * $P$5</f>
        <v>-0.201115993123181</v>
      </c>
      <c r="D119" s="25" t="n">
        <f aca="false">IF($O$5="sell",-1,1) * NORMDIST(I119,0,1,0)/(B119*$H$5*SQRT($J$5)) * $P$5</f>
        <v>0.0249087252787857</v>
      </c>
      <c r="E119" s="25" t="n">
        <f aca="false">IF($O$5="sell",-1,1) * (B119*NORMDIST(I119,0,1,0)*SQRT($J$5)/365) * $P$5</f>
        <v>0.00908481446188645</v>
      </c>
      <c r="F119" s="25" t="n">
        <f aca="false">IF($O$5="sell",-1,1) * (-(B119*NORMDIST(I119,0,1,0)*$H$5)/(2*SQRT($J$5))/365) *$P$5</f>
        <v>-0.143987908556166</v>
      </c>
      <c r="G119" s="25" t="n">
        <f aca="false">IF($O$5="buy",1,-1)*( IF($K$5="call",B119*NORMDIST(I119,0,1,1) - $B$5*NORMDIST(J119,0,1,1),$B$5*NORMDIST(-J119,0,1,1) - B119*NORMDIST(-I119,0,1,1) ) - $G$5) * $P$5</f>
        <v>-0.62458552498572</v>
      </c>
      <c r="I119" s="26" t="n">
        <f aca="false">(LN(B119/$B$5)+($H$5^2/2)*($J$5))/($H$5*SQRT($J$5))</f>
        <v>0.83764166301172</v>
      </c>
      <c r="J119" s="26" t="n">
        <f aca="false">I119 - $H$5*SQRT($J$5)</f>
        <v>0.671801510645092</v>
      </c>
    </row>
    <row r="120" customFormat="false" ht="13.5" hidden="false" customHeight="true" outlineLevel="0" collapsed="false">
      <c r="B120" s="29" t="n">
        <f aca="false">B91</f>
        <v>67</v>
      </c>
      <c r="C120" s="25" t="n">
        <f aca="false">IF($O$5="sell",-1,1) *  IF($K$5="call",  NORMDIST(I120,0,1,1),  NORMDIST(I120,0,1,1)-1  ) * $P$5</f>
        <v>-0.22713715919051</v>
      </c>
      <c r="D120" s="25" t="n">
        <f aca="false">IF($O$5="sell",-1,1) * NORMDIST(I120,0,1,0)/(B120*$H$5*SQRT($J$5)) * $P$5</f>
        <v>0.0271363046282021</v>
      </c>
      <c r="E120" s="25" t="n">
        <f aca="false">IF($O$5="sell",-1,1) * (B120*NORMDIST(I120,0,1,0)*SQRT($J$5)/365) * $P$5</f>
        <v>0.00960831085705567</v>
      </c>
      <c r="F120" s="25" t="n">
        <f aca="false">IF($O$5="sell",-1,1) * (-(B120*NORMDIST(I120,0,1,0)*$H$5)/(2*SQRT($J$5))/365) *$P$5</f>
        <v>-0.152284957592592</v>
      </c>
      <c r="G120" s="25" t="n">
        <f aca="false">IF($O$5="buy",1,-1)*( IF($K$5="call",B120*NORMDIST(I120,0,1,1) - $B$5*NORMDIST(J120,0,1,1),$B$5*NORMDIST(-J120,0,1,1) - B120*NORMDIST(-I120,0,1,1) ) - $G$5) * $P$5</f>
        <v>-0.410644631504585</v>
      </c>
      <c r="I120" s="26" t="n">
        <f aca="false">(LN(B120/$B$5)+($H$5^2/2)*($J$5))/($H$5*SQRT($J$5))</f>
        <v>0.748308135673971</v>
      </c>
      <c r="J120" s="26" t="n">
        <f aca="false">I120 - $H$5*SQRT($J$5)</f>
        <v>0.582467983307344</v>
      </c>
    </row>
    <row r="121" customFormat="false" ht="13.5" hidden="false" customHeight="true" outlineLevel="0" collapsed="false">
      <c r="B121" s="29" t="n">
        <f aca="false">B92</f>
        <v>66</v>
      </c>
      <c r="C121" s="25" t="n">
        <f aca="false">IF($O$5="sell",-1,1) *  IF($K$5="call",  NORMDIST(I121,0,1,1),  NORMDIST(I121,0,1,1)-1  ) * $P$5</f>
        <v>-0.255387571630566</v>
      </c>
      <c r="D121" s="25" t="n">
        <f aca="false">IF($O$5="sell",-1,1) * NORMDIST(I121,0,1,0)/(B121*$H$5*SQRT($J$5)) * $P$5</f>
        <v>0.029360595914888</v>
      </c>
      <c r="E121" s="25" t="n">
        <f aca="false">IF($O$5="sell",-1,1) * (B121*NORMDIST(I121,0,1,0)*SQRT($J$5)/365) * $P$5</f>
        <v>0.0100878698624758</v>
      </c>
      <c r="F121" s="25" t="n">
        <f aca="false">IF($O$5="sell",-1,1) * (-(B121*NORMDIST(I121,0,1,0)*$H$5)/(2*SQRT($J$5))/365) *$P$5</f>
        <v>-0.159885629957383</v>
      </c>
      <c r="G121" s="25" t="n">
        <f aca="false">IF($O$5="buy",1,-1)*( IF($K$5="call",B121*NORMDIST(I121,0,1,1) - $B$5*NORMDIST(J121,0,1,1),$B$5*NORMDIST(-J121,0,1,1) - B121*NORMDIST(-I121,0,1,1) ) - $G$5) * $P$5</f>
        <v>-0.169567682917723</v>
      </c>
      <c r="I121" s="26" t="n">
        <f aca="false">(LN(B121/$B$5)+($H$5^2/2)*($J$5))/($H$5*SQRT($J$5))</f>
        <v>0.657631196766584</v>
      </c>
      <c r="J121" s="26" t="n">
        <f aca="false">I121 - $H$5*SQRT($J$5)</f>
        <v>0.491791044399957</v>
      </c>
    </row>
    <row r="122" customFormat="false" ht="13.5" hidden="false" customHeight="true" outlineLevel="0" collapsed="false">
      <c r="B122" s="29" t="n">
        <f aca="false">B93</f>
        <v>65</v>
      </c>
      <c r="C122" s="25" t="n">
        <f aca="false">IF($O$5="sell",-1,1) *  IF($K$5="call",  NORMDIST(I122,0,1,1),  NORMDIST(I122,0,1,1)-1  ) * $P$5</f>
        <v>-0.285843123109818</v>
      </c>
      <c r="D122" s="25" t="n">
        <f aca="false">IF($O$5="sell",-1,1) * NORMDIST(I122,0,1,0)/(B122*$H$5*SQRT($J$5)) * $P$5</f>
        <v>0.0315390277530375</v>
      </c>
      <c r="E122" s="25" t="n">
        <f aca="false">IF($O$5="sell",-1,1) * (B122*NORMDIST(I122,0,1,0)*SQRT($J$5)/365) * $P$5</f>
        <v>0.0105104606008621</v>
      </c>
      <c r="F122" s="25" t="n">
        <f aca="false">IF($O$5="sell",-1,1) * (-(B122*NORMDIST(I122,0,1,0)*$H$5)/(2*SQRT($J$5))/365) *$P$5</f>
        <v>-0.166583395426423</v>
      </c>
      <c r="G122" s="25" t="n">
        <f aca="false">IF($O$5="buy",1,-1)*( IF($K$5="call",B122*NORMDIST(I122,0,1,1) - $B$5*NORMDIST(J122,0,1,1),$B$5*NORMDIST(-J122,0,1,1) - B122*NORMDIST(-I122,0,1,1) ) - $G$5) * $P$5</f>
        <v>0.100866061934504</v>
      </c>
      <c r="I122" s="26" t="n">
        <f aca="false">(LN(B122/$B$5)+($H$5^2/2)*($J$5))/($H$5*SQRT($J$5))</f>
        <v>0.565569823734097</v>
      </c>
      <c r="J122" s="26" t="n">
        <f aca="false">I122 - $H$5*SQRT($J$5)</f>
        <v>0.39972967136747</v>
      </c>
    </row>
    <row r="123" customFormat="false" ht="13.5" hidden="false" customHeight="true" outlineLevel="0" collapsed="false">
      <c r="B123" s="29" t="n">
        <f aca="false">B94</f>
        <v>64</v>
      </c>
      <c r="C123" s="25" t="n">
        <f aca="false">IF($O$5="sell",-1,1) *  IF($K$5="call",  NORMDIST(I123,0,1,1),  NORMDIST(I123,0,1,1)-1  ) * $P$5</f>
        <v>-0.318434456203909</v>
      </c>
      <c r="D123" s="25" t="n">
        <f aca="false">IF($O$5="sell",-1,1) * NORMDIST(I123,0,1,0)/(B123*$H$5*SQRT($J$5)) * $P$5</f>
        <v>0.0336238043427337</v>
      </c>
      <c r="E123" s="25" t="n">
        <f aca="false">IF($O$5="sell",-1,1) * (B123*NORMDIST(I123,0,1,0)*SQRT($J$5)/365) * $P$5</f>
        <v>0.010863093855686</v>
      </c>
      <c r="F123" s="25" t="n">
        <f aca="false">IF($O$5="sell",-1,1) * (-(B123*NORMDIST(I123,0,1,0)*$H$5)/(2*SQRT($J$5))/365) *$P$5</f>
        <v>-0.172172384069225</v>
      </c>
      <c r="G123" s="25" t="n">
        <f aca="false">IF($O$5="buy",1,-1)*( IF($K$5="call",B123*NORMDIST(I123,0,1,1) - $B$5*NORMDIST(J123,0,1,1),$B$5*NORMDIST(-J123,0,1,1) - B123*NORMDIST(-I123,0,1,1) ) - $G$5) * $P$5</f>
        <v>0.402831047749071</v>
      </c>
      <c r="I123" s="26" t="n">
        <f aca="false">(LN(B123/$B$5)+($H$5^2/2)*($J$5))/($H$5*SQRT($J$5))</f>
        <v>0.472081085845762</v>
      </c>
      <c r="J123" s="26" t="n">
        <f aca="false">I123 - $H$5*SQRT($J$5)</f>
        <v>0.306240933479135</v>
      </c>
    </row>
    <row r="124" customFormat="false" ht="13.5" hidden="false" customHeight="true" outlineLevel="0" collapsed="false">
      <c r="B124" s="29" t="n">
        <f aca="false">B95</f>
        <v>63</v>
      </c>
      <c r="C124" s="25" t="n">
        <f aca="false">IF($O$5="sell",-1,1) *  IF($K$5="call",  NORMDIST(I124,0,1,1),  NORMDIST(I124,0,1,1)-1  ) * $P$5</f>
        <v>-0.353042205486428</v>
      </c>
      <c r="D124" s="25" t="n">
        <f aca="false">IF($O$5="sell",-1,1) * NORMDIST(I124,0,1,0)/(B124*$H$5*SQRT($J$5)) * $P$5</f>
        <v>0.0355629069565685</v>
      </c>
      <c r="E124" s="25" t="n">
        <f aca="false">IF($O$5="sell",-1,1) * (B124*NORMDIST(I124,0,1,0)*SQRT($J$5)/365) * $P$5</f>
        <v>0.0111333301117396</v>
      </c>
      <c r="F124" s="25" t="n">
        <f aca="false">IF($O$5="sell",-1,1) * (-(B124*NORMDIST(I124,0,1,0)*$H$5)/(2*SQRT($J$5))/365) *$P$5</f>
        <v>-0.176455438333949</v>
      </c>
      <c r="G124" s="25" t="n">
        <f aca="false">IF($O$5="buy",1,-1)*( IF($K$5="call",B124*NORMDIST(I124,0,1,1) - $B$5*NORMDIST(J124,0,1,1),$B$5*NORMDIST(-J124,0,1,1) - B124*NORMDIST(-I124,0,1,1) ) - $G$5) * $P$5</f>
        <v>0.738407710296677</v>
      </c>
      <c r="I124" s="26" t="n">
        <f aca="false">(LN(B124/$B$5)+($H$5^2/2)*($J$5))/($H$5*SQRT($J$5))</f>
        <v>0.377120023983471</v>
      </c>
      <c r="J124" s="26" t="n">
        <f aca="false">I124 - $H$5*SQRT($J$5)</f>
        <v>0.211279871616844</v>
      </c>
    </row>
    <row r="125" customFormat="false" ht="13.5" hidden="false" customHeight="true" outlineLevel="0" collapsed="false">
      <c r="B125" s="29" t="n">
        <f aca="false">B96</f>
        <v>62</v>
      </c>
      <c r="C125" s="25" t="n">
        <f aca="false">IF($O$5="sell",-1,1) *  IF($K$5="call",  NORMDIST(I125,0,1,1),  NORMDIST(I125,0,1,1)-1  ) * $P$5</f>
        <v>-0.389493450216931</v>
      </c>
      <c r="D125" s="25" t="n">
        <f aca="false">IF($O$5="sell",-1,1) * NORMDIST(I125,0,1,0)/(B125*$H$5*SQRT($J$5)) * $P$5</f>
        <v>0.0373015164944114</v>
      </c>
      <c r="E125" s="25" t="n">
        <f aca="false">IF($O$5="sell",-1,1) * (B125*NORMDIST(I125,0,1,0)*SQRT($J$5)/365) * $P$5</f>
        <v>0.0113098436561568</v>
      </c>
      <c r="F125" s="25" t="n">
        <f aca="false">IF($O$5="sell",-1,1) * (-(B125*NORMDIST(I125,0,1,0)*$H$5)/(2*SQRT($J$5))/365) *$P$5</f>
        <v>-0.179253053651146</v>
      </c>
      <c r="G125" s="25" t="n">
        <f aca="false">IF($O$5="buy",1,-1)*( IF($K$5="call",B125*NORMDIST(I125,0,1,1) - $B$5*NORMDIST(J125,0,1,1),$B$5*NORMDIST(-J125,0,1,1) - B125*NORMDIST(-I125,0,1,1) ) - $G$5) * $P$5</f>
        <v>1.10953057622315</v>
      </c>
      <c r="I125" s="26" t="n">
        <f aca="false">(LN(B125/$B$5)+($H$5^2/2)*($J$5))/($H$5*SQRT($J$5))</f>
        <v>0.280639520811546</v>
      </c>
      <c r="J125" s="26" t="n">
        <f aca="false">I125 - $H$5*SQRT($J$5)</f>
        <v>0.114799368444918</v>
      </c>
    </row>
    <row r="126" customFormat="false" ht="13.5" hidden="false" customHeight="true" outlineLevel="0" collapsed="false">
      <c r="B126" s="29" t="n">
        <f aca="false">B97</f>
        <v>61</v>
      </c>
      <c r="C126" s="25" t="n">
        <f aca="false">IF($O$5="sell",-1,1) *  IF($K$5="call",  NORMDIST(I126,0,1,1),  NORMDIST(I126,0,1,1)-1  ) * $P$5</f>
        <v>-0.427559802711356</v>
      </c>
      <c r="D126" s="25" t="n">
        <f aca="false">IF($O$5="sell",-1,1) * NORMDIST(I126,0,1,0)/(B126*$H$5*SQRT($J$5)) * $P$5</f>
        <v>0.0387838603747462</v>
      </c>
      <c r="E126" s="25" t="n">
        <f aca="false">IF($O$5="sell",-1,1) * (B126*NORMDIST(I126,0,1,0)*SQRT($J$5)/365) * $P$5</f>
        <v>0.0113830184210959</v>
      </c>
      <c r="F126" s="25" t="n">
        <f aca="false">IF($O$5="sell",-1,1) * (-(B126*NORMDIST(I126,0,1,0)*$H$5)/(2*SQRT($J$5))/365) *$P$5</f>
        <v>-0.180412822120482</v>
      </c>
      <c r="G126" s="25" t="n">
        <f aca="false">IF($O$5="buy",1,-1)*( IF($K$5="call",B126*NORMDIST(I126,0,1,1) - $B$5*NORMDIST(J126,0,1,1),$B$5*NORMDIST(-J126,0,1,1) - B126*NORMDIST(-I126,0,1,1) ) - $G$5) * $P$5</f>
        <v>1.51793359797389</v>
      </c>
      <c r="I126" s="26" t="n">
        <f aca="false">(LN(B126/$B$5)+($H$5^2/2)*($J$5))/($H$5*SQRT($J$5))</f>
        <v>0.182590160389874</v>
      </c>
      <c r="J126" s="26" t="n">
        <f aca="false">I126 - $H$5*SQRT($J$5)</f>
        <v>0.016750008023246</v>
      </c>
    </row>
    <row r="127" customFormat="false" ht="13.5" hidden="false" customHeight="true" outlineLevel="0" collapsed="false">
      <c r="B127" s="29" t="n">
        <f aca="false">B98</f>
        <v>60</v>
      </c>
      <c r="C127" s="25" t="n">
        <f aca="false">IF($O$5="sell",-1,1) *  IF($K$5="call",  NORMDIST(I127,0,1,1),  NORMDIST(I127,0,1,1)-1  ) * $P$5</f>
        <v>-0.466957545263714</v>
      </c>
      <c r="D127" s="25" t="n">
        <f aca="false">IF($O$5="sell",-1,1) * NORMDIST(I127,0,1,0)/(B127*$H$5*SQRT($J$5)) * $P$5</f>
        <v>0.0399554549026526</v>
      </c>
      <c r="E127" s="25" t="n">
        <f aca="false">IF($O$5="sell",-1,1) * (B127*NORMDIST(I127,0,1,0)*SQRT($J$5)/365) * $P$5</f>
        <v>0.0113455437366317</v>
      </c>
      <c r="F127" s="25" t="n">
        <f aca="false">IF($O$5="sell",-1,1) * (-(B127*NORMDIST(I127,0,1,0)*$H$5)/(2*SQRT($J$5))/365) *$P$5</f>
        <v>-0.179818874774344</v>
      </c>
      <c r="G127" s="25" t="n">
        <f aca="false">IF($O$5="buy",1,-1)*( IF($K$5="call",B127*NORMDIST(I127,0,1,1) - $B$5*NORMDIST(J127,0,1,1),$B$5*NORMDIST(-J127,0,1,1) - B127*NORMDIST(-I127,0,1,1) ) - $G$5) * $P$5</f>
        <v>1.9650945683543</v>
      </c>
      <c r="I127" s="26" t="n">
        <f aca="false">(LN(B127/$B$5)+($H$5^2/2)*($J$5))/($H$5*SQRT($J$5))</f>
        <v>0.0829200761833139</v>
      </c>
      <c r="J127" s="26" t="n">
        <f aca="false">I127 - $H$5*SQRT($J$5)</f>
        <v>-0.0829200761833139</v>
      </c>
    </row>
    <row r="128" customFormat="false" ht="13.5" hidden="false" customHeight="true" outlineLevel="0" collapsed="false">
      <c r="B128" s="29" t="n">
        <f aca="false">B99</f>
        <v>59</v>
      </c>
      <c r="C128" s="25" t="n">
        <f aca="false">IF($O$5="sell",-1,1) *  IF($K$5="call",  NORMDIST(I128,0,1,1),  NORMDIST(I128,0,1,1)-1  ) * $P$5</f>
        <v>-0.507350180885546</v>
      </c>
      <c r="D128" s="25" t="n">
        <f aca="false">IF($O$5="sell",-1,1) * NORMDIST(I128,0,1,0)/(B128*$H$5*SQRT($J$5)) * $P$5</f>
        <v>0.040765675873205</v>
      </c>
      <c r="E128" s="25" t="n">
        <f aca="false">IF($O$5="sell",-1,1) * (B128*NORMDIST(I128,0,1,0)*SQRT($J$5)/365) * $P$5</f>
        <v>0.0111929716655328</v>
      </c>
      <c r="F128" s="25" t="n">
        <f aca="false">IF($O$5="sell",-1,1) * (-(B128*NORMDIST(I128,0,1,0)*$H$5)/(2*SQRT($J$5))/365) *$P$5</f>
        <v>-0.177400714941385</v>
      </c>
      <c r="G128" s="25" t="n">
        <f aca="false">IF($O$5="buy",1,-1)*( IF($K$5="call",B128*NORMDIST(I128,0,1,1) - $B$5*NORMDIST(J128,0,1,1),$B$5*NORMDIST(-J128,0,1,1) - B128*NORMDIST(-I128,0,1,1) ) - $G$5) * $P$5</f>
        <v>2.4521808515085</v>
      </c>
      <c r="I128" s="26" t="n">
        <f aca="false">(LN(B128/$B$5)+($H$5^2/2)*($J$5))/($H$5*SQRT($J$5))</f>
        <v>-0.0184252137029695</v>
      </c>
      <c r="J128" s="26" t="n">
        <f aca="false">I128 - $H$5*SQRT($J$5)</f>
        <v>-0.184265366069597</v>
      </c>
    </row>
    <row r="129" customFormat="false" ht="13.5" hidden="false" customHeight="true" outlineLevel="0" collapsed="false">
      <c r="B129" s="29" t="n">
        <f aca="false">B100</f>
        <v>58</v>
      </c>
      <c r="C129" s="25" t="n">
        <f aca="false">IF($O$5="sell",-1,1) *  IF($K$5="call",  NORMDIST(I129,0,1,1),  NORMDIST(I129,0,1,1)-1  ) * $P$5</f>
        <v>-0.548353674880525</v>
      </c>
      <c r="D129" s="25" t="n">
        <f aca="false">IF($O$5="sell",-1,1) * NORMDIST(I129,0,1,0)/(B129*$H$5*SQRT($J$5)) * $P$5</f>
        <v>0.0411705477219228</v>
      </c>
      <c r="E129" s="25" t="n">
        <f aca="false">IF($O$5="sell",-1,1) * (B129*NORMDIST(I129,0,1,0)*SQRT($J$5)/365) * $P$5</f>
        <v>0.0109241930398259</v>
      </c>
      <c r="F129" s="25" t="n">
        <f aca="false">IF($O$5="sell",-1,1) * (-(B129*NORMDIST(I129,0,1,0)*$H$5)/(2*SQRT($J$5))/365) *$P$5</f>
        <v>-0.17314076309069</v>
      </c>
      <c r="G129" s="25" t="n">
        <f aca="false">IF($O$5="buy",1,-1)*( IF($K$5="call",B129*NORMDIST(I129,0,1,1) - $B$5*NORMDIST(J129,0,1,1),$B$5*NORMDIST(-J129,0,1,1) - B129*NORMDIST(-I129,0,1,1) ) - $G$5) * $P$5</f>
        <v>2.97999899178206</v>
      </c>
      <c r="I129" s="26" t="n">
        <f aca="false">(LN(B129/$B$5)+($H$5^2/2)*($J$5))/($H$5*SQRT($J$5))</f>
        <v>-0.121502985372576</v>
      </c>
      <c r="J129" s="26" t="n">
        <f aca="false">I129 - $H$5*SQRT($J$5)</f>
        <v>-0.287343137739204</v>
      </c>
    </row>
    <row r="130" customFormat="false" ht="13.5" hidden="false" customHeight="true" outlineLevel="0" collapsed="false">
      <c r="B130" s="29" t="n">
        <f aca="false">B101</f>
        <v>57</v>
      </c>
      <c r="C130" s="25" t="n">
        <f aca="false">IF($O$5="sell",-1,1) *  IF($K$5="call",  NORMDIST(I130,0,1,1),  NORMDIST(I130,0,1,1)-1  ) * $P$5</f>
        <v>-0.589544532911845</v>
      </c>
      <c r="D130" s="25" t="n">
        <f aca="false">IF($O$5="sell",-1,1) * NORMDIST(I130,0,1,0)/(B130*$H$5*SQRT($J$5)) * $P$5</f>
        <v>0.0411355984308814</v>
      </c>
      <c r="E130" s="25" t="n">
        <f aca="false">IF($O$5="sell",-1,1) * (B130*NORMDIST(I130,0,1,0)*SQRT($J$5)/365) * $P$5</f>
        <v>0.0105417876825859</v>
      </c>
      <c r="F130" s="25" t="n">
        <f aca="false">IF($O$5="sell",-1,1) * (-(B130*NORMDIST(I130,0,1,0)*$H$5)/(2*SQRT($J$5))/365) *$P$5</f>
        <v>-0.167079907600392</v>
      </c>
      <c r="G130" s="25" t="n">
        <f aca="false">IF($O$5="buy",1,-1)*( IF($K$5="call",B130*NORMDIST(I130,0,1,1) - $B$5*NORMDIST(J130,0,1,1),$B$5*NORMDIST(-J130,0,1,1) - B130*NORMDIST(-I130,0,1,1) ) - $G$5) * $P$5</f>
        <v>3.5489509768711</v>
      </c>
      <c r="I130" s="26" t="n">
        <f aca="false">(LN(B130/$B$5)+($H$5^2/2)*($J$5))/($H$5*SQRT($J$5))</f>
        <v>-0.226373503541305</v>
      </c>
      <c r="J130" s="26" t="n">
        <f aca="false">I130 - $H$5*SQRT($J$5)</f>
        <v>-0.392213655907933</v>
      </c>
    </row>
    <row r="131" customFormat="false" ht="13.5" hidden="false" customHeight="true" outlineLevel="0" collapsed="false">
      <c r="B131" s="30"/>
      <c r="C131" s="22"/>
      <c r="D131" s="22"/>
      <c r="E131" s="22"/>
      <c r="F131" s="22"/>
      <c r="G131" s="22"/>
      <c r="I131" s="31"/>
      <c r="J131" s="31"/>
    </row>
    <row r="132" customFormat="false" ht="13.5" hidden="false" customHeight="true" outlineLevel="0" collapsed="false">
      <c r="B132" s="30"/>
      <c r="C132" s="22"/>
      <c r="D132" s="22"/>
      <c r="E132" s="22"/>
      <c r="F132" s="22"/>
      <c r="G132" s="22"/>
      <c r="I132" s="31"/>
      <c r="J132" s="31"/>
    </row>
    <row r="133" customFormat="false" ht="13.5" hidden="false" customHeight="true" outlineLevel="0" collapsed="false">
      <c r="B133" s="23"/>
      <c r="C133" s="19" t="s">
        <v>13</v>
      </c>
      <c r="D133" s="19" t="s">
        <v>14</v>
      </c>
      <c r="E133" s="19" t="s">
        <v>15</v>
      </c>
      <c r="F133" s="19" t="s">
        <v>16</v>
      </c>
      <c r="G133" s="19" t="s">
        <v>17</v>
      </c>
      <c r="I133" s="19" t="s">
        <v>158</v>
      </c>
      <c r="J133" s="19" t="s">
        <v>159</v>
      </c>
    </row>
    <row r="134" customFormat="false" ht="13.5" hidden="false" customHeight="true" outlineLevel="0" collapsed="false">
      <c r="A134" s="2" t="str">
        <f aca="false">A6</f>
        <v>SOL-1MAY26-70-P-USDT</v>
      </c>
      <c r="B134" s="29" t="n">
        <f aca="false">B104</f>
        <v>83</v>
      </c>
      <c r="C134" s="25" t="n">
        <f aca="false">IF($O$6="sell",-1,1) *  IF($K$6="call",  NORMDIST(I134,0,1,1),  NORMDIST(I134,0,1,1)-1  ) * $P$6</f>
        <v>-0.255660968416624</v>
      </c>
      <c r="D134" s="25" t="n">
        <f aca="false">IF($O$6="sell",-1,1) * NORMDIST(I134,0,1,0)/(B134*$H$6*SQRT($J$6)) * $P$6</f>
        <v>0.043189992701953</v>
      </c>
      <c r="E134" s="25" t="n">
        <f aca="false">IF($O$6="sell",-1,1) * (B134*NORMDIST(I134,0,1,0)*SQRT($J$6)/365) * $P$6</f>
        <v>0.0184643083043881</v>
      </c>
      <c r="F134" s="25" t="n">
        <f aca="false">IF($O$6="sell",-1,1) * (-(B134*NORMDIST(I134,0,1,0)*$H$6)/(2*SQRT($J$6))/365) *$P$6</f>
        <v>-0.230244888835274</v>
      </c>
      <c r="G134" s="25" t="n">
        <f aca="false">IF($O$6="buy",1,-1)*( IF($K$6="call",B134*NORMDIST(I134,0,1,1) - $B$6*NORMDIST(J134,0,1,1),$B$6*NORMDIST(-J134,0,1,1) - B134*NORMDIST(-I134,0,1,1) ) - $G$6) * $P$6</f>
        <v>-1.3295388976207</v>
      </c>
      <c r="I134" s="26" t="n">
        <f aca="false">(LN(B134/$B$6)+($H$6^2/2)*($J$6))/($H$6*SQRT($J$6))</f>
        <v>1.37078930582833</v>
      </c>
      <c r="J134" s="26" t="n">
        <f aca="false">I134 - $H$6*SQRT($J$6)</f>
        <v>1.24031148889254</v>
      </c>
    </row>
    <row r="135" customFormat="false" ht="13.5" hidden="false" customHeight="true" outlineLevel="0" collapsed="false">
      <c r="B135" s="29" t="n">
        <f aca="false">B105</f>
        <v>82</v>
      </c>
      <c r="C135" s="25" t="n">
        <f aca="false">IF($O$6="sell",-1,1) *  IF($K$6="call",  NORMDIST(I135,0,1,1),  NORMDIST(I135,0,1,1)-1  ) * $P$6</f>
        <v>-0.301932572773638</v>
      </c>
      <c r="D135" s="25" t="n">
        <f aca="false">IF($O$6="sell",-1,1) * NORMDIST(I135,0,1,0)/(B135*$H$6*SQRT($J$6)) * $P$6</f>
        <v>0.0494400596339757</v>
      </c>
      <c r="E135" s="25" t="n">
        <f aca="false">IF($O$6="sell",-1,1) * (B135*NORMDIST(I135,0,1,0)*SQRT($J$6)/365) * $P$6</f>
        <v>0.0206300565463596</v>
      </c>
      <c r="F135" s="25" t="n">
        <f aca="false">IF($O$6="sell",-1,1) * (-(B135*NORMDIST(I135,0,1,0)*$H$6)/(2*SQRT($J$6))/365) *$P$6</f>
        <v>-0.257251178754047</v>
      </c>
      <c r="G135" s="25" t="n">
        <f aca="false">IF($O$6="buy",1,-1)*( IF($K$6="call",B135*NORMDIST(I135,0,1,1) - $B$6*NORMDIST(J135,0,1,1),$B$6*NORMDIST(-J135,0,1,1) - B135*NORMDIST(-I135,0,1,1) ) - $G$6) * $P$6</f>
        <v>-1.05126300711901</v>
      </c>
      <c r="I135" s="26" t="n">
        <f aca="false">(LN(B135/$B$6)+($H$6^2/2)*($J$6))/($H$6*SQRT($J$6))</f>
        <v>1.27788952549011</v>
      </c>
      <c r="J135" s="26" t="n">
        <f aca="false">I135 - $H$6*SQRT($J$6)</f>
        <v>1.14741170855432</v>
      </c>
    </row>
    <row r="136" customFormat="false" ht="13.5" hidden="false" customHeight="true" outlineLevel="0" collapsed="false">
      <c r="B136" s="29" t="n">
        <f aca="false">B106</f>
        <v>81</v>
      </c>
      <c r="C136" s="25" t="n">
        <f aca="false">IF($O$6="sell",-1,1) *  IF($K$6="call",  NORMDIST(I136,0,1,1),  NORMDIST(I136,0,1,1)-1  ) * $P$6</f>
        <v>-0.354708762201267</v>
      </c>
      <c r="D136" s="25" t="n">
        <f aca="false">IF($O$6="sell",-1,1) * NORMDIST(I136,0,1,0)/(B136*$H$6*SQRT($J$6)) * $P$6</f>
        <v>0.056192410723145</v>
      </c>
      <c r="E136" s="25" t="n">
        <f aca="false">IF($O$6="sell",-1,1) * (B136*NORMDIST(I136,0,1,0)*SQRT($J$6)/365) * $P$6</f>
        <v>0.0228792313430959</v>
      </c>
      <c r="F136" s="25" t="n">
        <f aca="false">IF($O$6="sell",-1,1) * (-(B136*NORMDIST(I136,0,1,0)*$H$6)/(2*SQRT($J$6))/365) *$P$6</f>
        <v>-0.28529777505804</v>
      </c>
      <c r="G136" s="25" t="n">
        <f aca="false">IF($O$6="buy",1,-1)*( IF($K$6="call",B136*NORMDIST(I136,0,1,1) - $B$6*NORMDIST(J136,0,1,1),$B$6*NORMDIST(-J136,0,1,1) - B136*NORMDIST(-I136,0,1,1) ) - $G$6) * $P$6</f>
        <v>-0.723505107539179</v>
      </c>
      <c r="I136" s="26" t="n">
        <f aca="false">(LN(B136/$B$6)+($H$6^2/2)*($J$6))/($H$6*SQRT($J$6))</f>
        <v>1.18384984211732</v>
      </c>
      <c r="J136" s="26" t="n">
        <f aca="false">I136 - $H$6*SQRT($J$6)</f>
        <v>1.05337202518153</v>
      </c>
    </row>
    <row r="137" customFormat="false" ht="13.5" hidden="false" customHeight="true" outlineLevel="0" collapsed="false">
      <c r="B137" s="29" t="n">
        <f aca="false">B107</f>
        <v>80</v>
      </c>
      <c r="C137" s="25" t="n">
        <f aca="false">IF($O$6="sell",-1,1) *  IF($K$6="call",  NORMDIST(I137,0,1,1),  NORMDIST(I137,0,1,1)-1  ) * $P$6</f>
        <v>-0.414467725508769</v>
      </c>
      <c r="D137" s="25" t="n">
        <f aca="false">IF($O$6="sell",-1,1) * NORMDIST(I137,0,1,0)/(B137*$H$6*SQRT($J$6)) * $P$6</f>
        <v>0.0633949256587249</v>
      </c>
      <c r="E137" s="25" t="n">
        <f aca="false">IF($O$6="sell",-1,1) * (B137*NORMDIST(I137,0,1,0)*SQRT($J$6)/365) * $P$6</f>
        <v>0.02517840404734</v>
      </c>
      <c r="F137" s="25" t="n">
        <f aca="false">IF($O$6="sell",-1,1) * (-(B137*NORMDIST(I137,0,1,0)*$H$6)/(2*SQRT($J$6))/365) *$P$6</f>
        <v>-0.313967831632862</v>
      </c>
      <c r="G137" s="25" t="n">
        <f aca="false">IF($O$6="buy",1,-1)*( IF($K$6="call",B137*NORMDIST(I137,0,1,1) - $B$6*NORMDIST(J137,0,1,1),$B$6*NORMDIST(-J137,0,1,1) - B137*NORMDIST(-I137,0,1,1) ) - $G$6) * $P$6</f>
        <v>-0.339517179817902</v>
      </c>
      <c r="I137" s="26" t="n">
        <f aca="false">(LN(B137/$B$6)+($H$6^2/2)*($J$6))/($H$6*SQRT($J$6))</f>
        <v>1.08864193405835</v>
      </c>
      <c r="J137" s="26" t="n">
        <f aca="false">I137 - $H$6*SQRT($J$6)</f>
        <v>0.958164117122566</v>
      </c>
    </row>
    <row r="138" customFormat="false" ht="13.5" hidden="false" customHeight="true" outlineLevel="0" collapsed="false">
      <c r="B138" s="29" t="n">
        <f aca="false">B108</f>
        <v>79</v>
      </c>
      <c r="C138" s="25" t="n">
        <f aca="false">IF($O$6="sell",-1,1) *  IF($K$6="call",  NORMDIST(I138,0,1,1),  NORMDIST(I138,0,1,1)-1  ) * $P$6</f>
        <v>-0.481623322005088</v>
      </c>
      <c r="D138" s="25" t="n">
        <f aca="false">IF($O$6="sell",-1,1) * NORMDIST(I138,0,1,0)/(B138*$H$6*SQRT($J$6)) * $P$6</f>
        <v>0.0709706695166593</v>
      </c>
      <c r="E138" s="25" t="n">
        <f aca="false">IF($O$6="sell",-1,1) * (B138*NORMDIST(I138,0,1,0)*SQRT($J$6)/365) * $P$6</f>
        <v>0.0274869664600031</v>
      </c>
      <c r="F138" s="25" t="n">
        <f aca="false">IF($O$6="sell",-1,1) * (-(B138*NORMDIST(I138,0,1,0)*$H$6)/(2*SQRT($J$6))/365) *$P$6</f>
        <v>-0.342754975310841</v>
      </c>
      <c r="G138" s="25" t="n">
        <f aca="false">IF($O$6="buy",1,-1)*( IF($K$6="call",B138*NORMDIST(I138,0,1,1) - $B$6*NORMDIST(J138,0,1,1),$B$6*NORMDIST(-J138,0,1,1) - B138*NORMDIST(-I138,0,1,1) ) - $G$6) * $P$6</f>
        <v>0.107896888056713</v>
      </c>
      <c r="I138" s="26" t="n">
        <f aca="false">(LN(B138/$B$6)+($H$6^2/2)*($J$6))/($H$6*SQRT($J$6))</f>
        <v>0.992236410864701</v>
      </c>
      <c r="J138" s="26" t="n">
        <f aca="false">I138 - $H$6*SQRT($J$6)</f>
        <v>0.861758593928914</v>
      </c>
    </row>
    <row r="139" customFormat="false" ht="13.5" hidden="false" customHeight="true" outlineLevel="0" collapsed="false">
      <c r="B139" s="29" t="n">
        <f aca="false">B109</f>
        <v>78</v>
      </c>
      <c r="C139" s="25" t="n">
        <f aca="false">IF($O$6="sell",-1,1) *  IF($K$6="call",  NORMDIST(I139,0,1,1),  NORMDIST(I139,0,1,1)-1  ) * $P$6</f>
        <v>-0.556499214821419</v>
      </c>
      <c r="D139" s="25" t="n">
        <f aca="false">IF($O$6="sell",-1,1) * NORMDIST(I139,0,1,0)/(B139*$H$6*SQRT($J$6)) * $P$6</f>
        <v>0.0788159361277654</v>
      </c>
      <c r="E139" s="25" t="n">
        <f aca="false">IF($O$6="sell",-1,1) * (B139*NORMDIST(I139,0,1,0)*SQRT($J$6)/365) * $P$6</f>
        <v>0.0297575362461699</v>
      </c>
      <c r="F139" s="25" t="n">
        <f aca="false">IF($O$6="sell",-1,1) * (-(B139*NORMDIST(I139,0,1,0)*$H$6)/(2*SQRT($J$6))/365) *$P$6</f>
        <v>-0.371068361298036</v>
      </c>
      <c r="G139" s="25" t="n">
        <f aca="false">IF($O$6="buy",1,-1)*( IF($K$6="call",B139*NORMDIST(I139,0,1,1) - $B$6*NORMDIST(J139,0,1,1),$B$6*NORMDIST(-J139,0,1,1) - B139*NORMDIST(-I139,0,1,1) ) - $G$6) * $P$6</f>
        <v>0.626304201710909</v>
      </c>
      <c r="I139" s="26" t="n">
        <f aca="false">(LN(B139/$B$6)+($H$6^2/2)*($J$6))/($H$6*SQRT($J$6))</f>
        <v>0.89460275882637</v>
      </c>
      <c r="J139" s="26" t="n">
        <f aca="false">I139 - $H$6*SQRT($J$6)</f>
        <v>0.764124941890583</v>
      </c>
    </row>
    <row r="140" customFormat="false" ht="13.5" hidden="false" customHeight="true" outlineLevel="0" collapsed="false">
      <c r="B140" s="29" t="n">
        <f aca="false">B110</f>
        <v>77</v>
      </c>
      <c r="C140" s="25" t="n">
        <f aca="false">IF($O$6="sell",-1,1) *  IF($K$6="call",  NORMDIST(I140,0,1,1),  NORMDIST(I140,0,1,1)-1  ) * $P$6</f>
        <v>-0.639301544977997</v>
      </c>
      <c r="D140" s="25" t="n">
        <f aca="false">IF($O$6="sell",-1,1) * NORMDIST(I140,0,1,0)/(B140*$H$6*SQRT($J$6)) * $P$6</f>
        <v>0.0867993412981071</v>
      </c>
      <c r="E140" s="25" t="n">
        <f aca="false">IF($O$6="sell",-1,1) * (B140*NORMDIST(I140,0,1,0)*SQRT($J$6)/365) * $P$6</f>
        <v>0.0319368153580419</v>
      </c>
      <c r="F140" s="25" t="n">
        <f aca="false">IF($O$6="sell",-1,1) * (-(B140*NORMDIST(I140,0,1,0)*$H$6)/(2*SQRT($J$6))/365) *$P$6</f>
        <v>-0.39824337747423</v>
      </c>
      <c r="G140" s="25" t="n">
        <f aca="false">IF($O$6="buy",1,-1)*( IF($K$6="call",B140*NORMDIST(I140,0,1,1) - $B$6*NORMDIST(J140,0,1,1),$B$6*NORMDIST(-J140,0,1,1) - B140*NORMDIST(-I140,0,1,1) ) - $G$6) * $P$6</f>
        <v>1.22353907726661</v>
      </c>
      <c r="I140" s="26" t="n">
        <f aca="false">(LN(B140/$B$6)+($H$6^2/2)*($J$6))/($H$6*SQRT($J$6))</f>
        <v>0.795709282993171</v>
      </c>
      <c r="J140" s="26" t="n">
        <f aca="false">I140 - $H$6*SQRT($J$6)</f>
        <v>0.665231466057384</v>
      </c>
    </row>
    <row r="141" customFormat="false" ht="13.5" hidden="false" customHeight="true" outlineLevel="0" collapsed="false">
      <c r="B141" s="29" t="n">
        <f aca="false">B111</f>
        <v>76</v>
      </c>
      <c r="C141" s="25" t="n">
        <f aca="false">IF($O$6="sell",-1,1) *  IF($K$6="call",  NORMDIST(I141,0,1,1),  NORMDIST(I141,0,1,1)-1  ) * $P$6</f>
        <v>-0.730091361012</v>
      </c>
      <c r="D141" s="25" t="n">
        <f aca="false">IF($O$6="sell",-1,1) * NORMDIST(I141,0,1,0)/(B141*$H$6*SQRT($J$6)) * $P$6</f>
        <v>0.0947622944855789</v>
      </c>
      <c r="E141" s="25" t="n">
        <f aca="false">IF($O$6="sell",-1,1) * (B141*NORMDIST(I141,0,1,0)*SQRT($J$6)/365) * $P$6</f>
        <v>0.0339669443742143</v>
      </c>
      <c r="F141" s="25" t="n">
        <f aca="false">IF($O$6="sell",-1,1) * (-(B141*NORMDIST(I141,0,1,0)*$H$6)/(2*SQRT($J$6))/365) *$P$6</f>
        <v>-0.42355853263435</v>
      </c>
      <c r="G141" s="25" t="n">
        <f aca="false">IF($O$6="buy",1,-1)*( IF($K$6="call",B141*NORMDIST(I141,0,1,1) - $B$6*NORMDIST(J141,0,1,1),$B$6*NORMDIST(-J141,0,1,1) - B141*NORMDIST(-I141,0,1,1) ) - $G$6) * $P$6</f>
        <v>1.90757169516648</v>
      </c>
      <c r="I141" s="26" t="n">
        <f aca="false">(LN(B141/$B$6)+($H$6^2/2)*($J$6))/($H$6*SQRT($J$6))</f>
        <v>0.695523045406239</v>
      </c>
      <c r="J141" s="26" t="n">
        <f aca="false">I141 - $H$6*SQRT($J$6)</f>
        <v>0.565045228470452</v>
      </c>
    </row>
    <row r="142" customFormat="false" ht="13.5" hidden="false" customHeight="true" outlineLevel="0" collapsed="false">
      <c r="B142" s="29" t="n">
        <f aca="false">B112</f>
        <v>75</v>
      </c>
      <c r="C142" s="25" t="n">
        <f aca="false">IF($O$6="sell",-1,1) *  IF($K$6="call",  NORMDIST(I142,0,1,1),  NORMDIST(I142,0,1,1)-1  ) * $P$6</f>
        <v>-0.828758338295588</v>
      </c>
      <c r="D142" s="25" t="n">
        <f aca="false">IF($O$6="sell",-1,1) * NORMDIST(I142,0,1,0)/(B142*$H$6*SQRT($J$6)) * $P$6</f>
        <v>0.102521153402883</v>
      </c>
      <c r="E142" s="25" t="n">
        <f aca="false">IF($O$6="sell",-1,1) * (B142*NORMDIST(I142,0,1,0)*SQRT($J$6)/365) * $P$6</f>
        <v>0.0357873662547528</v>
      </c>
      <c r="F142" s="25" t="n">
        <f aca="false">IF($O$6="sell",-1,1) * (-(B142*NORMDIST(I142,0,1,0)*$H$6)/(2*SQRT($J$6))/365) *$P$6</f>
        <v>-0.446258697005971</v>
      </c>
      <c r="G142" s="25" t="n">
        <f aca="false">IF($O$6="buy",1,-1)*( IF($K$6="call",B142*NORMDIST(I142,0,1,1) - $B$6*NORMDIST(J142,0,1,1),$B$6*NORMDIST(-J142,0,1,1) - B142*NORMDIST(-I142,0,1,1) ) - $G$6) * $P$6</f>
        <v>2.68634968814452</v>
      </c>
      <c r="I142" s="26" t="n">
        <f aca="false">(LN(B142/$B$6)+($H$6^2/2)*($J$6))/($H$6*SQRT($J$6))</f>
        <v>0.594009799238586</v>
      </c>
      <c r="J142" s="26" t="n">
        <f aca="false">I142 - $H$6*SQRT($J$6)</f>
        <v>0.463531982302798</v>
      </c>
    </row>
    <row r="143" customFormat="false" ht="13.5" hidden="false" customHeight="true" outlineLevel="0" collapsed="false">
      <c r="B143" s="29" t="n">
        <f aca="false">B113</f>
        <v>74</v>
      </c>
      <c r="C143" s="25" t="n">
        <f aca="false">IF($O$6="sell",-1,1) *  IF($K$6="call",  NORMDIST(I143,0,1,1),  NORMDIST(I143,0,1,1)-1  ) * $P$6</f>
        <v>-0.934997599622171</v>
      </c>
      <c r="D143" s="25" t="n">
        <f aca="false">IF($O$6="sell",-1,1) * NORMDIST(I143,0,1,0)/(B143*$H$6*SQRT($J$6)) * $P$6</f>
        <v>0.109871305417775</v>
      </c>
      <c r="E143" s="25" t="n">
        <f aca="false">IF($O$6="sell",-1,1) * (B143*NORMDIST(I143,0,1,0)*SQRT($J$6)/365) * $P$6</f>
        <v>0.0373371746863116</v>
      </c>
      <c r="F143" s="25" t="n">
        <f aca="false">IF($O$6="sell",-1,1) * (-(B143*NORMDIST(I143,0,1,0)*$H$6)/(2*SQRT($J$6))/365) *$P$6</f>
        <v>-0.465584385472482</v>
      </c>
      <c r="G143" s="25" t="n">
        <f aca="false">IF($O$6="buy",1,-1)*( IF($K$6="call",B143*NORMDIST(I143,0,1,1) - $B$6*NORMDIST(J143,0,1,1),$B$6*NORMDIST(-J143,0,1,1) - B143*NORMDIST(-I143,0,1,1) ) - $G$6) * $P$6</f>
        <v>3.56761483844116</v>
      </c>
      <c r="I143" s="26" t="n">
        <f aca="false">(LN(B143/$B$6)+($H$6^2/2)*($J$6))/($H$6*SQRT($J$6))</f>
        <v>0.491133918515147</v>
      </c>
      <c r="J143" s="26" t="n">
        <f aca="false">I143 - $H$6*SQRT($J$6)</f>
        <v>0.36065610157936</v>
      </c>
    </row>
    <row r="144" customFormat="false" ht="13.5" hidden="false" customHeight="true" outlineLevel="0" collapsed="false">
      <c r="B144" s="29" t="n">
        <f aca="false">B114</f>
        <v>73</v>
      </c>
      <c r="C144" s="25" t="n">
        <f aca="false">IF($O$6="sell",-1,1) *  IF($K$6="call",  NORMDIST(I144,0,1,1),  NORMDIST(I144,0,1,1)-1  ) * $P$6</f>
        <v>-1.04829164517192</v>
      </c>
      <c r="D144" s="25" t="n">
        <f aca="false">IF($O$6="sell",-1,1) * NORMDIST(I144,0,1,0)/(B144*$H$6*SQRT($J$6)) * $P$6</f>
        <v>0.116593317863968</v>
      </c>
      <c r="E144" s="25" t="n">
        <f aca="false">IF($O$6="sell",-1,1) * (B144*NORMDIST(I144,0,1,0)*SQRT($J$6)/365) * $P$6</f>
        <v>0.0385578765908857</v>
      </c>
      <c r="F144" s="25" t="n">
        <f aca="false">IF($O$6="sell",-1,1) * (-(B144*NORMDIST(I144,0,1,0)*$H$6)/(2*SQRT($J$6))/365) *$P$6</f>
        <v>-0.480806205303819</v>
      </c>
      <c r="G144" s="25" t="n">
        <f aca="false">IF($O$6="buy",1,-1)*( IF($K$6="call",B144*NORMDIST(I144,0,1,1) - $B$6*NORMDIST(J144,0,1,1),$B$6*NORMDIST(-J144,0,1,1) - B144*NORMDIST(-I144,0,1,1) ) - $G$6) * $P$6</f>
        <v>4.55869897768482</v>
      </c>
      <c r="I144" s="26" t="n">
        <f aca="false">(LN(B144/$B$6)+($H$6^2/2)*($J$6))/($H$6*SQRT($J$6))</f>
        <v>0.38685832305148</v>
      </c>
      <c r="J144" s="26" t="n">
        <f aca="false">I144 - $H$6*SQRT($J$6)</f>
        <v>0.256380506115693</v>
      </c>
    </row>
    <row r="145" customFormat="false" ht="13.5" hidden="false" customHeight="true" outlineLevel="0" collapsed="false">
      <c r="B145" s="29" t="n">
        <f aca="false">B115</f>
        <v>72</v>
      </c>
      <c r="C145" s="25" t="n">
        <f aca="false">IF($O$6="sell",-1,1) *  IF($K$6="call",  NORMDIST(I145,0,1,1),  NORMDIST(I145,0,1,1)-1  ) * $P$6</f>
        <v>-1.16789947353244</v>
      </c>
      <c r="D145" s="25" t="n">
        <f aca="false">IF($O$6="sell",-1,1) * NORMDIST(I145,0,1,0)/(B145*$H$6*SQRT($J$6)) * $P$6</f>
        <v>0.122461155402162</v>
      </c>
      <c r="E145" s="25" t="n">
        <f aca="false">IF($O$6="sell",-1,1) * (B145*NORMDIST(I145,0,1,0)*SQRT($J$6)/365) * $P$6</f>
        <v>0.0393964485203281</v>
      </c>
      <c r="F145" s="25" t="n">
        <f aca="false">IF($O$6="sell",-1,1) * (-(B145*NORMDIST(I145,0,1,0)*$H$6)/(2*SQRT($J$6))/365) *$P$6</f>
        <v>-0.491262968562531</v>
      </c>
      <c r="G145" s="25" t="n">
        <f aca="false">IF($O$6="buy",1,-1)*( IF($K$6="call",B145*NORMDIST(I145,0,1,1) - $B$6*NORMDIST(J145,0,1,1),$B$6*NORMDIST(-J145,0,1,1) - B145*NORMDIST(-I145,0,1,1) ) - $G$6) * $P$6</f>
        <v>5.66630523975742</v>
      </c>
      <c r="I145" s="26" t="n">
        <f aca="false">(LN(B145/$B$6)+($H$6^2/2)*($J$6))/($H$6*SQRT($J$6))</f>
        <v>0.28114439821532</v>
      </c>
      <c r="J145" s="26" t="n">
        <f aca="false">I145 - $H$6*SQRT($J$6)</f>
        <v>0.150666581279533</v>
      </c>
    </row>
    <row r="146" customFormat="false" ht="13.5" hidden="false" customHeight="true" outlineLevel="0" collapsed="false">
      <c r="B146" s="29" t="n">
        <f aca="false">B116</f>
        <v>71</v>
      </c>
      <c r="C146" s="25" t="n">
        <f aca="false">IF($O$6="sell",-1,1) *  IF($K$6="call",  NORMDIST(I146,0,1,1),  NORMDIST(I146,0,1,1)-1  ) * $P$6</f>
        <v>-1.29285488536228</v>
      </c>
      <c r="D146" s="25" t="n">
        <f aca="false">IF($O$6="sell",-1,1) * NORMDIST(I146,0,1,0)/(B146*$H$6*SQRT($J$6)) * $P$6</f>
        <v>0.1272522804006</v>
      </c>
      <c r="E146" s="25" t="n">
        <f aca="false">IF($O$6="sell",-1,1) * (B146*NORMDIST(I146,0,1,0)*SQRT($J$6)/365) * $P$6</f>
        <v>0.039808516992239</v>
      </c>
      <c r="F146" s="25" t="n">
        <f aca="false">IF($O$6="sell",-1,1) * (-(B146*NORMDIST(I146,0,1,0)*$H$6)/(2*SQRT($J$6))/365) *$P$6</f>
        <v>-0.49640135002495</v>
      </c>
      <c r="G146" s="25" t="n">
        <f aca="false">IF($O$6="buy",1,-1)*( IF($K$6="call",B146*NORMDIST(I146,0,1,1) - $B$6*NORMDIST(J146,0,1,1),$B$6*NORMDIST(-J146,0,1,1) - B146*NORMDIST(-I146,0,1,1) ) - $G$6) * $P$6</f>
        <v>6.89628286878964</v>
      </c>
      <c r="I146" s="26" t="n">
        <f aca="false">(LN(B146/$B$6)+($H$6^2/2)*($J$6))/($H$6*SQRT($J$6))</f>
        <v>0.17395190907655</v>
      </c>
      <c r="J146" s="26" t="n">
        <f aca="false">I146 - $H$6*SQRT($J$6)</f>
        <v>0.0434740921407629</v>
      </c>
    </row>
    <row r="147" customFormat="false" ht="13.5" hidden="false" customHeight="true" outlineLevel="0" collapsed="false">
      <c r="B147" s="29" t="n">
        <f aca="false">B117</f>
        <v>70</v>
      </c>
      <c r="C147" s="25" t="n">
        <f aca="false">IF($O$6="sell",-1,1) *  IF($K$6="call",  NORMDIST(I147,0,1,1),  NORMDIST(I147,0,1,1)-1  ) * $P$6</f>
        <v>-1.42197567392949</v>
      </c>
      <c r="D147" s="25" t="n">
        <f aca="false">IF($O$6="sell",-1,1) * NORMDIST(I147,0,1,0)/(B147*$H$6*SQRT($J$6)) * $P$6</f>
        <v>0.13075924222002</v>
      </c>
      <c r="E147" s="25" t="n">
        <f aca="false">IF($O$6="sell",-1,1) * (B147*NORMDIST(I147,0,1,0)*SQRT($J$6)/365) * $P$6</f>
        <v>0.0397614490057674</v>
      </c>
      <c r="F147" s="25" t="n">
        <f aca="false">IF($O$6="sell",-1,1) * (-(B147*NORMDIST(I147,0,1,0)*$H$6)/(2*SQRT($J$6))/365) *$P$6</f>
        <v>-0.495814425070372</v>
      </c>
      <c r="G147" s="25" t="n">
        <f aca="false">IF($O$6="buy",1,-1)*( IF($K$6="call",B147*NORMDIST(I147,0,1,1) - $B$6*NORMDIST(J147,0,1,1),$B$6*NORMDIST(-J147,0,1,1) - B147*NORMDIST(-I147,0,1,1) ) - $G$6) * $P$6</f>
        <v>8.25340564987151</v>
      </c>
      <c r="I147" s="26" t="n">
        <f aca="false">(LN(B147/$B$6)+($H$6^2/2)*($J$6))/($H$6*SQRT($J$6))</f>
        <v>0.0652389084678935</v>
      </c>
      <c r="J147" s="26" t="n">
        <f aca="false">I147 - $H$6*SQRT($J$6)</f>
        <v>-0.0652389084678935</v>
      </c>
    </row>
    <row r="148" customFormat="false" ht="13.5" hidden="false" customHeight="true" outlineLevel="0" collapsed="false">
      <c r="B148" s="29" t="n">
        <f aca="false">B118</f>
        <v>69</v>
      </c>
      <c r="C148" s="25" t="n">
        <f aca="false">IF($O$6="sell",-1,1) *  IF($K$6="call",  NORMDIST(I148,0,1,1),  NORMDIST(I148,0,1,1)-1  ) * $P$6</f>
        <v>-1.55388490222017</v>
      </c>
      <c r="D148" s="25" t="n">
        <f aca="false">IF($O$6="sell",-1,1) * NORMDIST(I148,0,1,0)/(B148*$H$6*SQRT($J$6)) * $P$6</f>
        <v>0.132802140439103</v>
      </c>
      <c r="E148" s="25" t="n">
        <f aca="false">IF($O$6="sell",-1,1) * (B148*NORMDIST(I148,0,1,0)*SQRT($J$6)/365) * $P$6</f>
        <v>0.0392371074658458</v>
      </c>
      <c r="F148" s="25" t="n">
        <f aca="false">IF($O$6="sell",-1,1) * (-(B148*NORMDIST(I148,0,1,0)*$H$6)/(2*SQRT($J$6))/365) *$P$6</f>
        <v>-0.489276029069788</v>
      </c>
      <c r="G148" s="25" t="n">
        <f aca="false">IF($O$6="buy",1,-1)*( IF($K$6="call",B148*NORMDIST(I148,0,1,1) - $B$6*NORMDIST(J148,0,1,1),$B$6*NORMDIST(-J148,0,1,1) - B148*NORMDIST(-I148,0,1,1) ) - $G$6) * $P$6</f>
        <v>9.74116550046494</v>
      </c>
      <c r="I148" s="26" t="n">
        <f aca="false">(LN(B148/$B$6)+($H$6^2/2)*($J$6))/($H$6*SQRT($J$6))</f>
        <v>-0.0450383615693633</v>
      </c>
      <c r="J148" s="26" t="n">
        <f aca="false">I148 - $H$6*SQRT($J$6)</f>
        <v>-0.17551617850515</v>
      </c>
    </row>
    <row r="149" customFormat="false" ht="13.5" hidden="false" customHeight="true" outlineLevel="0" collapsed="false">
      <c r="B149" s="29" t="n">
        <f aca="false">B119</f>
        <v>68</v>
      </c>
      <c r="C149" s="25" t="n">
        <f aca="false">IF($O$6="sell",-1,1) *  IF($K$6="call",  NORMDIST(I149,0,1,1),  NORMDIST(I149,0,1,1)-1  ) * $P$6</f>
        <v>-1.68704474518073</v>
      </c>
      <c r="D149" s="25" t="n">
        <f aca="false">IF($O$6="sell",-1,1) * NORMDIST(I149,0,1,0)/(B149*$H$6*SQRT($J$6)) * $P$6</f>
        <v>0.133241139160304</v>
      </c>
      <c r="E149" s="25" t="n">
        <f aca="false">IF($O$6="sell",-1,1) * (B149*NORMDIST(I149,0,1,0)*SQRT($J$6)/365) * $P$6</f>
        <v>0.0382340135888225</v>
      </c>
      <c r="F149" s="25" t="n">
        <f aca="false">IF($O$6="sell",-1,1) * (-(B149*NORMDIST(I149,0,1,0)*$H$6)/(2*SQRT($J$6))/365) *$P$6</f>
        <v>-0.476767721994365</v>
      </c>
      <c r="G149" s="25" t="n">
        <f aca="false">IF($O$6="buy",1,-1)*( IF($K$6="call",B149*NORMDIST(I149,0,1,1) - $B$6*NORMDIST(J149,0,1,1),$B$6*NORMDIST(-J149,0,1,1) - B149*NORMDIST(-I149,0,1,1) ) - $G$6) * $P$6</f>
        <v>11.3615936169997</v>
      </c>
      <c r="I149" s="26" t="n">
        <f aca="false">(LN(B149/$B$6)+($H$6^2/2)*($J$6))/($H$6*SQRT($J$6))</f>
        <v>-0.15692557553415</v>
      </c>
      <c r="J149" s="26" t="n">
        <f aca="false">I149 - $H$6*SQRT($J$6)</f>
        <v>-0.287403392469938</v>
      </c>
    </row>
    <row r="150" customFormat="false" ht="13.5" hidden="false" customHeight="true" outlineLevel="0" collapsed="false">
      <c r="B150" s="29" t="n">
        <f aca="false">B120</f>
        <v>67</v>
      </c>
      <c r="C150" s="25" t="n">
        <f aca="false">IF($O$6="sell",-1,1) *  IF($K$6="call",  NORMDIST(I150,0,1,1),  NORMDIST(I150,0,1,1)-1  ) * $P$6</f>
        <v>-1.81980246495281</v>
      </c>
      <c r="D150" s="25" t="n">
        <f aca="false">IF($O$6="sell",-1,1) * NORMDIST(I150,0,1,0)/(B150*$H$6*SQRT($J$6)) * $P$6</f>
        <v>0.131988043370928</v>
      </c>
      <c r="E150" s="25" t="n">
        <f aca="false">IF($O$6="sell",-1,1) * (B150*NORMDIST(I150,0,1,0)*SQRT($J$6)/365) * $P$6</f>
        <v>0.0367686702597828</v>
      </c>
      <c r="F150" s="25" t="n">
        <f aca="false">IF($O$6="sell",-1,1) * (-(B150*NORMDIST(I150,0,1,0)*$H$6)/(2*SQRT($J$6))/365) *$P$6</f>
        <v>-0.45849529032033</v>
      </c>
      <c r="G150" s="25" t="n">
        <f aca="false">IF($O$6="buy",1,-1)*( IF($K$6="call",B150*NORMDIST(I150,0,1,1) - $B$6*NORMDIST(J150,0,1,1),$B$6*NORMDIST(-J150,0,1,1) - B150*NORMDIST(-I150,0,1,1) ) - $G$6) * $P$6</f>
        <v>13.1151216082355</v>
      </c>
      <c r="I150" s="26" t="n">
        <f aca="false">(LN(B150/$B$6)+($H$6^2/2)*($J$6))/($H$6*SQRT($J$6))</f>
        <v>-0.270470438048455</v>
      </c>
      <c r="J150" s="26" t="n">
        <f aca="false">I150 - $H$6*SQRT($J$6)</f>
        <v>-0.400948254984242</v>
      </c>
    </row>
    <row r="151" customFormat="false" ht="13.5" hidden="false" customHeight="true" outlineLevel="0" collapsed="false">
      <c r="B151" s="29" t="n">
        <f aca="false">B121</f>
        <v>66</v>
      </c>
      <c r="C151" s="25" t="n">
        <f aca="false">IF($O$6="sell",-1,1) *  IF($K$6="call",  NORMDIST(I151,0,1,1),  NORMDIST(I151,0,1,1)-1  ) * $P$6</f>
        <v>-1.95044704386699</v>
      </c>
      <c r="D151" s="25" t="n">
        <f aca="false">IF($O$6="sell",-1,1) * NORMDIST(I151,0,1,0)/(B151*$H$6*SQRT($J$6)) * $P$6</f>
        <v>0.129015854863381</v>
      </c>
      <c r="E151" s="25" t="n">
        <f aca="false">IF($O$6="sell",-1,1) * (B151*NORMDIST(I151,0,1,0)*SQRT($J$6)/365) * $P$6</f>
        <v>0.0348758405265374</v>
      </c>
      <c r="F151" s="25" t="n">
        <f aca="false">IF($O$6="sell",-1,1) * (-(B151*NORMDIST(I151,0,1,0)*$H$6)/(2*SQRT($J$6))/365) *$P$6</f>
        <v>-0.434892219773051</v>
      </c>
      <c r="G151" s="25" t="n">
        <f aca="false">IF($O$6="buy",1,-1)*( IF($K$6="call",B151*NORMDIST(I151,0,1,1) - $B$6*NORMDIST(J151,0,1,1),$B$6*NORMDIST(-J151,0,1,1) - B151*NORMDIST(-I151,0,1,1) ) - $G$6) * $P$6</f>
        <v>15.000494101117</v>
      </c>
      <c r="I151" s="26" t="n">
        <f aca="false">(LN(B151/$B$6)+($H$6^2/2)*($J$6))/($H$6*SQRT($J$6))</f>
        <v>-0.385722805981169</v>
      </c>
      <c r="J151" s="26" t="n">
        <f aca="false">I151 - $H$6*SQRT($J$6)</f>
        <v>-0.516200622916956</v>
      </c>
    </row>
    <row r="152" customFormat="false" ht="13.5" hidden="false" customHeight="true" outlineLevel="0" collapsed="false">
      <c r="B152" s="29" t="n">
        <f aca="false">B122</f>
        <v>65</v>
      </c>
      <c r="C152" s="25" t="n">
        <f aca="false">IF($O$6="sell",-1,1) *  IF($K$6="call",  NORMDIST(I152,0,1,1),  NORMDIST(I152,0,1,1)-1  ) * $P$6</f>
        <v>-2.07727391201952</v>
      </c>
      <c r="D152" s="25" t="n">
        <f aca="false">IF($O$6="sell",-1,1) * NORMDIST(I152,0,1,0)/(B152*$H$6*SQRT($J$6)) * $P$6</f>
        <v>0.124365233381203</v>
      </c>
      <c r="E152" s="25" t="n">
        <f aca="false">IF($O$6="sell",-1,1) * (B152*NORMDIST(I152,0,1,0)*SQRT($J$6)/365) * $P$6</f>
        <v>0.0326076446973</v>
      </c>
      <c r="F152" s="25" t="n">
        <f aca="false">IF($O$6="sell",-1,1) * (-(B152*NORMDIST(I152,0,1,0)*$H$6)/(2*SQRT($J$6))/365) *$P$6</f>
        <v>-0.406608436381322</v>
      </c>
      <c r="G152" s="25" t="n">
        <f aca="false">IF($O$6="buy",1,-1)*( IF($K$6="call",B152*NORMDIST(I152,0,1,1) - $B$6*NORMDIST(J152,0,1,1),$B$6*NORMDIST(-J152,0,1,1) - B152*NORMDIST(-I152,0,1,1) ) - $G$6) * $P$6</f>
        <v>17.0147422849923</v>
      </c>
      <c r="I152" s="26" t="n">
        <f aca="false">(LN(B152/$B$6)+($H$6^2/2)*($J$6))/($H$6*SQRT($J$6))</f>
        <v>-0.502734819895397</v>
      </c>
      <c r="J152" s="26" t="n">
        <f aca="false">I152 - $H$6*SQRT($J$6)</f>
        <v>-0.633212636831184</v>
      </c>
    </row>
    <row r="153" customFormat="false" ht="13.5" hidden="false" customHeight="true" outlineLevel="0" collapsed="false">
      <c r="B153" s="29" t="n">
        <f aca="false">B123</f>
        <v>64</v>
      </c>
      <c r="C153" s="25" t="n">
        <f aca="false">IF($O$6="sell",-1,1) *  IF($K$6="call",  NORMDIST(I153,0,1,1),  NORMDIST(I153,0,1,1)-1  ) * $P$6</f>
        <v>-2.19865418679019</v>
      </c>
      <c r="D153" s="25" t="n">
        <f aca="false">IF($O$6="sell",-1,1) * NORMDIST(I153,0,1,0)/(B153*$H$6*SQRT($J$6)) * $P$6</f>
        <v>0.118146920168599</v>
      </c>
      <c r="E153" s="25" t="n">
        <f aca="false">IF($O$6="sell",-1,1) * (B153*NORMDIST(I153,0,1,0)*SQRT($J$6)/365) * $P$6</f>
        <v>0.0300314347198609</v>
      </c>
      <c r="F153" s="25" t="n">
        <f aca="false">IF($O$6="sell",-1,1) * (-(B153*NORMDIST(I153,0,1,0)*$H$6)/(2*SQRT($J$6))/365) *$P$6</f>
        <v>-0.374483800565378</v>
      </c>
      <c r="G153" s="25" t="n">
        <f aca="false">IF($O$6="buy",1,-1)*( IF($K$6="call",B153*NORMDIST(I153,0,1,1) - $B$6*NORMDIST(J153,0,1,1),$B$6*NORMDIST(-J153,0,1,1) - B153*NORMDIST(-I153,0,1,1) ) - $G$6) * $P$6</f>
        <v>19.1532247762132</v>
      </c>
      <c r="I153" s="26" t="n">
        <f aca="false">(LN(B153/$B$6)+($H$6^2/2)*($J$6))/($H$6*SQRT($J$6))</f>
        <v>-0.621561045686678</v>
      </c>
      <c r="J153" s="26" t="n">
        <f aca="false">I153 - $H$6*SQRT($J$6)</f>
        <v>-0.752038862622465</v>
      </c>
    </row>
    <row r="154" customFormat="false" ht="13.5" hidden="false" customHeight="true" outlineLevel="0" collapsed="false">
      <c r="B154" s="29" t="n">
        <f aca="false">B124</f>
        <v>63</v>
      </c>
      <c r="C154" s="25" t="n">
        <f aca="false">IF($O$6="sell",-1,1) *  IF($K$6="call",  NORMDIST(I154,0,1,1),  NORMDIST(I154,0,1,1)-1  ) * $P$6</f>
        <v>-2.31310401978414</v>
      </c>
      <c r="D154" s="25" t="n">
        <f aca="false">IF($O$6="sell",-1,1) * NORMDIST(I154,0,1,0)/(B154*$H$6*SQRT($J$6)) * $P$6</f>
        <v>0.110539444927812</v>
      </c>
      <c r="E154" s="25" t="n">
        <f aca="false">IF($O$6="sell",-1,1) * (B154*NORMDIST(I154,0,1,0)*SQRT($J$6)/365) * $P$6</f>
        <v>0.027226518192376</v>
      </c>
      <c r="F154" s="25" t="n">
        <f aca="false">IF($O$6="sell",-1,1) * (-(B154*NORMDIST(I154,0,1,0)*$H$6)/(2*SQRT($J$6))/365) *$P$6</f>
        <v>-0.339507256444876</v>
      </c>
      <c r="G154" s="25" t="n">
        <f aca="false">IF($O$6="buy",1,-1)*( IF($K$6="call",B154*NORMDIST(I154,0,1,1) - $B$6*NORMDIST(J154,0,1,1),$B$6*NORMDIST(-J154,0,1,1) - B154*NORMDIST(-I154,0,1,1) ) - $G$6) * $P$6</f>
        <v>21.4097381695576</v>
      </c>
      <c r="I154" s="26" t="n">
        <f aca="false">(LN(B154/$B$6)+($H$6^2/2)*($J$6))/($H$6*SQRT($J$6))</f>
        <v>-0.742258627375138</v>
      </c>
      <c r="J154" s="26" t="n">
        <f aca="false">I154 - $H$6*SQRT($J$6)</f>
        <v>-0.872736444310926</v>
      </c>
    </row>
    <row r="155" customFormat="false" ht="13.5" hidden="false" customHeight="true" outlineLevel="0" collapsed="false">
      <c r="B155" s="29" t="n">
        <f aca="false">B125</f>
        <v>62</v>
      </c>
      <c r="C155" s="25" t="n">
        <f aca="false">IF($O$6="sell",-1,1) *  IF($K$6="call",  NORMDIST(I155,0,1,1),  NORMDIST(I155,0,1,1)-1  ) * $P$6</f>
        <v>-2.41934915202342</v>
      </c>
      <c r="D155" s="25" t="n">
        <f aca="false">IF($O$6="sell",-1,1) * NORMDIST(I155,0,1,0)/(B155*$H$6*SQRT($J$6)) * $P$6</f>
        <v>0.1017818246931</v>
      </c>
      <c r="E155" s="25" t="n">
        <f aca="false">IF($O$6="sell",-1,1) * (B155*NORMDIST(I155,0,1,0)*SQRT($J$6)/365) * $P$6</f>
        <v>0.0242799248997772</v>
      </c>
      <c r="F155" s="25" t="n">
        <f aca="false">IF($O$6="sell",-1,1) * (-(B155*NORMDIST(I155,0,1,0)*$H$6)/(2*SQRT($J$6))/365) *$P$6</f>
        <v>-0.302764041702521</v>
      </c>
      <c r="G155" s="25" t="n">
        <f aca="false">IF($O$6="buy",1,-1)*( IF($K$6="call",B155*NORMDIST(I155,0,1,1) - $B$6*NORMDIST(J155,0,1,1),$B$6*NORMDIST(-J155,0,1,1) - B155*NORMDIST(-I155,0,1,1) ) - $G$6) * $P$6</f>
        <v>23.7766949587349</v>
      </c>
      <c r="I155" s="26" t="n">
        <f aca="false">(LN(B155/$B$6)+($H$6^2/2)*($J$6))/($H$6*SQRT($J$6))</f>
        <v>-0.864887452122532</v>
      </c>
      <c r="J155" s="26" t="n">
        <f aca="false">I155 - $H$6*SQRT($J$6)</f>
        <v>-0.99536526905832</v>
      </c>
    </row>
    <row r="156" customFormat="false" ht="13.5" hidden="false" customHeight="true" outlineLevel="0" collapsed="false">
      <c r="B156" s="29" t="n">
        <f aca="false">B126</f>
        <v>61</v>
      </c>
      <c r="C156" s="25" t="n">
        <f aca="false">IF($O$6="sell",-1,1) *  IF($K$6="call",  NORMDIST(I156,0,1,1),  NORMDIST(I156,0,1,1)-1  ) * $P$6</f>
        <v>-2.51637972160094</v>
      </c>
      <c r="D156" s="25" t="n">
        <f aca="false">IF($O$6="sell",-1,1) * NORMDIST(I156,0,1,0)/(B156*$H$6*SQRT($J$6)) * $P$6</f>
        <v>0.092161445070013</v>
      </c>
      <c r="E156" s="25" t="n">
        <f aca="false">IF($O$6="sell",-1,1) * (B156*NORMDIST(I156,0,1,0)*SQRT($J$6)/365) * $P$6</f>
        <v>0.0212815214658929</v>
      </c>
      <c r="F156" s="25" t="n">
        <f aca="false">IF($O$6="sell",-1,1) * (-(B156*NORMDIST(I156,0,1,0)*$H$6)/(2*SQRT($J$6))/365) *$P$6</f>
        <v>-0.265374768628376</v>
      </c>
      <c r="G156" s="25" t="n">
        <f aca="false">IF($O$6="buy",1,-1)*( IF($K$6="call",B156*NORMDIST(I156,0,1,1) - $B$6*NORMDIST(J156,0,1,1),$B$6*NORMDIST(-J156,0,1,1) - B156*NORMDIST(-I156,0,1,1) ) - $G$6) * $P$6</f>
        <v>26.2453615405254</v>
      </c>
      <c r="I156" s="26" t="n">
        <f aca="false">(LN(B156/$B$6)+($H$6^2/2)*($J$6))/($H$6*SQRT($J$6))</f>
        <v>-0.989510328667</v>
      </c>
      <c r="J156" s="26" t="n">
        <f aca="false">I156 - $H$6*SQRT($J$6)</f>
        <v>-1.11998814560279</v>
      </c>
    </row>
    <row r="157" customFormat="false" ht="13.5" hidden="false" customHeight="true" outlineLevel="0" collapsed="false">
      <c r="B157" s="29" t="n">
        <f aca="false">B127</f>
        <v>60</v>
      </c>
      <c r="C157" s="25" t="n">
        <f aca="false">IF($O$6="sell",-1,1) *  IF($K$6="call",  NORMDIST(I157,0,1,1),  NORMDIST(I157,0,1,1)-1  ) * $P$6</f>
        <v>-2.60349082058741</v>
      </c>
      <c r="D157" s="25" t="n">
        <f aca="false">IF($O$6="sell",-1,1) * NORMDIST(I157,0,1,0)/(B157*$H$6*SQRT($J$6)) * $P$6</f>
        <v>0.0819978408609705</v>
      </c>
      <c r="E157" s="25" t="n">
        <f aca="false">IF($O$6="sell",-1,1) * (B157*NORMDIST(I157,0,1,0)*SQRT($J$6)/365) * $P$6</f>
        <v>0.0183188685064198</v>
      </c>
      <c r="F157" s="25" t="n">
        <f aca="false">IF($O$6="sell",-1,1) * (-(B157*NORMDIST(I157,0,1,0)*$H$6)/(2*SQRT($J$6))/365) *$P$6</f>
        <v>-0.228431294220008</v>
      </c>
      <c r="G157" s="25" t="n">
        <f aca="false">IF($O$6="buy",1,-1)*( IF($K$6="call",B157*NORMDIST(I157,0,1,1) - $B$6*NORMDIST(J157,0,1,1),$B$6*NORMDIST(-J157,0,1,1) - B157*NORMDIST(-I157,0,1,1) ) - $G$6) * $P$6</f>
        <v>28.8061442436311</v>
      </c>
      <c r="I157" s="26" t="n">
        <f aca="false">(LN(B157/$B$6)+($H$6^2/2)*($J$6))/($H$6*SQRT($J$6))</f>
        <v>-1.11619318050645</v>
      </c>
      <c r="J157" s="26" t="n">
        <f aca="false">I157 - $H$6*SQRT($J$6)</f>
        <v>-1.24667099744223</v>
      </c>
    </row>
    <row r="158" customFormat="false" ht="13.5" hidden="false" customHeight="true" outlineLevel="0" collapsed="false">
      <c r="B158" s="29" t="n">
        <f aca="false">B128</f>
        <v>59</v>
      </c>
      <c r="C158" s="25" t="n">
        <f aca="false">IF($O$6="sell",-1,1) *  IF($K$6="call",  NORMDIST(I158,0,1,1),  NORMDIST(I158,0,1,1)-1  ) * $P$6</f>
        <v>-2.68030527229263</v>
      </c>
      <c r="D158" s="25" t="n">
        <f aca="false">IF($O$6="sell",-1,1) * NORMDIST(I158,0,1,0)/(B158*$H$6*SQRT($J$6)) * $P$6</f>
        <v>0.071623597915321</v>
      </c>
      <c r="E158" s="25" t="n">
        <f aca="false">IF($O$6="sell",-1,1) * (B158*NORMDIST(I158,0,1,0)*SQRT($J$6)/365) * $P$6</f>
        <v>0.0154722646164917</v>
      </c>
      <c r="F158" s="25" t="n">
        <f aca="false">IF($O$6="sell",-1,1) * (-(B158*NORMDIST(I158,0,1,0)*$H$6)/(2*SQRT($J$6))/365) *$P$6</f>
        <v>-0.19293492005912</v>
      </c>
      <c r="G158" s="25" t="n">
        <f aca="false">IF($O$6="buy",1,-1)*( IF($K$6="call",B158*NORMDIST(I158,0,1,1) - $B$6*NORMDIST(J158,0,1,1),$B$6*NORMDIST(-J158,0,1,1) - B158*NORMDIST(-I158,0,1,1) ) - $G$6) * $P$6</f>
        <v>31.4489072650857</v>
      </c>
      <c r="I158" s="26" t="n">
        <f aca="false">(LN(B158/$B$6)+($H$6^2/2)*($J$6))/($H$6*SQRT($J$6))</f>
        <v>-1.245005255318</v>
      </c>
      <c r="J158" s="26" t="n">
        <f aca="false">I158 - $H$6*SQRT($J$6)</f>
        <v>-1.37548307225379</v>
      </c>
    </row>
    <row r="159" customFormat="false" ht="13.5" hidden="false" customHeight="true" outlineLevel="0" collapsed="false">
      <c r="B159" s="29" t="n">
        <f aca="false">B129</f>
        <v>58</v>
      </c>
      <c r="C159" s="25" t="n">
        <f aca="false">IF($O$6="sell",-1,1) *  IF($K$6="call",  NORMDIST(I159,0,1,1),  NORMDIST(I159,0,1,1)-1  ) * $P$6</f>
        <v>-2.74677653713052</v>
      </c>
      <c r="D159" s="25" t="n">
        <f aca="false">IF($O$6="sell",-1,1) * NORMDIST(I159,0,1,0)/(B159*$H$6*SQRT($J$6)) * $P$6</f>
        <v>0.0613640063099495</v>
      </c>
      <c r="E159" s="25" t="n">
        <f aca="false">IF($O$6="sell",-1,1) * (B159*NORMDIST(I159,0,1,0)*SQRT($J$6)/365) * $P$6</f>
        <v>0.0128104215351715</v>
      </c>
      <c r="F159" s="25" t="n">
        <f aca="false">IF($O$6="sell",-1,1) * (-(B159*NORMDIST(I159,0,1,0)*$H$6)/(2*SQRT($J$6))/365) *$P$6</f>
        <v>-0.15974246279226</v>
      </c>
      <c r="G159" s="25" t="n">
        <f aca="false">IF($O$6="buy",1,-1)*( IF($K$6="call",B159*NORMDIST(I159,0,1,1) - $B$6*NORMDIST(J159,0,1,1),$B$6*NORMDIST(-J159,0,1,1) - B159*NORMDIST(-I159,0,1,1) ) - $G$6) * $P$6</f>
        <v>34.163303552626</v>
      </c>
      <c r="I159" s="26" t="n">
        <f aca="false">(LN(B159/$B$6)+($H$6^2/2)*($J$6))/($H$6*SQRT($J$6))</f>
        <v>-1.37601935227912</v>
      </c>
      <c r="J159" s="26" t="n">
        <f aca="false">I159 - $H$6*SQRT($J$6)</f>
        <v>-1.50649716921491</v>
      </c>
    </row>
    <row r="160" customFormat="false" ht="13.5" hidden="false" customHeight="true" outlineLevel="0" collapsed="false">
      <c r="B160" s="29" t="n">
        <f aca="false">B130</f>
        <v>57</v>
      </c>
      <c r="C160" s="25" t="n">
        <f aca="false">IF($O$6="sell",-1,1) *  IF($K$6="call",  NORMDIST(I160,0,1,1),  NORMDIST(I160,0,1,1)-1  ) * $P$6</f>
        <v>-2.80317142220978</v>
      </c>
      <c r="D160" s="25" t="n">
        <f aca="false">IF($O$6="sell",-1,1) * NORMDIST(I160,0,1,0)/(B160*$H$6*SQRT($J$6)) * $P$6</f>
        <v>0.0515173352276217</v>
      </c>
      <c r="E160" s="25" t="n">
        <f aca="false">IF($O$6="sell",-1,1) * (B160*NORMDIST(I160,0,1,0)*SQRT($J$6)/365) * $P$6</f>
        <v>0.0103871601999993</v>
      </c>
      <c r="F160" s="25" t="n">
        <f aca="false">IF($O$6="sell",-1,1) * (-(B160*NORMDIST(I160,0,1,0)*$H$6)/(2*SQRT($J$6))/365) *$P$6</f>
        <v>-0.129525054832118</v>
      </c>
      <c r="G160" s="25" t="n">
        <f aca="false">IF($O$6="buy",1,-1)*( IF($K$6="call",B160*NORMDIST(I160,0,1,1) - $B$6*NORMDIST(J160,0,1,1),$B$6*NORMDIST(-J160,0,1,1) - B160*NORMDIST(-I160,0,1,1) ) - $G$6) * $P$6</f>
        <v>36.9390984430114</v>
      </c>
      <c r="I160" s="26" t="n">
        <f aca="false">(LN(B160/$B$6)+($H$6^2/2)*($J$6))/($H$6*SQRT($J$6))</f>
        <v>-1.50931206915856</v>
      </c>
      <c r="J160" s="26" t="n">
        <f aca="false">I160 - $H$6*SQRT($J$6)</f>
        <v>-1.63978988609435</v>
      </c>
    </row>
    <row r="161" customFormat="false" ht="13.5" hidden="false" customHeight="true" outlineLevel="0" collapsed="false">
      <c r="B161" s="30"/>
      <c r="C161" s="22"/>
      <c r="D161" s="22"/>
      <c r="E161" s="22"/>
      <c r="F161" s="22"/>
      <c r="G161" s="22"/>
      <c r="I161" s="31"/>
      <c r="J161" s="31"/>
    </row>
    <row r="162" customFormat="false" ht="13.5" hidden="false" customHeight="true" outlineLevel="0" collapsed="false">
      <c r="B162" s="30"/>
      <c r="C162" s="22"/>
      <c r="D162" s="22"/>
      <c r="E162" s="22"/>
      <c r="F162" s="22"/>
      <c r="G162" s="22"/>
      <c r="I162" s="31"/>
      <c r="J162" s="31"/>
    </row>
    <row r="163" customFormat="false" ht="13.5" hidden="false" customHeight="true" outlineLevel="0" collapsed="false">
      <c r="B163" s="23"/>
      <c r="C163" s="19" t="s">
        <v>13</v>
      </c>
      <c r="D163" s="19" t="s">
        <v>14</v>
      </c>
      <c r="E163" s="19" t="s">
        <v>15</v>
      </c>
      <c r="F163" s="19" t="s">
        <v>16</v>
      </c>
      <c r="G163" s="19" t="s">
        <v>17</v>
      </c>
      <c r="I163" s="19" t="s">
        <v>158</v>
      </c>
      <c r="J163" s="19" t="s">
        <v>159</v>
      </c>
    </row>
    <row r="164" customFormat="false" ht="13.5" hidden="false" customHeight="true" outlineLevel="0" collapsed="false">
      <c r="A164" s="2" t="str">
        <f aca="false">A7</f>
        <v>SOL-1MAY26-72-P-USDT</v>
      </c>
      <c r="B164" s="29" t="n">
        <f aca="false">B134</f>
        <v>83</v>
      </c>
      <c r="C164" s="25" t="n">
        <f aca="false">IF($O$7="sell",-1,1) *  IF($K$7="call",  NORMDIST(I164,0,1,1),  NORMDIST(I164,0,1,1)-1  ) * $P$7</f>
        <v>-0</v>
      </c>
      <c r="D164" s="25" t="n">
        <f aca="false">IF($O$7="sell",-1,1) * NORMDIST(I164,0,1,0)/(B164*$H$7*SQRT($J$7)) * $P$7</f>
        <v>0</v>
      </c>
      <c r="E164" s="25" t="n">
        <f aca="false">IF($O$7="sell",-1,1) * (B164*NORMDIST(I164,0,1,0)*SQRT($J$7)/365) * $P$7</f>
        <v>0</v>
      </c>
      <c r="F164" s="25" t="n">
        <f aca="false">IF($O$7="sell",-1,1) * (-(B164*NORMDIST(I164,0,1,0)*$H$7)/(2*SQRT($J$7))/365) *$P$7</f>
        <v>-0</v>
      </c>
      <c r="G164" s="25" t="n">
        <f aca="false">IF($O$7="buy",1,-1)*( IF($K$7="call",B164*NORMDIST(I164,0,1,1) - $B$7*NORMDIST(J164,0,1,1),$B$7*NORMDIST(-J164,0,1,1) - B164*NORMDIST(-I164,0,1,1) ) - $G$7) * $P$7</f>
        <v>-0</v>
      </c>
      <c r="I164" s="26" t="n">
        <f aca="false">(LN(B164/$B$7)+($H$7^2/2)*($J$7))/($H$7*SQRT($J$7))</f>
        <v>1.20642502626132</v>
      </c>
      <c r="J164" s="26" t="n">
        <f aca="false">I164 - $H$7*SQRT($J$7)</f>
        <v>1.08217945204506</v>
      </c>
    </row>
    <row r="165" customFormat="false" ht="13.5" hidden="false" customHeight="true" outlineLevel="0" collapsed="false">
      <c r="B165" s="29" t="n">
        <f aca="false">B135</f>
        <v>82</v>
      </c>
      <c r="C165" s="25" t="n">
        <f aca="false">IF($O$7="sell",-1,1) *  IF($K$7="call",  NORMDIST(I165,0,1,1),  NORMDIST(I165,0,1,1)-1  ) * $P$7</f>
        <v>-0</v>
      </c>
      <c r="D165" s="25" t="n">
        <f aca="false">IF($O$7="sell",-1,1) * NORMDIST(I165,0,1,0)/(B165*$H$7*SQRT($J$7)) * $P$7</f>
        <v>0</v>
      </c>
      <c r="E165" s="25" t="n">
        <f aca="false">IF($O$7="sell",-1,1) * (B165*NORMDIST(I165,0,1,0)*SQRT($J$7)/365) * $P$7</f>
        <v>0</v>
      </c>
      <c r="F165" s="25" t="n">
        <f aca="false">IF($O$7="sell",-1,1) * (-(B165*NORMDIST(I165,0,1,0)*$H$7)/(2*SQRT($J$7))/365) *$P$7</f>
        <v>-0</v>
      </c>
      <c r="G165" s="25" t="n">
        <f aca="false">IF($O$7="buy",1,-1)*( IF($K$7="call",B165*NORMDIST(I165,0,1,1) - $B$7*NORMDIST(J165,0,1,1),$B$7*NORMDIST(-J165,0,1,1) - B165*NORMDIST(-I165,0,1,1) ) - $G$7) * $P$7</f>
        <v>-0</v>
      </c>
      <c r="I165" s="26" t="n">
        <f aca="false">(LN(B165/$B$7)+($H$7^2/2)*($J$7))/($H$7*SQRT($J$7))</f>
        <v>1.10886532959763</v>
      </c>
      <c r="J165" s="26" t="n">
        <f aca="false">I165 - $H$7*SQRT($J$7)</f>
        <v>0.984619755381364</v>
      </c>
    </row>
    <row r="166" customFormat="false" ht="13.5" hidden="false" customHeight="true" outlineLevel="0" collapsed="false">
      <c r="B166" s="29" t="n">
        <f aca="false">B136</f>
        <v>81</v>
      </c>
      <c r="C166" s="25" t="n">
        <f aca="false">IF($O$7="sell",-1,1) *  IF($K$7="call",  NORMDIST(I166,0,1,1),  NORMDIST(I166,0,1,1)-1  ) * $P$7</f>
        <v>-0</v>
      </c>
      <c r="D166" s="25" t="n">
        <f aca="false">IF($O$7="sell",-1,1) * NORMDIST(I166,0,1,0)/(B166*$H$7*SQRT($J$7)) * $P$7</f>
        <v>0</v>
      </c>
      <c r="E166" s="25" t="n">
        <f aca="false">IF($O$7="sell",-1,1) * (B166*NORMDIST(I166,0,1,0)*SQRT($J$7)/365) * $P$7</f>
        <v>0</v>
      </c>
      <c r="F166" s="25" t="n">
        <f aca="false">IF($O$7="sell",-1,1) * (-(B166*NORMDIST(I166,0,1,0)*$H$7)/(2*SQRT($J$7))/365) *$P$7</f>
        <v>-0</v>
      </c>
      <c r="G166" s="25" t="n">
        <f aca="false">IF($O$7="buy",1,-1)*( IF($K$7="call",B166*NORMDIST(I166,0,1,1) - $B$7*NORMDIST(J166,0,1,1),$B$7*NORMDIST(-J166,0,1,1) - B166*NORMDIST(-I166,0,1,1) ) - $G$7) * $P$7</f>
        <v>-0</v>
      </c>
      <c r="I166" s="26" t="n">
        <f aca="false">(LN(B166/$B$7)+($H$7^2/2)*($J$7))/($H$7*SQRT($J$7))</f>
        <v>1.0101085515859</v>
      </c>
      <c r="J166" s="26" t="n">
        <f aca="false">I166 - $H$7*SQRT($J$7)</f>
        <v>0.885862977369642</v>
      </c>
    </row>
    <row r="167" customFormat="false" ht="13.5" hidden="false" customHeight="true" outlineLevel="0" collapsed="false">
      <c r="B167" s="29" t="n">
        <f aca="false">B137</f>
        <v>80</v>
      </c>
      <c r="C167" s="25" t="n">
        <f aca="false">IF($O$7="sell",-1,1) *  IF($K$7="call",  NORMDIST(I167,0,1,1),  NORMDIST(I167,0,1,1)-1  ) * $P$7</f>
        <v>-0</v>
      </c>
      <c r="D167" s="25" t="n">
        <f aca="false">IF($O$7="sell",-1,1) * NORMDIST(I167,0,1,0)/(B167*$H$7*SQRT($J$7)) * $P$7</f>
        <v>0</v>
      </c>
      <c r="E167" s="25" t="n">
        <f aca="false">IF($O$7="sell",-1,1) * (B167*NORMDIST(I167,0,1,0)*SQRT($J$7)/365) * $P$7</f>
        <v>0</v>
      </c>
      <c r="F167" s="25" t="n">
        <f aca="false">IF($O$7="sell",-1,1) * (-(B167*NORMDIST(I167,0,1,0)*$H$7)/(2*SQRT($J$7))/365) *$P$7</f>
        <v>-0</v>
      </c>
      <c r="G167" s="25" t="n">
        <f aca="false">IF($O$7="buy",1,-1)*( IF($K$7="call",B167*NORMDIST(I167,0,1,1) - $B$7*NORMDIST(J167,0,1,1),$B$7*NORMDIST(-J167,0,1,1) - B167*NORMDIST(-I167,0,1,1) ) - $G$7) * $P$7</f>
        <v>-0</v>
      </c>
      <c r="I167" s="26" t="n">
        <f aca="false">(LN(B167/$B$7)+($H$7^2/2)*($J$7))/($H$7*SQRT($J$7))</f>
        <v>0.910124949941194</v>
      </c>
      <c r="J167" s="26" t="n">
        <f aca="false">I167 - $H$7*SQRT($J$7)</f>
        <v>0.785879375724932</v>
      </c>
    </row>
    <row r="168" customFormat="false" ht="13.5" hidden="false" customHeight="true" outlineLevel="0" collapsed="false">
      <c r="B168" s="29" t="n">
        <f aca="false">B138</f>
        <v>79</v>
      </c>
      <c r="C168" s="25" t="n">
        <f aca="false">IF($O$7="sell",-1,1) *  IF($K$7="call",  NORMDIST(I168,0,1,1),  NORMDIST(I168,0,1,1)-1  ) * $P$7</f>
        <v>-0</v>
      </c>
      <c r="D168" s="25" t="n">
        <f aca="false">IF($O$7="sell",-1,1) * NORMDIST(I168,0,1,0)/(B168*$H$7*SQRT($J$7)) * $P$7</f>
        <v>0</v>
      </c>
      <c r="E168" s="25" t="n">
        <f aca="false">IF($O$7="sell",-1,1) * (B168*NORMDIST(I168,0,1,0)*SQRT($J$7)/365) * $P$7</f>
        <v>0</v>
      </c>
      <c r="F168" s="25" t="n">
        <f aca="false">IF($O$7="sell",-1,1) * (-(B168*NORMDIST(I168,0,1,0)*$H$7)/(2*SQRT($J$7))/365) *$P$7</f>
        <v>-0</v>
      </c>
      <c r="G168" s="25" t="n">
        <f aca="false">IF($O$7="buy",1,-1)*( IF($K$7="call",B168*NORMDIST(I168,0,1,1) - $B$7*NORMDIST(J168,0,1,1),$B$7*NORMDIST(-J168,0,1,1) - B168*NORMDIST(-I168,0,1,1) ) - $G$7) * $P$7</f>
        <v>0</v>
      </c>
      <c r="I168" s="26" t="n">
        <f aca="false">(LN(B168/$B$7)+($H$7^2/2)*($J$7))/($H$7*SQRT($J$7))</f>
        <v>0.808883659970049</v>
      </c>
      <c r="J168" s="26" t="n">
        <f aca="false">I168 - $H$7*SQRT($J$7)</f>
        <v>0.684638085753787</v>
      </c>
    </row>
    <row r="169" customFormat="false" ht="13.5" hidden="false" customHeight="true" outlineLevel="0" collapsed="false">
      <c r="B169" s="29" t="n">
        <f aca="false">B139</f>
        <v>78</v>
      </c>
      <c r="C169" s="25" t="n">
        <f aca="false">IF($O$7="sell",-1,1) *  IF($K$7="call",  NORMDIST(I169,0,1,1),  NORMDIST(I169,0,1,1)-1  ) * $P$7</f>
        <v>-0</v>
      </c>
      <c r="D169" s="25" t="n">
        <f aca="false">IF($O$7="sell",-1,1) * NORMDIST(I169,0,1,0)/(B169*$H$7*SQRT($J$7)) * $P$7</f>
        <v>0</v>
      </c>
      <c r="E169" s="25" t="n">
        <f aca="false">IF($O$7="sell",-1,1) * (B169*NORMDIST(I169,0,1,0)*SQRT($J$7)/365) * $P$7</f>
        <v>0</v>
      </c>
      <c r="F169" s="25" t="n">
        <f aca="false">IF($O$7="sell",-1,1) * (-(B169*NORMDIST(I169,0,1,0)*$H$7)/(2*SQRT($J$7))/365) *$P$7</f>
        <v>-0</v>
      </c>
      <c r="G169" s="25" t="n">
        <f aca="false">IF($O$7="buy",1,-1)*( IF($K$7="call",B169*NORMDIST(I169,0,1,1) - $B$7*NORMDIST(J169,0,1,1),$B$7*NORMDIST(-J169,0,1,1) - B169*NORMDIST(-I169,0,1,1) ) - $G$7) * $P$7</f>
        <v>0</v>
      </c>
      <c r="I169" s="26" t="n">
        <f aca="false">(LN(B169/$B$7)+($H$7^2/2)*($J$7))/($H$7*SQRT($J$7))</f>
        <v>0.706352637373974</v>
      </c>
      <c r="J169" s="26" t="n">
        <f aca="false">I169 - $H$7*SQRT($J$7)</f>
        <v>0.582107063157711</v>
      </c>
    </row>
    <row r="170" customFormat="false" ht="13.5" hidden="false" customHeight="true" outlineLevel="0" collapsed="false">
      <c r="B170" s="29" t="n">
        <f aca="false">B140</f>
        <v>77</v>
      </c>
      <c r="C170" s="25" t="n">
        <f aca="false">IF($O$7="sell",-1,1) *  IF($K$7="call",  NORMDIST(I170,0,1,1),  NORMDIST(I170,0,1,1)-1  ) * $P$7</f>
        <v>-0</v>
      </c>
      <c r="D170" s="25" t="n">
        <f aca="false">IF($O$7="sell",-1,1) * NORMDIST(I170,0,1,0)/(B170*$H$7*SQRT($J$7)) * $P$7</f>
        <v>0</v>
      </c>
      <c r="E170" s="25" t="n">
        <f aca="false">IF($O$7="sell",-1,1) * (B170*NORMDIST(I170,0,1,0)*SQRT($J$7)/365) * $P$7</f>
        <v>0</v>
      </c>
      <c r="F170" s="25" t="n">
        <f aca="false">IF($O$7="sell",-1,1) * (-(B170*NORMDIST(I170,0,1,0)*$H$7)/(2*SQRT($J$7))/365) *$P$7</f>
        <v>-0</v>
      </c>
      <c r="G170" s="25" t="n">
        <f aca="false">IF($O$7="buy",1,-1)*( IF($K$7="call",B170*NORMDIST(I170,0,1,1) - $B$7*NORMDIST(J170,0,1,1),$B$7*NORMDIST(-J170,0,1,1) - B170*NORMDIST(-I170,0,1,1) ) - $G$7) * $P$7</f>
        <v>0</v>
      </c>
      <c r="I170" s="26" t="n">
        <f aca="false">(LN(B170/$B$7)+($H$7^2/2)*($J$7))/($H$7*SQRT($J$7))</f>
        <v>0.602498597362471</v>
      </c>
      <c r="J170" s="26" t="n">
        <f aca="false">I170 - $H$7*SQRT($J$7)</f>
        <v>0.478253023146209</v>
      </c>
    </row>
    <row r="171" customFormat="false" ht="13.5" hidden="false" customHeight="true" outlineLevel="0" collapsed="false">
      <c r="B171" s="29" t="n">
        <f aca="false">B141</f>
        <v>76</v>
      </c>
      <c r="C171" s="25" t="n">
        <f aca="false">IF($O$7="sell",-1,1) *  IF($K$7="call",  NORMDIST(I171,0,1,1),  NORMDIST(I171,0,1,1)-1  ) * $P$7</f>
        <v>-0</v>
      </c>
      <c r="D171" s="25" t="n">
        <f aca="false">IF($O$7="sell",-1,1) * NORMDIST(I171,0,1,0)/(B171*$H$7*SQRT($J$7)) * $P$7</f>
        <v>0</v>
      </c>
      <c r="E171" s="25" t="n">
        <f aca="false">IF($O$7="sell",-1,1) * (B171*NORMDIST(I171,0,1,0)*SQRT($J$7)/365) * $P$7</f>
        <v>0</v>
      </c>
      <c r="F171" s="25" t="n">
        <f aca="false">IF($O$7="sell",-1,1) * (-(B171*NORMDIST(I171,0,1,0)*$H$7)/(2*SQRT($J$7))/365) *$P$7</f>
        <v>-0</v>
      </c>
      <c r="G171" s="25" t="n">
        <f aca="false">IF($O$7="buy",1,-1)*( IF($K$7="call",B171*NORMDIST(I171,0,1,1) - $B$7*NORMDIST(J171,0,1,1),$B$7*NORMDIST(-J171,0,1,1) - B171*NORMDIST(-I171,0,1,1) ) - $G$7) * $P$7</f>
        <v>0</v>
      </c>
      <c r="I171" s="26" t="n">
        <f aca="false">(LN(B171/$B$7)+($H$7^2/2)*($J$7))/($H$7*SQRT($J$7))</f>
        <v>0.497286949786201</v>
      </c>
      <c r="J171" s="26" t="n">
        <f aca="false">I171 - $H$7*SQRT($J$7)</f>
        <v>0.373041375569939</v>
      </c>
    </row>
    <row r="172" customFormat="false" ht="13.5" hidden="false" customHeight="true" outlineLevel="0" collapsed="false">
      <c r="B172" s="29" t="n">
        <f aca="false">B142</f>
        <v>75</v>
      </c>
      <c r="C172" s="25" t="n">
        <f aca="false">IF($O$7="sell",-1,1) *  IF($K$7="call",  NORMDIST(I172,0,1,1),  NORMDIST(I172,0,1,1)-1  ) * $P$7</f>
        <v>-0</v>
      </c>
      <c r="D172" s="25" t="n">
        <f aca="false">IF($O$7="sell",-1,1) * NORMDIST(I172,0,1,0)/(B172*$H$7*SQRT($J$7)) * $P$7</f>
        <v>0</v>
      </c>
      <c r="E172" s="25" t="n">
        <f aca="false">IF($O$7="sell",-1,1) * (B172*NORMDIST(I172,0,1,0)*SQRT($J$7)/365) * $P$7</f>
        <v>0</v>
      </c>
      <c r="F172" s="25" t="n">
        <f aca="false">IF($O$7="sell",-1,1) * (-(B172*NORMDIST(I172,0,1,0)*$H$7)/(2*SQRT($J$7))/365) *$P$7</f>
        <v>-0</v>
      </c>
      <c r="G172" s="25" t="n">
        <f aca="false">IF($O$7="buy",1,-1)*( IF($K$7="call",B172*NORMDIST(I172,0,1,1) - $B$7*NORMDIST(J172,0,1,1),$B$7*NORMDIST(-J172,0,1,1) - B172*NORMDIST(-I172,0,1,1) ) - $G$7) * $P$7</f>
        <v>0</v>
      </c>
      <c r="I172" s="26" t="n">
        <f aca="false">(LN(B172/$B$7)+($H$7^2/2)*($J$7))/($H$7*SQRT($J$7))</f>
        <v>0.390681729973977</v>
      </c>
      <c r="J172" s="26" t="n">
        <f aca="false">I172 - $H$7*SQRT($J$7)</f>
        <v>0.266436155757715</v>
      </c>
    </row>
    <row r="173" customFormat="false" ht="13.5" hidden="false" customHeight="true" outlineLevel="0" collapsed="false">
      <c r="B173" s="29" t="n">
        <f aca="false">B143</f>
        <v>74</v>
      </c>
      <c r="C173" s="25" t="n">
        <f aca="false">IF($O$7="sell",-1,1) *  IF($K$7="call",  NORMDIST(I173,0,1,1),  NORMDIST(I173,0,1,1)-1  ) * $P$7</f>
        <v>-0</v>
      </c>
      <c r="D173" s="25" t="n">
        <f aca="false">IF($O$7="sell",-1,1) * NORMDIST(I173,0,1,0)/(B173*$H$7*SQRT($J$7)) * $P$7</f>
        <v>0</v>
      </c>
      <c r="E173" s="25" t="n">
        <f aca="false">IF($O$7="sell",-1,1) * (B173*NORMDIST(I173,0,1,0)*SQRT($J$7)/365) * $P$7</f>
        <v>0</v>
      </c>
      <c r="F173" s="25" t="n">
        <f aca="false">IF($O$7="sell",-1,1) * (-(B173*NORMDIST(I173,0,1,0)*$H$7)/(2*SQRT($J$7))/365) *$P$7</f>
        <v>-0</v>
      </c>
      <c r="G173" s="25" t="n">
        <f aca="false">IF($O$7="buy",1,-1)*( IF($K$7="call",B173*NORMDIST(I173,0,1,1) - $B$7*NORMDIST(J173,0,1,1),$B$7*NORMDIST(-J173,0,1,1) - B173*NORMDIST(-I173,0,1,1) ) - $G$7) * $P$7</f>
        <v>0</v>
      </c>
      <c r="I173" s="26" t="n">
        <f aca="false">(LN(B173/$B$7)+($H$7^2/2)*($J$7))/($H$7*SQRT($J$7))</f>
        <v>0.282645524927537</v>
      </c>
      <c r="J173" s="26" t="n">
        <f aca="false">I173 - $H$7*SQRT($J$7)</f>
        <v>0.158399950711275</v>
      </c>
    </row>
    <row r="174" customFormat="false" ht="13.5" hidden="false" customHeight="true" outlineLevel="0" collapsed="false">
      <c r="B174" s="29" t="n">
        <f aca="false">B144</f>
        <v>73</v>
      </c>
      <c r="C174" s="25" t="n">
        <f aca="false">IF($O$7="sell",-1,1) *  IF($K$7="call",  NORMDIST(I174,0,1,1),  NORMDIST(I174,0,1,1)-1  ) * $P$7</f>
        <v>-0</v>
      </c>
      <c r="D174" s="25" t="n">
        <f aca="false">IF($O$7="sell",-1,1) * NORMDIST(I174,0,1,0)/(B174*$H$7*SQRT($J$7)) * $P$7</f>
        <v>0</v>
      </c>
      <c r="E174" s="25" t="n">
        <f aca="false">IF($O$7="sell",-1,1) * (B174*NORMDIST(I174,0,1,0)*SQRT($J$7)/365) * $P$7</f>
        <v>0</v>
      </c>
      <c r="F174" s="25" t="n">
        <f aca="false">IF($O$7="sell",-1,1) * (-(B174*NORMDIST(I174,0,1,0)*$H$7)/(2*SQRT($J$7))/365) *$P$7</f>
        <v>-0</v>
      </c>
      <c r="G174" s="25" t="n">
        <f aca="false">IF($O$7="buy",1,-1)*( IF($K$7="call",B174*NORMDIST(I174,0,1,1) - $B$7*NORMDIST(J174,0,1,1),$B$7*NORMDIST(-J174,0,1,1) - B174*NORMDIST(-I174,0,1,1) ) - $G$7) * $P$7</f>
        <v>0</v>
      </c>
      <c r="I174" s="26" t="n">
        <f aca="false">(LN(B174/$B$7)+($H$7^2/2)*($J$7))/($H$7*SQRT($J$7))</f>
        <v>0.173139394495104</v>
      </c>
      <c r="J174" s="26" t="n">
        <f aca="false">I174 - $H$7*SQRT($J$7)</f>
        <v>0.0488938202788414</v>
      </c>
    </row>
    <row r="175" customFormat="false" ht="13.5" hidden="false" customHeight="true" outlineLevel="0" collapsed="false">
      <c r="B175" s="29" t="n">
        <f aca="false">B145</f>
        <v>72</v>
      </c>
      <c r="C175" s="25" t="n">
        <f aca="false">IF($O$7="sell",-1,1) *  IF($K$7="call",  NORMDIST(I175,0,1,1),  NORMDIST(I175,0,1,1)-1  ) * $P$7</f>
        <v>-0</v>
      </c>
      <c r="D175" s="25" t="n">
        <f aca="false">IF($O$7="sell",-1,1) * NORMDIST(I175,0,1,0)/(B175*$H$7*SQRT($J$7)) * $P$7</f>
        <v>0</v>
      </c>
      <c r="E175" s="25" t="n">
        <f aca="false">IF($O$7="sell",-1,1) * (B175*NORMDIST(I175,0,1,0)*SQRT($J$7)/365) * $P$7</f>
        <v>0</v>
      </c>
      <c r="F175" s="25" t="n">
        <f aca="false">IF($O$7="sell",-1,1) * (-(B175*NORMDIST(I175,0,1,0)*$H$7)/(2*SQRT($J$7))/365) *$P$7</f>
        <v>-0</v>
      </c>
      <c r="G175" s="25" t="n">
        <f aca="false">IF($O$7="buy",1,-1)*( IF($K$7="call",B175*NORMDIST(I175,0,1,1) - $B$7*NORMDIST(J175,0,1,1),$B$7*NORMDIST(-J175,0,1,1) - B175*NORMDIST(-I175,0,1,1) ) - $G$7) * $P$7</f>
        <v>0</v>
      </c>
      <c r="I175" s="26" t="n">
        <f aca="false">(LN(B175/$B$7)+($H$7^2/2)*($J$7))/($H$7*SQRT($J$7))</f>
        <v>0.0621227871081312</v>
      </c>
      <c r="J175" s="26" t="n">
        <f aca="false">I175 - $H$7*SQRT($J$7)</f>
        <v>-0.0621227871081312</v>
      </c>
    </row>
    <row r="176" customFormat="false" ht="13.5" hidden="false" customHeight="true" outlineLevel="0" collapsed="false">
      <c r="B176" s="29" t="n">
        <f aca="false">B146</f>
        <v>71</v>
      </c>
      <c r="C176" s="25" t="n">
        <f aca="false">IF($O$7="sell",-1,1) *  IF($K$7="call",  NORMDIST(I176,0,1,1),  NORMDIST(I176,0,1,1)-1  ) * $P$7</f>
        <v>-0</v>
      </c>
      <c r="D176" s="25" t="n">
        <f aca="false">IF($O$7="sell",-1,1) * NORMDIST(I176,0,1,0)/(B176*$H$7*SQRT($J$7)) * $P$7</f>
        <v>0</v>
      </c>
      <c r="E176" s="25" t="n">
        <f aca="false">IF($O$7="sell",-1,1) * (B176*NORMDIST(I176,0,1,0)*SQRT($J$7)/365) * $P$7</f>
        <v>0</v>
      </c>
      <c r="F176" s="25" t="n">
        <f aca="false">IF($O$7="sell",-1,1) * (-(B176*NORMDIST(I176,0,1,0)*$H$7)/(2*SQRT($J$7))/365) *$P$7</f>
        <v>-0</v>
      </c>
      <c r="G176" s="25" t="n">
        <f aca="false">IF($O$7="buy",1,-1)*( IF($K$7="call",B176*NORMDIST(I176,0,1,1) - $B$7*NORMDIST(J176,0,1,1),$B$7*NORMDIST(-J176,0,1,1) - B176*NORMDIST(-I176,0,1,1) ) - $G$7) * $P$7</f>
        <v>0</v>
      </c>
      <c r="I176" s="26" t="n">
        <f aca="false">(LN(B176/$B$7)+($H$7^2/2)*($J$7))/($H$7*SQRT($J$7))</f>
        <v>-0.050446550375032</v>
      </c>
      <c r="J176" s="26" t="n">
        <f aca="false">I176 - $H$7*SQRT($J$7)</f>
        <v>-0.174692124591294</v>
      </c>
    </row>
    <row r="177" customFormat="false" ht="13.5" hidden="false" customHeight="true" outlineLevel="0" collapsed="false">
      <c r="B177" s="29" t="n">
        <f aca="false">B147</f>
        <v>70</v>
      </c>
      <c r="C177" s="25" t="n">
        <f aca="false">IF($O$7="sell",-1,1) *  IF($K$7="call",  NORMDIST(I177,0,1,1),  NORMDIST(I177,0,1,1)-1  ) * $P$7</f>
        <v>-0</v>
      </c>
      <c r="D177" s="25" t="n">
        <f aca="false">IF($O$7="sell",-1,1) * NORMDIST(I177,0,1,0)/(B177*$H$7*SQRT($J$7)) * $P$7</f>
        <v>0</v>
      </c>
      <c r="E177" s="25" t="n">
        <f aca="false">IF($O$7="sell",-1,1) * (B177*NORMDIST(I177,0,1,0)*SQRT($J$7)/365) * $P$7</f>
        <v>0</v>
      </c>
      <c r="F177" s="25" t="n">
        <f aca="false">IF($O$7="sell",-1,1) * (-(B177*NORMDIST(I177,0,1,0)*$H$7)/(2*SQRT($J$7))/365) *$P$7</f>
        <v>-0</v>
      </c>
      <c r="G177" s="25" t="n">
        <f aca="false">IF($O$7="buy",1,-1)*( IF($K$7="call",B177*NORMDIST(I177,0,1,1) - $B$7*NORMDIST(J177,0,1,1),$B$7*NORMDIST(-J177,0,1,1) - B177*NORMDIST(-I177,0,1,1) ) - $G$7) * $P$7</f>
        <v>0</v>
      </c>
      <c r="I177" s="26" t="n">
        <f aca="false">(LN(B177/$B$7)+($H$7^2/2)*($J$7))/($H$7*SQRT($J$7))</f>
        <v>-0.164612669220172</v>
      </c>
      <c r="J177" s="26" t="n">
        <f aca="false">I177 - $H$7*SQRT($J$7)</f>
        <v>-0.288858243436435</v>
      </c>
    </row>
    <row r="178" customFormat="false" ht="13.5" hidden="false" customHeight="true" outlineLevel="0" collapsed="false">
      <c r="B178" s="29" t="n">
        <f aca="false">B148</f>
        <v>69</v>
      </c>
      <c r="C178" s="25" t="n">
        <f aca="false">IF($O$7="sell",-1,1) *  IF($K$7="call",  NORMDIST(I178,0,1,1),  NORMDIST(I178,0,1,1)-1  ) * $P$7</f>
        <v>-0</v>
      </c>
      <c r="D178" s="25" t="n">
        <f aca="false">IF($O$7="sell",-1,1) * NORMDIST(I178,0,1,0)/(B178*$H$7*SQRT($J$7)) * $P$7</f>
        <v>0</v>
      </c>
      <c r="E178" s="25" t="n">
        <f aca="false">IF($O$7="sell",-1,1) * (B178*NORMDIST(I178,0,1,0)*SQRT($J$7)/365) * $P$7</f>
        <v>0</v>
      </c>
      <c r="F178" s="25" t="n">
        <f aca="false">IF($O$7="sell",-1,1) * (-(B178*NORMDIST(I178,0,1,0)*$H$7)/(2*SQRT($J$7))/365) *$P$7</f>
        <v>-0</v>
      </c>
      <c r="G178" s="25" t="n">
        <f aca="false">IF($O$7="buy",1,-1)*( IF($K$7="call",B178*NORMDIST(I178,0,1,1) - $B$7*NORMDIST(J178,0,1,1),$B$7*NORMDIST(-J178,0,1,1) - B178*NORMDIST(-I178,0,1,1) ) - $G$7) * $P$7</f>
        <v>0</v>
      </c>
      <c r="I178" s="26" t="n">
        <f aca="false">(LN(B178/$B$7)+($H$7^2/2)*($J$7))/($H$7*SQRT($J$7))</f>
        <v>-0.280421522315047</v>
      </c>
      <c r="J178" s="26" t="n">
        <f aca="false">I178 - $H$7*SQRT($J$7)</f>
        <v>-0.40466709653131</v>
      </c>
    </row>
    <row r="179" customFormat="false" ht="13.5" hidden="false" customHeight="true" outlineLevel="0" collapsed="false">
      <c r="B179" s="29" t="n">
        <f aca="false">B149</f>
        <v>68</v>
      </c>
      <c r="C179" s="25" t="n">
        <f aca="false">IF($O$7="sell",-1,1) *  IF($K$7="call",  NORMDIST(I179,0,1,1),  NORMDIST(I179,0,1,1)-1  ) * $P$7</f>
        <v>-0</v>
      </c>
      <c r="D179" s="25" t="n">
        <f aca="false">IF($O$7="sell",-1,1) * NORMDIST(I179,0,1,0)/(B179*$H$7*SQRT($J$7)) * $P$7</f>
        <v>0</v>
      </c>
      <c r="E179" s="25" t="n">
        <f aca="false">IF($O$7="sell",-1,1) * (B179*NORMDIST(I179,0,1,0)*SQRT($J$7)/365) * $P$7</f>
        <v>0</v>
      </c>
      <c r="F179" s="25" t="n">
        <f aca="false">IF($O$7="sell",-1,1) * (-(B179*NORMDIST(I179,0,1,0)*$H$7)/(2*SQRT($J$7))/365) *$P$7</f>
        <v>-0</v>
      </c>
      <c r="G179" s="25" t="n">
        <f aca="false">IF($O$7="buy",1,-1)*( IF($K$7="call",B179*NORMDIST(I179,0,1,1) - $B$7*NORMDIST(J179,0,1,1),$B$7*NORMDIST(-J179,0,1,1) - B179*NORMDIST(-I179,0,1,1) ) - $G$7) * $P$7</f>
        <v>0</v>
      </c>
      <c r="I179" s="26" t="n">
        <f aca="false">(LN(B179/$B$7)+($H$7^2/2)*($J$7))/($H$7*SQRT($J$7))</f>
        <v>-0.397921075222598</v>
      </c>
      <c r="J179" s="26" t="n">
        <f aca="false">I179 - $H$7*SQRT($J$7)</f>
        <v>-0.522166649438861</v>
      </c>
    </row>
    <row r="180" customFormat="false" ht="13.5" hidden="false" customHeight="true" outlineLevel="0" collapsed="false">
      <c r="B180" s="29" t="n">
        <f aca="false">B150</f>
        <v>67</v>
      </c>
      <c r="C180" s="25" t="n">
        <f aca="false">IF($O$7="sell",-1,1) *  IF($K$7="call",  NORMDIST(I180,0,1,1),  NORMDIST(I180,0,1,1)-1  ) * $P$7</f>
        <v>-0</v>
      </c>
      <c r="D180" s="25" t="n">
        <f aca="false">IF($O$7="sell",-1,1) * NORMDIST(I180,0,1,0)/(B180*$H$7*SQRT($J$7)) * $P$7</f>
        <v>0</v>
      </c>
      <c r="E180" s="25" t="n">
        <f aca="false">IF($O$7="sell",-1,1) * (B180*NORMDIST(I180,0,1,0)*SQRT($J$7)/365) * $P$7</f>
        <v>0</v>
      </c>
      <c r="F180" s="25" t="n">
        <f aca="false">IF($O$7="sell",-1,1) * (-(B180*NORMDIST(I180,0,1,0)*$H$7)/(2*SQRT($J$7))/365) *$P$7</f>
        <v>-0</v>
      </c>
      <c r="G180" s="25" t="n">
        <f aca="false">IF($O$7="buy",1,-1)*( IF($K$7="call",B180*NORMDIST(I180,0,1,1) - $B$7*NORMDIST(J180,0,1,1),$B$7*NORMDIST(-J180,0,1,1) - B180*NORMDIST(-I180,0,1,1) ) - $G$7) * $P$7</f>
        <v>0</v>
      </c>
      <c r="I180" s="26" t="n">
        <f aca="false">(LN(B180/$B$7)+($H$7^2/2)*($J$7))/($H$7*SQRT($J$7))</f>
        <v>-0.517161425461178</v>
      </c>
      <c r="J180" s="26" t="n">
        <f aca="false">I180 - $H$7*SQRT($J$7)</f>
        <v>-0.64140699967744</v>
      </c>
    </row>
    <row r="181" customFormat="false" ht="13.5" hidden="false" customHeight="true" outlineLevel="0" collapsed="false">
      <c r="B181" s="29" t="n">
        <f aca="false">B151</f>
        <v>66</v>
      </c>
      <c r="C181" s="25" t="n">
        <f aca="false">IF($O$7="sell",-1,1) *  IF($K$7="call",  NORMDIST(I181,0,1,1),  NORMDIST(I181,0,1,1)-1  ) * $P$7</f>
        <v>-0</v>
      </c>
      <c r="D181" s="25" t="n">
        <f aca="false">IF($O$7="sell",-1,1) * NORMDIST(I181,0,1,0)/(B181*$H$7*SQRT($J$7)) * $P$7</f>
        <v>0</v>
      </c>
      <c r="E181" s="25" t="n">
        <f aca="false">IF($O$7="sell",-1,1) * (B181*NORMDIST(I181,0,1,0)*SQRT($J$7)/365) * $P$7</f>
        <v>0</v>
      </c>
      <c r="F181" s="25" t="n">
        <f aca="false">IF($O$7="sell",-1,1) * (-(B181*NORMDIST(I181,0,1,0)*$H$7)/(2*SQRT($J$7))/365) *$P$7</f>
        <v>-0</v>
      </c>
      <c r="G181" s="25" t="n">
        <f aca="false">IF($O$7="buy",1,-1)*( IF($K$7="call",B181*NORMDIST(I181,0,1,1) - $B$7*NORMDIST(J181,0,1,1),$B$7*NORMDIST(-J181,0,1,1) - B181*NORMDIST(-I181,0,1,1) ) - $G$7) * $P$7</f>
        <v>0</v>
      </c>
      <c r="I181" s="26" t="n">
        <f aca="false">(LN(B181/$B$7)+($H$7^2/2)*($J$7))/($H$7*SQRT($J$7))</f>
        <v>-0.638194930754216</v>
      </c>
      <c r="J181" s="26" t="n">
        <f aca="false">I181 - $H$7*SQRT($J$7)</f>
        <v>-0.762440504970479</v>
      </c>
    </row>
    <row r="182" customFormat="false" ht="13.5" hidden="false" customHeight="true" outlineLevel="0" collapsed="false">
      <c r="B182" s="29" t="n">
        <f aca="false">B152</f>
        <v>65</v>
      </c>
      <c r="C182" s="25" t="n">
        <f aca="false">IF($O$7="sell",-1,1) *  IF($K$7="call",  NORMDIST(I182,0,1,1),  NORMDIST(I182,0,1,1)-1  ) * $P$7</f>
        <v>-0</v>
      </c>
      <c r="D182" s="25" t="n">
        <f aca="false">IF($O$7="sell",-1,1) * NORMDIST(I182,0,1,0)/(B182*$H$7*SQRT($J$7)) * $P$7</f>
        <v>0</v>
      </c>
      <c r="E182" s="25" t="n">
        <f aca="false">IF($O$7="sell",-1,1) * (B182*NORMDIST(I182,0,1,0)*SQRT($J$7)/365) * $P$7</f>
        <v>0</v>
      </c>
      <c r="F182" s="25" t="n">
        <f aca="false">IF($O$7="sell",-1,1) * (-(B182*NORMDIST(I182,0,1,0)*$H$7)/(2*SQRT($J$7))/365) *$P$7</f>
        <v>-0</v>
      </c>
      <c r="G182" s="25" t="n">
        <f aca="false">IF($O$7="buy",1,-1)*( IF($K$7="call",B182*NORMDIST(I182,0,1,1) - $B$7*NORMDIST(J182,0,1,1),$B$7*NORMDIST(-J182,0,1,1) - B182*NORMDIST(-I182,0,1,1) ) - $G$7) * $P$7</f>
        <v>0</v>
      </c>
      <c r="I182" s="26" t="n">
        <f aca="false">(LN(B182/$B$7)+($H$7^2/2)*($J$7))/($H$7*SQRT($J$7))</f>
        <v>-0.761076347071016</v>
      </c>
      <c r="J182" s="26" t="n">
        <f aca="false">I182 - $H$7*SQRT($J$7)</f>
        <v>-0.885321921287278</v>
      </c>
    </row>
    <row r="183" customFormat="false" ht="13.5" hidden="false" customHeight="true" outlineLevel="0" collapsed="false">
      <c r="B183" s="29" t="n">
        <f aca="false">B153</f>
        <v>64</v>
      </c>
      <c r="C183" s="25" t="n">
        <f aca="false">IF($O$7="sell",-1,1) *  IF($K$7="call",  NORMDIST(I183,0,1,1),  NORMDIST(I183,0,1,1)-1  ) * $P$7</f>
        <v>-0</v>
      </c>
      <c r="D183" s="25" t="n">
        <f aca="false">IF($O$7="sell",-1,1) * NORMDIST(I183,0,1,0)/(B183*$H$7*SQRT($J$7)) * $P$7</f>
        <v>0</v>
      </c>
      <c r="E183" s="25" t="n">
        <f aca="false">IF($O$7="sell",-1,1) * (B183*NORMDIST(I183,0,1,0)*SQRT($J$7)/365) * $P$7</f>
        <v>0</v>
      </c>
      <c r="F183" s="25" t="n">
        <f aca="false">IF($O$7="sell",-1,1) * (-(B183*NORMDIST(I183,0,1,0)*$H$7)/(2*SQRT($J$7))/365) *$P$7</f>
        <v>-0</v>
      </c>
      <c r="G183" s="25" t="n">
        <f aca="false">IF($O$7="buy",1,-1)*( IF($K$7="call",B183*NORMDIST(I183,0,1,1) - $B$7*NORMDIST(J183,0,1,1),$B$7*NORMDIST(-J183,0,1,1) - B183*NORMDIST(-I183,0,1,1) ) - $G$7) * $P$7</f>
        <v>0</v>
      </c>
      <c r="I183" s="26" t="n">
        <f aca="false">(LN(B183/$B$7)+($H$7^2/2)*($J$7))/($H$7*SQRT($J$7))</f>
        <v>-0.885862977369643</v>
      </c>
      <c r="J183" s="26" t="n">
        <f aca="false">I183 - $H$7*SQRT($J$7)</f>
        <v>-1.01010855158591</v>
      </c>
    </row>
    <row r="184" customFormat="false" ht="13.5" hidden="false" customHeight="true" outlineLevel="0" collapsed="false">
      <c r="B184" s="29" t="n">
        <f aca="false">B154</f>
        <v>63</v>
      </c>
      <c r="C184" s="25" t="n">
        <f aca="false">IF($O$7="sell",-1,1) *  IF($K$7="call",  NORMDIST(I184,0,1,1),  NORMDIST(I184,0,1,1)-1  ) * $P$7</f>
        <v>-0</v>
      </c>
      <c r="D184" s="25" t="n">
        <f aca="false">IF($O$7="sell",-1,1) * NORMDIST(I184,0,1,0)/(B184*$H$7*SQRT($J$7)) * $P$7</f>
        <v>0</v>
      </c>
      <c r="E184" s="25" t="n">
        <f aca="false">IF($O$7="sell",-1,1) * (B184*NORMDIST(I184,0,1,0)*SQRT($J$7)/365) * $P$7</f>
        <v>0</v>
      </c>
      <c r="F184" s="25" t="n">
        <f aca="false">IF($O$7="sell",-1,1) * (-(B184*NORMDIST(I184,0,1,0)*$H$7)/(2*SQRT($J$7))/365) *$P$7</f>
        <v>-0</v>
      </c>
      <c r="G184" s="25" t="n">
        <f aca="false">IF($O$7="buy",1,-1)*( IF($K$7="call",B184*NORMDIST(I184,0,1,1) - $B$7*NORMDIST(J184,0,1,1),$B$7*NORMDIST(-J184,0,1,1) - B184*NORMDIST(-I184,0,1,1) ) - $G$7) * $P$7</f>
        <v>0</v>
      </c>
      <c r="I184" s="26" t="n">
        <f aca="false">(LN(B184/$B$7)+($H$7^2/2)*($J$7))/($H$7*SQRT($J$7))</f>
        <v>-1.01261483205323</v>
      </c>
      <c r="J184" s="26" t="n">
        <f aca="false">I184 - $H$7*SQRT($J$7)</f>
        <v>-1.1368604062695</v>
      </c>
    </row>
    <row r="185" customFormat="false" ht="13.5" hidden="false" customHeight="true" outlineLevel="0" collapsed="false">
      <c r="B185" s="29" t="n">
        <f aca="false">B155</f>
        <v>62</v>
      </c>
      <c r="C185" s="25" t="n">
        <f aca="false">IF($O$7="sell",-1,1) *  IF($K$7="call",  NORMDIST(I185,0,1,1),  NORMDIST(I185,0,1,1)-1  ) * $P$7</f>
        <v>-0</v>
      </c>
      <c r="D185" s="25" t="n">
        <f aca="false">IF($O$7="sell",-1,1) * NORMDIST(I185,0,1,0)/(B185*$H$7*SQRT($J$7)) * $P$7</f>
        <v>0</v>
      </c>
      <c r="E185" s="25" t="n">
        <f aca="false">IF($O$7="sell",-1,1) * (B185*NORMDIST(I185,0,1,0)*SQRT($J$7)/365) * $P$7</f>
        <v>0</v>
      </c>
      <c r="F185" s="25" t="n">
        <f aca="false">IF($O$7="sell",-1,1) * (-(B185*NORMDIST(I185,0,1,0)*$H$7)/(2*SQRT($J$7))/365) *$P$7</f>
        <v>-0</v>
      </c>
      <c r="G185" s="25" t="n">
        <f aca="false">IF($O$7="buy",1,-1)*( IF($K$7="call",B185*NORMDIST(I185,0,1,1) - $B$7*NORMDIST(J185,0,1,1),$B$7*NORMDIST(-J185,0,1,1) - B185*NORMDIST(-I185,0,1,1) ) - $G$7) * $P$7</f>
        <v>0</v>
      </c>
      <c r="I185" s="26" t="n">
        <f aca="false">(LN(B185/$B$7)+($H$7^2/2)*($J$7))/($H$7*SQRT($J$7))</f>
        <v>-1.14139480226441</v>
      </c>
      <c r="J185" s="26" t="n">
        <f aca="false">I185 - $H$7*SQRT($J$7)</f>
        <v>-1.26564037648068</v>
      </c>
    </row>
    <row r="186" customFormat="false" ht="13.5" hidden="false" customHeight="true" outlineLevel="0" collapsed="false">
      <c r="B186" s="29" t="n">
        <f aca="false">B156</f>
        <v>61</v>
      </c>
      <c r="C186" s="25" t="n">
        <f aca="false">IF($O$7="sell",-1,1) *  IF($K$7="call",  NORMDIST(I186,0,1,1),  NORMDIST(I186,0,1,1)-1  ) * $P$7</f>
        <v>-0</v>
      </c>
      <c r="D186" s="25" t="n">
        <f aca="false">IF($O$7="sell",-1,1) * NORMDIST(I186,0,1,0)/(B186*$H$7*SQRT($J$7)) * $P$7</f>
        <v>0</v>
      </c>
      <c r="E186" s="25" t="n">
        <f aca="false">IF($O$7="sell",-1,1) * (B186*NORMDIST(I186,0,1,0)*SQRT($J$7)/365) * $P$7</f>
        <v>0</v>
      </c>
      <c r="F186" s="25" t="n">
        <f aca="false">IF($O$7="sell",-1,1) * (-(B186*NORMDIST(I186,0,1,0)*$H$7)/(2*SQRT($J$7))/365) *$P$7</f>
        <v>-0</v>
      </c>
      <c r="G186" s="25" t="n">
        <f aca="false">IF($O$7="buy",1,-1)*( IF($K$7="call",B186*NORMDIST(I186,0,1,1) - $B$7*NORMDIST(J186,0,1,1),$B$7*NORMDIST(-J186,0,1,1) - B186*NORMDIST(-I186,0,1,1) ) - $G$7) * $P$7</f>
        <v>0</v>
      </c>
      <c r="I186" s="26" t="n">
        <f aca="false">(LN(B186/$B$7)+($H$7^2/2)*($J$7))/($H$7*SQRT($J$7))</f>
        <v>-1.27226884727045</v>
      </c>
      <c r="J186" s="26" t="n">
        <f aca="false">I186 - $H$7*SQRT($J$7)</f>
        <v>-1.39651442148672</v>
      </c>
    </row>
    <row r="187" customFormat="false" ht="13.5" hidden="false" customHeight="true" outlineLevel="0" collapsed="false">
      <c r="B187" s="29" t="n">
        <f aca="false">B157</f>
        <v>60</v>
      </c>
      <c r="C187" s="25" t="n">
        <f aca="false">IF($O$7="sell",-1,1) *  IF($K$7="call",  NORMDIST(I187,0,1,1),  NORMDIST(I187,0,1,1)-1  ) * $P$7</f>
        <v>-0</v>
      </c>
      <c r="D187" s="25" t="n">
        <f aca="false">IF($O$7="sell",-1,1) * NORMDIST(I187,0,1,0)/(B187*$H$7*SQRT($J$7)) * $P$7</f>
        <v>0</v>
      </c>
      <c r="E187" s="25" t="n">
        <f aca="false">IF($O$7="sell",-1,1) * (B187*NORMDIST(I187,0,1,0)*SQRT($J$7)/365) * $P$7</f>
        <v>0</v>
      </c>
      <c r="F187" s="25" t="n">
        <f aca="false">IF($O$7="sell",-1,1) * (-(B187*NORMDIST(I187,0,1,0)*$H$7)/(2*SQRT($J$7))/365) *$P$7</f>
        <v>-0</v>
      </c>
      <c r="G187" s="25" t="n">
        <f aca="false">IF($O$7="buy",1,-1)*( IF($K$7="call",B187*NORMDIST(I187,0,1,1) - $B$7*NORMDIST(J187,0,1,1),$B$7*NORMDIST(-J187,0,1,1) - B187*NORMDIST(-I187,0,1,1) ) - $G$7) * $P$7</f>
        <v>0</v>
      </c>
      <c r="I187" s="26" t="n">
        <f aca="false">(LN(B187/$B$7)+($H$7^2/2)*($J$7))/($H$7*SQRT($J$7))</f>
        <v>-1.40530619733686</v>
      </c>
      <c r="J187" s="26" t="n">
        <f aca="false">I187 - $H$7*SQRT($J$7)</f>
        <v>-1.52955177155312</v>
      </c>
    </row>
    <row r="188" customFormat="false" ht="13.5" hidden="false" customHeight="true" outlineLevel="0" collapsed="false">
      <c r="B188" s="29" t="n">
        <f aca="false">B158</f>
        <v>59</v>
      </c>
      <c r="C188" s="25" t="n">
        <f aca="false">IF($O$7="sell",-1,1) *  IF($K$7="call",  NORMDIST(I188,0,1,1),  NORMDIST(I188,0,1,1)-1  ) * $P$7</f>
        <v>-0</v>
      </c>
      <c r="D188" s="25" t="n">
        <f aca="false">IF($O$7="sell",-1,1) * NORMDIST(I188,0,1,0)/(B188*$H$7*SQRT($J$7)) * $P$7</f>
        <v>0</v>
      </c>
      <c r="E188" s="25" t="n">
        <f aca="false">IF($O$7="sell",-1,1) * (B188*NORMDIST(I188,0,1,0)*SQRT($J$7)/365) * $P$7</f>
        <v>0</v>
      </c>
      <c r="F188" s="25" t="n">
        <f aca="false">IF($O$7="sell",-1,1) * (-(B188*NORMDIST(I188,0,1,0)*$H$7)/(2*SQRT($J$7))/365) *$P$7</f>
        <v>-0</v>
      </c>
      <c r="G188" s="25" t="n">
        <f aca="false">IF($O$7="buy",1,-1)*( IF($K$7="call",B188*NORMDIST(I188,0,1,1) - $B$7*NORMDIST(J188,0,1,1),$B$7*NORMDIST(-J188,0,1,1) - B188*NORMDIST(-I188,0,1,1) ) - $G$7) * $P$7</f>
        <v>0</v>
      </c>
      <c r="I188" s="26" t="n">
        <f aca="false">(LN(B188/$B$7)+($H$7^2/2)*($J$7))/($H$7*SQRT($J$7))</f>
        <v>-1.54057957365147</v>
      </c>
      <c r="J188" s="26" t="n">
        <f aca="false">I188 - $H$7*SQRT($J$7)</f>
        <v>-1.66482514786773</v>
      </c>
    </row>
    <row r="189" customFormat="false" ht="13.5" hidden="false" customHeight="true" outlineLevel="0" collapsed="false">
      <c r="B189" s="29" t="n">
        <f aca="false">B159</f>
        <v>58</v>
      </c>
      <c r="C189" s="25" t="n">
        <f aca="false">IF($O$7="sell",-1,1) *  IF($K$7="call",  NORMDIST(I189,0,1,1),  NORMDIST(I189,0,1,1)-1  ) * $P$7</f>
        <v>-0</v>
      </c>
      <c r="D189" s="25" t="n">
        <f aca="false">IF($O$7="sell",-1,1) * NORMDIST(I189,0,1,0)/(B189*$H$7*SQRT($J$7)) * $P$7</f>
        <v>0</v>
      </c>
      <c r="E189" s="25" t="n">
        <f aca="false">IF($O$7="sell",-1,1) * (B189*NORMDIST(I189,0,1,0)*SQRT($J$7)/365) * $P$7</f>
        <v>0</v>
      </c>
      <c r="F189" s="25" t="n">
        <f aca="false">IF($O$7="sell",-1,1) * (-(B189*NORMDIST(I189,0,1,0)*$H$7)/(2*SQRT($J$7))/365) *$P$7</f>
        <v>-0</v>
      </c>
      <c r="G189" s="25" t="n">
        <f aca="false">IF($O$7="buy",1,-1)*( IF($K$7="call",B189*NORMDIST(I189,0,1,1) - $B$7*NORMDIST(J189,0,1,1),$B$7*NORMDIST(-J189,0,1,1) - B189*NORMDIST(-I189,0,1,1) ) - $G$7) * $P$7</f>
        <v>0</v>
      </c>
      <c r="I189" s="26" t="n">
        <f aca="false">(LN(B189/$B$7)+($H$7^2/2)*($J$7))/($H$7*SQRT($J$7))</f>
        <v>-1.67816542704811</v>
      </c>
      <c r="J189" s="26" t="n">
        <f aca="false">I189 - $H$7*SQRT($J$7)</f>
        <v>-1.80241100126437</v>
      </c>
    </row>
    <row r="190" customFormat="false" ht="13.5" hidden="false" customHeight="true" outlineLevel="0" collapsed="false">
      <c r="B190" s="29" t="n">
        <f aca="false">B160</f>
        <v>57</v>
      </c>
      <c r="C190" s="25" t="n">
        <f aca="false">IF($O$7="sell",-1,1) *  IF($K$7="call",  NORMDIST(I190,0,1,1),  NORMDIST(I190,0,1,1)-1  ) * $P$7</f>
        <v>-0</v>
      </c>
      <c r="D190" s="25" t="n">
        <f aca="false">IF($O$7="sell",-1,1) * NORMDIST(I190,0,1,0)/(B190*$H$7*SQRT($J$7)) * $P$7</f>
        <v>0</v>
      </c>
      <c r="E190" s="25" t="n">
        <f aca="false">IF($O$7="sell",-1,1) * (B190*NORMDIST(I190,0,1,0)*SQRT($J$7)/365) * $P$7</f>
        <v>0</v>
      </c>
      <c r="F190" s="25" t="n">
        <f aca="false">IF($O$7="sell",-1,1) * (-(B190*NORMDIST(I190,0,1,0)*$H$7)/(2*SQRT($J$7))/365) *$P$7</f>
        <v>-0</v>
      </c>
      <c r="G190" s="25" t="n">
        <f aca="false">IF($O$7="buy",1,-1)*( IF($K$7="call",B190*NORMDIST(I190,0,1,1) - $B$7*NORMDIST(J190,0,1,1),$B$7*NORMDIST(-J190,0,1,1) - B190*NORMDIST(-I190,0,1,1) ) - $G$7) * $P$7</f>
        <v>0</v>
      </c>
      <c r="I190" s="26" t="n">
        <f aca="false">(LN(B190/$B$7)+($H$7^2/2)*($J$7))/($H$7*SQRT($J$7))</f>
        <v>-1.81814419749185</v>
      </c>
      <c r="J190" s="26" t="n">
        <f aca="false">I190 - $H$7*SQRT($J$7)</f>
        <v>-1.94238977170812</v>
      </c>
    </row>
    <row r="191" customFormat="false" ht="13.5" hidden="false" customHeight="true" outlineLevel="0" collapsed="false">
      <c r="B191" s="30"/>
      <c r="C191" s="22"/>
      <c r="D191" s="22"/>
      <c r="E191" s="22"/>
      <c r="F191" s="22"/>
      <c r="G191" s="22"/>
      <c r="I191" s="31"/>
      <c r="J191" s="31"/>
    </row>
    <row r="192" customFormat="false" ht="13.5" hidden="false" customHeight="true" outlineLevel="0" collapsed="false">
      <c r="B192" s="30"/>
      <c r="C192" s="22"/>
      <c r="D192" s="22"/>
      <c r="E192" s="22"/>
      <c r="F192" s="22"/>
      <c r="G192" s="22"/>
      <c r="I192" s="31"/>
      <c r="J192" s="31"/>
    </row>
    <row r="193" customFormat="false" ht="13.5" hidden="false" customHeight="true" outlineLevel="0" collapsed="false">
      <c r="B193" s="23"/>
      <c r="C193" s="19" t="s">
        <v>13</v>
      </c>
      <c r="D193" s="19" t="s">
        <v>14</v>
      </c>
      <c r="E193" s="19" t="s">
        <v>15</v>
      </c>
      <c r="F193" s="19" t="s">
        <v>16</v>
      </c>
      <c r="G193" s="19" t="s">
        <v>17</v>
      </c>
      <c r="I193" s="19" t="s">
        <v>158</v>
      </c>
      <c r="J193" s="19" t="s">
        <v>159</v>
      </c>
    </row>
    <row r="194" customFormat="false" ht="13.5" hidden="false" customHeight="true" outlineLevel="0" collapsed="false">
      <c r="A194" s="2" t="str">
        <f aca="false">A8</f>
        <v>SOL-1MAY26-74-P-USDT</v>
      </c>
      <c r="B194" s="29" t="n">
        <f aca="false">B164</f>
        <v>83</v>
      </c>
      <c r="C194" s="25" t="n">
        <f aca="false">IF($O$8="sell",-1,1) *  IF($K$8="call",  NORMDIST(I194,0,1,1),  NORMDIST(I194,0,1,1)-1  ) * $P$8</f>
        <v>-0</v>
      </c>
      <c r="D194" s="25" t="n">
        <f aca="false">IF($O$8="sell",-1,1) * NORMDIST(I194,0,1,0)/(B194*$H$8*SQRT($J$8)) * $P$8</f>
        <v>0</v>
      </c>
      <c r="E194" s="25" t="n">
        <f aca="false">IF($O$8="sell",-1,1) * (B194*NORMDIST(I194,0,1,0)*SQRT($J$8)/365) * $P$8</f>
        <v>0</v>
      </c>
      <c r="F194" s="25" t="n">
        <f aca="false">IF($O$8="sell",-1,1) * (-(B194*NORMDIST(I194,0,1,0)*$H$8)/(2*SQRT($J$8))/365) *$P$8</f>
        <v>-0</v>
      </c>
      <c r="G194" s="25" t="n">
        <f aca="false">IF($O$8="buy",1,-1)*( IF($K$8="call",B194*NORMDIST(I194,0,1,1) - $B$8*NORMDIST(J194,0,1,1),$B$8*NORMDIST(-J194,0,1,1) - B194*NORMDIST(-I194,0,1,1) ) - $G$8) * $P$8</f>
        <v>-0</v>
      </c>
      <c r="I194" s="26" t="n">
        <f aca="false">(LN(B194/$B$8)+($H$8^2/2)*($J$8))/($H$8*SQRT($J$8))</f>
        <v>1.02875778158768</v>
      </c>
      <c r="J194" s="26" t="n">
        <f aca="false">I194 - $H$8*SQRT($J$8)</f>
        <v>0.910379889931862</v>
      </c>
    </row>
    <row r="195" customFormat="false" ht="13.5" hidden="false" customHeight="true" outlineLevel="0" collapsed="false">
      <c r="B195" s="29" t="n">
        <f aca="false">B165</f>
        <v>82</v>
      </c>
      <c r="C195" s="25" t="n">
        <f aca="false">IF($O$8="sell",-1,1) *  IF($K$8="call",  NORMDIST(I195,0,1,1),  NORMDIST(I195,0,1,1)-1  ) * $P$8</f>
        <v>-0</v>
      </c>
      <c r="D195" s="25" t="n">
        <f aca="false">IF($O$8="sell",-1,1) * NORMDIST(I195,0,1,0)/(B195*$H$8*SQRT($J$8)) * $P$8</f>
        <v>0</v>
      </c>
      <c r="E195" s="25" t="n">
        <f aca="false">IF($O$8="sell",-1,1) * (B195*NORMDIST(I195,0,1,0)*SQRT($J$8)/365) * $P$8</f>
        <v>0</v>
      </c>
      <c r="F195" s="25" t="n">
        <f aca="false">IF($O$8="sell",-1,1) * (-(B195*NORMDIST(I195,0,1,0)*$H$8)/(2*SQRT($J$8))/365) *$P$8</f>
        <v>-0</v>
      </c>
      <c r="G195" s="25" t="n">
        <f aca="false">IF($O$8="buy",1,-1)*( IF($K$8="call",B195*NORMDIST(I195,0,1,1) - $B$8*NORMDIST(J195,0,1,1),$B$8*NORMDIST(-J195,0,1,1) - B195*NORMDIST(-I195,0,1,1) ) - $G$8) * $P$8</f>
        <v>-0</v>
      </c>
      <c r="I195" s="26" t="n">
        <f aca="false">(LN(B195/$B$8)+($H$8^2/2)*($J$8))/($H$8*SQRT($J$8))</f>
        <v>0.926362305854867</v>
      </c>
      <c r="J195" s="26" t="n">
        <f aca="false">I195 - $H$8*SQRT($J$8)</f>
        <v>0.807984414199049</v>
      </c>
    </row>
    <row r="196" customFormat="false" ht="13.5" hidden="false" customHeight="true" outlineLevel="0" collapsed="false">
      <c r="B196" s="29" t="n">
        <f aca="false">B166</f>
        <v>81</v>
      </c>
      <c r="C196" s="25" t="n">
        <f aca="false">IF($O$8="sell",-1,1) *  IF($K$8="call",  NORMDIST(I196,0,1,1),  NORMDIST(I196,0,1,1)-1  ) * $P$8</f>
        <v>-0</v>
      </c>
      <c r="D196" s="25" t="n">
        <f aca="false">IF($O$8="sell",-1,1) * NORMDIST(I196,0,1,0)/(B196*$H$8*SQRT($J$8)) * $P$8</f>
        <v>0</v>
      </c>
      <c r="E196" s="25" t="n">
        <f aca="false">IF($O$8="sell",-1,1) * (B196*NORMDIST(I196,0,1,0)*SQRT($J$8)/365) * $P$8</f>
        <v>0</v>
      </c>
      <c r="F196" s="25" t="n">
        <f aca="false">IF($O$8="sell",-1,1) * (-(B196*NORMDIST(I196,0,1,0)*$H$8)/(2*SQRT($J$8))/365) *$P$8</f>
        <v>-0</v>
      </c>
      <c r="G196" s="25" t="n">
        <f aca="false">IF($O$8="buy",1,-1)*( IF($K$8="call",B196*NORMDIST(I196,0,1,1) - $B$8*NORMDIST(J196,0,1,1),$B$8*NORMDIST(-J196,0,1,1) - B196*NORMDIST(-I196,0,1,1) ) - $G$8) * $P$8</f>
        <v>-0</v>
      </c>
      <c r="I196" s="26" t="n">
        <f aca="false">(LN(B196/$B$8)+($H$8^2/2)*($J$8))/($H$8*SQRT($J$8))</f>
        <v>0.822710412581675</v>
      </c>
      <c r="J196" s="26" t="n">
        <f aca="false">I196 - $H$8*SQRT($J$8)</f>
        <v>0.704332520925856</v>
      </c>
    </row>
    <row r="197" customFormat="false" ht="13.5" hidden="false" customHeight="true" outlineLevel="0" collapsed="false">
      <c r="B197" s="29" t="n">
        <f aca="false">B167</f>
        <v>80</v>
      </c>
      <c r="C197" s="25" t="n">
        <f aca="false">IF($O$8="sell",-1,1) *  IF($K$8="call",  NORMDIST(I197,0,1,1),  NORMDIST(I197,0,1,1)-1  ) * $P$8</f>
        <v>-0</v>
      </c>
      <c r="D197" s="25" t="n">
        <f aca="false">IF($O$8="sell",-1,1) * NORMDIST(I197,0,1,0)/(B197*$H$8*SQRT($J$8)) * $P$8</f>
        <v>0</v>
      </c>
      <c r="E197" s="25" t="n">
        <f aca="false">IF($O$8="sell",-1,1) * (B197*NORMDIST(I197,0,1,0)*SQRT($J$8)/365) * $P$8</f>
        <v>0</v>
      </c>
      <c r="F197" s="25" t="n">
        <f aca="false">IF($O$8="sell",-1,1) * (-(B197*NORMDIST(I197,0,1,0)*$H$8)/(2*SQRT($J$8))/365) *$P$8</f>
        <v>-0</v>
      </c>
      <c r="G197" s="25" t="n">
        <f aca="false">IF($O$8="buy",1,-1)*( IF($K$8="call",B197*NORMDIST(I197,0,1,1) - $B$8*NORMDIST(J197,0,1,1),$B$8*NORMDIST(-J197,0,1,1) - B197*NORMDIST(-I197,0,1,1) ) - $G$8) * $P$8</f>
        <v>0</v>
      </c>
      <c r="I197" s="26" t="n">
        <f aca="false">(LN(B197/$B$8)+($H$8^2/2)*($J$8))/($H$8*SQRT($J$8))</f>
        <v>0.717770885235849</v>
      </c>
      <c r="J197" s="26" t="n">
        <f aca="false">I197 - $H$8*SQRT($J$8)</f>
        <v>0.59939299358003</v>
      </c>
    </row>
    <row r="198" customFormat="false" ht="13.5" hidden="false" customHeight="true" outlineLevel="0" collapsed="false">
      <c r="B198" s="29" t="n">
        <f aca="false">B168</f>
        <v>79</v>
      </c>
      <c r="C198" s="25" t="n">
        <f aca="false">IF($O$8="sell",-1,1) *  IF($K$8="call",  NORMDIST(I198,0,1,1),  NORMDIST(I198,0,1,1)-1  ) * $P$8</f>
        <v>-0</v>
      </c>
      <c r="D198" s="25" t="n">
        <f aca="false">IF($O$8="sell",-1,1) * NORMDIST(I198,0,1,0)/(B198*$H$8*SQRT($J$8)) * $P$8</f>
        <v>0</v>
      </c>
      <c r="E198" s="25" t="n">
        <f aca="false">IF($O$8="sell",-1,1) * (B198*NORMDIST(I198,0,1,0)*SQRT($J$8)/365) * $P$8</f>
        <v>0</v>
      </c>
      <c r="F198" s="25" t="n">
        <f aca="false">IF($O$8="sell",-1,1) * (-(B198*NORMDIST(I198,0,1,0)*$H$8)/(2*SQRT($J$8))/365) *$P$8</f>
        <v>-0</v>
      </c>
      <c r="G198" s="25" t="n">
        <f aca="false">IF($O$8="buy",1,-1)*( IF($K$8="call",B198*NORMDIST(I198,0,1,1) - $B$8*NORMDIST(J198,0,1,1),$B$8*NORMDIST(-J198,0,1,1) - B198*NORMDIST(-I198,0,1,1) ) - $G$8) * $P$8</f>
        <v>0</v>
      </c>
      <c r="I198" s="26" t="n">
        <f aca="false">(LN(B198/$B$8)+($H$8^2/2)*($J$8))/($H$8*SQRT($J$8))</f>
        <v>0.611511329241789</v>
      </c>
      <c r="J198" s="26" t="n">
        <f aca="false">I198 - $H$8*SQRT($J$8)</f>
        <v>0.49313343758597</v>
      </c>
    </row>
    <row r="199" customFormat="false" ht="13.5" hidden="false" customHeight="true" outlineLevel="0" collapsed="false">
      <c r="B199" s="29" t="n">
        <f aca="false">B169</f>
        <v>78</v>
      </c>
      <c r="C199" s="25" t="n">
        <f aca="false">IF($O$8="sell",-1,1) *  IF($K$8="call",  NORMDIST(I199,0,1,1),  NORMDIST(I199,0,1,1)-1  ) * $P$8</f>
        <v>-0</v>
      </c>
      <c r="D199" s="25" t="n">
        <f aca="false">IF($O$8="sell",-1,1) * NORMDIST(I199,0,1,0)/(B199*$H$8*SQRT($J$8)) * $P$8</f>
        <v>0</v>
      </c>
      <c r="E199" s="25" t="n">
        <f aca="false">IF($O$8="sell",-1,1) * (B199*NORMDIST(I199,0,1,0)*SQRT($J$8)/365) * $P$8</f>
        <v>0</v>
      </c>
      <c r="F199" s="25" t="n">
        <f aca="false">IF($O$8="sell",-1,1) * (-(B199*NORMDIST(I199,0,1,0)*$H$8)/(2*SQRT($J$8))/365) *$P$8</f>
        <v>-0</v>
      </c>
      <c r="G199" s="25" t="n">
        <f aca="false">IF($O$8="buy",1,-1)*( IF($K$8="call",B199*NORMDIST(I199,0,1,1) - $B$8*NORMDIST(J199,0,1,1),$B$8*NORMDIST(-J199,0,1,1) - B199*NORMDIST(-I199,0,1,1) ) - $G$8) * $P$8</f>
        <v>0</v>
      </c>
      <c r="I199" s="26" t="n">
        <f aca="false">(LN(B199/$B$8)+($H$8^2/2)*($J$8))/($H$8*SQRT($J$8))</f>
        <v>0.503898111948915</v>
      </c>
      <c r="J199" s="26" t="n">
        <f aca="false">I199 - $H$8*SQRT($J$8)</f>
        <v>0.385520220293097</v>
      </c>
    </row>
    <row r="200" customFormat="false" ht="13.5" hidden="false" customHeight="true" outlineLevel="0" collapsed="false">
      <c r="B200" s="29" t="n">
        <f aca="false">B170</f>
        <v>77</v>
      </c>
      <c r="C200" s="25" t="n">
        <f aca="false">IF($O$8="sell",-1,1) *  IF($K$8="call",  NORMDIST(I200,0,1,1),  NORMDIST(I200,0,1,1)-1  ) * $P$8</f>
        <v>-0</v>
      </c>
      <c r="D200" s="25" t="n">
        <f aca="false">IF($O$8="sell",-1,1) * NORMDIST(I200,0,1,0)/(B200*$H$8*SQRT($J$8)) * $P$8</f>
        <v>0</v>
      </c>
      <c r="E200" s="25" t="n">
        <f aca="false">IF($O$8="sell",-1,1) * (B200*NORMDIST(I200,0,1,0)*SQRT($J$8)/365) * $P$8</f>
        <v>0</v>
      </c>
      <c r="F200" s="25" t="n">
        <f aca="false">IF($O$8="sell",-1,1) * (-(B200*NORMDIST(I200,0,1,0)*$H$8)/(2*SQRT($J$8))/365) *$P$8</f>
        <v>-0</v>
      </c>
      <c r="G200" s="25" t="n">
        <f aca="false">IF($O$8="buy",1,-1)*( IF($K$8="call",B200*NORMDIST(I200,0,1,1) - $B$8*NORMDIST(J200,0,1,1),$B$8*NORMDIST(-J200,0,1,1) - B200*NORMDIST(-I200,0,1,1) ) - $G$8) * $P$8</f>
        <v>0</v>
      </c>
      <c r="I200" s="26" t="n">
        <f aca="false">(LN(B200/$B$8)+($H$8^2/2)*($J$8))/($H$8*SQRT($J$8))</f>
        <v>0.394896298726695</v>
      </c>
      <c r="J200" s="26" t="n">
        <f aca="false">I200 - $H$8*SQRT($J$8)</f>
        <v>0.276518407070877</v>
      </c>
    </row>
    <row r="201" customFormat="false" ht="13.5" hidden="false" customHeight="true" outlineLevel="0" collapsed="false">
      <c r="B201" s="29" t="n">
        <f aca="false">B171</f>
        <v>76</v>
      </c>
      <c r="C201" s="25" t="n">
        <f aca="false">IF($O$8="sell",-1,1) *  IF($K$8="call",  NORMDIST(I201,0,1,1),  NORMDIST(I201,0,1,1)-1  ) * $P$8</f>
        <v>-0</v>
      </c>
      <c r="D201" s="25" t="n">
        <f aca="false">IF($O$8="sell",-1,1) * NORMDIST(I201,0,1,0)/(B201*$H$8*SQRT($J$8)) * $P$8</f>
        <v>0</v>
      </c>
      <c r="E201" s="25" t="n">
        <f aca="false">IF($O$8="sell",-1,1) * (B201*NORMDIST(I201,0,1,0)*SQRT($J$8)/365) * $P$8</f>
        <v>0</v>
      </c>
      <c r="F201" s="25" t="n">
        <f aca="false">IF($O$8="sell",-1,1) * (-(B201*NORMDIST(I201,0,1,0)*$H$8)/(2*SQRT($J$8))/365) *$P$8</f>
        <v>-0</v>
      </c>
      <c r="G201" s="25" t="n">
        <f aca="false">IF($O$8="buy",1,-1)*( IF($K$8="call",B201*NORMDIST(I201,0,1,1) - $B$8*NORMDIST(J201,0,1,1),$B$8*NORMDIST(-J201,0,1,1) - B201*NORMDIST(-I201,0,1,1) ) - $G$8) * $P$8</f>
        <v>0</v>
      </c>
      <c r="I201" s="26" t="n">
        <f aca="false">(LN(B201/$B$8)+($H$8^2/2)*($J$8))/($H$8*SQRT($J$8))</f>
        <v>0.284469584882528</v>
      </c>
      <c r="J201" s="26" t="n">
        <f aca="false">I201 - $H$8*SQRT($J$8)</f>
        <v>0.16609169322671</v>
      </c>
    </row>
    <row r="202" customFormat="false" ht="13.5" hidden="false" customHeight="true" outlineLevel="0" collapsed="false">
      <c r="B202" s="29" t="n">
        <f aca="false">B172</f>
        <v>75</v>
      </c>
      <c r="C202" s="25" t="n">
        <f aca="false">IF($O$8="sell",-1,1) *  IF($K$8="call",  NORMDIST(I202,0,1,1),  NORMDIST(I202,0,1,1)-1  ) * $P$8</f>
        <v>-0</v>
      </c>
      <c r="D202" s="25" t="n">
        <f aca="false">IF($O$8="sell",-1,1) * NORMDIST(I202,0,1,0)/(B202*$H$8*SQRT($J$8)) * $P$8</f>
        <v>0</v>
      </c>
      <c r="E202" s="25" t="n">
        <f aca="false">IF($O$8="sell",-1,1) * (B202*NORMDIST(I202,0,1,0)*SQRT($J$8)/365) * $P$8</f>
        <v>0</v>
      </c>
      <c r="F202" s="25" t="n">
        <f aca="false">IF($O$8="sell",-1,1) * (-(B202*NORMDIST(I202,0,1,0)*$H$8)/(2*SQRT($J$8))/365) *$P$8</f>
        <v>-0</v>
      </c>
      <c r="G202" s="25" t="n">
        <f aca="false">IF($O$8="buy",1,-1)*( IF($K$8="call",B202*NORMDIST(I202,0,1,1) - $B$8*NORMDIST(J202,0,1,1),$B$8*NORMDIST(-J202,0,1,1) - B202*NORMDIST(-I202,0,1,1) ) - $G$8) * $P$8</f>
        <v>0</v>
      </c>
      <c r="I202" s="26" t="n">
        <f aca="false">(LN(B202/$B$8)+($H$8^2/2)*($J$8))/($H$8*SQRT($J$8))</f>
        <v>0.172580223070521</v>
      </c>
      <c r="J202" s="26" t="n">
        <f aca="false">I202 - $H$8*SQRT($J$8)</f>
        <v>0.0542023314147024</v>
      </c>
    </row>
    <row r="203" customFormat="false" ht="13.5" hidden="false" customHeight="true" outlineLevel="0" collapsed="false">
      <c r="B203" s="29" t="n">
        <f aca="false">B173</f>
        <v>74</v>
      </c>
      <c r="C203" s="25" t="n">
        <f aca="false">IF($O$8="sell",-1,1) *  IF($K$8="call",  NORMDIST(I203,0,1,1),  NORMDIST(I203,0,1,1)-1  ) * $P$8</f>
        <v>-0</v>
      </c>
      <c r="D203" s="25" t="n">
        <f aca="false">IF($O$8="sell",-1,1) * NORMDIST(I203,0,1,0)/(B203*$H$8*SQRT($J$8)) * $P$8</f>
        <v>0</v>
      </c>
      <c r="E203" s="25" t="n">
        <f aca="false">IF($O$8="sell",-1,1) * (B203*NORMDIST(I203,0,1,0)*SQRT($J$8)/365) * $P$8</f>
        <v>0</v>
      </c>
      <c r="F203" s="25" t="n">
        <f aca="false">IF($O$8="sell",-1,1) * (-(B203*NORMDIST(I203,0,1,0)*$H$8)/(2*SQRT($J$8))/365) *$P$8</f>
        <v>-0</v>
      </c>
      <c r="G203" s="25" t="n">
        <f aca="false">IF($O$8="buy",1,-1)*( IF($K$8="call",B203*NORMDIST(I203,0,1,1) - $B$8*NORMDIST(J203,0,1,1),$B$8*NORMDIST(-J203,0,1,1) - B203*NORMDIST(-I203,0,1,1) ) - $G$8) * $P$8</f>
        <v>0</v>
      </c>
      <c r="I203" s="26" t="n">
        <f aca="false">(LN(B203/$B$8)+($H$8^2/2)*($J$8))/($H$8*SQRT($J$8))</f>
        <v>0.0591889458279093</v>
      </c>
      <c r="J203" s="26" t="n">
        <f aca="false">I203 - $H$8*SQRT($J$8)</f>
        <v>-0.0591889458279093</v>
      </c>
    </row>
    <row r="204" customFormat="false" ht="13.5" hidden="false" customHeight="true" outlineLevel="0" collapsed="false">
      <c r="B204" s="29" t="n">
        <f aca="false">B174</f>
        <v>73</v>
      </c>
      <c r="C204" s="25" t="n">
        <f aca="false">IF($O$8="sell",-1,1) *  IF($K$8="call",  NORMDIST(I204,0,1,1),  NORMDIST(I204,0,1,1)-1  ) * $P$8</f>
        <v>-0</v>
      </c>
      <c r="D204" s="25" t="n">
        <f aca="false">IF($O$8="sell",-1,1) * NORMDIST(I204,0,1,0)/(B204*$H$8*SQRT($J$8)) * $P$8</f>
        <v>0</v>
      </c>
      <c r="E204" s="25" t="n">
        <f aca="false">IF($O$8="sell",-1,1) * (B204*NORMDIST(I204,0,1,0)*SQRT($J$8)/365) * $P$8</f>
        <v>0</v>
      </c>
      <c r="F204" s="25" t="n">
        <f aca="false">IF($O$8="sell",-1,1) * (-(B204*NORMDIST(I204,0,1,0)*$H$8)/(2*SQRT($J$8))/365) *$P$8</f>
        <v>-0</v>
      </c>
      <c r="G204" s="25" t="n">
        <f aca="false">IF($O$8="buy",1,-1)*( IF($K$8="call",B204*NORMDIST(I204,0,1,1) - $B$8*NORMDIST(J204,0,1,1),$B$8*NORMDIST(-J204,0,1,1) - B204*NORMDIST(-I204,0,1,1) ) - $G$8) * $P$8</f>
        <v>0</v>
      </c>
      <c r="I204" s="26" t="n">
        <f aca="false">(LN(B204/$B$8)+($H$8^2/2)*($J$8))/($H$8*SQRT($J$8))</f>
        <v>-0.055745117158588</v>
      </c>
      <c r="J204" s="26" t="n">
        <f aca="false">I204 - $H$8*SQRT($J$8)</f>
        <v>-0.174123008814407</v>
      </c>
    </row>
    <row r="205" customFormat="false" ht="13.5" hidden="false" customHeight="true" outlineLevel="0" collapsed="false">
      <c r="B205" s="29" t="n">
        <f aca="false">B175</f>
        <v>72</v>
      </c>
      <c r="C205" s="25" t="n">
        <f aca="false">IF($O$8="sell",-1,1) *  IF($K$8="call",  NORMDIST(I205,0,1,1),  NORMDIST(I205,0,1,1)-1  ) * $P$8</f>
        <v>-0</v>
      </c>
      <c r="D205" s="25" t="n">
        <f aca="false">IF($O$8="sell",-1,1) * NORMDIST(I205,0,1,0)/(B205*$H$8*SQRT($J$8)) * $P$8</f>
        <v>0</v>
      </c>
      <c r="E205" s="25" t="n">
        <f aca="false">IF($O$8="sell",-1,1) * (B205*NORMDIST(I205,0,1,0)*SQRT($J$8)/365) * $P$8</f>
        <v>0</v>
      </c>
      <c r="F205" s="25" t="n">
        <f aca="false">IF($O$8="sell",-1,1) * (-(B205*NORMDIST(I205,0,1,0)*$H$8)/(2*SQRT($J$8))/365) *$P$8</f>
        <v>-0</v>
      </c>
      <c r="G205" s="25" t="n">
        <f aca="false">IF($O$8="buy",1,-1)*( IF($K$8="call",B205*NORMDIST(I205,0,1,1) - $B$8*NORMDIST(J205,0,1,1),$B$8*NORMDIST(-J205,0,1,1) - B205*NORMDIST(-I205,0,1,1) ) - $G$8) * $P$8</f>
        <v>0</v>
      </c>
      <c r="I205" s="26" t="n">
        <f aca="false">(LN(B205/$B$8)+($H$8^2/2)*($J$8))/($H$8*SQRT($J$8))</f>
        <v>-0.172264527492737</v>
      </c>
      <c r="J205" s="26" t="n">
        <f aca="false">I205 - $H$8*SQRT($J$8)</f>
        <v>-0.290642419148556</v>
      </c>
    </row>
    <row r="206" customFormat="false" ht="13.5" hidden="false" customHeight="true" outlineLevel="0" collapsed="false">
      <c r="B206" s="29" t="n">
        <f aca="false">B176</f>
        <v>71</v>
      </c>
      <c r="C206" s="25" t="n">
        <f aca="false">IF($O$8="sell",-1,1) *  IF($K$8="call",  NORMDIST(I206,0,1,1),  NORMDIST(I206,0,1,1)-1  ) * $P$8</f>
        <v>-0</v>
      </c>
      <c r="D206" s="25" t="n">
        <f aca="false">IF($O$8="sell",-1,1) * NORMDIST(I206,0,1,0)/(B206*$H$8*SQRT($J$8)) * $P$8</f>
        <v>0</v>
      </c>
      <c r="E206" s="25" t="n">
        <f aca="false">IF($O$8="sell",-1,1) * (B206*NORMDIST(I206,0,1,0)*SQRT($J$8)/365) * $P$8</f>
        <v>0</v>
      </c>
      <c r="F206" s="25" t="n">
        <f aca="false">IF($O$8="sell",-1,1) * (-(B206*NORMDIST(I206,0,1,0)*$H$8)/(2*SQRT($J$8))/365) *$P$8</f>
        <v>-0</v>
      </c>
      <c r="G206" s="25" t="n">
        <f aca="false">IF($O$8="buy",1,-1)*( IF($K$8="call",B206*NORMDIST(I206,0,1,1) - $B$8*NORMDIST(J206,0,1,1),$B$8*NORMDIST(-J206,0,1,1) - B206*NORMDIST(-I206,0,1,1) ) - $G$8) * $P$8</f>
        <v>0</v>
      </c>
      <c r="I206" s="26" t="n">
        <f aca="false">(LN(B206/$B$8)+($H$8^2/2)*($J$8))/($H$8*SQRT($J$8))</f>
        <v>-0.290413632693941</v>
      </c>
      <c r="J206" s="26" t="n">
        <f aca="false">I206 - $H$8*SQRT($J$8)</f>
        <v>-0.408791524349759</v>
      </c>
    </row>
    <row r="207" customFormat="false" ht="13.5" hidden="false" customHeight="true" outlineLevel="0" collapsed="false">
      <c r="B207" s="29" t="n">
        <f aca="false">B177</f>
        <v>70</v>
      </c>
      <c r="C207" s="25" t="n">
        <f aca="false">IF($O$8="sell",-1,1) *  IF($K$8="call",  NORMDIST(I207,0,1,1),  NORMDIST(I207,0,1,1)-1  ) * $P$8</f>
        <v>-0</v>
      </c>
      <c r="D207" s="25" t="n">
        <f aca="false">IF($O$8="sell",-1,1) * NORMDIST(I207,0,1,0)/(B207*$H$8*SQRT($J$8)) * $P$8</f>
        <v>0</v>
      </c>
      <c r="E207" s="25" t="n">
        <f aca="false">IF($O$8="sell",-1,1) * (B207*NORMDIST(I207,0,1,0)*SQRT($J$8)/365) * $P$8</f>
        <v>0</v>
      </c>
      <c r="F207" s="25" t="n">
        <f aca="false">IF($O$8="sell",-1,1) * (-(B207*NORMDIST(I207,0,1,0)*$H$8)/(2*SQRT($J$8))/365) *$P$8</f>
        <v>-0</v>
      </c>
      <c r="G207" s="25" t="n">
        <f aca="false">IF($O$8="buy",1,-1)*( IF($K$8="call",B207*NORMDIST(I207,0,1,1) - $B$8*NORMDIST(J207,0,1,1),$B$8*NORMDIST(-J207,0,1,1) - B207*NORMDIST(-I207,0,1,1) ) - $G$8) * $P$8</f>
        <v>0</v>
      </c>
      <c r="I207" s="26" t="n">
        <f aca="false">(LN(B207/$B$8)+($H$8^2/2)*($J$8))/($H$8*SQRT($J$8))</f>
        <v>-0.410238667534044</v>
      </c>
      <c r="J207" s="26" t="n">
        <f aca="false">I207 - $H$8*SQRT($J$8)</f>
        <v>-0.528616559189862</v>
      </c>
    </row>
    <row r="208" customFormat="false" ht="13.5" hidden="false" customHeight="true" outlineLevel="0" collapsed="false">
      <c r="B208" s="29" t="n">
        <f aca="false">B178</f>
        <v>69</v>
      </c>
      <c r="C208" s="25" t="n">
        <f aca="false">IF($O$8="sell",-1,1) *  IF($K$8="call",  NORMDIST(I208,0,1,1),  NORMDIST(I208,0,1,1)-1  ) * $P$8</f>
        <v>-0</v>
      </c>
      <c r="D208" s="25" t="n">
        <f aca="false">IF($O$8="sell",-1,1) * NORMDIST(I208,0,1,0)/(B208*$H$8*SQRT($J$8)) * $P$8</f>
        <v>0</v>
      </c>
      <c r="E208" s="25" t="n">
        <f aca="false">IF($O$8="sell",-1,1) * (B208*NORMDIST(I208,0,1,0)*SQRT($J$8)/365) * $P$8</f>
        <v>0</v>
      </c>
      <c r="F208" s="25" t="n">
        <f aca="false">IF($O$8="sell",-1,1) * (-(B208*NORMDIST(I208,0,1,0)*$H$8)/(2*SQRT($J$8))/365) *$P$8</f>
        <v>-0</v>
      </c>
      <c r="G208" s="25" t="n">
        <f aca="false">IF($O$8="buy",1,-1)*( IF($K$8="call",B208*NORMDIST(I208,0,1,1) - $B$8*NORMDIST(J208,0,1,1),$B$8*NORMDIST(-J208,0,1,1) - B208*NORMDIST(-I208,0,1,1) ) - $G$8) * $P$8</f>
        <v>0</v>
      </c>
      <c r="I208" s="26" t="n">
        <f aca="false">(LN(B208/$B$8)+($H$8^2/2)*($J$8))/($H$8*SQRT($J$8))</f>
        <v>-0.531787862665298</v>
      </c>
      <c r="J208" s="26" t="n">
        <f aca="false">I208 - $H$8*SQRT($J$8)</f>
        <v>-0.650165754321117</v>
      </c>
    </row>
    <row r="209" customFormat="false" ht="13.5" hidden="false" customHeight="true" outlineLevel="0" collapsed="false">
      <c r="B209" s="29" t="n">
        <f aca="false">B179</f>
        <v>68</v>
      </c>
      <c r="C209" s="25" t="n">
        <f aca="false">IF($O$8="sell",-1,1) *  IF($K$8="call",  NORMDIST(I209,0,1,1),  NORMDIST(I209,0,1,1)-1  ) * $P$8</f>
        <v>-0</v>
      </c>
      <c r="D209" s="25" t="n">
        <f aca="false">IF($O$8="sell",-1,1) * NORMDIST(I209,0,1,0)/(B209*$H$8*SQRT($J$8)) * $P$8</f>
        <v>0</v>
      </c>
      <c r="E209" s="25" t="n">
        <f aca="false">IF($O$8="sell",-1,1) * (B209*NORMDIST(I209,0,1,0)*SQRT($J$8)/365) * $P$8</f>
        <v>0</v>
      </c>
      <c r="F209" s="25" t="n">
        <f aca="false">IF($O$8="sell",-1,1) * (-(B209*NORMDIST(I209,0,1,0)*$H$8)/(2*SQRT($J$8))/365) *$P$8</f>
        <v>-0</v>
      </c>
      <c r="G209" s="25" t="n">
        <f aca="false">IF($O$8="buy",1,-1)*( IF($K$8="call",B209*NORMDIST(I209,0,1,1) - $B$8*NORMDIST(J209,0,1,1),$B$8*NORMDIST(-J209,0,1,1) - B209*NORMDIST(-I209,0,1,1) ) - $G$8) * $P$8</f>
        <v>0</v>
      </c>
      <c r="I209" s="26" t="n">
        <f aca="false">(LN(B209/$B$8)+($H$8^2/2)*($J$8))/($H$8*SQRT($J$8))</f>
        <v>-0.655111561178179</v>
      </c>
      <c r="J209" s="26" t="n">
        <f aca="false">I209 - $H$8*SQRT($J$8)</f>
        <v>-0.773489452833998</v>
      </c>
    </row>
    <row r="210" customFormat="false" ht="13.5" hidden="false" customHeight="true" outlineLevel="0" collapsed="false">
      <c r="B210" s="29" t="n">
        <f aca="false">B180</f>
        <v>67</v>
      </c>
      <c r="C210" s="25" t="n">
        <f aca="false">IF($O$8="sell",-1,1) *  IF($K$8="call",  NORMDIST(I210,0,1,1),  NORMDIST(I210,0,1,1)-1  ) * $P$8</f>
        <v>-0</v>
      </c>
      <c r="D210" s="25" t="n">
        <f aca="false">IF($O$8="sell",-1,1) * NORMDIST(I210,0,1,0)/(B210*$H$8*SQRT($J$8)) * $P$8</f>
        <v>0</v>
      </c>
      <c r="E210" s="25" t="n">
        <f aca="false">IF($O$8="sell",-1,1) * (B210*NORMDIST(I210,0,1,0)*SQRT($J$8)/365) * $P$8</f>
        <v>0</v>
      </c>
      <c r="F210" s="25" t="n">
        <f aca="false">IF($O$8="sell",-1,1) * (-(B210*NORMDIST(I210,0,1,0)*$H$8)/(2*SQRT($J$8))/365) *$P$8</f>
        <v>-0</v>
      </c>
      <c r="G210" s="25" t="n">
        <f aca="false">IF($O$8="buy",1,-1)*( IF($K$8="call",B210*NORMDIST(I210,0,1,1) - $B$8*NORMDIST(J210,0,1,1),$B$8*NORMDIST(-J210,0,1,1) - B210*NORMDIST(-I210,0,1,1) ) - $G$8) * $P$8</f>
        <v>0</v>
      </c>
      <c r="I210" s="26" t="n">
        <f aca="false">(LN(B210/$B$8)+($H$8^2/2)*($J$8))/($H$8*SQRT($J$8))</f>
        <v>-0.780262343794036</v>
      </c>
      <c r="J210" s="26" t="n">
        <f aca="false">I210 - $H$8*SQRT($J$8)</f>
        <v>-0.898640235449854</v>
      </c>
    </row>
    <row r="211" customFormat="false" ht="13.5" hidden="false" customHeight="true" outlineLevel="0" collapsed="false">
      <c r="B211" s="29" t="n">
        <f aca="false">B181</f>
        <v>66</v>
      </c>
      <c r="C211" s="25" t="n">
        <f aca="false">IF($O$8="sell",-1,1) *  IF($K$8="call",  NORMDIST(I211,0,1,1),  NORMDIST(I211,0,1,1)-1  ) * $P$8</f>
        <v>-0</v>
      </c>
      <c r="D211" s="25" t="n">
        <f aca="false">IF($O$8="sell",-1,1) * NORMDIST(I211,0,1,0)/(B211*$H$8*SQRT($J$8)) * $P$8</f>
        <v>0</v>
      </c>
      <c r="E211" s="25" t="n">
        <f aca="false">IF($O$8="sell",-1,1) * (B211*NORMDIST(I211,0,1,0)*SQRT($J$8)/365) * $P$8</f>
        <v>0</v>
      </c>
      <c r="F211" s="25" t="n">
        <f aca="false">IF($O$8="sell",-1,1) * (-(B211*NORMDIST(I211,0,1,0)*$H$8)/(2*SQRT($J$8))/365) *$P$8</f>
        <v>-0</v>
      </c>
      <c r="G211" s="25" t="n">
        <f aca="false">IF($O$8="buy",1,-1)*( IF($K$8="call",B211*NORMDIST(I211,0,1,1) - $B$8*NORMDIST(J211,0,1,1),$B$8*NORMDIST(-J211,0,1,1) - B211*NORMDIST(-I211,0,1,1) ) - $G$8) * $P$8</f>
        <v>0</v>
      </c>
      <c r="I211" s="26" t="n">
        <f aca="false">(LN(B211/$B$8)+($H$8^2/2)*($J$8))/($H$8*SQRT($J$8))</f>
        <v>-0.90729516347174</v>
      </c>
      <c r="J211" s="26" t="n">
        <f aca="false">I211 - $H$8*SQRT($J$8)</f>
        <v>-1.02567305512756</v>
      </c>
    </row>
    <row r="212" customFormat="false" ht="13.5" hidden="false" customHeight="true" outlineLevel="0" collapsed="false">
      <c r="B212" s="29" t="n">
        <f aca="false">B182</f>
        <v>65</v>
      </c>
      <c r="C212" s="25" t="n">
        <f aca="false">IF($O$8="sell",-1,1) *  IF($K$8="call",  NORMDIST(I212,0,1,1),  NORMDIST(I212,0,1,1)-1  ) * $P$8</f>
        <v>-0</v>
      </c>
      <c r="D212" s="25" t="n">
        <f aca="false">IF($O$8="sell",-1,1) * NORMDIST(I212,0,1,0)/(B212*$H$8*SQRT($J$8)) * $P$8</f>
        <v>0</v>
      </c>
      <c r="E212" s="25" t="n">
        <f aca="false">IF($O$8="sell",-1,1) * (B212*NORMDIST(I212,0,1,0)*SQRT($J$8)/365) * $P$8</f>
        <v>0</v>
      </c>
      <c r="F212" s="25" t="n">
        <f aca="false">IF($O$8="sell",-1,1) * (-(B212*NORMDIST(I212,0,1,0)*$H$8)/(2*SQRT($J$8))/365) *$P$8</f>
        <v>-0</v>
      </c>
      <c r="G212" s="25" t="n">
        <f aca="false">IF($O$8="buy",1,-1)*( IF($K$8="call",B212*NORMDIST(I212,0,1,1) - $B$8*NORMDIST(J212,0,1,1),$B$8*NORMDIST(-J212,0,1,1) - B212*NORMDIST(-I212,0,1,1) ) - $G$8) * $P$8</f>
        <v>0</v>
      </c>
      <c r="I212" s="26" t="n">
        <f aca="false">(LN(B212/$B$8)+($H$8^2/2)*($J$8))/($H$8*SQRT($J$8))</f>
        <v>-1.03626749029082</v>
      </c>
      <c r="J212" s="26" t="n">
        <f aca="false">I212 - $H$8*SQRT($J$8)</f>
        <v>-1.15464538194664</v>
      </c>
    </row>
    <row r="213" customFormat="false" ht="13.5" hidden="false" customHeight="true" outlineLevel="0" collapsed="false">
      <c r="B213" s="29" t="n">
        <f aca="false">B183</f>
        <v>64</v>
      </c>
      <c r="C213" s="25" t="n">
        <f aca="false">IF($O$8="sell",-1,1) *  IF($K$8="call",  NORMDIST(I213,0,1,1),  NORMDIST(I213,0,1,1)-1  ) * $P$8</f>
        <v>-0</v>
      </c>
      <c r="D213" s="25" t="n">
        <f aca="false">IF($O$8="sell",-1,1) * NORMDIST(I213,0,1,0)/(B213*$H$8*SQRT($J$8)) * $P$8</f>
        <v>0</v>
      </c>
      <c r="E213" s="25" t="n">
        <f aca="false">IF($O$8="sell",-1,1) * (B213*NORMDIST(I213,0,1,0)*SQRT($J$8)/365) * $P$8</f>
        <v>0</v>
      </c>
      <c r="F213" s="25" t="n">
        <f aca="false">IF($O$8="sell",-1,1) * (-(B213*NORMDIST(I213,0,1,0)*$H$8)/(2*SQRT($J$8))/365) *$P$8</f>
        <v>-0</v>
      </c>
      <c r="G213" s="25" t="n">
        <f aca="false">IF($O$8="buy",1,-1)*( IF($K$8="call",B213*NORMDIST(I213,0,1,1) - $B$8*NORMDIST(J213,0,1,1),$B$8*NORMDIST(-J213,0,1,1) - B213*NORMDIST(-I213,0,1,1) ) - $G$8) * $P$8</f>
        <v>0</v>
      </c>
      <c r="I213" s="26" t="n">
        <f aca="false">(LN(B213/$B$8)+($H$8^2/2)*($J$8))/($H$8*SQRT($J$8))</f>
        <v>-1.16723946756715</v>
      </c>
      <c r="J213" s="26" t="n">
        <f aca="false">I213 - $H$8*SQRT($J$8)</f>
        <v>-1.28561735922297</v>
      </c>
    </row>
    <row r="214" customFormat="false" ht="13.5" hidden="false" customHeight="true" outlineLevel="0" collapsed="false">
      <c r="B214" s="29" t="n">
        <f aca="false">B184</f>
        <v>63</v>
      </c>
      <c r="C214" s="25" t="n">
        <f aca="false">IF($O$8="sell",-1,1) *  IF($K$8="call",  NORMDIST(I214,0,1,1),  NORMDIST(I214,0,1,1)-1  ) * $P$8</f>
        <v>-0</v>
      </c>
      <c r="D214" s="25" t="n">
        <f aca="false">IF($O$8="sell",-1,1) * NORMDIST(I214,0,1,0)/(B214*$H$8*SQRT($J$8)) * $P$8</f>
        <v>0</v>
      </c>
      <c r="E214" s="25" t="n">
        <f aca="false">IF($O$8="sell",-1,1) * (B214*NORMDIST(I214,0,1,0)*SQRT($J$8)/365) * $P$8</f>
        <v>0</v>
      </c>
      <c r="F214" s="25" t="n">
        <f aca="false">IF($O$8="sell",-1,1) * (-(B214*NORMDIST(I214,0,1,0)*$H$8)/(2*SQRT($J$8))/365) *$P$8</f>
        <v>-0</v>
      </c>
      <c r="G214" s="25" t="n">
        <f aca="false">IF($O$8="buy",1,-1)*( IF($K$8="call",B214*NORMDIST(I214,0,1,1) - $B$8*NORMDIST(J214,0,1,1),$B$8*NORMDIST(-J214,0,1,1) - B214*NORMDIST(-I214,0,1,1) ) - $G$8) * $P$8</f>
        <v>0</v>
      </c>
      <c r="I214" s="26" t="n">
        <f aca="false">(LN(B214/$B$8)+($H$8^2/2)*($J$8))/($H$8*SQRT($J$8))</f>
        <v>-1.30027408026263</v>
      </c>
      <c r="J214" s="26" t="n">
        <f aca="false">I214 - $H$8*SQRT($J$8)</f>
        <v>-1.41865197191845</v>
      </c>
    </row>
    <row r="215" customFormat="false" ht="13.5" hidden="false" customHeight="true" outlineLevel="0" collapsed="false">
      <c r="B215" s="29" t="n">
        <f aca="false">B185</f>
        <v>62</v>
      </c>
      <c r="C215" s="25" t="n">
        <f aca="false">IF($O$8="sell",-1,1) *  IF($K$8="call",  NORMDIST(I215,0,1,1),  NORMDIST(I215,0,1,1)-1  ) * $P$8</f>
        <v>-0</v>
      </c>
      <c r="D215" s="25" t="n">
        <f aca="false">IF($O$8="sell",-1,1) * NORMDIST(I215,0,1,0)/(B215*$H$8*SQRT($J$8)) * $P$8</f>
        <v>0</v>
      </c>
      <c r="E215" s="25" t="n">
        <f aca="false">IF($O$8="sell",-1,1) * (B215*NORMDIST(I215,0,1,0)*SQRT($J$8)/365) * $P$8</f>
        <v>0</v>
      </c>
      <c r="F215" s="25" t="n">
        <f aca="false">IF($O$8="sell",-1,1) * (-(B215*NORMDIST(I215,0,1,0)*$H$8)/(2*SQRT($J$8))/365) *$P$8</f>
        <v>-0</v>
      </c>
      <c r="G215" s="25" t="n">
        <f aca="false">IF($O$8="buy",1,-1)*( IF($K$8="call",B215*NORMDIST(I215,0,1,1) - $B$8*NORMDIST(J215,0,1,1),$B$8*NORMDIST(-J215,0,1,1) - B215*NORMDIST(-I215,0,1,1) ) - $G$8) * $P$8</f>
        <v>0</v>
      </c>
      <c r="I215" s="26" t="n">
        <f aca="false">(LN(B215/$B$8)+($H$8^2/2)*($J$8))/($H$8*SQRT($J$8))</f>
        <v>-1.43543733686938</v>
      </c>
      <c r="J215" s="26" t="n">
        <f aca="false">I215 - $H$8*SQRT($J$8)</f>
        <v>-1.5538152285252</v>
      </c>
    </row>
    <row r="216" customFormat="false" ht="13.5" hidden="false" customHeight="true" outlineLevel="0" collapsed="false">
      <c r="B216" s="29" t="n">
        <f aca="false">B186</f>
        <v>61</v>
      </c>
      <c r="C216" s="25" t="n">
        <f aca="false">IF($O$8="sell",-1,1) *  IF($K$8="call",  NORMDIST(I216,0,1,1),  NORMDIST(I216,0,1,1)-1  ) * $P$8</f>
        <v>-0</v>
      </c>
      <c r="D216" s="25" t="n">
        <f aca="false">IF($O$8="sell",-1,1) * NORMDIST(I216,0,1,0)/(B216*$H$8*SQRT($J$8)) * $P$8</f>
        <v>0</v>
      </c>
      <c r="E216" s="25" t="n">
        <f aca="false">IF($O$8="sell",-1,1) * (B216*NORMDIST(I216,0,1,0)*SQRT($J$8)/365) * $P$8</f>
        <v>0</v>
      </c>
      <c r="F216" s="25" t="n">
        <f aca="false">IF($O$8="sell",-1,1) * (-(B216*NORMDIST(I216,0,1,0)*$H$8)/(2*SQRT($J$8))/365) *$P$8</f>
        <v>-0</v>
      </c>
      <c r="G216" s="25" t="n">
        <f aca="false">IF($O$8="buy",1,-1)*( IF($K$8="call",B216*NORMDIST(I216,0,1,1) - $B$8*NORMDIST(J216,0,1,1),$B$8*NORMDIST(-J216,0,1,1) - B216*NORMDIST(-I216,0,1,1) ) - $G$8) * $P$8</f>
        <v>0</v>
      </c>
      <c r="I216" s="26" t="n">
        <f aca="false">(LN(B216/$B$8)+($H$8^2/2)*($J$8))/($H$8*SQRT($J$8))</f>
        <v>-1.57279846608308</v>
      </c>
      <c r="J216" s="26" t="n">
        <f aca="false">I216 - $H$8*SQRT($J$8)</f>
        <v>-1.6911763577389</v>
      </c>
    </row>
    <row r="217" customFormat="false" ht="13.5" hidden="false" customHeight="true" outlineLevel="0" collapsed="false">
      <c r="B217" s="29" t="n">
        <f aca="false">B187</f>
        <v>60</v>
      </c>
      <c r="C217" s="25" t="n">
        <f aca="false">IF($O$8="sell",-1,1) *  IF($K$8="call",  NORMDIST(I217,0,1,1),  NORMDIST(I217,0,1,1)-1  ) * $P$8</f>
        <v>-0</v>
      </c>
      <c r="D217" s="25" t="n">
        <f aca="false">IF($O$8="sell",-1,1) * NORMDIST(I217,0,1,0)/(B217*$H$8*SQRT($J$8)) * $P$8</f>
        <v>0</v>
      </c>
      <c r="E217" s="25" t="n">
        <f aca="false">IF($O$8="sell",-1,1) * (B217*NORMDIST(I217,0,1,0)*SQRT($J$8)/365) * $P$8</f>
        <v>0</v>
      </c>
      <c r="F217" s="25" t="n">
        <f aca="false">IF($O$8="sell",-1,1) * (-(B217*NORMDIST(I217,0,1,0)*$H$8)/(2*SQRT($J$8))/365) *$P$8</f>
        <v>-0</v>
      </c>
      <c r="G217" s="25" t="n">
        <f aca="false">IF($O$8="buy",1,-1)*( IF($K$8="call",B217*NORMDIST(I217,0,1,1) - $B$8*NORMDIST(J217,0,1,1),$B$8*NORMDIST(-J217,0,1,1) - B217*NORMDIST(-I217,0,1,1) ) - $G$8) * $P$8</f>
        <v>0</v>
      </c>
      <c r="I217" s="26" t="n">
        <f aca="false">(LN(B217/$B$8)+($H$8^2/2)*($J$8))/($H$8*SQRT($J$8))</f>
        <v>-1.71243012973248</v>
      </c>
      <c r="J217" s="26" t="n">
        <f aca="false">I217 - $H$8*SQRT($J$8)</f>
        <v>-1.8308080213883</v>
      </c>
    </row>
    <row r="218" customFormat="false" ht="13.5" hidden="false" customHeight="true" outlineLevel="0" collapsed="false">
      <c r="B218" s="29" t="n">
        <f aca="false">B188</f>
        <v>59</v>
      </c>
      <c r="C218" s="25" t="n">
        <f aca="false">IF($O$8="sell",-1,1) *  IF($K$8="call",  NORMDIST(I218,0,1,1),  NORMDIST(I218,0,1,1)-1  ) * $P$8</f>
        <v>-0</v>
      </c>
      <c r="D218" s="25" t="n">
        <f aca="false">IF($O$8="sell",-1,1) * NORMDIST(I218,0,1,0)/(B218*$H$8*SQRT($J$8)) * $P$8</f>
        <v>0</v>
      </c>
      <c r="E218" s="25" t="n">
        <f aca="false">IF($O$8="sell",-1,1) * (B218*NORMDIST(I218,0,1,0)*SQRT($J$8)/365) * $P$8</f>
        <v>0</v>
      </c>
      <c r="F218" s="25" t="n">
        <f aca="false">IF($O$8="sell",-1,1) * (-(B218*NORMDIST(I218,0,1,0)*$H$8)/(2*SQRT($J$8))/365) *$P$8</f>
        <v>-0</v>
      </c>
      <c r="G218" s="25" t="n">
        <f aca="false">IF($O$8="buy",1,-1)*( IF($K$8="call",B218*NORMDIST(I218,0,1,1) - $B$8*NORMDIST(J218,0,1,1),$B$8*NORMDIST(-J218,0,1,1) - B218*NORMDIST(-I218,0,1,1) ) - $G$8) * $P$8</f>
        <v>0</v>
      </c>
      <c r="I218" s="26" t="n">
        <f aca="false">(LN(B218/$B$8)+($H$8^2/2)*($J$8))/($H$8*SQRT($J$8))</f>
        <v>-1.85440865360455</v>
      </c>
      <c r="J218" s="26" t="n">
        <f aca="false">I218 - $H$8*SQRT($J$8)</f>
        <v>-1.97278654526037</v>
      </c>
    </row>
    <row r="219" customFormat="false" ht="13.5" hidden="false" customHeight="true" outlineLevel="0" collapsed="false">
      <c r="B219" s="29" t="n">
        <f aca="false">B189</f>
        <v>58</v>
      </c>
      <c r="C219" s="25" t="n">
        <f aca="false">IF($O$8="sell",-1,1) *  IF($K$8="call",  NORMDIST(I219,0,1,1),  NORMDIST(I219,0,1,1)-1  ) * $P$8</f>
        <v>-0</v>
      </c>
      <c r="D219" s="25" t="n">
        <f aca="false">IF($O$8="sell",-1,1) * NORMDIST(I219,0,1,0)/(B219*$H$8*SQRT($J$8)) * $P$8</f>
        <v>0</v>
      </c>
      <c r="E219" s="25" t="n">
        <f aca="false">IF($O$8="sell",-1,1) * (B219*NORMDIST(I219,0,1,0)*SQRT($J$8)/365) * $P$8</f>
        <v>0</v>
      </c>
      <c r="F219" s="25" t="n">
        <f aca="false">IF($O$8="sell",-1,1) * (-(B219*NORMDIST(I219,0,1,0)*$H$8)/(2*SQRT($J$8))/365) *$P$8</f>
        <v>-0</v>
      </c>
      <c r="G219" s="25" t="n">
        <f aca="false">IF($O$8="buy",1,-1)*( IF($K$8="call",B219*NORMDIST(I219,0,1,1) - $B$8*NORMDIST(J219,0,1,1),$B$8*NORMDIST(-J219,0,1,1) - B219*NORMDIST(-I219,0,1,1) ) - $G$8) * $P$8</f>
        <v>0</v>
      </c>
      <c r="I219" s="26" t="n">
        <f aca="false">(LN(B219/$B$8)+($H$8^2/2)*($J$8))/($H$8*SQRT($J$8))</f>
        <v>-1.99881427800106</v>
      </c>
      <c r="J219" s="26" t="n">
        <f aca="false">I219 - $H$8*SQRT($J$8)</f>
        <v>-2.11719216965687</v>
      </c>
    </row>
    <row r="220" customFormat="false" ht="13.5" hidden="false" customHeight="true" outlineLevel="0" collapsed="false">
      <c r="B220" s="29" t="n">
        <f aca="false">B190</f>
        <v>57</v>
      </c>
      <c r="C220" s="25" t="n">
        <f aca="false">IF($O$8="sell",-1,1) *  IF($K$8="call",  NORMDIST(I220,0,1,1),  NORMDIST(I220,0,1,1)-1  ) * $P$8</f>
        <v>-0</v>
      </c>
      <c r="D220" s="25" t="n">
        <f aca="false">IF($O$8="sell",-1,1) * NORMDIST(I220,0,1,0)/(B220*$H$8*SQRT($J$8)) * $P$8</f>
        <v>0</v>
      </c>
      <c r="E220" s="25" t="n">
        <f aca="false">IF($O$8="sell",-1,1) * (B220*NORMDIST(I220,0,1,0)*SQRT($J$8)/365) * $P$8</f>
        <v>0</v>
      </c>
      <c r="F220" s="25" t="n">
        <f aca="false">IF($O$8="sell",-1,1) * (-(B220*NORMDIST(I220,0,1,0)*$H$8)/(2*SQRT($J$8))/365) *$P$8</f>
        <v>-0</v>
      </c>
      <c r="G220" s="25" t="n">
        <f aca="false">IF($O$8="buy",1,-1)*( IF($K$8="call",B220*NORMDIST(I220,0,1,1) - $B$8*NORMDIST(J220,0,1,1),$B$8*NORMDIST(-J220,0,1,1) - B220*NORMDIST(-I220,0,1,1) ) - $G$8) * $P$8</f>
        <v>0</v>
      </c>
      <c r="I220" s="26" t="n">
        <f aca="false">(LN(B220/$B$8)+($H$8^2/2)*($J$8))/($H$8*SQRT($J$8))</f>
        <v>-2.1457314300858</v>
      </c>
      <c r="J220" s="26" t="n">
        <f aca="false">I220 - $H$8*SQRT($J$8)</f>
        <v>-2.26410932174162</v>
      </c>
    </row>
    <row r="221" customFormat="false" ht="13.5" hidden="false" customHeight="true" outlineLevel="0" collapsed="false">
      <c r="B221" s="30"/>
      <c r="C221" s="22"/>
      <c r="D221" s="22"/>
      <c r="E221" s="22"/>
      <c r="F221" s="22"/>
      <c r="G221" s="22"/>
      <c r="I221" s="31"/>
      <c r="J221" s="31"/>
    </row>
    <row r="222" customFormat="false" ht="13.5" hidden="false" customHeight="true" outlineLevel="0" collapsed="false">
      <c r="B222" s="30"/>
      <c r="C222" s="22"/>
      <c r="D222" s="22"/>
      <c r="E222" s="22"/>
      <c r="F222" s="22"/>
      <c r="G222" s="22"/>
      <c r="I222" s="31"/>
      <c r="J222" s="31"/>
    </row>
    <row r="223" customFormat="false" ht="13.5" hidden="false" customHeight="true" outlineLevel="0" collapsed="false">
      <c r="B223" s="23"/>
      <c r="C223" s="19" t="s">
        <v>13</v>
      </c>
      <c r="D223" s="19" t="s">
        <v>14</v>
      </c>
      <c r="E223" s="19" t="s">
        <v>15</v>
      </c>
      <c r="F223" s="19" t="s">
        <v>16</v>
      </c>
      <c r="G223" s="19" t="s">
        <v>17</v>
      </c>
      <c r="I223" s="19" t="s">
        <v>158</v>
      </c>
      <c r="J223" s="19" t="s">
        <v>159</v>
      </c>
    </row>
    <row r="224" customFormat="false" ht="13.5" hidden="false" customHeight="true" outlineLevel="0" collapsed="false">
      <c r="A224" s="2" t="str">
        <f aca="false">A9</f>
        <v>SOL-29MAY26-60-P-USDT</v>
      </c>
      <c r="B224" s="29" t="n">
        <f aca="false">B194</f>
        <v>83</v>
      </c>
      <c r="C224" s="25" t="n">
        <f aca="false">IF($O$9="sell",-1,1) *  IF($K$9="call",  NORMDIST(I224,0,1,1),  NORMDIST(I224,0,1,1)-1  ) * $P$9</f>
        <v>-0</v>
      </c>
      <c r="D224" s="25" t="n">
        <f aca="false">IF($O$9="sell",-1,1) * NORMDIST(I224,0,1,0)/(B224*$H$9*SQRT($J$9)) * $P$9</f>
        <v>0</v>
      </c>
      <c r="E224" s="25" t="n">
        <f aca="false">IF($O$9="sell",-1,1) * (B224*NORMDIST(I224,0,1,0)*SQRT($J$9)/365) * $P$9</f>
        <v>0</v>
      </c>
      <c r="F224" s="25" t="n">
        <f aca="false">IF($O$9="sell",-1,1) * (-(B224*NORMDIST(I224,0,1,0)*$H$9)/(2*SQRT($J$9))/365) *$P$9</f>
        <v>-0</v>
      </c>
      <c r="G224" s="25" t="n">
        <f aca="false">IF($O$9="buy",1,-1)*( IF($K$9="call",B224*NORMDIST(I224,0,1,1) - $B$9*NORMDIST(J224,0,1,1),$B$9*NORMDIST(-J224,0,1,1) - B224*NORMDIST(-I224,0,1,1) ) - $G$9) * $P$9</f>
        <v>-0</v>
      </c>
      <c r="I224" s="26" t="n">
        <f aca="false">(LN(B224/$B$9)+($H$9^2/2)*($J$9))/($H$9*SQRT($J$9))</f>
        <v>1.50633618803496</v>
      </c>
      <c r="J224" s="26" t="n">
        <f aca="false">I224 - $H$9*SQRT($J$9)</f>
        <v>1.27281444847028</v>
      </c>
    </row>
    <row r="225" customFormat="false" ht="13.5" hidden="false" customHeight="true" outlineLevel="0" collapsed="false">
      <c r="B225" s="29" t="n">
        <f aca="false">B195</f>
        <v>82</v>
      </c>
      <c r="C225" s="25" t="n">
        <f aca="false">IF($O$9="sell",-1,1) *  IF($K$9="call",  NORMDIST(I225,0,1,1),  NORMDIST(I225,0,1,1)-1  ) * $P$9</f>
        <v>-0</v>
      </c>
      <c r="D225" s="25" t="n">
        <f aca="false">IF($O$9="sell",-1,1) * NORMDIST(I225,0,1,0)/(B225*$H$9*SQRT($J$9)) * $P$9</f>
        <v>0</v>
      </c>
      <c r="E225" s="25" t="n">
        <f aca="false">IF($O$9="sell",-1,1) * (B225*NORMDIST(I225,0,1,0)*SQRT($J$9)/365) * $P$9</f>
        <v>0</v>
      </c>
      <c r="F225" s="25" t="n">
        <f aca="false">IF($O$9="sell",-1,1) * (-(B225*NORMDIST(I225,0,1,0)*$H$9)/(2*SQRT($J$9))/365) *$P$9</f>
        <v>-0</v>
      </c>
      <c r="G225" s="25" t="n">
        <f aca="false">IF($O$9="buy",1,-1)*( IF($K$9="call",B225*NORMDIST(I225,0,1,1) - $B$9*NORMDIST(J225,0,1,1),$B$9*NORMDIST(-J225,0,1,1) - B225*NORMDIST(-I225,0,1,1) ) - $G$9) * $P$9</f>
        <v>-0</v>
      </c>
      <c r="I225" s="26" t="n">
        <f aca="false">(LN(B225/$B$9)+($H$9^2/2)*($J$9))/($H$9*SQRT($J$9))</f>
        <v>1.45442941243907</v>
      </c>
      <c r="J225" s="26" t="n">
        <f aca="false">I225 - $H$9*SQRT($J$9)</f>
        <v>1.22090767287439</v>
      </c>
    </row>
    <row r="226" customFormat="false" ht="13.5" hidden="false" customHeight="true" outlineLevel="0" collapsed="false">
      <c r="B226" s="29" t="n">
        <f aca="false">B196</f>
        <v>81</v>
      </c>
      <c r="C226" s="25" t="n">
        <f aca="false">IF($O$9="sell",-1,1) *  IF($K$9="call",  NORMDIST(I226,0,1,1),  NORMDIST(I226,0,1,1)-1  ) * $P$9</f>
        <v>-0</v>
      </c>
      <c r="D226" s="25" t="n">
        <f aca="false">IF($O$9="sell",-1,1) * NORMDIST(I226,0,1,0)/(B226*$H$9*SQRT($J$9)) * $P$9</f>
        <v>0</v>
      </c>
      <c r="E226" s="25" t="n">
        <f aca="false">IF($O$9="sell",-1,1) * (B226*NORMDIST(I226,0,1,0)*SQRT($J$9)/365) * $P$9</f>
        <v>0</v>
      </c>
      <c r="F226" s="25" t="n">
        <f aca="false">IF($O$9="sell",-1,1) * (-(B226*NORMDIST(I226,0,1,0)*$H$9)/(2*SQRT($J$9))/365) *$P$9</f>
        <v>-0</v>
      </c>
      <c r="G226" s="25" t="n">
        <f aca="false">IF($O$9="buy",1,-1)*( IF($K$9="call",B226*NORMDIST(I226,0,1,1) - $B$9*NORMDIST(J226,0,1,1),$B$9*NORMDIST(-J226,0,1,1) - B226*NORMDIST(-I226,0,1,1) ) - $G$9) * $P$9</f>
        <v>-0</v>
      </c>
      <c r="I226" s="26" t="n">
        <f aca="false">(LN(B226/$B$9)+($H$9^2/2)*($J$9))/($H$9*SQRT($J$9))</f>
        <v>1.40188572800657</v>
      </c>
      <c r="J226" s="26" t="n">
        <f aca="false">I226 - $H$9*SQRT($J$9)</f>
        <v>1.16836398844189</v>
      </c>
    </row>
    <row r="227" customFormat="false" ht="13.5" hidden="false" customHeight="true" outlineLevel="0" collapsed="false">
      <c r="B227" s="29" t="n">
        <f aca="false">B197</f>
        <v>80</v>
      </c>
      <c r="C227" s="25" t="n">
        <f aca="false">IF($O$9="sell",-1,1) *  IF($K$9="call",  NORMDIST(I227,0,1,1),  NORMDIST(I227,0,1,1)-1  ) * $P$9</f>
        <v>-0</v>
      </c>
      <c r="D227" s="25" t="n">
        <f aca="false">IF($O$9="sell",-1,1) * NORMDIST(I227,0,1,0)/(B227*$H$9*SQRT($J$9)) * $P$9</f>
        <v>0</v>
      </c>
      <c r="E227" s="25" t="n">
        <f aca="false">IF($O$9="sell",-1,1) * (B227*NORMDIST(I227,0,1,0)*SQRT($J$9)/365) * $P$9</f>
        <v>0</v>
      </c>
      <c r="F227" s="25" t="n">
        <f aca="false">IF($O$9="sell",-1,1) * (-(B227*NORMDIST(I227,0,1,0)*$H$9)/(2*SQRT($J$9))/365) *$P$9</f>
        <v>-0</v>
      </c>
      <c r="G227" s="25" t="n">
        <f aca="false">IF($O$9="buy",1,-1)*( IF($K$9="call",B227*NORMDIST(I227,0,1,1) - $B$9*NORMDIST(J227,0,1,1),$B$9*NORMDIST(-J227,0,1,1) - B227*NORMDIST(-I227,0,1,1) ) - $G$9) * $P$9</f>
        <v>-0</v>
      </c>
      <c r="I227" s="26" t="n">
        <f aca="false">(LN(B227/$B$9)+($H$9^2/2)*($J$9))/($H$9*SQRT($J$9))</f>
        <v>1.34868931031238</v>
      </c>
      <c r="J227" s="26" t="n">
        <f aca="false">I227 - $H$9*SQRT($J$9)</f>
        <v>1.1151675707477</v>
      </c>
    </row>
    <row r="228" customFormat="false" ht="13.5" hidden="false" customHeight="true" outlineLevel="0" collapsed="false">
      <c r="B228" s="29" t="n">
        <f aca="false">B198</f>
        <v>79</v>
      </c>
      <c r="C228" s="25" t="n">
        <f aca="false">IF($O$9="sell",-1,1) *  IF($K$9="call",  NORMDIST(I228,0,1,1),  NORMDIST(I228,0,1,1)-1  ) * $P$9</f>
        <v>-0</v>
      </c>
      <c r="D228" s="25" t="n">
        <f aca="false">IF($O$9="sell",-1,1) * NORMDIST(I228,0,1,0)/(B228*$H$9*SQRT($J$9)) * $P$9</f>
        <v>0</v>
      </c>
      <c r="E228" s="25" t="n">
        <f aca="false">IF($O$9="sell",-1,1) * (B228*NORMDIST(I228,0,1,0)*SQRT($J$9)/365) * $P$9</f>
        <v>0</v>
      </c>
      <c r="F228" s="25" t="n">
        <f aca="false">IF($O$9="sell",-1,1) * (-(B228*NORMDIST(I228,0,1,0)*$H$9)/(2*SQRT($J$9))/365) *$P$9</f>
        <v>-0</v>
      </c>
      <c r="G228" s="25" t="n">
        <f aca="false">IF($O$9="buy",1,-1)*( IF($K$9="call",B228*NORMDIST(I228,0,1,1) - $B$9*NORMDIST(J228,0,1,1),$B$9*NORMDIST(-J228,0,1,1) - B228*NORMDIST(-I228,0,1,1) ) - $G$9) * $P$9</f>
        <v>-0</v>
      </c>
      <c r="I228" s="26" t="n">
        <f aca="false">(LN(B228/$B$9)+($H$9^2/2)*($J$9))/($H$9*SQRT($J$9))</f>
        <v>1.29482373775238</v>
      </c>
      <c r="J228" s="26" t="n">
        <f aca="false">I228 - $H$9*SQRT($J$9)</f>
        <v>1.06130199818769</v>
      </c>
    </row>
    <row r="229" customFormat="false" ht="13.5" hidden="false" customHeight="true" outlineLevel="0" collapsed="false">
      <c r="B229" s="29" t="n">
        <f aca="false">B199</f>
        <v>78</v>
      </c>
      <c r="C229" s="25" t="n">
        <f aca="false">IF($O$9="sell",-1,1) *  IF($K$9="call",  NORMDIST(I229,0,1,1),  NORMDIST(I229,0,1,1)-1  ) * $P$9</f>
        <v>-0</v>
      </c>
      <c r="D229" s="25" t="n">
        <f aca="false">IF($O$9="sell",-1,1) * NORMDIST(I229,0,1,0)/(B229*$H$9*SQRT($J$9)) * $P$9</f>
        <v>0</v>
      </c>
      <c r="E229" s="25" t="n">
        <f aca="false">IF($O$9="sell",-1,1) * (B229*NORMDIST(I229,0,1,0)*SQRT($J$9)/365) * $P$9</f>
        <v>0</v>
      </c>
      <c r="F229" s="25" t="n">
        <f aca="false">IF($O$9="sell",-1,1) * (-(B229*NORMDIST(I229,0,1,0)*$H$9)/(2*SQRT($J$9))/365) *$P$9</f>
        <v>-0</v>
      </c>
      <c r="G229" s="25" t="n">
        <f aca="false">IF($O$9="buy",1,-1)*( IF($K$9="call",B229*NORMDIST(I229,0,1,1) - $B$9*NORMDIST(J229,0,1,1),$B$9*NORMDIST(-J229,0,1,1) - B229*NORMDIST(-I229,0,1,1) ) - $G$9) * $P$9</f>
        <v>0</v>
      </c>
      <c r="I229" s="26" t="n">
        <f aca="false">(LN(B229/$B$9)+($H$9^2/2)*($J$9))/($H$9*SQRT($J$9))</f>
        <v>1.24027196111189</v>
      </c>
      <c r="J229" s="26" t="n">
        <f aca="false">I229 - $H$9*SQRT($J$9)</f>
        <v>1.00675022154721</v>
      </c>
    </row>
    <row r="230" customFormat="false" ht="13.5" hidden="false" customHeight="true" outlineLevel="0" collapsed="false">
      <c r="B230" s="29" t="n">
        <f aca="false">B200</f>
        <v>77</v>
      </c>
      <c r="C230" s="25" t="n">
        <f aca="false">IF($O$9="sell",-1,1) *  IF($K$9="call",  NORMDIST(I230,0,1,1),  NORMDIST(I230,0,1,1)-1  ) * $P$9</f>
        <v>-0</v>
      </c>
      <c r="D230" s="25" t="n">
        <f aca="false">IF($O$9="sell",-1,1) * NORMDIST(I230,0,1,0)/(B230*$H$9*SQRT($J$9)) * $P$9</f>
        <v>0</v>
      </c>
      <c r="E230" s="25" t="n">
        <f aca="false">IF($O$9="sell",-1,1) * (B230*NORMDIST(I230,0,1,0)*SQRT($J$9)/365) * $P$9</f>
        <v>0</v>
      </c>
      <c r="F230" s="25" t="n">
        <f aca="false">IF($O$9="sell",-1,1) * (-(B230*NORMDIST(I230,0,1,0)*$H$9)/(2*SQRT($J$9))/365) *$P$9</f>
        <v>-0</v>
      </c>
      <c r="G230" s="25" t="n">
        <f aca="false">IF($O$9="buy",1,-1)*( IF($K$9="call",B230*NORMDIST(I230,0,1,1) - $B$9*NORMDIST(J230,0,1,1),$B$9*NORMDIST(-J230,0,1,1) - B230*NORMDIST(-I230,0,1,1) ) - $G$9) * $P$9</f>
        <v>0</v>
      </c>
      <c r="I230" s="26" t="n">
        <f aca="false">(LN(B230/$B$9)+($H$9^2/2)*($J$9))/($H$9*SQRT($J$9))</f>
        <v>1.18501627117073</v>
      </c>
      <c r="J230" s="26" t="n">
        <f aca="false">I230 - $H$9*SQRT($J$9)</f>
        <v>0.951494531606045</v>
      </c>
    </row>
    <row r="231" customFormat="false" ht="13.5" hidden="false" customHeight="true" outlineLevel="0" collapsed="false">
      <c r="B231" s="29" t="n">
        <f aca="false">B201</f>
        <v>76</v>
      </c>
      <c r="C231" s="25" t="n">
        <f aca="false">IF($O$9="sell",-1,1) *  IF($K$9="call",  NORMDIST(I231,0,1,1),  NORMDIST(I231,0,1,1)-1  ) * $P$9</f>
        <v>-0</v>
      </c>
      <c r="D231" s="25" t="n">
        <f aca="false">IF($O$9="sell",-1,1) * NORMDIST(I231,0,1,0)/(B231*$H$9*SQRT($J$9)) * $P$9</f>
        <v>0</v>
      </c>
      <c r="E231" s="25" t="n">
        <f aca="false">IF($O$9="sell",-1,1) * (B231*NORMDIST(I231,0,1,0)*SQRT($J$9)/365) * $P$9</f>
        <v>0</v>
      </c>
      <c r="F231" s="25" t="n">
        <f aca="false">IF($O$9="sell",-1,1) * (-(B231*NORMDIST(I231,0,1,0)*$H$9)/(2*SQRT($J$9))/365) *$P$9</f>
        <v>-0</v>
      </c>
      <c r="G231" s="25" t="n">
        <f aca="false">IF($O$9="buy",1,-1)*( IF($K$9="call",B231*NORMDIST(I231,0,1,1) - $B$9*NORMDIST(J231,0,1,1),$B$9*NORMDIST(-J231,0,1,1) - B231*NORMDIST(-I231,0,1,1) ) - $G$9) * $P$9</f>
        <v>0</v>
      </c>
      <c r="I231" s="26" t="n">
        <f aca="false">(LN(B231/$B$9)+($H$9^2/2)*($J$9))/($H$9*SQRT($J$9))</f>
        <v>1.12903826419064</v>
      </c>
      <c r="J231" s="26" t="n">
        <f aca="false">I231 - $H$9*SQRT($J$9)</f>
        <v>0.895516524625962</v>
      </c>
    </row>
    <row r="232" customFormat="false" ht="13.5" hidden="false" customHeight="true" outlineLevel="0" collapsed="false">
      <c r="B232" s="29" t="n">
        <f aca="false">B202</f>
        <v>75</v>
      </c>
      <c r="C232" s="25" t="n">
        <f aca="false">IF($O$9="sell",-1,1) *  IF($K$9="call",  NORMDIST(I232,0,1,1),  NORMDIST(I232,0,1,1)-1  ) * $P$9</f>
        <v>-0</v>
      </c>
      <c r="D232" s="25" t="n">
        <f aca="false">IF($O$9="sell",-1,1) * NORMDIST(I232,0,1,0)/(B232*$H$9*SQRT($J$9)) * $P$9</f>
        <v>0</v>
      </c>
      <c r="E232" s="25" t="n">
        <f aca="false">IF($O$9="sell",-1,1) * (B232*NORMDIST(I232,0,1,0)*SQRT($J$9)/365) * $P$9</f>
        <v>0</v>
      </c>
      <c r="F232" s="25" t="n">
        <f aca="false">IF($O$9="sell",-1,1) * (-(B232*NORMDIST(I232,0,1,0)*$H$9)/(2*SQRT($J$9))/365) *$P$9</f>
        <v>-0</v>
      </c>
      <c r="G232" s="25" t="n">
        <f aca="false">IF($O$9="buy",1,-1)*( IF($K$9="call",B232*NORMDIST(I232,0,1,1) - $B$9*NORMDIST(J232,0,1,1),$B$9*NORMDIST(-J232,0,1,1) - B232*NORMDIST(-I232,0,1,1) ) - $G$9) * $P$9</f>
        <v>0</v>
      </c>
      <c r="I232" s="26" t="n">
        <f aca="false">(LN(B232/$B$9)+($H$9^2/2)*($J$9))/($H$9*SQRT($J$9))</f>
        <v>1.0723188051171</v>
      </c>
      <c r="J232" s="26" t="n">
        <f aca="false">I232 - $H$9*SQRT($J$9)</f>
        <v>0.838797065552423</v>
      </c>
    </row>
    <row r="233" customFormat="false" ht="13.5" hidden="false" customHeight="true" outlineLevel="0" collapsed="false">
      <c r="B233" s="29" t="n">
        <f aca="false">B203</f>
        <v>74</v>
      </c>
      <c r="C233" s="25" t="n">
        <f aca="false">IF($O$9="sell",-1,1) *  IF($K$9="call",  NORMDIST(I233,0,1,1),  NORMDIST(I233,0,1,1)-1  ) * $P$9</f>
        <v>-0</v>
      </c>
      <c r="D233" s="25" t="n">
        <f aca="false">IF($O$9="sell",-1,1) * NORMDIST(I233,0,1,0)/(B233*$H$9*SQRT($J$9)) * $P$9</f>
        <v>0</v>
      </c>
      <c r="E233" s="25" t="n">
        <f aca="false">IF($O$9="sell",-1,1) * (B233*NORMDIST(I233,0,1,0)*SQRT($J$9)/365) * $P$9</f>
        <v>0</v>
      </c>
      <c r="F233" s="25" t="n">
        <f aca="false">IF($O$9="sell",-1,1) * (-(B233*NORMDIST(I233,0,1,0)*$H$9)/(2*SQRT($J$9))/365) *$P$9</f>
        <v>-0</v>
      </c>
      <c r="G233" s="25" t="n">
        <f aca="false">IF($O$9="buy",1,-1)*( IF($K$9="call",B233*NORMDIST(I233,0,1,1) - $B$9*NORMDIST(J233,0,1,1),$B$9*NORMDIST(-J233,0,1,1) - B233*NORMDIST(-I233,0,1,1) ) - $G$9) * $P$9</f>
        <v>0</v>
      </c>
      <c r="I233" s="26" t="n">
        <f aca="false">(LN(B233/$B$9)+($H$9^2/2)*($J$9))/($H$9*SQRT($J$9))</f>
        <v>1.01483798831108</v>
      </c>
      <c r="J233" s="26" t="n">
        <f aca="false">I233 - $H$9*SQRT($J$9)</f>
        <v>0.781316248746403</v>
      </c>
    </row>
    <row r="234" customFormat="false" ht="13.5" hidden="false" customHeight="true" outlineLevel="0" collapsed="false">
      <c r="B234" s="29" t="n">
        <f aca="false">B204</f>
        <v>73</v>
      </c>
      <c r="C234" s="25" t="n">
        <f aca="false">IF($O$9="sell",-1,1) *  IF($K$9="call",  NORMDIST(I234,0,1,1),  NORMDIST(I234,0,1,1)-1  ) * $P$9</f>
        <v>-0</v>
      </c>
      <c r="D234" s="25" t="n">
        <f aca="false">IF($O$9="sell",-1,1) * NORMDIST(I234,0,1,0)/(B234*$H$9*SQRT($J$9)) * $P$9</f>
        <v>0</v>
      </c>
      <c r="E234" s="25" t="n">
        <f aca="false">IF($O$9="sell",-1,1) * (B234*NORMDIST(I234,0,1,0)*SQRT($J$9)/365) * $P$9</f>
        <v>0</v>
      </c>
      <c r="F234" s="25" t="n">
        <f aca="false">IF($O$9="sell",-1,1) * (-(B234*NORMDIST(I234,0,1,0)*$H$9)/(2*SQRT($J$9))/365) *$P$9</f>
        <v>-0</v>
      </c>
      <c r="G234" s="25" t="n">
        <f aca="false">IF($O$9="buy",1,-1)*( IF($K$9="call",B234*NORMDIST(I234,0,1,1) - $B$9*NORMDIST(J234,0,1,1),$B$9*NORMDIST(-J234,0,1,1) - B234*NORMDIST(-I234,0,1,1) ) - $G$9) * $P$9</f>
        <v>0</v>
      </c>
      <c r="I234" s="26" t="n">
        <f aca="false">(LN(B234/$B$9)+($H$9^2/2)*($J$9))/($H$9*SQRT($J$9))</f>
        <v>0.956575095609353</v>
      </c>
      <c r="J234" s="26" t="n">
        <f aca="false">I234 - $H$9*SQRT($J$9)</f>
        <v>0.723053356044671</v>
      </c>
    </row>
    <row r="235" customFormat="false" ht="13.5" hidden="false" customHeight="true" outlineLevel="0" collapsed="false">
      <c r="B235" s="29" t="n">
        <f aca="false">B205</f>
        <v>72</v>
      </c>
      <c r="C235" s="25" t="n">
        <f aca="false">IF($O$9="sell",-1,1) *  IF($K$9="call",  NORMDIST(I235,0,1,1),  NORMDIST(I235,0,1,1)-1  ) * $P$9</f>
        <v>-0</v>
      </c>
      <c r="D235" s="25" t="n">
        <f aca="false">IF($O$9="sell",-1,1) * NORMDIST(I235,0,1,0)/(B235*$H$9*SQRT($J$9)) * $P$9</f>
        <v>0</v>
      </c>
      <c r="E235" s="25" t="n">
        <f aca="false">IF($O$9="sell",-1,1) * (B235*NORMDIST(I235,0,1,0)*SQRT($J$9)/365) * $P$9</f>
        <v>0</v>
      </c>
      <c r="F235" s="25" t="n">
        <f aca="false">IF($O$9="sell",-1,1) * (-(B235*NORMDIST(I235,0,1,0)*$H$9)/(2*SQRT($J$9))/365) *$P$9</f>
        <v>-0</v>
      </c>
      <c r="G235" s="25" t="n">
        <f aca="false">IF($O$9="buy",1,-1)*( IF($K$9="call",B235*NORMDIST(I235,0,1,1) - $B$9*NORMDIST(J235,0,1,1),$B$9*NORMDIST(-J235,0,1,1) - B235*NORMDIST(-I235,0,1,1) ) - $G$9) * $P$9</f>
        <v>0</v>
      </c>
      <c r="I235" s="26" t="n">
        <f aca="false">(LN(B235/$B$9)+($H$9^2/2)*($J$9))/($H$9*SQRT($J$9))</f>
        <v>0.897508551492096</v>
      </c>
      <c r="J235" s="26" t="n">
        <f aca="false">I235 - $H$9*SQRT($J$9)</f>
        <v>0.663986811927415</v>
      </c>
    </row>
    <row r="236" customFormat="false" ht="13.5" hidden="false" customHeight="true" outlineLevel="0" collapsed="false">
      <c r="B236" s="29" t="n">
        <f aca="false">B206</f>
        <v>71</v>
      </c>
      <c r="C236" s="25" t="n">
        <f aca="false">IF($O$9="sell",-1,1) *  IF($K$9="call",  NORMDIST(I236,0,1,1),  NORMDIST(I236,0,1,1)-1  ) * $P$9</f>
        <v>-0</v>
      </c>
      <c r="D236" s="25" t="n">
        <f aca="false">IF($O$9="sell",-1,1) * NORMDIST(I236,0,1,0)/(B236*$H$9*SQRT($J$9)) * $P$9</f>
        <v>0</v>
      </c>
      <c r="E236" s="25" t="n">
        <f aca="false">IF($O$9="sell",-1,1) * (B236*NORMDIST(I236,0,1,0)*SQRT($J$9)/365) * $P$9</f>
        <v>0</v>
      </c>
      <c r="F236" s="25" t="n">
        <f aca="false">IF($O$9="sell",-1,1) * (-(B236*NORMDIST(I236,0,1,0)*$H$9)/(2*SQRT($J$9))/365) *$P$9</f>
        <v>-0</v>
      </c>
      <c r="G236" s="25" t="n">
        <f aca="false">IF($O$9="buy",1,-1)*( IF($K$9="call",B236*NORMDIST(I236,0,1,1) - $B$9*NORMDIST(J236,0,1,1),$B$9*NORMDIST(-J236,0,1,1) - B236*NORMDIST(-I236,0,1,1) ) - $G$9) * $P$9</f>
        <v>0</v>
      </c>
      <c r="I236" s="26" t="n">
        <f aca="false">(LN(B236/$B$9)+($H$9^2/2)*($J$9))/($H$9*SQRT($J$9))</f>
        <v>0.837615875115104</v>
      </c>
      <c r="J236" s="26" t="n">
        <f aca="false">I236 - $H$9*SQRT($J$9)</f>
        <v>0.604094135550422</v>
      </c>
    </row>
    <row r="237" customFormat="false" ht="13.5" hidden="false" customHeight="true" outlineLevel="0" collapsed="false">
      <c r="B237" s="29" t="n">
        <f aca="false">B207</f>
        <v>70</v>
      </c>
      <c r="C237" s="25" t="n">
        <f aca="false">IF($O$9="sell",-1,1) *  IF($K$9="call",  NORMDIST(I237,0,1,1),  NORMDIST(I237,0,1,1)-1  ) * $P$9</f>
        <v>-0</v>
      </c>
      <c r="D237" s="25" t="n">
        <f aca="false">IF($O$9="sell",-1,1) * NORMDIST(I237,0,1,0)/(B237*$H$9*SQRT($J$9)) * $P$9</f>
        <v>0</v>
      </c>
      <c r="E237" s="25" t="n">
        <f aca="false">IF($O$9="sell",-1,1) * (B237*NORMDIST(I237,0,1,0)*SQRT($J$9)/365) * $P$9</f>
        <v>0</v>
      </c>
      <c r="F237" s="25" t="n">
        <f aca="false">IF($O$9="sell",-1,1) * (-(B237*NORMDIST(I237,0,1,0)*$H$9)/(2*SQRT($J$9))/365) *$P$9</f>
        <v>-0</v>
      </c>
      <c r="G237" s="25" t="n">
        <f aca="false">IF($O$9="buy",1,-1)*( IF($K$9="call",B237*NORMDIST(I237,0,1,1) - $B$9*NORMDIST(J237,0,1,1),$B$9*NORMDIST(-J237,0,1,1) - B237*NORMDIST(-I237,0,1,1) ) - $G$9) * $P$9</f>
        <v>0</v>
      </c>
      <c r="I237" s="26" t="n">
        <f aca="false">(LN(B237/$B$9)+($H$9^2/2)*($J$9))/($H$9*SQRT($J$9))</f>
        <v>0.776873628939657</v>
      </c>
      <c r="J237" s="26" t="n">
        <f aca="false">I237 - $H$9*SQRT($J$9)</f>
        <v>0.543351889374975</v>
      </c>
    </row>
    <row r="238" customFormat="false" ht="13.5" hidden="false" customHeight="true" outlineLevel="0" collapsed="false">
      <c r="B238" s="29" t="n">
        <f aca="false">B208</f>
        <v>69</v>
      </c>
      <c r="C238" s="25" t="n">
        <f aca="false">IF($O$9="sell",-1,1) *  IF($K$9="call",  NORMDIST(I238,0,1,1),  NORMDIST(I238,0,1,1)-1  ) * $P$9</f>
        <v>-0</v>
      </c>
      <c r="D238" s="25" t="n">
        <f aca="false">IF($O$9="sell",-1,1) * NORMDIST(I238,0,1,0)/(B238*$H$9*SQRT($J$9)) * $P$9</f>
        <v>0</v>
      </c>
      <c r="E238" s="25" t="n">
        <f aca="false">IF($O$9="sell",-1,1) * (B238*NORMDIST(I238,0,1,0)*SQRT($J$9)/365) * $P$9</f>
        <v>0</v>
      </c>
      <c r="F238" s="25" t="n">
        <f aca="false">IF($O$9="sell",-1,1) * (-(B238*NORMDIST(I238,0,1,0)*$H$9)/(2*SQRT($J$9))/365) *$P$9</f>
        <v>-0</v>
      </c>
      <c r="G238" s="25" t="n">
        <f aca="false">IF($O$9="buy",1,-1)*( IF($K$9="call",B238*NORMDIST(I238,0,1,1) - $B$9*NORMDIST(J238,0,1,1),$B$9*NORMDIST(-J238,0,1,1) - B238*NORMDIST(-I238,0,1,1) ) - $G$9) * $P$9</f>
        <v>0</v>
      </c>
      <c r="I238" s="26" t="n">
        <f aca="false">(LN(B238/$B$9)+($H$9^2/2)*($J$9))/($H$9*SQRT($J$9))</f>
        <v>0.715257363666358</v>
      </c>
      <c r="J238" s="26" t="n">
        <f aca="false">I238 - $H$9*SQRT($J$9)</f>
        <v>0.481735624101676</v>
      </c>
    </row>
    <row r="239" customFormat="false" ht="13.5" hidden="false" customHeight="true" outlineLevel="0" collapsed="false">
      <c r="B239" s="29" t="n">
        <f aca="false">B209</f>
        <v>68</v>
      </c>
      <c r="C239" s="25" t="n">
        <f aca="false">IF($O$9="sell",-1,1) *  IF($K$9="call",  NORMDIST(I239,0,1,1),  NORMDIST(I239,0,1,1)-1  ) * $P$9</f>
        <v>-0</v>
      </c>
      <c r="D239" s="25" t="n">
        <f aca="false">IF($O$9="sell",-1,1) * NORMDIST(I239,0,1,0)/(B239*$H$9*SQRT($J$9)) * $P$9</f>
        <v>0</v>
      </c>
      <c r="E239" s="25" t="n">
        <f aca="false">IF($O$9="sell",-1,1) * (B239*NORMDIST(I239,0,1,0)*SQRT($J$9)/365) * $P$9</f>
        <v>0</v>
      </c>
      <c r="F239" s="25" t="n">
        <f aca="false">IF($O$9="sell",-1,1) * (-(B239*NORMDIST(I239,0,1,0)*$H$9)/(2*SQRT($J$9))/365) *$P$9</f>
        <v>-0</v>
      </c>
      <c r="G239" s="25" t="n">
        <f aca="false">IF($O$9="buy",1,-1)*( IF($K$9="call",B239*NORMDIST(I239,0,1,1) - $B$9*NORMDIST(J239,0,1,1),$B$9*NORMDIST(-J239,0,1,1) - B239*NORMDIST(-I239,0,1,1) ) - $G$9) * $P$9</f>
        <v>0</v>
      </c>
      <c r="I239" s="26" t="n">
        <f aca="false">(LN(B239/$B$9)+($H$9^2/2)*($J$9))/($H$9*SQRT($J$9))</f>
        <v>0.652741559149113</v>
      </c>
      <c r="J239" s="26" t="n">
        <f aca="false">I239 - $H$9*SQRT($J$9)</f>
        <v>0.419219819584431</v>
      </c>
    </row>
    <row r="240" customFormat="false" ht="13.5" hidden="false" customHeight="true" outlineLevel="0" collapsed="false">
      <c r="B240" s="29" t="n">
        <f aca="false">B210</f>
        <v>67</v>
      </c>
      <c r="C240" s="25" t="n">
        <f aca="false">IF($O$9="sell",-1,1) *  IF($K$9="call",  NORMDIST(I240,0,1,1),  NORMDIST(I240,0,1,1)-1  ) * $P$9</f>
        <v>-0</v>
      </c>
      <c r="D240" s="25" t="n">
        <f aca="false">IF($O$9="sell",-1,1) * NORMDIST(I240,0,1,0)/(B240*$H$9*SQRT($J$9)) * $P$9</f>
        <v>0</v>
      </c>
      <c r="E240" s="25" t="n">
        <f aca="false">IF($O$9="sell",-1,1) * (B240*NORMDIST(I240,0,1,0)*SQRT($J$9)/365) * $P$9</f>
        <v>0</v>
      </c>
      <c r="F240" s="25" t="n">
        <f aca="false">IF($O$9="sell",-1,1) * (-(B240*NORMDIST(I240,0,1,0)*$H$9)/(2*SQRT($J$9))/365) *$P$9</f>
        <v>-0</v>
      </c>
      <c r="G240" s="25" t="n">
        <f aca="false">IF($O$9="buy",1,-1)*( IF($K$9="call",B240*NORMDIST(I240,0,1,1) - $B$9*NORMDIST(J240,0,1,1),$B$9*NORMDIST(-J240,0,1,1) - B240*NORMDIST(-I240,0,1,1) ) - $G$9) * $P$9</f>
        <v>0</v>
      </c>
      <c r="I240" s="26" t="n">
        <f aca="false">(LN(B240/$B$9)+($H$9^2/2)*($J$9))/($H$9*SQRT($J$9))</f>
        <v>0.58929956093191</v>
      </c>
      <c r="J240" s="26" t="n">
        <f aca="false">I240 - $H$9*SQRT($J$9)</f>
        <v>0.355777821367229</v>
      </c>
    </row>
    <row r="241" customFormat="false" ht="13.5" hidden="false" customHeight="true" outlineLevel="0" collapsed="false">
      <c r="B241" s="29" t="n">
        <f aca="false">B211</f>
        <v>66</v>
      </c>
      <c r="C241" s="25" t="n">
        <f aca="false">IF($O$9="sell",-1,1) *  IF($K$9="call",  NORMDIST(I241,0,1,1),  NORMDIST(I241,0,1,1)-1  ) * $P$9</f>
        <v>-0</v>
      </c>
      <c r="D241" s="25" t="n">
        <f aca="false">IF($O$9="sell",-1,1) * NORMDIST(I241,0,1,0)/(B241*$H$9*SQRT($J$9)) * $P$9</f>
        <v>0</v>
      </c>
      <c r="E241" s="25" t="n">
        <f aca="false">IF($O$9="sell",-1,1) * (B241*NORMDIST(I241,0,1,0)*SQRT($J$9)/365) * $P$9</f>
        <v>0</v>
      </c>
      <c r="F241" s="25" t="n">
        <f aca="false">IF($O$9="sell",-1,1) * (-(B241*NORMDIST(I241,0,1,0)*$H$9)/(2*SQRT($J$9))/365) *$P$9</f>
        <v>-0</v>
      </c>
      <c r="G241" s="25" t="n">
        <f aca="false">IF($O$9="buy",1,-1)*( IF($K$9="call",B241*NORMDIST(I241,0,1,1) - $B$9*NORMDIST(J241,0,1,1),$B$9*NORMDIST(-J241,0,1,1) - B241*NORMDIST(-I241,0,1,1) ) - $G$9) * $P$9</f>
        <v>0</v>
      </c>
      <c r="I241" s="26" t="n">
        <f aca="false">(LN(B241/$B$9)+($H$9^2/2)*($J$9))/($H$9*SQRT($J$9))</f>
        <v>0.524903512013411</v>
      </c>
      <c r="J241" s="26" t="n">
        <f aca="false">I241 - $H$9*SQRT($J$9)</f>
        <v>0.291381772448729</v>
      </c>
    </row>
    <row r="242" customFormat="false" ht="13.5" hidden="false" customHeight="true" outlineLevel="0" collapsed="false">
      <c r="B242" s="29" t="n">
        <f aca="false">B212</f>
        <v>65</v>
      </c>
      <c r="C242" s="25" t="n">
        <f aca="false">IF($O$9="sell",-1,1) *  IF($K$9="call",  NORMDIST(I242,0,1,1),  NORMDIST(I242,0,1,1)-1  ) * $P$9</f>
        <v>-0</v>
      </c>
      <c r="D242" s="25" t="n">
        <f aca="false">IF($O$9="sell",-1,1) * NORMDIST(I242,0,1,0)/(B242*$H$9*SQRT($J$9)) * $P$9</f>
        <v>0</v>
      </c>
      <c r="E242" s="25" t="n">
        <f aca="false">IF($O$9="sell",-1,1) * (B242*NORMDIST(I242,0,1,0)*SQRT($J$9)/365) * $P$9</f>
        <v>0</v>
      </c>
      <c r="F242" s="25" t="n">
        <f aca="false">IF($O$9="sell",-1,1) * (-(B242*NORMDIST(I242,0,1,0)*$H$9)/(2*SQRT($J$9))/365) *$P$9</f>
        <v>-0</v>
      </c>
      <c r="G242" s="25" t="n">
        <f aca="false">IF($O$9="buy",1,-1)*( IF($K$9="call",B242*NORMDIST(I242,0,1,1) - $B$9*NORMDIST(J242,0,1,1),$B$9*NORMDIST(-J242,0,1,1) - B242*NORMDIST(-I242,0,1,1) ) - $G$9) * $P$9</f>
        <v>0</v>
      </c>
      <c r="I242" s="26" t="n">
        <f aca="false">(LN(B242/$B$9)+($H$9^2/2)*($J$9))/($H$9*SQRT($J$9))</f>
        <v>0.459524279402137</v>
      </c>
      <c r="J242" s="26" t="n">
        <f aca="false">I242 - $H$9*SQRT($J$9)</f>
        <v>0.226002539837455</v>
      </c>
    </row>
    <row r="243" customFormat="false" ht="13.5" hidden="false" customHeight="true" outlineLevel="0" collapsed="false">
      <c r="B243" s="29" t="n">
        <f aca="false">B213</f>
        <v>64</v>
      </c>
      <c r="C243" s="25" t="n">
        <f aca="false">IF($O$9="sell",-1,1) *  IF($K$9="call",  NORMDIST(I243,0,1,1),  NORMDIST(I243,0,1,1)-1  ) * $P$9</f>
        <v>-0</v>
      </c>
      <c r="D243" s="25" t="n">
        <f aca="false">IF($O$9="sell",-1,1) * NORMDIST(I243,0,1,0)/(B243*$H$9*SQRT($J$9)) * $P$9</f>
        <v>0</v>
      </c>
      <c r="E243" s="25" t="n">
        <f aca="false">IF($O$9="sell",-1,1) * (B243*NORMDIST(I243,0,1,0)*SQRT($J$9)/365) * $P$9</f>
        <v>0</v>
      </c>
      <c r="F243" s="25" t="n">
        <f aca="false">IF($O$9="sell",-1,1) * (-(B243*NORMDIST(I243,0,1,0)*$H$9)/(2*SQRT($J$9))/365) *$P$9</f>
        <v>-0</v>
      </c>
      <c r="G243" s="25" t="n">
        <f aca="false">IF($O$9="buy",1,-1)*( IF($K$9="call",B243*NORMDIST(I243,0,1,1) - $B$9*NORMDIST(J243,0,1,1),$B$9*NORMDIST(-J243,0,1,1) - B243*NORMDIST(-I243,0,1,1) ) - $G$9) * $P$9</f>
        <v>0</v>
      </c>
      <c r="I243" s="26" t="n">
        <f aca="false">(LN(B243/$B$9)+($H$9^2/2)*($J$9))/($H$9*SQRT($J$9))</f>
        <v>0.393131374977619</v>
      </c>
      <c r="J243" s="26" t="n">
        <f aca="false">I243 - $H$9*SQRT($J$9)</f>
        <v>0.159609635412937</v>
      </c>
    </row>
    <row r="244" customFormat="false" ht="13.5" hidden="false" customHeight="true" outlineLevel="0" collapsed="false">
      <c r="B244" s="29" t="n">
        <f aca="false">B214</f>
        <v>63</v>
      </c>
      <c r="C244" s="25" t="n">
        <f aca="false">IF($O$9="sell",-1,1) *  IF($K$9="call",  NORMDIST(I244,0,1,1),  NORMDIST(I244,0,1,1)-1  ) * $P$9</f>
        <v>-0</v>
      </c>
      <c r="D244" s="25" t="n">
        <f aca="false">IF($O$9="sell",-1,1) * NORMDIST(I244,0,1,0)/(B244*$H$9*SQRT($J$9)) * $P$9</f>
        <v>0</v>
      </c>
      <c r="E244" s="25" t="n">
        <f aca="false">IF($O$9="sell",-1,1) * (B244*NORMDIST(I244,0,1,0)*SQRT($J$9)/365) * $P$9</f>
        <v>0</v>
      </c>
      <c r="F244" s="25" t="n">
        <f aca="false">IF($O$9="sell",-1,1) * (-(B244*NORMDIST(I244,0,1,0)*$H$9)/(2*SQRT($J$9))/365) *$P$9</f>
        <v>-0</v>
      </c>
      <c r="G244" s="25" t="n">
        <f aca="false">IF($O$9="buy",1,-1)*( IF($K$9="call",B244*NORMDIST(I244,0,1,1) - $B$9*NORMDIST(J244,0,1,1),$B$9*NORMDIST(-J244,0,1,1) - B244*NORMDIST(-I244,0,1,1) ) - $G$9) * $P$9</f>
        <v>0</v>
      </c>
      <c r="I244" s="26" t="n">
        <f aca="false">(LN(B244/$B$9)+($H$9^2/2)*($J$9))/($H$9*SQRT($J$9))</f>
        <v>0.325692870119371</v>
      </c>
      <c r="J244" s="26" t="n">
        <f aca="false">I244 - $H$9*SQRT($J$9)</f>
        <v>0.0921711305546896</v>
      </c>
    </row>
    <row r="245" customFormat="false" ht="13.5" hidden="false" customHeight="true" outlineLevel="0" collapsed="false">
      <c r="B245" s="29" t="n">
        <f aca="false">B215</f>
        <v>62</v>
      </c>
      <c r="C245" s="25" t="n">
        <f aca="false">IF($O$9="sell",-1,1) *  IF($K$9="call",  NORMDIST(I245,0,1,1),  NORMDIST(I245,0,1,1)-1  ) * $P$9</f>
        <v>-0</v>
      </c>
      <c r="D245" s="25" t="n">
        <f aca="false">IF($O$9="sell",-1,1) * NORMDIST(I245,0,1,0)/(B245*$H$9*SQRT($J$9)) * $P$9</f>
        <v>0</v>
      </c>
      <c r="E245" s="25" t="n">
        <f aca="false">IF($O$9="sell",-1,1) * (B245*NORMDIST(I245,0,1,0)*SQRT($J$9)/365) * $P$9</f>
        <v>0</v>
      </c>
      <c r="F245" s="25" t="n">
        <f aca="false">IF($O$9="sell",-1,1) * (-(B245*NORMDIST(I245,0,1,0)*$H$9)/(2*SQRT($J$9))/365) *$P$9</f>
        <v>-0</v>
      </c>
      <c r="G245" s="25" t="n">
        <f aca="false">IF($O$9="buy",1,-1)*( IF($K$9="call",B245*NORMDIST(I245,0,1,1) - $B$9*NORMDIST(J245,0,1,1),$B$9*NORMDIST(-J245,0,1,1) - B245*NORMDIST(-I245,0,1,1) ) - $G$9) * $P$9</f>
        <v>0</v>
      </c>
      <c r="I245" s="26" t="n">
        <f aca="false">(LN(B245/$B$9)+($H$9^2/2)*($J$9))/($H$9*SQRT($J$9))</f>
        <v>0.257175303505368</v>
      </c>
      <c r="J245" s="26" t="n">
        <f aca="false">I245 - $H$9*SQRT($J$9)</f>
        <v>0.023653563940686</v>
      </c>
    </row>
    <row r="246" customFormat="false" ht="13.5" hidden="false" customHeight="true" outlineLevel="0" collapsed="false">
      <c r="B246" s="29" t="n">
        <f aca="false">B216</f>
        <v>61</v>
      </c>
      <c r="C246" s="25" t="n">
        <f aca="false">IF($O$9="sell",-1,1) *  IF($K$9="call",  NORMDIST(I246,0,1,1),  NORMDIST(I246,0,1,1)-1  ) * $P$9</f>
        <v>-0</v>
      </c>
      <c r="D246" s="25" t="n">
        <f aca="false">IF($O$9="sell",-1,1) * NORMDIST(I246,0,1,0)/(B246*$H$9*SQRT($J$9)) * $P$9</f>
        <v>0</v>
      </c>
      <c r="E246" s="25" t="n">
        <f aca="false">IF($O$9="sell",-1,1) * (B246*NORMDIST(I246,0,1,0)*SQRT($J$9)/365) * $P$9</f>
        <v>0</v>
      </c>
      <c r="F246" s="25" t="n">
        <f aca="false">IF($O$9="sell",-1,1) * (-(B246*NORMDIST(I246,0,1,0)*$H$9)/(2*SQRT($J$9))/365) *$P$9</f>
        <v>-0</v>
      </c>
      <c r="G246" s="25" t="n">
        <f aca="false">IF($O$9="buy",1,-1)*( IF($K$9="call",B246*NORMDIST(I246,0,1,1) - $B$9*NORMDIST(J246,0,1,1),$B$9*NORMDIST(-J246,0,1,1) - B246*NORMDIST(-I246,0,1,1) ) - $G$9) * $P$9</f>
        <v>0</v>
      </c>
      <c r="I246" s="26" t="n">
        <f aca="false">(LN(B246/$B$9)+($H$9^2/2)*($J$9))/($H$9*SQRT($J$9))</f>
        <v>0.187543581413487</v>
      </c>
      <c r="J246" s="26" t="n">
        <f aca="false">I246 - $H$9*SQRT($J$9)</f>
        <v>-0.0459781581511947</v>
      </c>
    </row>
    <row r="247" customFormat="false" ht="13.5" hidden="false" customHeight="true" outlineLevel="0" collapsed="false">
      <c r="B247" s="29" t="n">
        <f aca="false">B217</f>
        <v>60</v>
      </c>
      <c r="C247" s="25" t="n">
        <f aca="false">IF($O$9="sell",-1,1) *  IF($K$9="call",  NORMDIST(I247,0,1,1),  NORMDIST(I247,0,1,1)-1  ) * $P$9</f>
        <v>-0</v>
      </c>
      <c r="D247" s="25" t="n">
        <f aca="false">IF($O$9="sell",-1,1) * NORMDIST(I247,0,1,0)/(B247*$H$9*SQRT($J$9)) * $P$9</f>
        <v>0</v>
      </c>
      <c r="E247" s="25" t="n">
        <f aca="false">IF($O$9="sell",-1,1) * (B247*NORMDIST(I247,0,1,0)*SQRT($J$9)/365) * $P$9</f>
        <v>0</v>
      </c>
      <c r="F247" s="25" t="n">
        <f aca="false">IF($O$9="sell",-1,1) * (-(B247*NORMDIST(I247,0,1,0)*$H$9)/(2*SQRT($J$9))/365) *$P$9</f>
        <v>-0</v>
      </c>
      <c r="G247" s="25" t="n">
        <f aca="false">IF($O$9="buy",1,-1)*( IF($K$9="call",B247*NORMDIST(I247,0,1,1) - $B$9*NORMDIST(J247,0,1,1),$B$9*NORMDIST(-J247,0,1,1) - B247*NORMDIST(-I247,0,1,1) ) - $G$9) * $P$9</f>
        <v>0</v>
      </c>
      <c r="I247" s="26" t="n">
        <f aca="false">(LN(B247/$B$9)+($H$9^2/2)*($J$9))/($H$9*SQRT($J$9))</f>
        <v>0.116760869782341</v>
      </c>
      <c r="J247" s="26" t="n">
        <f aca="false">I247 - $H$9*SQRT($J$9)</f>
        <v>-0.116760869782341</v>
      </c>
    </row>
    <row r="248" customFormat="false" ht="13.5" hidden="false" customHeight="true" outlineLevel="0" collapsed="false">
      <c r="B248" s="29" t="n">
        <f aca="false">B218</f>
        <v>59</v>
      </c>
      <c r="C248" s="25" t="n">
        <f aca="false">IF($O$9="sell",-1,1) *  IF($K$9="call",  NORMDIST(I248,0,1,1),  NORMDIST(I248,0,1,1)-1  ) * $P$9</f>
        <v>-0</v>
      </c>
      <c r="D248" s="25" t="n">
        <f aca="false">IF($O$9="sell",-1,1) * NORMDIST(I248,0,1,0)/(B248*$H$9*SQRT($J$9)) * $P$9</f>
        <v>0</v>
      </c>
      <c r="E248" s="25" t="n">
        <f aca="false">IF($O$9="sell",-1,1) * (B248*NORMDIST(I248,0,1,0)*SQRT($J$9)/365) * $P$9</f>
        <v>0</v>
      </c>
      <c r="F248" s="25" t="n">
        <f aca="false">IF($O$9="sell",-1,1) * (-(B248*NORMDIST(I248,0,1,0)*$H$9)/(2*SQRT($J$9))/365) *$P$9</f>
        <v>-0</v>
      </c>
      <c r="G248" s="25" t="n">
        <f aca="false">IF($O$9="buy",1,-1)*( IF($K$9="call",B248*NORMDIST(I248,0,1,1) - $B$9*NORMDIST(J248,0,1,1),$B$9*NORMDIST(-J248,0,1,1) - B248*NORMDIST(-I248,0,1,1) ) - $G$9) * $P$9</f>
        <v>0</v>
      </c>
      <c r="I248" s="26" t="n">
        <f aca="false">(LN(B248/$B$9)+($H$9^2/2)*($J$9))/($H$9*SQRT($J$9))</f>
        <v>0.044788477200339</v>
      </c>
      <c r="J248" s="26" t="n">
        <f aca="false">I248 - $H$9*SQRT($J$9)</f>
        <v>-0.188733262364343</v>
      </c>
    </row>
    <row r="249" customFormat="false" ht="13.5" hidden="false" customHeight="true" outlineLevel="0" collapsed="false">
      <c r="B249" s="29" t="n">
        <f aca="false">B219</f>
        <v>58</v>
      </c>
      <c r="C249" s="25" t="n">
        <f aca="false">IF($O$9="sell",-1,1) *  IF($K$9="call",  NORMDIST(I249,0,1,1),  NORMDIST(I249,0,1,1)-1  ) * $P$9</f>
        <v>-0</v>
      </c>
      <c r="D249" s="25" t="n">
        <f aca="false">IF($O$9="sell",-1,1) * NORMDIST(I249,0,1,0)/(B249*$H$9*SQRT($J$9)) * $P$9</f>
        <v>0</v>
      </c>
      <c r="E249" s="25" t="n">
        <f aca="false">IF($O$9="sell",-1,1) * (B249*NORMDIST(I249,0,1,0)*SQRT($J$9)/365) * $P$9</f>
        <v>0</v>
      </c>
      <c r="F249" s="25" t="n">
        <f aca="false">IF($O$9="sell",-1,1) * (-(B249*NORMDIST(I249,0,1,0)*$H$9)/(2*SQRT($J$9))/365) *$P$9</f>
        <v>-0</v>
      </c>
      <c r="G249" s="25" t="n">
        <f aca="false">IF($O$9="buy",1,-1)*( IF($K$9="call",B249*NORMDIST(I249,0,1,1) - $B$9*NORMDIST(J249,0,1,1),$B$9*NORMDIST(-J249,0,1,1) - B249*NORMDIST(-I249,0,1,1) ) - $G$9) * $P$9</f>
        <v>0</v>
      </c>
      <c r="I249" s="26" t="n">
        <f aca="false">(LN(B249/$B$9)+($H$9^2/2)*($J$9))/($H$9*SQRT($J$9))</f>
        <v>-0.0284142721075693</v>
      </c>
      <c r="J249" s="26" t="n">
        <f aca="false">I249 - $H$9*SQRT($J$9)</f>
        <v>-0.261936011672251</v>
      </c>
    </row>
    <row r="250" customFormat="false" ht="13.5" hidden="false" customHeight="true" outlineLevel="0" collapsed="false">
      <c r="B250" s="29" t="n">
        <f aca="false">B220</f>
        <v>57</v>
      </c>
      <c r="C250" s="25" t="n">
        <f aca="false">IF($O$9="sell",-1,1) *  IF($K$9="call",  NORMDIST(I250,0,1,1),  NORMDIST(I250,0,1,1)-1  ) * $P$9</f>
        <v>-0</v>
      </c>
      <c r="D250" s="25" t="n">
        <f aca="false">IF($O$9="sell",-1,1) * NORMDIST(I250,0,1,0)/(B250*$H$9*SQRT($J$9)) * $P$9</f>
        <v>0</v>
      </c>
      <c r="E250" s="25" t="n">
        <f aca="false">IF($O$9="sell",-1,1) * (B250*NORMDIST(I250,0,1,0)*SQRT($J$9)/365) * $P$9</f>
        <v>0</v>
      </c>
      <c r="F250" s="25" t="n">
        <f aca="false">IF($O$9="sell",-1,1) * (-(B250*NORMDIST(I250,0,1,0)*$H$9)/(2*SQRT($J$9))/365) *$P$9</f>
        <v>-0</v>
      </c>
      <c r="G250" s="25" t="n">
        <f aca="false">IF($O$9="buy",1,-1)*( IF($K$9="call",B250*NORMDIST(I250,0,1,1) - $B$9*NORMDIST(J250,0,1,1),$B$9*NORMDIST(-J250,0,1,1) - B250*NORMDIST(-I250,0,1,1) ) - $G$9) * $P$9</f>
        <v>0</v>
      </c>
      <c r="I250" s="26" t="n">
        <f aca="false">(LN(B250/$B$9)+($H$9^2/2)*($J$9))/($H$9*SQRT($J$9))</f>
        <v>-0.102890176339398</v>
      </c>
      <c r="J250" s="26" t="n">
        <f aca="false">I250 - $H$9*SQRT($J$9)</f>
        <v>-0.33641191590408</v>
      </c>
    </row>
    <row r="251" customFormat="false" ht="13.5" hidden="false" customHeight="true" outlineLevel="0" collapsed="false">
      <c r="B251" s="30"/>
      <c r="C251" s="22"/>
      <c r="D251" s="22"/>
      <c r="E251" s="22"/>
      <c r="F251" s="22"/>
      <c r="G251" s="22"/>
      <c r="I251" s="31"/>
      <c r="J251" s="31"/>
    </row>
    <row r="252" customFormat="false" ht="13.5" hidden="false" customHeight="true" outlineLevel="0" collapsed="false">
      <c r="B252" s="30"/>
      <c r="C252" s="22"/>
      <c r="D252" s="22"/>
      <c r="E252" s="22"/>
      <c r="F252" s="22"/>
      <c r="G252" s="22"/>
      <c r="I252" s="31"/>
      <c r="J252" s="31"/>
    </row>
    <row r="253" customFormat="false" ht="13.5" hidden="false" customHeight="true" outlineLevel="0" collapsed="false">
      <c r="B253" s="23"/>
      <c r="C253" s="19" t="s">
        <v>13</v>
      </c>
      <c r="D253" s="19" t="s">
        <v>14</v>
      </c>
      <c r="E253" s="19" t="s">
        <v>15</v>
      </c>
      <c r="F253" s="19" t="s">
        <v>16</v>
      </c>
      <c r="G253" s="19" t="s">
        <v>17</v>
      </c>
      <c r="I253" s="19" t="s">
        <v>158</v>
      </c>
      <c r="J253" s="19" t="s">
        <v>159</v>
      </c>
    </row>
    <row r="254" customFormat="false" ht="13.5" hidden="false" customHeight="true" outlineLevel="0" collapsed="false">
      <c r="A254" s="2" t="str">
        <f aca="false">A10</f>
        <v>SOL-29MAY26-60-P-USDT</v>
      </c>
      <c r="B254" s="29" t="n">
        <f aca="false">B224</f>
        <v>83</v>
      </c>
      <c r="C254" s="25" t="n">
        <f aca="false">IF($O$10="sell",-1,1) *  IF($K$10="call",  NORMDIST(I254,0,1,1),  NORMDIST(I254,0,1,1)-1  ) * $P$10</f>
        <v>-0</v>
      </c>
      <c r="D254" s="25" t="n">
        <f aca="false">IF($O$10="sell",-1,1) * NORMDIST(I254,0,1,0)/(B254*$H$10*SQRT($J$10)) * $P$10</f>
        <v>0</v>
      </c>
      <c r="E254" s="25" t="n">
        <f aca="false">IF($O$10="sell",-1,1) * (B254*NORMDIST(I254,0,1,0)*SQRT($J$10)/365) * $P$10</f>
        <v>0</v>
      </c>
      <c r="F254" s="25" t="n">
        <f aca="false">IF($O$10="sell",-1,1) * (-(B254*NORMDIST(I254,0,1,0)*$H$10)/(2*SQRT($J$10))/365) *$P$10</f>
        <v>-0</v>
      </c>
      <c r="G254" s="25" t="n">
        <f aca="false">IF($O$10="buy",1,-1)*( IF($K$10="call",B254*NORMDIST(I254,0,1,1) - $B$10*NORMDIST(J254,0,1,1),$B$10*NORMDIST(-J254,0,1,1) - B254*NORMDIST(-I254,0,1,1) ) - $G$10) * $P$10</f>
        <v>-0</v>
      </c>
      <c r="I254" s="26" t="n">
        <f aca="false">(LN(B254/$B$10)+($H$10^2/2)*($J$10))/($H$10*SQRT($J$10))</f>
        <v>1.50633618803496</v>
      </c>
      <c r="J254" s="26" t="n">
        <f aca="false">I254 - $H$10*SQRT($J$10)</f>
        <v>1.27281444847028</v>
      </c>
    </row>
    <row r="255" customFormat="false" ht="13.5" hidden="false" customHeight="true" outlineLevel="0" collapsed="false">
      <c r="B255" s="29" t="n">
        <f aca="false">B225</f>
        <v>82</v>
      </c>
      <c r="C255" s="25" t="n">
        <f aca="false">IF($O$10="sell",-1,1) *  IF($K$10="call",  NORMDIST(I255,0,1,1),  NORMDIST(I255,0,1,1)-1  ) * $P$10</f>
        <v>-0</v>
      </c>
      <c r="D255" s="25" t="n">
        <f aca="false">IF($O$10="sell",-1,1) * NORMDIST(I255,0,1,0)/(B255*$H$10*SQRT($J$10)) * $P$10</f>
        <v>0</v>
      </c>
      <c r="E255" s="25" t="n">
        <f aca="false">IF($O$10="sell",-1,1) * (B255*NORMDIST(I255,0,1,0)*SQRT($J$10)/365) * $P$10</f>
        <v>0</v>
      </c>
      <c r="F255" s="25" t="n">
        <f aca="false">IF($O$10="sell",-1,1) * (-(B255*NORMDIST(I255,0,1,0)*$H$10)/(2*SQRT($J$10))/365) *$P$10</f>
        <v>-0</v>
      </c>
      <c r="G255" s="25" t="n">
        <f aca="false">IF($O$10="buy",1,-1)*( IF($K$10="call",B255*NORMDIST(I255,0,1,1) - $B$10*NORMDIST(J255,0,1,1),$B$10*NORMDIST(-J255,0,1,1) - B255*NORMDIST(-I255,0,1,1) ) - $G$10) * $P$10</f>
        <v>-0</v>
      </c>
      <c r="I255" s="26" t="n">
        <f aca="false">(LN(B255/$B$10)+($H$10^2/2)*($J$10))/($H$10*SQRT($J$10))</f>
        <v>1.45442941243907</v>
      </c>
      <c r="J255" s="26" t="n">
        <f aca="false">I255 - $H$10*SQRT($J$10)</f>
        <v>1.22090767287439</v>
      </c>
    </row>
    <row r="256" customFormat="false" ht="13.5" hidden="false" customHeight="true" outlineLevel="0" collapsed="false">
      <c r="B256" s="29" t="n">
        <f aca="false">B226</f>
        <v>81</v>
      </c>
      <c r="C256" s="25" t="n">
        <f aca="false">IF($O$10="sell",-1,1) *  IF($K$10="call",  NORMDIST(I256,0,1,1),  NORMDIST(I256,0,1,1)-1  ) * $P$10</f>
        <v>-0</v>
      </c>
      <c r="D256" s="25" t="n">
        <f aca="false">IF($O$10="sell",-1,1) * NORMDIST(I256,0,1,0)/(B256*$H$10*SQRT($J$10)) * $P$10</f>
        <v>0</v>
      </c>
      <c r="E256" s="25" t="n">
        <f aca="false">IF($O$10="sell",-1,1) * (B256*NORMDIST(I256,0,1,0)*SQRT($J$10)/365) * $P$10</f>
        <v>0</v>
      </c>
      <c r="F256" s="25" t="n">
        <f aca="false">IF($O$10="sell",-1,1) * (-(B256*NORMDIST(I256,0,1,0)*$H$10)/(2*SQRT($J$10))/365) *$P$10</f>
        <v>-0</v>
      </c>
      <c r="G256" s="25" t="n">
        <f aca="false">IF($O$10="buy",1,-1)*( IF($K$10="call",B256*NORMDIST(I256,0,1,1) - $B$10*NORMDIST(J256,0,1,1),$B$10*NORMDIST(-J256,0,1,1) - B256*NORMDIST(-I256,0,1,1) ) - $G$10) * $P$10</f>
        <v>-0</v>
      </c>
      <c r="I256" s="26" t="n">
        <f aca="false">(LN(B256/$B$10)+($H$10^2/2)*($J$10))/($H$10*SQRT($J$10))</f>
        <v>1.40188572800657</v>
      </c>
      <c r="J256" s="26" t="n">
        <f aca="false">I256 - $H$10*SQRT($J$10)</f>
        <v>1.16836398844189</v>
      </c>
    </row>
    <row r="257" customFormat="false" ht="13.5" hidden="false" customHeight="true" outlineLevel="0" collapsed="false">
      <c r="B257" s="29" t="n">
        <f aca="false">B227</f>
        <v>80</v>
      </c>
      <c r="C257" s="25" t="n">
        <f aca="false">IF($O$10="sell",-1,1) *  IF($K$10="call",  NORMDIST(I257,0,1,1),  NORMDIST(I257,0,1,1)-1  ) * $P$10</f>
        <v>-0</v>
      </c>
      <c r="D257" s="25" t="n">
        <f aca="false">IF($O$10="sell",-1,1) * NORMDIST(I257,0,1,0)/(B257*$H$10*SQRT($J$10)) * $P$10</f>
        <v>0</v>
      </c>
      <c r="E257" s="25" t="n">
        <f aca="false">IF($O$10="sell",-1,1) * (B257*NORMDIST(I257,0,1,0)*SQRT($J$10)/365) * $P$10</f>
        <v>0</v>
      </c>
      <c r="F257" s="25" t="n">
        <f aca="false">IF($O$10="sell",-1,1) * (-(B257*NORMDIST(I257,0,1,0)*$H$10)/(2*SQRT($J$10))/365) *$P$10</f>
        <v>-0</v>
      </c>
      <c r="G257" s="25" t="n">
        <f aca="false">IF($O$10="buy",1,-1)*( IF($K$10="call",B257*NORMDIST(I257,0,1,1) - $B$10*NORMDIST(J257,0,1,1),$B$10*NORMDIST(-J257,0,1,1) - B257*NORMDIST(-I257,0,1,1) ) - $G$10) * $P$10</f>
        <v>-0</v>
      </c>
      <c r="I257" s="26" t="n">
        <f aca="false">(LN(B257/$B$10)+($H$10^2/2)*($J$10))/($H$10*SQRT($J$10))</f>
        <v>1.34868931031238</v>
      </c>
      <c r="J257" s="26" t="n">
        <f aca="false">I257 - $H$10*SQRT($J$10)</f>
        <v>1.1151675707477</v>
      </c>
    </row>
    <row r="258" customFormat="false" ht="13.5" hidden="false" customHeight="true" outlineLevel="0" collapsed="false">
      <c r="B258" s="29" t="n">
        <f aca="false">B228</f>
        <v>79</v>
      </c>
      <c r="C258" s="25" t="n">
        <f aca="false">IF($O$10="sell",-1,1) *  IF($K$10="call",  NORMDIST(I258,0,1,1),  NORMDIST(I258,0,1,1)-1  ) * $P$10</f>
        <v>-0</v>
      </c>
      <c r="D258" s="25" t="n">
        <f aca="false">IF($O$10="sell",-1,1) * NORMDIST(I258,0,1,0)/(B258*$H$10*SQRT($J$10)) * $P$10</f>
        <v>0</v>
      </c>
      <c r="E258" s="25" t="n">
        <f aca="false">IF($O$10="sell",-1,1) * (B258*NORMDIST(I258,0,1,0)*SQRT($J$10)/365) * $P$10</f>
        <v>0</v>
      </c>
      <c r="F258" s="25" t="n">
        <f aca="false">IF($O$10="sell",-1,1) * (-(B258*NORMDIST(I258,0,1,0)*$H$10)/(2*SQRT($J$10))/365) *$P$10</f>
        <v>-0</v>
      </c>
      <c r="G258" s="25" t="n">
        <f aca="false">IF($O$10="buy",1,-1)*( IF($K$10="call",B258*NORMDIST(I258,0,1,1) - $B$10*NORMDIST(J258,0,1,1),$B$10*NORMDIST(-J258,0,1,1) - B258*NORMDIST(-I258,0,1,1) ) - $G$10) * $P$10</f>
        <v>-0</v>
      </c>
      <c r="I258" s="26" t="n">
        <f aca="false">(LN(B258/$B$10)+($H$10^2/2)*($J$10))/($H$10*SQRT($J$10))</f>
        <v>1.29482373775238</v>
      </c>
      <c r="J258" s="26" t="n">
        <f aca="false">I258 - $H$10*SQRT($J$10)</f>
        <v>1.06130199818769</v>
      </c>
    </row>
    <row r="259" customFormat="false" ht="13.5" hidden="false" customHeight="true" outlineLevel="0" collapsed="false">
      <c r="B259" s="29" t="n">
        <f aca="false">B229</f>
        <v>78</v>
      </c>
      <c r="C259" s="25" t="n">
        <f aca="false">IF($O$10="sell",-1,1) *  IF($K$10="call",  NORMDIST(I259,0,1,1),  NORMDIST(I259,0,1,1)-1  ) * $P$10</f>
        <v>-0</v>
      </c>
      <c r="D259" s="25" t="n">
        <f aca="false">IF($O$10="sell",-1,1) * NORMDIST(I259,0,1,0)/(B259*$H$10*SQRT($J$10)) * $P$10</f>
        <v>0</v>
      </c>
      <c r="E259" s="25" t="n">
        <f aca="false">IF($O$10="sell",-1,1) * (B259*NORMDIST(I259,0,1,0)*SQRT($J$10)/365) * $P$10</f>
        <v>0</v>
      </c>
      <c r="F259" s="25" t="n">
        <f aca="false">IF($O$10="sell",-1,1) * (-(B259*NORMDIST(I259,0,1,0)*$H$10)/(2*SQRT($J$10))/365) *$P$10</f>
        <v>-0</v>
      </c>
      <c r="G259" s="25" t="n">
        <f aca="false">IF($O$10="buy",1,-1)*( IF($K$10="call",B259*NORMDIST(I259,0,1,1) - $B$10*NORMDIST(J259,0,1,1),$B$10*NORMDIST(-J259,0,1,1) - B259*NORMDIST(-I259,0,1,1) ) - $G$10) * $P$10</f>
        <v>0</v>
      </c>
      <c r="I259" s="26" t="n">
        <f aca="false">(LN(B259/$B$10)+($H$10^2/2)*($J$10))/($H$10*SQRT($J$10))</f>
        <v>1.24027196111189</v>
      </c>
      <c r="J259" s="26" t="n">
        <f aca="false">I259 - $H$10*SQRT($J$10)</f>
        <v>1.00675022154721</v>
      </c>
    </row>
    <row r="260" customFormat="false" ht="13.5" hidden="false" customHeight="true" outlineLevel="0" collapsed="false">
      <c r="B260" s="29" t="n">
        <f aca="false">B230</f>
        <v>77</v>
      </c>
      <c r="C260" s="25" t="n">
        <f aca="false">IF($O$10="sell",-1,1) *  IF($K$10="call",  NORMDIST(I260,0,1,1),  NORMDIST(I260,0,1,1)-1  ) * $P$10</f>
        <v>-0</v>
      </c>
      <c r="D260" s="25" t="n">
        <f aca="false">IF($O$10="sell",-1,1) * NORMDIST(I260,0,1,0)/(B260*$H$10*SQRT($J$10)) * $P$10</f>
        <v>0</v>
      </c>
      <c r="E260" s="25" t="n">
        <f aca="false">IF($O$10="sell",-1,1) * (B260*NORMDIST(I260,0,1,0)*SQRT($J$10)/365) * $P$10</f>
        <v>0</v>
      </c>
      <c r="F260" s="25" t="n">
        <f aca="false">IF($O$10="sell",-1,1) * (-(B260*NORMDIST(I260,0,1,0)*$H$10)/(2*SQRT($J$10))/365) *$P$10</f>
        <v>-0</v>
      </c>
      <c r="G260" s="25" t="n">
        <f aca="false">IF($O$10="buy",1,-1)*( IF($K$10="call",B260*NORMDIST(I260,0,1,1) - $B$10*NORMDIST(J260,0,1,1),$B$10*NORMDIST(-J260,0,1,1) - B260*NORMDIST(-I260,0,1,1) ) - $G$10) * $P$10</f>
        <v>0</v>
      </c>
      <c r="I260" s="26" t="n">
        <f aca="false">(LN(B260/$B$10)+($H$10^2/2)*($J$10))/($H$10*SQRT($J$10))</f>
        <v>1.18501627117073</v>
      </c>
      <c r="J260" s="26" t="n">
        <f aca="false">I260 - $H$10*SQRT($J$10)</f>
        <v>0.951494531606045</v>
      </c>
    </row>
    <row r="261" customFormat="false" ht="13.5" hidden="false" customHeight="true" outlineLevel="0" collapsed="false">
      <c r="B261" s="29" t="n">
        <f aca="false">B231</f>
        <v>76</v>
      </c>
      <c r="C261" s="25" t="n">
        <f aca="false">IF($O$10="sell",-1,1) *  IF($K$10="call",  NORMDIST(I261,0,1,1),  NORMDIST(I261,0,1,1)-1  ) * $P$10</f>
        <v>-0</v>
      </c>
      <c r="D261" s="25" t="n">
        <f aca="false">IF($O$10="sell",-1,1) * NORMDIST(I261,0,1,0)/(B261*$H$10*SQRT($J$10)) * $P$10</f>
        <v>0</v>
      </c>
      <c r="E261" s="25" t="n">
        <f aca="false">IF($O$10="sell",-1,1) * (B261*NORMDIST(I261,0,1,0)*SQRT($J$10)/365) * $P$10</f>
        <v>0</v>
      </c>
      <c r="F261" s="25" t="n">
        <f aca="false">IF($O$10="sell",-1,1) * (-(B261*NORMDIST(I261,0,1,0)*$H$10)/(2*SQRT($J$10))/365) *$P$10</f>
        <v>-0</v>
      </c>
      <c r="G261" s="25" t="n">
        <f aca="false">IF($O$10="buy",1,-1)*( IF($K$10="call",B261*NORMDIST(I261,0,1,1) - $B$10*NORMDIST(J261,0,1,1),$B$10*NORMDIST(-J261,0,1,1) - B261*NORMDIST(-I261,0,1,1) ) - $G$10) * $P$10</f>
        <v>0</v>
      </c>
      <c r="I261" s="26" t="n">
        <f aca="false">(LN(B261/$B$10)+($H$10^2/2)*($J$10))/($H$10*SQRT($J$10))</f>
        <v>1.12903826419064</v>
      </c>
      <c r="J261" s="26" t="n">
        <f aca="false">I261 - $H$10*SQRT($J$10)</f>
        <v>0.895516524625962</v>
      </c>
    </row>
    <row r="262" customFormat="false" ht="13.5" hidden="false" customHeight="true" outlineLevel="0" collapsed="false">
      <c r="B262" s="29" t="n">
        <f aca="false">B232</f>
        <v>75</v>
      </c>
      <c r="C262" s="25" t="n">
        <f aca="false">IF($O$10="sell",-1,1) *  IF($K$10="call",  NORMDIST(I262,0,1,1),  NORMDIST(I262,0,1,1)-1  ) * $P$10</f>
        <v>-0</v>
      </c>
      <c r="D262" s="25" t="n">
        <f aca="false">IF($O$10="sell",-1,1) * NORMDIST(I262,0,1,0)/(B262*$H$10*SQRT($J$10)) * $P$10</f>
        <v>0</v>
      </c>
      <c r="E262" s="25" t="n">
        <f aca="false">IF($O$10="sell",-1,1) * (B262*NORMDIST(I262,0,1,0)*SQRT($J$10)/365) * $P$10</f>
        <v>0</v>
      </c>
      <c r="F262" s="25" t="n">
        <f aca="false">IF($O$10="sell",-1,1) * (-(B262*NORMDIST(I262,0,1,0)*$H$10)/(2*SQRT($J$10))/365) *$P$10</f>
        <v>-0</v>
      </c>
      <c r="G262" s="25" t="n">
        <f aca="false">IF($O$10="buy",1,-1)*( IF($K$10="call",B262*NORMDIST(I262,0,1,1) - $B$10*NORMDIST(J262,0,1,1),$B$10*NORMDIST(-J262,0,1,1) - B262*NORMDIST(-I262,0,1,1) ) - $G$10) * $P$10</f>
        <v>0</v>
      </c>
      <c r="I262" s="26" t="n">
        <f aca="false">(LN(B262/$B$10)+($H$10^2/2)*($J$10))/($H$10*SQRT($J$10))</f>
        <v>1.0723188051171</v>
      </c>
      <c r="J262" s="26" t="n">
        <f aca="false">I262 - $H$10*SQRT($J$10)</f>
        <v>0.838797065552423</v>
      </c>
    </row>
    <row r="263" customFormat="false" ht="13.5" hidden="false" customHeight="true" outlineLevel="0" collapsed="false">
      <c r="B263" s="29" t="n">
        <f aca="false">B233</f>
        <v>74</v>
      </c>
      <c r="C263" s="25" t="n">
        <f aca="false">IF($O$10="sell",-1,1) *  IF($K$10="call",  NORMDIST(I263,0,1,1),  NORMDIST(I263,0,1,1)-1  ) * $P$10</f>
        <v>-0</v>
      </c>
      <c r="D263" s="25" t="n">
        <f aca="false">IF($O$10="sell",-1,1) * NORMDIST(I263,0,1,0)/(B263*$H$10*SQRT($J$10)) * $P$10</f>
        <v>0</v>
      </c>
      <c r="E263" s="25" t="n">
        <f aca="false">IF($O$10="sell",-1,1) * (B263*NORMDIST(I263,0,1,0)*SQRT($J$10)/365) * $P$10</f>
        <v>0</v>
      </c>
      <c r="F263" s="25" t="n">
        <f aca="false">IF($O$10="sell",-1,1) * (-(B263*NORMDIST(I263,0,1,0)*$H$10)/(2*SQRT($J$10))/365) *$P$10</f>
        <v>-0</v>
      </c>
      <c r="G263" s="25" t="n">
        <f aca="false">IF($O$10="buy",1,-1)*( IF($K$10="call",B263*NORMDIST(I263,0,1,1) - $B$10*NORMDIST(J263,0,1,1),$B$10*NORMDIST(-J263,0,1,1) - B263*NORMDIST(-I263,0,1,1) ) - $G$10) * $P$10</f>
        <v>0</v>
      </c>
      <c r="I263" s="26" t="n">
        <f aca="false">(LN(B263/$B$10)+($H$10^2/2)*($J$10))/($H$10*SQRT($J$10))</f>
        <v>1.01483798831108</v>
      </c>
      <c r="J263" s="26" t="n">
        <f aca="false">I263 - $H$10*SQRT($J$10)</f>
        <v>0.781316248746403</v>
      </c>
    </row>
    <row r="264" customFormat="false" ht="13.5" hidden="false" customHeight="true" outlineLevel="0" collapsed="false">
      <c r="B264" s="29" t="n">
        <f aca="false">B234</f>
        <v>73</v>
      </c>
      <c r="C264" s="25" t="n">
        <f aca="false">IF($O$10="sell",-1,1) *  IF($K$10="call",  NORMDIST(I264,0,1,1),  NORMDIST(I264,0,1,1)-1  ) * $P$10</f>
        <v>-0</v>
      </c>
      <c r="D264" s="25" t="n">
        <f aca="false">IF($O$10="sell",-1,1) * NORMDIST(I264,0,1,0)/(B264*$H$10*SQRT($J$10)) * $P$10</f>
        <v>0</v>
      </c>
      <c r="E264" s="25" t="n">
        <f aca="false">IF($O$10="sell",-1,1) * (B264*NORMDIST(I264,0,1,0)*SQRT($J$10)/365) * $P$10</f>
        <v>0</v>
      </c>
      <c r="F264" s="25" t="n">
        <f aca="false">IF($O$10="sell",-1,1) * (-(B264*NORMDIST(I264,0,1,0)*$H$10)/(2*SQRT($J$10))/365) *$P$10</f>
        <v>-0</v>
      </c>
      <c r="G264" s="25" t="n">
        <f aca="false">IF($O$10="buy",1,-1)*( IF($K$10="call",B264*NORMDIST(I264,0,1,1) - $B$10*NORMDIST(J264,0,1,1),$B$10*NORMDIST(-J264,0,1,1) - B264*NORMDIST(-I264,0,1,1) ) - $G$10) * $P$10</f>
        <v>0</v>
      </c>
      <c r="I264" s="26" t="n">
        <f aca="false">(LN(B264/$B$10)+($H$10^2/2)*($J$10))/($H$10*SQRT($J$10))</f>
        <v>0.956575095609353</v>
      </c>
      <c r="J264" s="26" t="n">
        <f aca="false">I264 - $H$10*SQRT($J$10)</f>
        <v>0.723053356044671</v>
      </c>
    </row>
    <row r="265" customFormat="false" ht="13.5" hidden="false" customHeight="true" outlineLevel="0" collapsed="false">
      <c r="B265" s="29" t="n">
        <f aca="false">B235</f>
        <v>72</v>
      </c>
      <c r="C265" s="25" t="n">
        <f aca="false">IF($O$10="sell",-1,1) *  IF($K$10="call",  NORMDIST(I265,0,1,1),  NORMDIST(I265,0,1,1)-1  ) * $P$10</f>
        <v>-0</v>
      </c>
      <c r="D265" s="25" t="n">
        <f aca="false">IF($O$10="sell",-1,1) * NORMDIST(I265,0,1,0)/(B265*$H$10*SQRT($J$10)) * $P$10</f>
        <v>0</v>
      </c>
      <c r="E265" s="25" t="n">
        <f aca="false">IF($O$10="sell",-1,1) * (B265*NORMDIST(I265,0,1,0)*SQRT($J$10)/365) * $P$10</f>
        <v>0</v>
      </c>
      <c r="F265" s="25" t="n">
        <f aca="false">IF($O$10="sell",-1,1) * (-(B265*NORMDIST(I265,0,1,0)*$H$10)/(2*SQRT($J$10))/365) *$P$10</f>
        <v>-0</v>
      </c>
      <c r="G265" s="25" t="n">
        <f aca="false">IF($O$10="buy",1,-1)*( IF($K$10="call",B265*NORMDIST(I265,0,1,1) - $B$10*NORMDIST(J265,0,1,1),$B$10*NORMDIST(-J265,0,1,1) - B265*NORMDIST(-I265,0,1,1) ) - $G$10) * $P$10</f>
        <v>0</v>
      </c>
      <c r="I265" s="26" t="n">
        <f aca="false">(LN(B265/$B$10)+($H$10^2/2)*($J$10))/($H$10*SQRT($J$10))</f>
        <v>0.897508551492096</v>
      </c>
      <c r="J265" s="26" t="n">
        <f aca="false">I265 - $H$10*SQRT($J$10)</f>
        <v>0.663986811927415</v>
      </c>
    </row>
    <row r="266" customFormat="false" ht="13.5" hidden="false" customHeight="true" outlineLevel="0" collapsed="false">
      <c r="B266" s="29" t="n">
        <f aca="false">B236</f>
        <v>71</v>
      </c>
      <c r="C266" s="25" t="n">
        <f aca="false">IF($O$10="sell",-1,1) *  IF($K$10="call",  NORMDIST(I266,0,1,1),  NORMDIST(I266,0,1,1)-1  ) * $P$10</f>
        <v>-0</v>
      </c>
      <c r="D266" s="25" t="n">
        <f aca="false">IF($O$10="sell",-1,1) * NORMDIST(I266,0,1,0)/(B266*$H$10*SQRT($J$10)) * $P$10</f>
        <v>0</v>
      </c>
      <c r="E266" s="25" t="n">
        <f aca="false">IF($O$10="sell",-1,1) * (B266*NORMDIST(I266,0,1,0)*SQRT($J$10)/365) * $P$10</f>
        <v>0</v>
      </c>
      <c r="F266" s="25" t="n">
        <f aca="false">IF($O$10="sell",-1,1) * (-(B266*NORMDIST(I266,0,1,0)*$H$10)/(2*SQRT($J$10))/365) *$P$10</f>
        <v>-0</v>
      </c>
      <c r="G266" s="25" t="n">
        <f aca="false">IF($O$10="buy",1,-1)*( IF($K$10="call",B266*NORMDIST(I266,0,1,1) - $B$10*NORMDIST(J266,0,1,1),$B$10*NORMDIST(-J266,0,1,1) - B266*NORMDIST(-I266,0,1,1) ) - $G$10) * $P$10</f>
        <v>0</v>
      </c>
      <c r="I266" s="26" t="n">
        <f aca="false">(LN(B266/$B$10)+($H$10^2/2)*($J$10))/($H$10*SQRT($J$10))</f>
        <v>0.837615875115104</v>
      </c>
      <c r="J266" s="26" t="n">
        <f aca="false">I266 - $H$10*SQRT($J$10)</f>
        <v>0.604094135550422</v>
      </c>
    </row>
    <row r="267" customFormat="false" ht="13.5" hidden="false" customHeight="true" outlineLevel="0" collapsed="false">
      <c r="B267" s="29" t="n">
        <f aca="false">B237</f>
        <v>70</v>
      </c>
      <c r="C267" s="25" t="n">
        <f aca="false">IF($O$10="sell",-1,1) *  IF($K$10="call",  NORMDIST(I267,0,1,1),  NORMDIST(I267,0,1,1)-1  ) * $P$10</f>
        <v>-0</v>
      </c>
      <c r="D267" s="25" t="n">
        <f aca="false">IF($O$10="sell",-1,1) * NORMDIST(I267,0,1,0)/(B267*$H$10*SQRT($J$10)) * $P$10</f>
        <v>0</v>
      </c>
      <c r="E267" s="25" t="n">
        <f aca="false">IF($O$10="sell",-1,1) * (B267*NORMDIST(I267,0,1,0)*SQRT($J$10)/365) * $P$10</f>
        <v>0</v>
      </c>
      <c r="F267" s="25" t="n">
        <f aca="false">IF($O$10="sell",-1,1) * (-(B267*NORMDIST(I267,0,1,0)*$H$10)/(2*SQRT($J$10))/365) *$P$10</f>
        <v>-0</v>
      </c>
      <c r="G267" s="25" t="n">
        <f aca="false">IF($O$10="buy",1,-1)*( IF($K$10="call",B267*NORMDIST(I267,0,1,1) - $B$10*NORMDIST(J267,0,1,1),$B$10*NORMDIST(-J267,0,1,1) - B267*NORMDIST(-I267,0,1,1) ) - $G$10) * $P$10</f>
        <v>0</v>
      </c>
      <c r="I267" s="26" t="n">
        <f aca="false">(LN(B267/$B$10)+($H$10^2/2)*($J$10))/($H$10*SQRT($J$10))</f>
        <v>0.776873628939657</v>
      </c>
      <c r="J267" s="26" t="n">
        <f aca="false">I267 - $H$10*SQRT($J$10)</f>
        <v>0.543351889374975</v>
      </c>
    </row>
    <row r="268" customFormat="false" ht="13.5" hidden="false" customHeight="true" outlineLevel="0" collapsed="false">
      <c r="B268" s="29" t="n">
        <f aca="false">B238</f>
        <v>69</v>
      </c>
      <c r="C268" s="25" t="n">
        <f aca="false">IF($O$10="sell",-1,1) *  IF($K$10="call",  NORMDIST(I268,0,1,1),  NORMDIST(I268,0,1,1)-1  ) * $P$10</f>
        <v>-0</v>
      </c>
      <c r="D268" s="25" t="n">
        <f aca="false">IF($O$10="sell",-1,1) * NORMDIST(I268,0,1,0)/(B268*$H$10*SQRT($J$10)) * $P$10</f>
        <v>0</v>
      </c>
      <c r="E268" s="25" t="n">
        <f aca="false">IF($O$10="sell",-1,1) * (B268*NORMDIST(I268,0,1,0)*SQRT($J$10)/365) * $P$10</f>
        <v>0</v>
      </c>
      <c r="F268" s="25" t="n">
        <f aca="false">IF($O$10="sell",-1,1) * (-(B268*NORMDIST(I268,0,1,0)*$H$10)/(2*SQRT($J$10))/365) *$P$10</f>
        <v>-0</v>
      </c>
      <c r="G268" s="25" t="n">
        <f aca="false">IF($O$10="buy",1,-1)*( IF($K$10="call",B268*NORMDIST(I268,0,1,1) - $B$10*NORMDIST(J268,0,1,1),$B$10*NORMDIST(-J268,0,1,1) - B268*NORMDIST(-I268,0,1,1) ) - $G$10) * $P$10</f>
        <v>0</v>
      </c>
      <c r="I268" s="26" t="n">
        <f aca="false">(LN(B268/$B$10)+($H$10^2/2)*($J$10))/($H$10*SQRT($J$10))</f>
        <v>0.715257363666358</v>
      </c>
      <c r="J268" s="26" t="n">
        <f aca="false">I268 - $H$10*SQRT($J$10)</f>
        <v>0.481735624101676</v>
      </c>
    </row>
    <row r="269" customFormat="false" ht="13.5" hidden="false" customHeight="true" outlineLevel="0" collapsed="false">
      <c r="B269" s="29" t="n">
        <f aca="false">B239</f>
        <v>68</v>
      </c>
      <c r="C269" s="25" t="n">
        <f aca="false">IF($O$10="sell",-1,1) *  IF($K$10="call",  NORMDIST(I269,0,1,1),  NORMDIST(I269,0,1,1)-1  ) * $P$10</f>
        <v>-0</v>
      </c>
      <c r="D269" s="25" t="n">
        <f aca="false">IF($O$10="sell",-1,1) * NORMDIST(I269,0,1,0)/(B269*$H$10*SQRT($J$10)) * $P$10</f>
        <v>0</v>
      </c>
      <c r="E269" s="25" t="n">
        <f aca="false">IF($O$10="sell",-1,1) * (B269*NORMDIST(I269,0,1,0)*SQRT($J$10)/365) * $P$10</f>
        <v>0</v>
      </c>
      <c r="F269" s="25" t="n">
        <f aca="false">IF($O$10="sell",-1,1) * (-(B269*NORMDIST(I269,0,1,0)*$H$10)/(2*SQRT($J$10))/365) *$P$10</f>
        <v>-0</v>
      </c>
      <c r="G269" s="25" t="n">
        <f aca="false">IF($O$10="buy",1,-1)*( IF($K$10="call",B269*NORMDIST(I269,0,1,1) - $B$10*NORMDIST(J269,0,1,1),$B$10*NORMDIST(-J269,0,1,1) - B269*NORMDIST(-I269,0,1,1) ) - $G$10) * $P$10</f>
        <v>0</v>
      </c>
      <c r="I269" s="26" t="n">
        <f aca="false">(LN(B269/$B$10)+($H$10^2/2)*($J$10))/($H$10*SQRT($J$10))</f>
        <v>0.652741559149113</v>
      </c>
      <c r="J269" s="26" t="n">
        <f aca="false">I269 - $H$10*SQRT($J$10)</f>
        <v>0.419219819584431</v>
      </c>
    </row>
    <row r="270" customFormat="false" ht="13.5" hidden="false" customHeight="true" outlineLevel="0" collapsed="false">
      <c r="B270" s="29" t="n">
        <f aca="false">B240</f>
        <v>67</v>
      </c>
      <c r="C270" s="25" t="n">
        <f aca="false">IF($O$10="sell",-1,1) *  IF($K$10="call",  NORMDIST(I270,0,1,1),  NORMDIST(I270,0,1,1)-1  ) * $P$10</f>
        <v>-0</v>
      </c>
      <c r="D270" s="25" t="n">
        <f aca="false">IF($O$10="sell",-1,1) * NORMDIST(I270,0,1,0)/(B270*$H$10*SQRT($J$10)) * $P$10</f>
        <v>0</v>
      </c>
      <c r="E270" s="25" t="n">
        <f aca="false">IF($O$10="sell",-1,1) * (B270*NORMDIST(I270,0,1,0)*SQRT($J$10)/365) * $P$10</f>
        <v>0</v>
      </c>
      <c r="F270" s="25" t="n">
        <f aca="false">IF($O$10="sell",-1,1) * (-(B270*NORMDIST(I270,0,1,0)*$H$10)/(2*SQRT($J$10))/365) *$P$10</f>
        <v>-0</v>
      </c>
      <c r="G270" s="25" t="n">
        <f aca="false">IF($O$10="buy",1,-1)*( IF($K$10="call",B270*NORMDIST(I270,0,1,1) - $B$10*NORMDIST(J270,0,1,1),$B$10*NORMDIST(-J270,0,1,1) - B270*NORMDIST(-I270,0,1,1) ) - $G$10) * $P$10</f>
        <v>0</v>
      </c>
      <c r="I270" s="26" t="n">
        <f aca="false">(LN(B270/$B$10)+($H$10^2/2)*($J$10))/($H$10*SQRT($J$10))</f>
        <v>0.58929956093191</v>
      </c>
      <c r="J270" s="26" t="n">
        <f aca="false">I270 - $H$10*SQRT($J$10)</f>
        <v>0.355777821367229</v>
      </c>
    </row>
    <row r="271" customFormat="false" ht="13.5" hidden="false" customHeight="true" outlineLevel="0" collapsed="false">
      <c r="B271" s="29" t="n">
        <f aca="false">B241</f>
        <v>66</v>
      </c>
      <c r="C271" s="25" t="n">
        <f aca="false">IF($O$10="sell",-1,1) *  IF($K$10="call",  NORMDIST(I271,0,1,1),  NORMDIST(I271,0,1,1)-1  ) * $P$10</f>
        <v>-0</v>
      </c>
      <c r="D271" s="25" t="n">
        <f aca="false">IF($O$10="sell",-1,1) * NORMDIST(I271,0,1,0)/(B271*$H$10*SQRT($J$10)) * $P$10</f>
        <v>0</v>
      </c>
      <c r="E271" s="25" t="n">
        <f aca="false">IF($O$10="sell",-1,1) * (B271*NORMDIST(I271,0,1,0)*SQRT($J$10)/365) * $P$10</f>
        <v>0</v>
      </c>
      <c r="F271" s="25" t="n">
        <f aca="false">IF($O$10="sell",-1,1) * (-(B271*NORMDIST(I271,0,1,0)*$H$10)/(2*SQRT($J$10))/365) *$P$10</f>
        <v>-0</v>
      </c>
      <c r="G271" s="25" t="n">
        <f aca="false">IF($O$10="buy",1,-1)*( IF($K$10="call",B271*NORMDIST(I271,0,1,1) - $B$10*NORMDIST(J271,0,1,1),$B$10*NORMDIST(-J271,0,1,1) - B271*NORMDIST(-I271,0,1,1) ) - $G$10) * $P$10</f>
        <v>0</v>
      </c>
      <c r="I271" s="26" t="n">
        <f aca="false">(LN(B271/$B$10)+($H$10^2/2)*($J$10))/($H$10*SQRT($J$10))</f>
        <v>0.524903512013411</v>
      </c>
      <c r="J271" s="26" t="n">
        <f aca="false">I271 - $H$10*SQRT($J$10)</f>
        <v>0.291381772448729</v>
      </c>
    </row>
    <row r="272" customFormat="false" ht="13.5" hidden="false" customHeight="true" outlineLevel="0" collapsed="false">
      <c r="B272" s="29" t="n">
        <f aca="false">B242</f>
        <v>65</v>
      </c>
      <c r="C272" s="25" t="n">
        <f aca="false">IF($O$10="sell",-1,1) *  IF($K$10="call",  NORMDIST(I272,0,1,1),  NORMDIST(I272,0,1,1)-1  ) * $P$10</f>
        <v>-0</v>
      </c>
      <c r="D272" s="25" t="n">
        <f aca="false">IF($O$10="sell",-1,1) * NORMDIST(I272,0,1,0)/(B272*$H$10*SQRT($J$10)) * $P$10</f>
        <v>0</v>
      </c>
      <c r="E272" s="25" t="n">
        <f aca="false">IF($O$10="sell",-1,1) * (B272*NORMDIST(I272,0,1,0)*SQRT($J$10)/365) * $P$10</f>
        <v>0</v>
      </c>
      <c r="F272" s="25" t="n">
        <f aca="false">IF($O$10="sell",-1,1) * (-(B272*NORMDIST(I272,0,1,0)*$H$10)/(2*SQRT($J$10))/365) *$P$10</f>
        <v>-0</v>
      </c>
      <c r="G272" s="25" t="n">
        <f aca="false">IF($O$10="buy",1,-1)*( IF($K$10="call",B272*NORMDIST(I272,0,1,1) - $B$10*NORMDIST(J272,0,1,1),$B$10*NORMDIST(-J272,0,1,1) - B272*NORMDIST(-I272,0,1,1) ) - $G$10) * $P$10</f>
        <v>0</v>
      </c>
      <c r="I272" s="26" t="n">
        <f aca="false">(LN(B272/$B$10)+($H$10^2/2)*($J$10))/($H$10*SQRT($J$10))</f>
        <v>0.459524279402137</v>
      </c>
      <c r="J272" s="26" t="n">
        <f aca="false">I272 - $H$10*SQRT($J$10)</f>
        <v>0.226002539837455</v>
      </c>
    </row>
    <row r="273" customFormat="false" ht="13.5" hidden="false" customHeight="true" outlineLevel="0" collapsed="false">
      <c r="B273" s="29" t="n">
        <f aca="false">B243</f>
        <v>64</v>
      </c>
      <c r="C273" s="25" t="n">
        <f aca="false">IF($O$10="sell",-1,1) *  IF($K$10="call",  NORMDIST(I273,0,1,1),  NORMDIST(I273,0,1,1)-1  ) * $P$10</f>
        <v>-0</v>
      </c>
      <c r="D273" s="25" t="n">
        <f aca="false">IF($O$10="sell",-1,1) * NORMDIST(I273,0,1,0)/(B273*$H$10*SQRT($J$10)) * $P$10</f>
        <v>0</v>
      </c>
      <c r="E273" s="25" t="n">
        <f aca="false">IF($O$10="sell",-1,1) * (B273*NORMDIST(I273,0,1,0)*SQRT($J$10)/365) * $P$10</f>
        <v>0</v>
      </c>
      <c r="F273" s="25" t="n">
        <f aca="false">IF($O$10="sell",-1,1) * (-(B273*NORMDIST(I273,0,1,0)*$H$10)/(2*SQRT($J$10))/365) *$P$10</f>
        <v>-0</v>
      </c>
      <c r="G273" s="25" t="n">
        <f aca="false">IF($O$10="buy",1,-1)*( IF($K$10="call",B273*NORMDIST(I273,0,1,1) - $B$10*NORMDIST(J273,0,1,1),$B$10*NORMDIST(-J273,0,1,1) - B273*NORMDIST(-I273,0,1,1) ) - $G$10) * $P$10</f>
        <v>0</v>
      </c>
      <c r="I273" s="26" t="n">
        <f aca="false">(LN(B273/$B$10)+($H$10^2/2)*($J$10))/($H$10*SQRT($J$10))</f>
        <v>0.393131374977619</v>
      </c>
      <c r="J273" s="26" t="n">
        <f aca="false">I273 - $H$10*SQRT($J$10)</f>
        <v>0.159609635412937</v>
      </c>
    </row>
    <row r="274" customFormat="false" ht="13.5" hidden="false" customHeight="true" outlineLevel="0" collapsed="false">
      <c r="B274" s="29" t="n">
        <f aca="false">B244</f>
        <v>63</v>
      </c>
      <c r="C274" s="25" t="n">
        <f aca="false">IF($O$10="sell",-1,1) *  IF($K$10="call",  NORMDIST(I274,0,1,1),  NORMDIST(I274,0,1,1)-1  ) * $P$10</f>
        <v>-0</v>
      </c>
      <c r="D274" s="25" t="n">
        <f aca="false">IF($O$10="sell",-1,1) * NORMDIST(I274,0,1,0)/(B274*$H$10*SQRT($J$10)) * $P$10</f>
        <v>0</v>
      </c>
      <c r="E274" s="25" t="n">
        <f aca="false">IF($O$10="sell",-1,1) * (B274*NORMDIST(I274,0,1,0)*SQRT($J$10)/365) * $P$10</f>
        <v>0</v>
      </c>
      <c r="F274" s="25" t="n">
        <f aca="false">IF($O$10="sell",-1,1) * (-(B274*NORMDIST(I274,0,1,0)*$H$10)/(2*SQRT($J$10))/365) *$P$10</f>
        <v>-0</v>
      </c>
      <c r="G274" s="25" t="n">
        <f aca="false">IF($O$10="buy",1,-1)*( IF($K$10="call",B274*NORMDIST(I274,0,1,1) - $B$10*NORMDIST(J274,0,1,1),$B$10*NORMDIST(-J274,0,1,1) - B274*NORMDIST(-I274,0,1,1) ) - $G$10) * $P$10</f>
        <v>0</v>
      </c>
      <c r="I274" s="26" t="n">
        <f aca="false">(LN(B274/$B$10)+($H$10^2/2)*($J$10))/($H$10*SQRT($J$10))</f>
        <v>0.325692870119371</v>
      </c>
      <c r="J274" s="26" t="n">
        <f aca="false">I274 - $H$10*SQRT($J$10)</f>
        <v>0.0921711305546896</v>
      </c>
    </row>
    <row r="275" customFormat="false" ht="13.5" hidden="false" customHeight="true" outlineLevel="0" collapsed="false">
      <c r="B275" s="29" t="n">
        <f aca="false">B245</f>
        <v>62</v>
      </c>
      <c r="C275" s="25" t="n">
        <f aca="false">IF($O$10="sell",-1,1) *  IF($K$10="call",  NORMDIST(I275,0,1,1),  NORMDIST(I275,0,1,1)-1  ) * $P$10</f>
        <v>-0</v>
      </c>
      <c r="D275" s="25" t="n">
        <f aca="false">IF($O$10="sell",-1,1) * NORMDIST(I275,0,1,0)/(B275*$H$10*SQRT($J$10)) * $P$10</f>
        <v>0</v>
      </c>
      <c r="E275" s="25" t="n">
        <f aca="false">IF($O$10="sell",-1,1) * (B275*NORMDIST(I275,0,1,0)*SQRT($J$10)/365) * $P$10</f>
        <v>0</v>
      </c>
      <c r="F275" s="25" t="n">
        <f aca="false">IF($O$10="sell",-1,1) * (-(B275*NORMDIST(I275,0,1,0)*$H$10)/(2*SQRT($J$10))/365) *$P$10</f>
        <v>-0</v>
      </c>
      <c r="G275" s="25" t="n">
        <f aca="false">IF($O$10="buy",1,-1)*( IF($K$10="call",B275*NORMDIST(I275,0,1,1) - $B$10*NORMDIST(J275,0,1,1),$B$10*NORMDIST(-J275,0,1,1) - B275*NORMDIST(-I275,0,1,1) ) - $G$10) * $P$10</f>
        <v>0</v>
      </c>
      <c r="I275" s="26" t="n">
        <f aca="false">(LN(B275/$B$10)+($H$10^2/2)*($J$10))/($H$10*SQRT($J$10))</f>
        <v>0.257175303505368</v>
      </c>
      <c r="J275" s="26" t="n">
        <f aca="false">I275 - $H$10*SQRT($J$10)</f>
        <v>0.023653563940686</v>
      </c>
    </row>
    <row r="276" customFormat="false" ht="13.5" hidden="false" customHeight="true" outlineLevel="0" collapsed="false">
      <c r="B276" s="29" t="n">
        <f aca="false">B246</f>
        <v>61</v>
      </c>
      <c r="C276" s="25" t="n">
        <f aca="false">IF($O$10="sell",-1,1) *  IF($K$10="call",  NORMDIST(I276,0,1,1),  NORMDIST(I276,0,1,1)-1  ) * $P$10</f>
        <v>-0</v>
      </c>
      <c r="D276" s="25" t="n">
        <f aca="false">IF($O$10="sell",-1,1) * NORMDIST(I276,0,1,0)/(B276*$H$10*SQRT($J$10)) * $P$10</f>
        <v>0</v>
      </c>
      <c r="E276" s="25" t="n">
        <f aca="false">IF($O$10="sell",-1,1) * (B276*NORMDIST(I276,0,1,0)*SQRT($J$10)/365) * $P$10</f>
        <v>0</v>
      </c>
      <c r="F276" s="25" t="n">
        <f aca="false">IF($O$10="sell",-1,1) * (-(B276*NORMDIST(I276,0,1,0)*$H$10)/(2*SQRT($J$10))/365) *$P$10</f>
        <v>-0</v>
      </c>
      <c r="G276" s="25" t="n">
        <f aca="false">IF($O$10="buy",1,-1)*( IF($K$10="call",B276*NORMDIST(I276,0,1,1) - $B$10*NORMDIST(J276,0,1,1),$B$10*NORMDIST(-J276,0,1,1) - B276*NORMDIST(-I276,0,1,1) ) - $G$10) * $P$10</f>
        <v>0</v>
      </c>
      <c r="I276" s="26" t="n">
        <f aca="false">(LN(B276/$B$10)+($H$10^2/2)*($J$10))/($H$10*SQRT($J$10))</f>
        <v>0.187543581413487</v>
      </c>
      <c r="J276" s="26" t="n">
        <f aca="false">I276 - $H$10*SQRT($J$10)</f>
        <v>-0.0459781581511947</v>
      </c>
    </row>
    <row r="277" customFormat="false" ht="13.5" hidden="false" customHeight="true" outlineLevel="0" collapsed="false">
      <c r="B277" s="29" t="n">
        <f aca="false">B247</f>
        <v>60</v>
      </c>
      <c r="C277" s="25" t="n">
        <f aca="false">IF($O$10="sell",-1,1) *  IF($K$10="call",  NORMDIST(I277,0,1,1),  NORMDIST(I277,0,1,1)-1  ) * $P$10</f>
        <v>-0</v>
      </c>
      <c r="D277" s="25" t="n">
        <f aca="false">IF($O$10="sell",-1,1) * NORMDIST(I277,0,1,0)/(B277*$H$10*SQRT($J$10)) * $P$10</f>
        <v>0</v>
      </c>
      <c r="E277" s="25" t="n">
        <f aca="false">IF($O$10="sell",-1,1) * (B277*NORMDIST(I277,0,1,0)*SQRT($J$10)/365) * $P$10</f>
        <v>0</v>
      </c>
      <c r="F277" s="25" t="n">
        <f aca="false">IF($O$10="sell",-1,1) * (-(B277*NORMDIST(I277,0,1,0)*$H$10)/(2*SQRT($J$10))/365) *$P$10</f>
        <v>-0</v>
      </c>
      <c r="G277" s="25" t="n">
        <f aca="false">IF($O$10="buy",1,-1)*( IF($K$10="call",B277*NORMDIST(I277,0,1,1) - $B$10*NORMDIST(J277,0,1,1),$B$10*NORMDIST(-J277,0,1,1) - B277*NORMDIST(-I277,0,1,1) ) - $G$10) * $P$10</f>
        <v>0</v>
      </c>
      <c r="I277" s="26" t="n">
        <f aca="false">(LN(B277/$B$10)+($H$10^2/2)*($J$10))/($H$10*SQRT($J$10))</f>
        <v>0.116760869782341</v>
      </c>
      <c r="J277" s="26" t="n">
        <f aca="false">I277 - $H$10*SQRT($J$10)</f>
        <v>-0.116760869782341</v>
      </c>
    </row>
    <row r="278" customFormat="false" ht="13.5" hidden="false" customHeight="true" outlineLevel="0" collapsed="false">
      <c r="B278" s="29" t="n">
        <f aca="false">B248</f>
        <v>59</v>
      </c>
      <c r="C278" s="25" t="n">
        <f aca="false">IF($O$10="sell",-1,1) *  IF($K$10="call",  NORMDIST(I278,0,1,1),  NORMDIST(I278,0,1,1)-1  ) * $P$10</f>
        <v>-0</v>
      </c>
      <c r="D278" s="25" t="n">
        <f aca="false">IF($O$10="sell",-1,1) * NORMDIST(I278,0,1,0)/(B278*$H$10*SQRT($J$10)) * $P$10</f>
        <v>0</v>
      </c>
      <c r="E278" s="25" t="n">
        <f aca="false">IF($O$10="sell",-1,1) * (B278*NORMDIST(I278,0,1,0)*SQRT($J$10)/365) * $P$10</f>
        <v>0</v>
      </c>
      <c r="F278" s="25" t="n">
        <f aca="false">IF($O$10="sell",-1,1) * (-(B278*NORMDIST(I278,0,1,0)*$H$10)/(2*SQRT($J$10))/365) *$P$10</f>
        <v>-0</v>
      </c>
      <c r="G278" s="25" t="n">
        <f aca="false">IF($O$10="buy",1,-1)*( IF($K$10="call",B278*NORMDIST(I278,0,1,1) - $B$10*NORMDIST(J278,0,1,1),$B$10*NORMDIST(-J278,0,1,1) - B278*NORMDIST(-I278,0,1,1) ) - $G$10) * $P$10</f>
        <v>0</v>
      </c>
      <c r="I278" s="26" t="n">
        <f aca="false">(LN(B278/$B$10)+($H$10^2/2)*($J$10))/($H$10*SQRT($J$10))</f>
        <v>0.044788477200339</v>
      </c>
      <c r="J278" s="26" t="n">
        <f aca="false">I278 - $H$10*SQRT($J$10)</f>
        <v>-0.188733262364343</v>
      </c>
    </row>
    <row r="279" customFormat="false" ht="13.5" hidden="false" customHeight="true" outlineLevel="0" collapsed="false">
      <c r="B279" s="29" t="n">
        <f aca="false">B249</f>
        <v>58</v>
      </c>
      <c r="C279" s="25" t="n">
        <f aca="false">IF($O$10="sell",-1,1) *  IF($K$10="call",  NORMDIST(I279,0,1,1),  NORMDIST(I279,0,1,1)-1  ) * $P$10</f>
        <v>-0</v>
      </c>
      <c r="D279" s="25" t="n">
        <f aca="false">IF($O$10="sell",-1,1) * NORMDIST(I279,0,1,0)/(B279*$H$10*SQRT($J$10)) * $P$10</f>
        <v>0</v>
      </c>
      <c r="E279" s="25" t="n">
        <f aca="false">IF($O$10="sell",-1,1) * (B279*NORMDIST(I279,0,1,0)*SQRT($J$10)/365) * $P$10</f>
        <v>0</v>
      </c>
      <c r="F279" s="25" t="n">
        <f aca="false">IF($O$10="sell",-1,1) * (-(B279*NORMDIST(I279,0,1,0)*$H$10)/(2*SQRT($J$10))/365) *$P$10</f>
        <v>-0</v>
      </c>
      <c r="G279" s="25" t="n">
        <f aca="false">IF($O$10="buy",1,-1)*( IF($K$10="call",B279*NORMDIST(I279,0,1,1) - $B$10*NORMDIST(J279,0,1,1),$B$10*NORMDIST(-J279,0,1,1) - B279*NORMDIST(-I279,0,1,1) ) - $G$10) * $P$10</f>
        <v>0</v>
      </c>
      <c r="I279" s="26" t="n">
        <f aca="false">(LN(B279/$B$10)+($H$10^2/2)*($J$10))/($H$10*SQRT($J$10))</f>
        <v>-0.0284142721075693</v>
      </c>
      <c r="J279" s="26" t="n">
        <f aca="false">I279 - $H$10*SQRT($J$10)</f>
        <v>-0.261936011672251</v>
      </c>
    </row>
    <row r="280" customFormat="false" ht="13.5" hidden="false" customHeight="true" outlineLevel="0" collapsed="false">
      <c r="B280" s="29" t="n">
        <f aca="false">B250</f>
        <v>57</v>
      </c>
      <c r="C280" s="25" t="n">
        <f aca="false">IF($O$10="sell",-1,1) *  IF($K$10="call",  NORMDIST(I280,0,1,1),  NORMDIST(I280,0,1,1)-1  ) * $P$10</f>
        <v>-0</v>
      </c>
      <c r="D280" s="25" t="n">
        <f aca="false">IF($O$10="sell",-1,1) * NORMDIST(I280,0,1,0)/(B280*$H$10*SQRT($J$10)) * $P$10</f>
        <v>0</v>
      </c>
      <c r="E280" s="25" t="n">
        <f aca="false">IF($O$10="sell",-1,1) * (B280*NORMDIST(I280,0,1,0)*SQRT($J$10)/365) * $P$10</f>
        <v>0</v>
      </c>
      <c r="F280" s="25" t="n">
        <f aca="false">IF($O$10="sell",-1,1) * (-(B280*NORMDIST(I280,0,1,0)*$H$10)/(2*SQRT($J$10))/365) *$P$10</f>
        <v>-0</v>
      </c>
      <c r="G280" s="25" t="n">
        <f aca="false">IF($O$10="buy",1,-1)*( IF($K$10="call",B280*NORMDIST(I280,0,1,1) - $B$10*NORMDIST(J280,0,1,1),$B$10*NORMDIST(-J280,0,1,1) - B280*NORMDIST(-I280,0,1,1) ) - $G$10) * $P$10</f>
        <v>0</v>
      </c>
      <c r="I280" s="26" t="n">
        <f aca="false">(LN(B280/$B$10)+($H$10^2/2)*($J$10))/($H$10*SQRT($J$10))</f>
        <v>-0.102890176339398</v>
      </c>
      <c r="J280" s="26" t="n">
        <f aca="false">I280 - $H$10*SQRT($J$10)</f>
        <v>-0.33641191590408</v>
      </c>
    </row>
    <row r="281" customFormat="false" ht="13.5" hidden="false" customHeight="true" outlineLevel="0" collapsed="false">
      <c r="B281" s="30"/>
      <c r="C281" s="22"/>
      <c r="D281" s="22"/>
      <c r="E281" s="22"/>
      <c r="F281" s="22"/>
      <c r="G281" s="22"/>
      <c r="I281" s="31"/>
      <c r="J281" s="31"/>
    </row>
    <row r="282" customFormat="false" ht="13.5" hidden="false" customHeight="true" outlineLevel="0" collapsed="false">
      <c r="B282" s="30"/>
      <c r="C282" s="22"/>
      <c r="D282" s="22"/>
      <c r="E282" s="22"/>
      <c r="F282" s="22"/>
      <c r="G282" s="22"/>
      <c r="I282" s="31"/>
      <c r="J282" s="31"/>
    </row>
    <row r="283" customFormat="false" ht="13.5" hidden="false" customHeight="true" outlineLevel="0" collapsed="false">
      <c r="B283" s="23"/>
      <c r="C283" s="19" t="s">
        <v>13</v>
      </c>
      <c r="D283" s="19" t="s">
        <v>14</v>
      </c>
      <c r="E283" s="19" t="s">
        <v>15</v>
      </c>
      <c r="F283" s="19" t="s">
        <v>16</v>
      </c>
      <c r="G283" s="19" t="s">
        <v>17</v>
      </c>
      <c r="I283" s="19" t="s">
        <v>158</v>
      </c>
      <c r="J283" s="19" t="s">
        <v>159</v>
      </c>
    </row>
    <row r="284" customFormat="false" ht="13.5" hidden="false" customHeight="true" outlineLevel="0" collapsed="false">
      <c r="A284" s="2" t="str">
        <f aca="false">A11</f>
        <v>SOL-29MAY26-70-P-USDT</v>
      </c>
      <c r="B284" s="29" t="n">
        <f aca="false">B254</f>
        <v>83</v>
      </c>
      <c r="C284" s="25" t="n">
        <f aca="false">IF($O$11="sell",-1,1) *  IF($K$11="call",  NORMDIST(I284,0,1,1),  NORMDIST(I284,0,1,1)-1  ) * $P$11</f>
        <v>-0</v>
      </c>
      <c r="D284" s="25" t="n">
        <f aca="false">IF($O$11="sell",-1,1) * NORMDIST(I284,0,1,0)/(B284*$H$11*SQRT($J$11)) * $P$11</f>
        <v>0</v>
      </c>
      <c r="E284" s="25" t="n">
        <f aca="false">IF($O$11="sell",-1,1) * (B284*NORMDIST(I284,0,1,0)*SQRT($J$11)/365) * $P$11</f>
        <v>0</v>
      </c>
      <c r="F284" s="25" t="n">
        <f aca="false">IF($O$11="sell",-1,1) * (-(B284*NORMDIST(I284,0,1,0)*$H$11)/(2*SQRT($J$11))/365) *$P$11</f>
        <v>-0</v>
      </c>
      <c r="G284" s="25" t="n">
        <f aca="false">IF($O$11="buy",1,-1)*( IF($K$11="call",B284*NORMDIST(I284,0,1,1) - $B$11*NORMDIST(J284,0,1,1),$B$11*NORMDIST(-J284,0,1,1) - B284*NORMDIST(-I284,0,1,1) ) - $G$11) * $P$11</f>
        <v>-0</v>
      </c>
      <c r="I284" s="26" t="n">
        <f aca="false">(LN(B284/$B$11)+($H$11^2/2)*($J$11))/($H$11*SQRT($J$11))</f>
        <v>0.900468482375407</v>
      </c>
      <c r="J284" s="26" t="n">
        <f aca="false">I284 - $H$11*SQRT($J$11)</f>
        <v>0.685676859939863</v>
      </c>
    </row>
    <row r="285" customFormat="false" ht="13.5" hidden="false" customHeight="true" outlineLevel="0" collapsed="false">
      <c r="B285" s="29" t="n">
        <f aca="false">B255</f>
        <v>82</v>
      </c>
      <c r="C285" s="25" t="n">
        <f aca="false">IF($O$11="sell",-1,1) *  IF($K$11="call",  NORMDIST(I285,0,1,1),  NORMDIST(I285,0,1,1)-1  ) * $P$11</f>
        <v>-0</v>
      </c>
      <c r="D285" s="25" t="n">
        <f aca="false">IF($O$11="sell",-1,1) * NORMDIST(I285,0,1,0)/(B285*$H$11*SQRT($J$11)) * $P$11</f>
        <v>0</v>
      </c>
      <c r="E285" s="25" t="n">
        <f aca="false">IF($O$11="sell",-1,1) * (B285*NORMDIST(I285,0,1,0)*SQRT($J$11)/365) * $P$11</f>
        <v>0</v>
      </c>
      <c r="F285" s="25" t="n">
        <f aca="false">IF($O$11="sell",-1,1) * (-(B285*NORMDIST(I285,0,1,0)*$H$11)/(2*SQRT($J$11))/365) *$P$11</f>
        <v>-0</v>
      </c>
      <c r="G285" s="25" t="n">
        <f aca="false">IF($O$11="buy",1,-1)*( IF($K$11="call",B285*NORMDIST(I285,0,1,1) - $B$11*NORMDIST(J285,0,1,1),$B$11*NORMDIST(-J285,0,1,1) - B285*NORMDIST(-I285,0,1,1) ) - $G$11) * $P$11</f>
        <v>-0</v>
      </c>
      <c r="I285" s="26" t="n">
        <f aca="false">(LN(B285/$B$11)+($H$11^2/2)*($J$11))/($H$11*SQRT($J$11))</f>
        <v>0.844035366433084</v>
      </c>
      <c r="J285" s="26" t="n">
        <f aca="false">I285 - $H$11*SQRT($J$11)</f>
        <v>0.62924374399754</v>
      </c>
    </row>
    <row r="286" customFormat="false" ht="13.5" hidden="false" customHeight="true" outlineLevel="0" collapsed="false">
      <c r="B286" s="29" t="n">
        <f aca="false">B256</f>
        <v>81</v>
      </c>
      <c r="C286" s="25" t="n">
        <f aca="false">IF($O$11="sell",-1,1) *  IF($K$11="call",  NORMDIST(I286,0,1,1),  NORMDIST(I286,0,1,1)-1  ) * $P$11</f>
        <v>-0</v>
      </c>
      <c r="D286" s="25" t="n">
        <f aca="false">IF($O$11="sell",-1,1) * NORMDIST(I286,0,1,0)/(B286*$H$11*SQRT($J$11)) * $P$11</f>
        <v>0</v>
      </c>
      <c r="E286" s="25" t="n">
        <f aca="false">IF($O$11="sell",-1,1) * (B286*NORMDIST(I286,0,1,0)*SQRT($J$11)/365) * $P$11</f>
        <v>0</v>
      </c>
      <c r="F286" s="25" t="n">
        <f aca="false">IF($O$11="sell",-1,1) * (-(B286*NORMDIST(I286,0,1,0)*$H$11)/(2*SQRT($J$11))/365) *$P$11</f>
        <v>-0</v>
      </c>
      <c r="G286" s="25" t="n">
        <f aca="false">IF($O$11="buy",1,-1)*( IF($K$11="call",B286*NORMDIST(I286,0,1,1) - $B$11*NORMDIST(J286,0,1,1),$B$11*NORMDIST(-J286,0,1,1) - B286*NORMDIST(-I286,0,1,1) ) - $G$11) * $P$11</f>
        <v>0</v>
      </c>
      <c r="I286" s="26" t="n">
        <f aca="false">(LN(B286/$B$11)+($H$11^2/2)*($J$11))/($H$11*SQRT($J$11))</f>
        <v>0.786909802350637</v>
      </c>
      <c r="J286" s="26" t="n">
        <f aca="false">I286 - $H$11*SQRT($J$11)</f>
        <v>0.572118179915094</v>
      </c>
    </row>
    <row r="287" customFormat="false" ht="13.5" hidden="false" customHeight="true" outlineLevel="0" collapsed="false">
      <c r="B287" s="29" t="n">
        <f aca="false">B257</f>
        <v>80</v>
      </c>
      <c r="C287" s="25" t="n">
        <f aca="false">IF($O$11="sell",-1,1) *  IF($K$11="call",  NORMDIST(I287,0,1,1),  NORMDIST(I287,0,1,1)-1  ) * $P$11</f>
        <v>-0</v>
      </c>
      <c r="D287" s="25" t="n">
        <f aca="false">IF($O$11="sell",-1,1) * NORMDIST(I287,0,1,0)/(B287*$H$11*SQRT($J$11)) * $P$11</f>
        <v>0</v>
      </c>
      <c r="E287" s="25" t="n">
        <f aca="false">IF($O$11="sell",-1,1) * (B287*NORMDIST(I287,0,1,0)*SQRT($J$11)/365) * $P$11</f>
        <v>0</v>
      </c>
      <c r="F287" s="25" t="n">
        <f aca="false">IF($O$11="sell",-1,1) * (-(B287*NORMDIST(I287,0,1,0)*$H$11)/(2*SQRT($J$11))/365) *$P$11</f>
        <v>-0</v>
      </c>
      <c r="G287" s="25" t="n">
        <f aca="false">IF($O$11="buy",1,-1)*( IF($K$11="call",B287*NORMDIST(I287,0,1,1) - $B$11*NORMDIST(J287,0,1,1),$B$11*NORMDIST(-J287,0,1,1) - B287*NORMDIST(-I287,0,1,1) ) - $G$11) * $P$11</f>
        <v>0</v>
      </c>
      <c r="I287" s="26" t="n">
        <f aca="false">(LN(B287/$B$11)+($H$11^2/2)*($J$11))/($H$11*SQRT($J$11))</f>
        <v>0.729074585791923</v>
      </c>
      <c r="J287" s="26" t="n">
        <f aca="false">I287 - $H$11*SQRT($J$11)</f>
        <v>0.514282963356379</v>
      </c>
    </row>
    <row r="288" customFormat="false" ht="13.5" hidden="false" customHeight="true" outlineLevel="0" collapsed="false">
      <c r="B288" s="29" t="n">
        <f aca="false">B258</f>
        <v>79</v>
      </c>
      <c r="C288" s="25" t="n">
        <f aca="false">IF($O$11="sell",-1,1) *  IF($K$11="call",  NORMDIST(I288,0,1,1),  NORMDIST(I288,0,1,1)-1  ) * $P$11</f>
        <v>-0</v>
      </c>
      <c r="D288" s="25" t="n">
        <f aca="false">IF($O$11="sell",-1,1) * NORMDIST(I288,0,1,0)/(B288*$H$11*SQRT($J$11)) * $P$11</f>
        <v>0</v>
      </c>
      <c r="E288" s="25" t="n">
        <f aca="false">IF($O$11="sell",-1,1) * (B288*NORMDIST(I288,0,1,0)*SQRT($J$11)/365) * $P$11</f>
        <v>0</v>
      </c>
      <c r="F288" s="25" t="n">
        <f aca="false">IF($O$11="sell",-1,1) * (-(B288*NORMDIST(I288,0,1,0)*$H$11)/(2*SQRT($J$11))/365) *$P$11</f>
        <v>-0</v>
      </c>
      <c r="G288" s="25" t="n">
        <f aca="false">IF($O$11="buy",1,-1)*( IF($K$11="call",B288*NORMDIST(I288,0,1,1) - $B$11*NORMDIST(J288,0,1,1),$B$11*NORMDIST(-J288,0,1,1) - B288*NORMDIST(-I288,0,1,1) ) - $G$11) * $P$11</f>
        <v>0</v>
      </c>
      <c r="I288" s="26" t="n">
        <f aca="false">(LN(B288/$B$11)+($H$11^2/2)*($J$11))/($H$11*SQRT($J$11))</f>
        <v>0.670511863166953</v>
      </c>
      <c r="J288" s="26" t="n">
        <f aca="false">I288 - $H$11*SQRT($J$11)</f>
        <v>0.455720240731409</v>
      </c>
    </row>
    <row r="289" customFormat="false" ht="13.5" hidden="false" customHeight="true" outlineLevel="0" collapsed="false">
      <c r="B289" s="29" t="n">
        <f aca="false">B259</f>
        <v>78</v>
      </c>
      <c r="C289" s="25" t="n">
        <f aca="false">IF($O$11="sell",-1,1) *  IF($K$11="call",  NORMDIST(I289,0,1,1),  NORMDIST(I289,0,1,1)-1  ) * $P$11</f>
        <v>-0</v>
      </c>
      <c r="D289" s="25" t="n">
        <f aca="false">IF($O$11="sell",-1,1) * NORMDIST(I289,0,1,0)/(B289*$H$11*SQRT($J$11)) * $P$11</f>
        <v>0</v>
      </c>
      <c r="E289" s="25" t="n">
        <f aca="false">IF($O$11="sell",-1,1) * (B289*NORMDIST(I289,0,1,0)*SQRT($J$11)/365) * $P$11</f>
        <v>0</v>
      </c>
      <c r="F289" s="25" t="n">
        <f aca="false">IF($O$11="sell",-1,1) * (-(B289*NORMDIST(I289,0,1,0)*$H$11)/(2*SQRT($J$11))/365) *$P$11</f>
        <v>-0</v>
      </c>
      <c r="G289" s="25" t="n">
        <f aca="false">IF($O$11="buy",1,-1)*( IF($K$11="call",B289*NORMDIST(I289,0,1,1) - $B$11*NORMDIST(J289,0,1,1),$B$11*NORMDIST(-J289,0,1,1) - B289*NORMDIST(-I289,0,1,1) ) - $G$11) * $P$11</f>
        <v>0</v>
      </c>
      <c r="I289" s="26" t="n">
        <f aca="false">(LN(B289/$B$11)+($H$11^2/2)*($J$11))/($H$11*SQRT($J$11))</f>
        <v>0.61120309854671</v>
      </c>
      <c r="J289" s="26" t="n">
        <f aca="false">I289 - $H$11*SQRT($J$11)</f>
        <v>0.396411476111166</v>
      </c>
    </row>
    <row r="290" customFormat="false" ht="13.5" hidden="false" customHeight="true" outlineLevel="0" collapsed="false">
      <c r="B290" s="29" t="n">
        <f aca="false">B260</f>
        <v>77</v>
      </c>
      <c r="C290" s="25" t="n">
        <f aca="false">IF($O$11="sell",-1,1) *  IF($K$11="call",  NORMDIST(I290,0,1,1),  NORMDIST(I290,0,1,1)-1  ) * $P$11</f>
        <v>-0</v>
      </c>
      <c r="D290" s="25" t="n">
        <f aca="false">IF($O$11="sell",-1,1) * NORMDIST(I290,0,1,0)/(B290*$H$11*SQRT($J$11)) * $P$11</f>
        <v>0</v>
      </c>
      <c r="E290" s="25" t="n">
        <f aca="false">IF($O$11="sell",-1,1) * (B290*NORMDIST(I290,0,1,0)*SQRT($J$11)/365) * $P$11</f>
        <v>0</v>
      </c>
      <c r="F290" s="25" t="n">
        <f aca="false">IF($O$11="sell",-1,1) * (-(B290*NORMDIST(I290,0,1,0)*$H$11)/(2*SQRT($J$11))/365) *$P$11</f>
        <v>-0</v>
      </c>
      <c r="G290" s="25" t="n">
        <f aca="false">IF($O$11="buy",1,-1)*( IF($K$11="call",B290*NORMDIST(I290,0,1,1) - $B$11*NORMDIST(J290,0,1,1),$B$11*NORMDIST(-J290,0,1,1) - B290*NORMDIST(-I290,0,1,1) ) - $G$11) * $P$11</f>
        <v>0</v>
      </c>
      <c r="I290" s="26" t="n">
        <f aca="false">(LN(B290/$B$11)+($H$11^2/2)*($J$11))/($H$11*SQRT($J$11))</f>
        <v>0.551129038443272</v>
      </c>
      <c r="J290" s="26" t="n">
        <f aca="false">I290 - $H$11*SQRT($J$11)</f>
        <v>0.336337416007728</v>
      </c>
    </row>
    <row r="291" customFormat="false" ht="13.5" hidden="false" customHeight="true" outlineLevel="0" collapsed="false">
      <c r="B291" s="29" t="n">
        <f aca="false">B261</f>
        <v>76</v>
      </c>
      <c r="C291" s="25" t="n">
        <f aca="false">IF($O$11="sell",-1,1) *  IF($K$11="call",  NORMDIST(I291,0,1,1),  NORMDIST(I291,0,1,1)-1  ) * $P$11</f>
        <v>-0</v>
      </c>
      <c r="D291" s="25" t="n">
        <f aca="false">IF($O$11="sell",-1,1) * NORMDIST(I291,0,1,0)/(B291*$H$11*SQRT($J$11)) * $P$11</f>
        <v>0</v>
      </c>
      <c r="E291" s="25" t="n">
        <f aca="false">IF($O$11="sell",-1,1) * (B291*NORMDIST(I291,0,1,0)*SQRT($J$11)/365) * $P$11</f>
        <v>0</v>
      </c>
      <c r="F291" s="25" t="n">
        <f aca="false">IF($O$11="sell",-1,1) * (-(B291*NORMDIST(I291,0,1,0)*$H$11)/(2*SQRT($J$11))/365) *$P$11</f>
        <v>-0</v>
      </c>
      <c r="G291" s="25" t="n">
        <f aca="false">IF($O$11="buy",1,-1)*( IF($K$11="call",B291*NORMDIST(I291,0,1,1) - $B$11*NORMDIST(J291,0,1,1),$B$11*NORMDIST(-J291,0,1,1) - B291*NORMDIST(-I291,0,1,1) ) - $G$11) * $P$11</f>
        <v>0</v>
      </c>
      <c r="I291" s="26" t="n">
        <f aca="false">(LN(B291/$B$11)+($H$11^2/2)*($J$11))/($H$11*SQRT($J$11))</f>
        <v>0.490269674287783</v>
      </c>
      <c r="J291" s="26" t="n">
        <f aca="false">I291 - $H$11*SQRT($J$11)</f>
        <v>0.27547805185224</v>
      </c>
    </row>
    <row r="292" customFormat="false" ht="13.5" hidden="false" customHeight="true" outlineLevel="0" collapsed="false">
      <c r="B292" s="29" t="n">
        <f aca="false">B262</f>
        <v>75</v>
      </c>
      <c r="C292" s="25" t="n">
        <f aca="false">IF($O$11="sell",-1,1) *  IF($K$11="call",  NORMDIST(I292,0,1,1),  NORMDIST(I292,0,1,1)-1  ) * $P$11</f>
        <v>-0</v>
      </c>
      <c r="D292" s="25" t="n">
        <f aca="false">IF($O$11="sell",-1,1) * NORMDIST(I292,0,1,0)/(B292*$H$11*SQRT($J$11)) * $P$11</f>
        <v>0</v>
      </c>
      <c r="E292" s="25" t="n">
        <f aca="false">IF($O$11="sell",-1,1) * (B292*NORMDIST(I292,0,1,0)*SQRT($J$11)/365) * $P$11</f>
        <v>0</v>
      </c>
      <c r="F292" s="25" t="n">
        <f aca="false">IF($O$11="sell",-1,1) * (-(B292*NORMDIST(I292,0,1,0)*$H$11)/(2*SQRT($J$11))/365) *$P$11</f>
        <v>-0</v>
      </c>
      <c r="G292" s="25" t="n">
        <f aca="false">IF($O$11="buy",1,-1)*( IF($K$11="call",B292*NORMDIST(I292,0,1,1) - $B$11*NORMDIST(J292,0,1,1),$B$11*NORMDIST(-J292,0,1,1) - B292*NORMDIST(-I292,0,1,1) ) - $G$11) * $P$11</f>
        <v>0</v>
      </c>
      <c r="I292" s="26" t="n">
        <f aca="false">(LN(B292/$B$11)+($H$11^2/2)*($J$11))/($H$11*SQRT($J$11))</f>
        <v>0.428604202423324</v>
      </c>
      <c r="J292" s="26" t="n">
        <f aca="false">I292 - $H$11*SQRT($J$11)</f>
        <v>0.21381257998778</v>
      </c>
    </row>
    <row r="293" customFormat="false" ht="13.5" hidden="false" customHeight="true" outlineLevel="0" collapsed="false">
      <c r="B293" s="29" t="n">
        <f aca="false">B263</f>
        <v>74</v>
      </c>
      <c r="C293" s="25" t="n">
        <f aca="false">IF($O$11="sell",-1,1) *  IF($K$11="call",  NORMDIST(I293,0,1,1),  NORMDIST(I293,0,1,1)-1  ) * $P$11</f>
        <v>-0</v>
      </c>
      <c r="D293" s="25" t="n">
        <f aca="false">IF($O$11="sell",-1,1) * NORMDIST(I293,0,1,0)/(B293*$H$11*SQRT($J$11)) * $P$11</f>
        <v>0</v>
      </c>
      <c r="E293" s="25" t="n">
        <f aca="false">IF($O$11="sell",-1,1) * (B293*NORMDIST(I293,0,1,0)*SQRT($J$11)/365) * $P$11</f>
        <v>0</v>
      </c>
      <c r="F293" s="25" t="n">
        <f aca="false">IF($O$11="sell",-1,1) * (-(B293*NORMDIST(I293,0,1,0)*$H$11)/(2*SQRT($J$11))/365) *$P$11</f>
        <v>-0</v>
      </c>
      <c r="G293" s="25" t="n">
        <f aca="false">IF($O$11="buy",1,-1)*( IF($K$11="call",B293*NORMDIST(I293,0,1,1) - $B$11*NORMDIST(J293,0,1,1),$B$11*NORMDIST(-J293,0,1,1) - B293*NORMDIST(-I293,0,1,1) ) - $G$11) * $P$11</f>
        <v>0</v>
      </c>
      <c r="I293" s="26" t="n">
        <f aca="false">(LN(B293/$B$11)+($H$11^2/2)*($J$11))/($H$11*SQRT($J$11))</f>
        <v>0.366110981412487</v>
      </c>
      <c r="J293" s="26" t="n">
        <f aca="false">I293 - $H$11*SQRT($J$11)</f>
        <v>0.151319358976944</v>
      </c>
    </row>
    <row r="294" customFormat="false" ht="13.5" hidden="false" customHeight="true" outlineLevel="0" collapsed="false">
      <c r="B294" s="29" t="n">
        <f aca="false">B264</f>
        <v>73</v>
      </c>
      <c r="C294" s="25" t="n">
        <f aca="false">IF($O$11="sell",-1,1) *  IF($K$11="call",  NORMDIST(I294,0,1,1),  NORMDIST(I294,0,1,1)-1  ) * $P$11</f>
        <v>-0</v>
      </c>
      <c r="D294" s="25" t="n">
        <f aca="false">IF($O$11="sell",-1,1) * NORMDIST(I294,0,1,0)/(B294*$H$11*SQRT($J$11)) * $P$11</f>
        <v>0</v>
      </c>
      <c r="E294" s="25" t="n">
        <f aca="false">IF($O$11="sell",-1,1) * (B294*NORMDIST(I294,0,1,0)*SQRT($J$11)/365) * $P$11</f>
        <v>0</v>
      </c>
      <c r="F294" s="25" t="n">
        <f aca="false">IF($O$11="sell",-1,1) * (-(B294*NORMDIST(I294,0,1,0)*$H$11)/(2*SQRT($J$11))/365) *$P$11</f>
        <v>-0</v>
      </c>
      <c r="G294" s="25" t="n">
        <f aca="false">IF($O$11="buy",1,-1)*( IF($K$11="call",B294*NORMDIST(I294,0,1,1) - $B$11*NORMDIST(J294,0,1,1),$B$11*NORMDIST(-J294,0,1,1) - B294*NORMDIST(-I294,0,1,1) ) - $G$11) * $P$11</f>
        <v>0</v>
      </c>
      <c r="I294" s="26" t="n">
        <f aca="false">(LN(B294/$B$11)+($H$11^2/2)*($J$11))/($H$11*SQRT($J$11))</f>
        <v>0.302767486440464</v>
      </c>
      <c r="J294" s="26" t="n">
        <f aca="false">I294 - $H$11*SQRT($J$11)</f>
        <v>0.0879758640049204</v>
      </c>
    </row>
    <row r="295" customFormat="false" ht="13.5" hidden="false" customHeight="true" outlineLevel="0" collapsed="false">
      <c r="B295" s="29" t="n">
        <f aca="false">B265</f>
        <v>72</v>
      </c>
      <c r="C295" s="25" t="n">
        <f aca="false">IF($O$11="sell",-1,1) *  IF($K$11="call",  NORMDIST(I295,0,1,1),  NORMDIST(I295,0,1,1)-1  ) * $P$11</f>
        <v>-0</v>
      </c>
      <c r="D295" s="25" t="n">
        <f aca="false">IF($O$11="sell",-1,1) * NORMDIST(I295,0,1,0)/(B295*$H$11*SQRT($J$11)) * $P$11</f>
        <v>0</v>
      </c>
      <c r="E295" s="25" t="n">
        <f aca="false">IF($O$11="sell",-1,1) * (B295*NORMDIST(I295,0,1,0)*SQRT($J$11)/365) * $P$11</f>
        <v>0</v>
      </c>
      <c r="F295" s="25" t="n">
        <f aca="false">IF($O$11="sell",-1,1) * (-(B295*NORMDIST(I295,0,1,0)*$H$11)/(2*SQRT($J$11))/365) *$P$11</f>
        <v>-0</v>
      </c>
      <c r="G295" s="25" t="n">
        <f aca="false">IF($O$11="buy",1,-1)*( IF($K$11="call",B295*NORMDIST(I295,0,1,1) - $B$11*NORMDIST(J295,0,1,1),$B$11*NORMDIST(-J295,0,1,1) - B295*NORMDIST(-I295,0,1,1) ) - $G$11) * $P$11</f>
        <v>0</v>
      </c>
      <c r="I295" s="26" t="n">
        <f aca="false">(LN(B295/$B$11)+($H$11^2/2)*($J$11))/($H$11*SQRT($J$11))</f>
        <v>0.238550260573216</v>
      </c>
      <c r="J295" s="26" t="n">
        <f aca="false">I295 - $H$11*SQRT($J$11)</f>
        <v>0.0237586381376724</v>
      </c>
    </row>
    <row r="296" customFormat="false" ht="13.5" hidden="false" customHeight="true" outlineLevel="0" collapsed="false">
      <c r="B296" s="29" t="n">
        <f aca="false">B266</f>
        <v>71</v>
      </c>
      <c r="C296" s="25" t="n">
        <f aca="false">IF($O$11="sell",-1,1) *  IF($K$11="call",  NORMDIST(I296,0,1,1),  NORMDIST(I296,0,1,1)-1  ) * $P$11</f>
        <v>-0</v>
      </c>
      <c r="D296" s="25" t="n">
        <f aca="false">IF($O$11="sell",-1,1) * NORMDIST(I296,0,1,0)/(B296*$H$11*SQRT($J$11)) * $P$11</f>
        <v>0</v>
      </c>
      <c r="E296" s="25" t="n">
        <f aca="false">IF($O$11="sell",-1,1) * (B296*NORMDIST(I296,0,1,0)*SQRT($J$11)/365) * $P$11</f>
        <v>0</v>
      </c>
      <c r="F296" s="25" t="n">
        <f aca="false">IF($O$11="sell",-1,1) * (-(B296*NORMDIST(I296,0,1,0)*$H$11)/(2*SQRT($J$11))/365) *$P$11</f>
        <v>-0</v>
      </c>
      <c r="G296" s="25" t="n">
        <f aca="false">IF($O$11="buy",1,-1)*( IF($K$11="call",B296*NORMDIST(I296,0,1,1) - $B$11*NORMDIST(J296,0,1,1),$B$11*NORMDIST(-J296,0,1,1) - B296*NORMDIST(-I296,0,1,1) ) - $G$11) * $P$11</f>
        <v>0</v>
      </c>
      <c r="I296" s="26" t="n">
        <f aca="false">(LN(B296/$B$11)+($H$11^2/2)*($J$11))/($H$11*SQRT($J$11))</f>
        <v>0.173434862606813</v>
      </c>
      <c r="J296" s="26" t="n">
        <f aca="false">I296 - $H$11*SQRT($J$11)</f>
        <v>-0.0413567598287308</v>
      </c>
    </row>
    <row r="297" customFormat="false" ht="13.5" hidden="false" customHeight="true" outlineLevel="0" collapsed="false">
      <c r="B297" s="29" t="n">
        <f aca="false">B267</f>
        <v>70</v>
      </c>
      <c r="C297" s="25" t="n">
        <f aca="false">IF($O$11="sell",-1,1) *  IF($K$11="call",  NORMDIST(I297,0,1,1),  NORMDIST(I297,0,1,1)-1  ) * $P$11</f>
        <v>-0</v>
      </c>
      <c r="D297" s="25" t="n">
        <f aca="false">IF($O$11="sell",-1,1) * NORMDIST(I297,0,1,0)/(B297*$H$11*SQRT($J$11)) * $P$11</f>
        <v>0</v>
      </c>
      <c r="E297" s="25" t="n">
        <f aca="false">IF($O$11="sell",-1,1) * (B297*NORMDIST(I297,0,1,0)*SQRT($J$11)/365) * $P$11</f>
        <v>0</v>
      </c>
      <c r="F297" s="25" t="n">
        <f aca="false">IF($O$11="sell",-1,1) * (-(B297*NORMDIST(I297,0,1,0)*$H$11)/(2*SQRT($J$11))/365) *$P$11</f>
        <v>-0</v>
      </c>
      <c r="G297" s="25" t="n">
        <f aca="false">IF($O$11="buy",1,-1)*( IF($K$11="call",B297*NORMDIST(I297,0,1,1) - $B$11*NORMDIST(J297,0,1,1),$B$11*NORMDIST(-J297,0,1,1) - B297*NORMDIST(-I297,0,1,1) ) - $G$11) * $P$11</f>
        <v>0</v>
      </c>
      <c r="I297" s="26" t="n">
        <f aca="false">(LN(B297/$B$11)+($H$11^2/2)*($J$11))/($H$11*SQRT($J$11))</f>
        <v>0.107395811217772</v>
      </c>
      <c r="J297" s="26" t="n">
        <f aca="false">I297 - $H$11*SQRT($J$11)</f>
        <v>-0.107395811217772</v>
      </c>
    </row>
    <row r="298" customFormat="false" ht="13.5" hidden="false" customHeight="true" outlineLevel="0" collapsed="false">
      <c r="B298" s="29" t="n">
        <f aca="false">B268</f>
        <v>69</v>
      </c>
      <c r="C298" s="25" t="n">
        <f aca="false">IF($O$11="sell",-1,1) *  IF($K$11="call",  NORMDIST(I298,0,1,1),  NORMDIST(I298,0,1,1)-1  ) * $P$11</f>
        <v>-0</v>
      </c>
      <c r="D298" s="25" t="n">
        <f aca="false">IF($O$11="sell",-1,1) * NORMDIST(I298,0,1,0)/(B298*$H$11*SQRT($J$11)) * $P$11</f>
        <v>0</v>
      </c>
      <c r="E298" s="25" t="n">
        <f aca="false">IF($O$11="sell",-1,1) * (B298*NORMDIST(I298,0,1,0)*SQRT($J$11)/365) * $P$11</f>
        <v>0</v>
      </c>
      <c r="F298" s="25" t="n">
        <f aca="false">IF($O$11="sell",-1,1) * (-(B298*NORMDIST(I298,0,1,0)*$H$11)/(2*SQRT($J$11))/365) *$P$11</f>
        <v>-0</v>
      </c>
      <c r="G298" s="25" t="n">
        <f aca="false">IF($O$11="buy",1,-1)*( IF($K$11="call",B298*NORMDIST(I298,0,1,1) - $B$11*NORMDIST(J298,0,1,1),$B$11*NORMDIST(-J298,0,1,1) - B298*NORMDIST(-I298,0,1,1) ) - $G$11) * $P$11</f>
        <v>0</v>
      </c>
      <c r="I298" s="26" t="n">
        <f aca="false">(LN(B298/$B$11)+($H$11^2/2)*($J$11))/($H$11*SQRT($J$11))</f>
        <v>0.0404065250950441</v>
      </c>
      <c r="J298" s="26" t="n">
        <f aca="false">I298 - $H$11*SQRT($J$11)</f>
        <v>-0.1743850973405</v>
      </c>
    </row>
    <row r="299" customFormat="false" ht="13.5" hidden="false" customHeight="true" outlineLevel="0" collapsed="false">
      <c r="B299" s="29" t="n">
        <f aca="false">B269</f>
        <v>68</v>
      </c>
      <c r="C299" s="25" t="n">
        <f aca="false">IF($O$11="sell",-1,1) *  IF($K$11="call",  NORMDIST(I299,0,1,1),  NORMDIST(I299,0,1,1)-1  ) * $P$11</f>
        <v>-0</v>
      </c>
      <c r="D299" s="25" t="n">
        <f aca="false">IF($O$11="sell",-1,1) * NORMDIST(I299,0,1,0)/(B299*$H$11*SQRT($J$11)) * $P$11</f>
        <v>0</v>
      </c>
      <c r="E299" s="25" t="n">
        <f aca="false">IF($O$11="sell",-1,1) * (B299*NORMDIST(I299,0,1,0)*SQRT($J$11)/365) * $P$11</f>
        <v>0</v>
      </c>
      <c r="F299" s="25" t="n">
        <f aca="false">IF($O$11="sell",-1,1) * (-(B299*NORMDIST(I299,0,1,0)*$H$11)/(2*SQRT($J$11))/365) *$P$11</f>
        <v>-0</v>
      </c>
      <c r="G299" s="25" t="n">
        <f aca="false">IF($O$11="buy",1,-1)*( IF($K$11="call",B299*NORMDIST(I299,0,1,1) - $B$11*NORMDIST(J299,0,1,1),$B$11*NORMDIST(-J299,0,1,1) - B299*NORMDIST(-I299,0,1,1) ) - $G$11) * $P$11</f>
        <v>0</v>
      </c>
      <c r="I299" s="26" t="n">
        <f aca="false">(LN(B299/$B$11)+($H$11^2/2)*($J$11))/($H$11*SQRT($J$11))</f>
        <v>-0.0275607412983818</v>
      </c>
      <c r="J299" s="26" t="n">
        <f aca="false">I299 - $H$11*SQRT($J$11)</f>
        <v>-0.242352363733926</v>
      </c>
    </row>
    <row r="300" customFormat="false" ht="13.5" hidden="false" customHeight="true" outlineLevel="0" collapsed="false">
      <c r="B300" s="29" t="n">
        <f aca="false">B270</f>
        <v>67</v>
      </c>
      <c r="C300" s="25" t="n">
        <f aca="false">IF($O$11="sell",-1,1) *  IF($K$11="call",  NORMDIST(I300,0,1,1),  NORMDIST(I300,0,1,1)-1  ) * $P$11</f>
        <v>-0</v>
      </c>
      <c r="D300" s="25" t="n">
        <f aca="false">IF($O$11="sell",-1,1) * NORMDIST(I300,0,1,0)/(B300*$H$11*SQRT($J$11)) * $P$11</f>
        <v>0</v>
      </c>
      <c r="E300" s="25" t="n">
        <f aca="false">IF($O$11="sell",-1,1) * (B300*NORMDIST(I300,0,1,0)*SQRT($J$11)/365) * $P$11</f>
        <v>0</v>
      </c>
      <c r="F300" s="25" t="n">
        <f aca="false">IF($O$11="sell",-1,1) * (-(B300*NORMDIST(I300,0,1,0)*$H$11)/(2*SQRT($J$11))/365) *$P$11</f>
        <v>-0</v>
      </c>
      <c r="G300" s="25" t="n">
        <f aca="false">IF($O$11="buy",1,-1)*( IF($K$11="call",B300*NORMDIST(I300,0,1,1) - $B$11*NORMDIST(J300,0,1,1),$B$11*NORMDIST(-J300,0,1,1) - B300*NORMDIST(-I300,0,1,1) ) - $G$11) * $P$11</f>
        <v>0</v>
      </c>
      <c r="I300" s="26" t="n">
        <f aca="false">(LN(B300/$B$11)+($H$11^2/2)*($J$11))/($H$11*SQRT($J$11))</f>
        <v>-0.0965349667227761</v>
      </c>
      <c r="J300" s="26" t="n">
        <f aca="false">I300 - $H$11*SQRT($J$11)</f>
        <v>-0.31132658915832</v>
      </c>
    </row>
    <row r="301" customFormat="false" ht="13.5" hidden="false" customHeight="true" outlineLevel="0" collapsed="false">
      <c r="B301" s="29" t="n">
        <f aca="false">B271</f>
        <v>66</v>
      </c>
      <c r="C301" s="25" t="n">
        <f aca="false">IF($O$11="sell",-1,1) *  IF($K$11="call",  NORMDIST(I301,0,1,1),  NORMDIST(I301,0,1,1)-1  ) * $P$11</f>
        <v>-0</v>
      </c>
      <c r="D301" s="25" t="n">
        <f aca="false">IF($O$11="sell",-1,1) * NORMDIST(I301,0,1,0)/(B301*$H$11*SQRT($J$11)) * $P$11</f>
        <v>0</v>
      </c>
      <c r="E301" s="25" t="n">
        <f aca="false">IF($O$11="sell",-1,1) * (B301*NORMDIST(I301,0,1,0)*SQRT($J$11)/365) * $P$11</f>
        <v>0</v>
      </c>
      <c r="F301" s="25" t="n">
        <f aca="false">IF($O$11="sell",-1,1) * (-(B301*NORMDIST(I301,0,1,0)*$H$11)/(2*SQRT($J$11))/365) *$P$11</f>
        <v>-0</v>
      </c>
      <c r="G301" s="25" t="n">
        <f aca="false">IF($O$11="buy",1,-1)*( IF($K$11="call",B301*NORMDIST(I301,0,1,1) - $B$11*NORMDIST(J301,0,1,1),$B$11*NORMDIST(-J301,0,1,1) - B301*NORMDIST(-I301,0,1,1) ) - $G$11) * $P$11</f>
        <v>0</v>
      </c>
      <c r="I301" s="26" t="n">
        <f aca="false">(LN(B301/$B$11)+($H$11^2/2)*($J$11))/($H$11*SQRT($J$11))</f>
        <v>-0.166546437347303</v>
      </c>
      <c r="J301" s="26" t="n">
        <f aca="false">I301 - $H$11*SQRT($J$11)</f>
        <v>-0.381338059782847</v>
      </c>
    </row>
    <row r="302" customFormat="false" ht="13.5" hidden="false" customHeight="true" outlineLevel="0" collapsed="false">
      <c r="B302" s="29" t="n">
        <f aca="false">B272</f>
        <v>65</v>
      </c>
      <c r="C302" s="25" t="n">
        <f aca="false">IF($O$11="sell",-1,1) *  IF($K$11="call",  NORMDIST(I302,0,1,1),  NORMDIST(I302,0,1,1)-1  ) * $P$11</f>
        <v>-0</v>
      </c>
      <c r="D302" s="25" t="n">
        <f aca="false">IF($O$11="sell",-1,1) * NORMDIST(I302,0,1,0)/(B302*$H$11*SQRT($J$11)) * $P$11</f>
        <v>0</v>
      </c>
      <c r="E302" s="25" t="n">
        <f aca="false">IF($O$11="sell",-1,1) * (B302*NORMDIST(I302,0,1,0)*SQRT($J$11)/365) * $P$11</f>
        <v>0</v>
      </c>
      <c r="F302" s="25" t="n">
        <f aca="false">IF($O$11="sell",-1,1) * (-(B302*NORMDIST(I302,0,1,0)*$H$11)/(2*SQRT($J$11))/365) *$P$11</f>
        <v>-0</v>
      </c>
      <c r="G302" s="25" t="n">
        <f aca="false">IF($O$11="buy",1,-1)*( IF($K$11="call",B302*NORMDIST(I302,0,1,1) - $B$11*NORMDIST(J302,0,1,1),$B$11*NORMDIST(-J302,0,1,1) - B302*NORMDIST(-I302,0,1,1) ) - $G$11) * $P$11</f>
        <v>0</v>
      </c>
      <c r="I302" s="26" t="n">
        <f aca="false">(LN(B302/$B$11)+($H$11^2/2)*($J$11))/($H$11*SQRT($J$11))</f>
        <v>-0.237626826599309</v>
      </c>
      <c r="J302" s="26" t="n">
        <f aca="false">I302 - $H$11*SQRT($J$11)</f>
        <v>-0.452418449034853</v>
      </c>
    </row>
    <row r="303" customFormat="false" ht="13.5" hidden="false" customHeight="true" outlineLevel="0" collapsed="false">
      <c r="B303" s="29" t="n">
        <f aca="false">B273</f>
        <v>64</v>
      </c>
      <c r="C303" s="25" t="n">
        <f aca="false">IF($O$11="sell",-1,1) *  IF($K$11="call",  NORMDIST(I303,0,1,1),  NORMDIST(I303,0,1,1)-1  ) * $P$11</f>
        <v>-0</v>
      </c>
      <c r="D303" s="25" t="n">
        <f aca="false">IF($O$11="sell",-1,1) * NORMDIST(I303,0,1,0)/(B303*$H$11*SQRT($J$11)) * $P$11</f>
        <v>0</v>
      </c>
      <c r="E303" s="25" t="n">
        <f aca="false">IF($O$11="sell",-1,1) * (B303*NORMDIST(I303,0,1,0)*SQRT($J$11)/365) * $P$11</f>
        <v>0</v>
      </c>
      <c r="F303" s="25" t="n">
        <f aca="false">IF($O$11="sell",-1,1) * (-(B303*NORMDIST(I303,0,1,0)*$H$11)/(2*SQRT($J$11))/365) *$P$11</f>
        <v>-0</v>
      </c>
      <c r="G303" s="25" t="n">
        <f aca="false">IF($O$11="buy",1,-1)*( IF($K$11="call",B303*NORMDIST(I303,0,1,1) - $B$11*NORMDIST(J303,0,1,1),$B$11*NORMDIST(-J303,0,1,1) - B303*NORMDIST(-I303,0,1,1) ) - $G$11) * $P$11</f>
        <v>0</v>
      </c>
      <c r="I303" s="26" t="n">
        <f aca="false">(LN(B303/$B$11)+($H$11^2/2)*($J$11))/($H$11*SQRT($J$11))</f>
        <v>-0.309809281204204</v>
      </c>
      <c r="J303" s="26" t="n">
        <f aca="false">I303 - $H$11*SQRT($J$11)</f>
        <v>-0.524600903639748</v>
      </c>
    </row>
    <row r="304" customFormat="false" ht="13.5" hidden="false" customHeight="true" outlineLevel="0" collapsed="false">
      <c r="B304" s="29" t="n">
        <f aca="false">B274</f>
        <v>63</v>
      </c>
      <c r="C304" s="25" t="n">
        <f aca="false">IF($O$11="sell",-1,1) *  IF($K$11="call",  NORMDIST(I304,0,1,1),  NORMDIST(I304,0,1,1)-1  ) * $P$11</f>
        <v>-0</v>
      </c>
      <c r="D304" s="25" t="n">
        <f aca="false">IF($O$11="sell",-1,1) * NORMDIST(I304,0,1,0)/(B304*$H$11*SQRT($J$11)) * $P$11</f>
        <v>0</v>
      </c>
      <c r="E304" s="25" t="n">
        <f aca="false">IF($O$11="sell",-1,1) * (B304*NORMDIST(I304,0,1,0)*SQRT($J$11)/365) * $P$11</f>
        <v>0</v>
      </c>
      <c r="F304" s="25" t="n">
        <f aca="false">IF($O$11="sell",-1,1) * (-(B304*NORMDIST(I304,0,1,0)*$H$11)/(2*SQRT($J$11))/365) *$P$11</f>
        <v>-0</v>
      </c>
      <c r="G304" s="25" t="n">
        <f aca="false">IF($O$11="buy",1,-1)*( IF($K$11="call",B304*NORMDIST(I304,0,1,1) - $B$11*NORMDIST(J304,0,1,1),$B$11*NORMDIST(-J304,0,1,1) - B304*NORMDIST(-I304,0,1,1) ) - $G$11) * $P$11</f>
        <v>0</v>
      </c>
      <c r="I304" s="26" t="n">
        <f aca="false">(LN(B304/$B$11)+($H$11^2/2)*($J$11))/($H$11*SQRT($J$11))</f>
        <v>-0.383128514000935</v>
      </c>
      <c r="J304" s="26" t="n">
        <f aca="false">I304 - $H$11*SQRT($J$11)</f>
        <v>-0.597920136436479</v>
      </c>
    </row>
    <row r="305" customFormat="false" ht="13.5" hidden="false" customHeight="true" outlineLevel="0" collapsed="false">
      <c r="B305" s="29" t="n">
        <f aca="false">B275</f>
        <v>62</v>
      </c>
      <c r="C305" s="25" t="n">
        <f aca="false">IF($O$11="sell",-1,1) *  IF($K$11="call",  NORMDIST(I305,0,1,1),  NORMDIST(I305,0,1,1)-1  ) * $P$11</f>
        <v>-0</v>
      </c>
      <c r="D305" s="25" t="n">
        <f aca="false">IF($O$11="sell",-1,1) * NORMDIST(I305,0,1,0)/(B305*$H$11*SQRT($J$11)) * $P$11</f>
        <v>0</v>
      </c>
      <c r="E305" s="25" t="n">
        <f aca="false">IF($O$11="sell",-1,1) * (B305*NORMDIST(I305,0,1,0)*SQRT($J$11)/365) * $P$11</f>
        <v>0</v>
      </c>
      <c r="F305" s="25" t="n">
        <f aca="false">IF($O$11="sell",-1,1) * (-(B305*NORMDIST(I305,0,1,0)*$H$11)/(2*SQRT($J$11))/365) *$P$11</f>
        <v>-0</v>
      </c>
      <c r="G305" s="25" t="n">
        <f aca="false">IF($O$11="buy",1,-1)*( IF($K$11="call",B305*NORMDIST(I305,0,1,1) - $B$11*NORMDIST(J305,0,1,1),$B$11*NORMDIST(-J305,0,1,1) - B305*NORMDIST(-I305,0,1,1) ) - $G$11) * $P$11</f>
        <v>0</v>
      </c>
      <c r="I305" s="26" t="n">
        <f aca="false">(LN(B305/$B$11)+($H$11^2/2)*($J$11))/($H$11*SQRT($J$11))</f>
        <v>-0.457620904183623</v>
      </c>
      <c r="J305" s="26" t="n">
        <f aca="false">I305 - $H$11*SQRT($J$11)</f>
        <v>-0.672412526619167</v>
      </c>
    </row>
    <row r="306" customFormat="false" ht="13.5" hidden="false" customHeight="true" outlineLevel="0" collapsed="false">
      <c r="B306" s="29" t="n">
        <f aca="false">B276</f>
        <v>61</v>
      </c>
      <c r="C306" s="25" t="n">
        <f aca="false">IF($O$11="sell",-1,1) *  IF($K$11="call",  NORMDIST(I306,0,1,1),  NORMDIST(I306,0,1,1)-1  ) * $P$11</f>
        <v>-0</v>
      </c>
      <c r="D306" s="25" t="n">
        <f aca="false">IF($O$11="sell",-1,1) * NORMDIST(I306,0,1,0)/(B306*$H$11*SQRT($J$11)) * $P$11</f>
        <v>0</v>
      </c>
      <c r="E306" s="25" t="n">
        <f aca="false">IF($O$11="sell",-1,1) * (B306*NORMDIST(I306,0,1,0)*SQRT($J$11)/365) * $P$11</f>
        <v>0</v>
      </c>
      <c r="F306" s="25" t="n">
        <f aca="false">IF($O$11="sell",-1,1) * (-(B306*NORMDIST(I306,0,1,0)*$H$11)/(2*SQRT($J$11))/365) *$P$11</f>
        <v>-0</v>
      </c>
      <c r="G306" s="25" t="n">
        <f aca="false">IF($O$11="buy",1,-1)*( IF($K$11="call",B306*NORMDIST(I306,0,1,1) - $B$11*NORMDIST(J306,0,1,1),$B$11*NORMDIST(-J306,0,1,1) - B306*NORMDIST(-I306,0,1,1) ) - $G$11) * $P$11</f>
        <v>0</v>
      </c>
      <c r="I306" s="26" t="n">
        <f aca="false">(LN(B306/$B$11)+($H$11^2/2)*($J$11))/($H$11*SQRT($J$11))</f>
        <v>-0.533324605693955</v>
      </c>
      <c r="J306" s="26" t="n">
        <f aca="false">I306 - $H$11*SQRT($J$11)</f>
        <v>-0.748116228129498</v>
      </c>
    </row>
    <row r="307" customFormat="false" ht="13.5" hidden="false" customHeight="true" outlineLevel="0" collapsed="false">
      <c r="B307" s="29" t="n">
        <f aca="false">B277</f>
        <v>60</v>
      </c>
      <c r="C307" s="25" t="n">
        <f aca="false">IF($O$11="sell",-1,1) *  IF($K$11="call",  NORMDIST(I307,0,1,1),  NORMDIST(I307,0,1,1)-1  ) * $P$11</f>
        <v>-0</v>
      </c>
      <c r="D307" s="25" t="n">
        <f aca="false">IF($O$11="sell",-1,1) * NORMDIST(I307,0,1,0)/(B307*$H$11*SQRT($J$11)) * $P$11</f>
        <v>0</v>
      </c>
      <c r="E307" s="25" t="n">
        <f aca="false">IF($O$11="sell",-1,1) * (B307*NORMDIST(I307,0,1,0)*SQRT($J$11)/365) * $P$11</f>
        <v>0</v>
      </c>
      <c r="F307" s="25" t="n">
        <f aca="false">IF($O$11="sell",-1,1) * (-(B307*NORMDIST(I307,0,1,0)*$H$11)/(2*SQRT($J$11))/365) *$P$11</f>
        <v>-0</v>
      </c>
      <c r="G307" s="25" t="n">
        <f aca="false">IF($O$11="buy",1,-1)*( IF($K$11="call",B307*NORMDIST(I307,0,1,1) - $B$11*NORMDIST(J307,0,1,1),$B$11*NORMDIST(-J307,0,1,1) - B307*NORMDIST(-I307,0,1,1) ) - $G$11) * $P$11</f>
        <v>0</v>
      </c>
      <c r="I307" s="26" t="n">
        <f aca="false">(LN(B307/$B$11)+($H$11^2/2)*($J$11))/($H$11*SQRT($J$11))</f>
        <v>-0.610279664572803</v>
      </c>
      <c r="J307" s="26" t="n">
        <f aca="false">I307 - $H$11*SQRT($J$11)</f>
        <v>-0.825071287008347</v>
      </c>
    </row>
    <row r="308" customFormat="false" ht="13.5" hidden="false" customHeight="true" outlineLevel="0" collapsed="false">
      <c r="B308" s="29" t="n">
        <f aca="false">B278</f>
        <v>59</v>
      </c>
      <c r="C308" s="25" t="n">
        <f aca="false">IF($O$11="sell",-1,1) *  IF($K$11="call",  NORMDIST(I308,0,1,1),  NORMDIST(I308,0,1,1)-1  ) * $P$11</f>
        <v>-0</v>
      </c>
      <c r="D308" s="25" t="n">
        <f aca="false">IF($O$11="sell",-1,1) * NORMDIST(I308,0,1,0)/(B308*$H$11*SQRT($J$11)) * $P$11</f>
        <v>0</v>
      </c>
      <c r="E308" s="25" t="n">
        <f aca="false">IF($O$11="sell",-1,1) * (B308*NORMDIST(I308,0,1,0)*SQRT($J$11)/365) * $P$11</f>
        <v>0</v>
      </c>
      <c r="F308" s="25" t="n">
        <f aca="false">IF($O$11="sell",-1,1) * (-(B308*NORMDIST(I308,0,1,0)*$H$11)/(2*SQRT($J$11))/365) *$P$11</f>
        <v>-0</v>
      </c>
      <c r="G308" s="25" t="n">
        <f aca="false">IF($O$11="buy",1,-1)*( IF($K$11="call",B308*NORMDIST(I308,0,1,1) - $B$11*NORMDIST(J308,0,1,1),$B$11*NORMDIST(-J308,0,1,1) - B308*NORMDIST(-I308,0,1,1) ) - $G$11) * $P$11</f>
        <v>0</v>
      </c>
      <c r="I308" s="26" t="n">
        <f aca="false">(LN(B308/$B$11)+($H$11^2/2)*($J$11))/($H$11*SQRT($J$11))</f>
        <v>-0.688528146174663</v>
      </c>
      <c r="J308" s="26" t="n">
        <f aca="false">I308 - $H$11*SQRT($J$11)</f>
        <v>-0.903319768610206</v>
      </c>
    </row>
    <row r="309" customFormat="false" ht="13.5" hidden="false" customHeight="true" outlineLevel="0" collapsed="false">
      <c r="B309" s="29" t="n">
        <f aca="false">B279</f>
        <v>58</v>
      </c>
      <c r="C309" s="25" t="n">
        <f aca="false">IF($O$11="sell",-1,1) *  IF($K$11="call",  NORMDIST(I309,0,1,1),  NORMDIST(I309,0,1,1)-1  ) * $P$11</f>
        <v>-0</v>
      </c>
      <c r="D309" s="25" t="n">
        <f aca="false">IF($O$11="sell",-1,1) * NORMDIST(I309,0,1,0)/(B309*$H$11*SQRT($J$11)) * $P$11</f>
        <v>0</v>
      </c>
      <c r="E309" s="25" t="n">
        <f aca="false">IF($O$11="sell",-1,1) * (B309*NORMDIST(I309,0,1,0)*SQRT($J$11)/365) * $P$11</f>
        <v>0</v>
      </c>
      <c r="F309" s="25" t="n">
        <f aca="false">IF($O$11="sell",-1,1) * (-(B309*NORMDIST(I309,0,1,0)*$H$11)/(2*SQRT($J$11))/365) *$P$11</f>
        <v>-0</v>
      </c>
      <c r="G309" s="25" t="n">
        <f aca="false">IF($O$11="buy",1,-1)*( IF($K$11="call",B309*NORMDIST(I309,0,1,1) - $B$11*NORMDIST(J309,0,1,1),$B$11*NORMDIST(-J309,0,1,1) - B309*NORMDIST(-I309,0,1,1) ) - $G$11) * $P$11</f>
        <v>0</v>
      </c>
      <c r="I309" s="26" t="n">
        <f aca="false">(LN(B309/$B$11)+($H$11^2/2)*($J$11))/($H$11*SQRT($J$11))</f>
        <v>-0.768114273256643</v>
      </c>
      <c r="J309" s="26" t="n">
        <f aca="false">I309 - $H$11*SQRT($J$11)</f>
        <v>-0.982905895692187</v>
      </c>
    </row>
    <row r="310" customFormat="false" ht="13.5" hidden="false" customHeight="true" outlineLevel="0" collapsed="false">
      <c r="B310" s="29" t="n">
        <f aca="false">B280</f>
        <v>57</v>
      </c>
      <c r="C310" s="25" t="n">
        <f aca="false">IF($O$11="sell",-1,1) *  IF($K$11="call",  NORMDIST(I310,0,1,1),  NORMDIST(I310,0,1,1)-1  ) * $P$11</f>
        <v>-0</v>
      </c>
      <c r="D310" s="25" t="n">
        <f aca="false">IF($O$11="sell",-1,1) * NORMDIST(I310,0,1,0)/(B310*$H$11*SQRT($J$11)) * $P$11</f>
        <v>0</v>
      </c>
      <c r="E310" s="25" t="n">
        <f aca="false">IF($O$11="sell",-1,1) * (B310*NORMDIST(I310,0,1,0)*SQRT($J$11)/365) * $P$11</f>
        <v>0</v>
      </c>
      <c r="F310" s="25" t="n">
        <f aca="false">IF($O$11="sell",-1,1) * (-(B310*NORMDIST(I310,0,1,0)*$H$11)/(2*SQRT($J$11))/365) *$P$11</f>
        <v>-0</v>
      </c>
      <c r="G310" s="25" t="n">
        <f aca="false">IF($O$11="buy",1,-1)*( IF($K$11="call",B310*NORMDIST(I310,0,1,1) - $B$11*NORMDIST(J310,0,1,1),$B$11*NORMDIST(-J310,0,1,1) - B310*NORMDIST(-I310,0,1,1) ) - $G$11) * $P$11</f>
        <v>0</v>
      </c>
      <c r="I310" s="26" t="n">
        <f aca="false">(LN(B310/$B$11)+($H$11^2/2)*($J$11))/($H$11*SQRT($J$11))</f>
        <v>-0.849084576076942</v>
      </c>
      <c r="J310" s="26" t="n">
        <f aca="false">I310 - $H$11*SQRT($J$11)</f>
        <v>-1.06387619851249</v>
      </c>
    </row>
    <row r="311" customFormat="false" ht="13.5" hidden="false" customHeight="true" outlineLevel="0" collapsed="false">
      <c r="B311" s="30"/>
      <c r="C311" s="22"/>
      <c r="D311" s="22"/>
      <c r="E311" s="22"/>
      <c r="F311" s="22"/>
      <c r="G311" s="22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2" t="s">
        <v>160</v>
      </c>
      <c r="B313" s="23"/>
      <c r="C313" s="19" t="s">
        <v>13</v>
      </c>
      <c r="D313" s="19" t="s">
        <v>14</v>
      </c>
      <c r="E313" s="19" t="s">
        <v>15</v>
      </c>
      <c r="F313" s="19" t="s">
        <v>16</v>
      </c>
      <c r="G313" s="19" t="s">
        <v>17</v>
      </c>
    </row>
    <row r="314" customFormat="false" ht="13.5" hidden="false" customHeight="true" outlineLevel="0" collapsed="false">
      <c r="B314" s="29" t="n">
        <f aca="false">B17</f>
        <v>83</v>
      </c>
      <c r="C314" s="25" t="n">
        <f aca="false">C17+C46+C75+C104+C134+C164+C194+C224+C254+C284</f>
        <v>-1.1061601902927</v>
      </c>
      <c r="D314" s="25" t="n">
        <f aca="false">D17+D46+D75+D104+D134+D164+D194+D224+D254+D284</f>
        <v>0.122981492348553</v>
      </c>
      <c r="E314" s="25" t="n">
        <f aca="false">E17+E46+E75+E104+E134+E164+E194+E224+E254+E284</f>
        <v>0.126723598097013</v>
      </c>
      <c r="F314" s="25" t="n">
        <f aca="false">F17+F46+F75+F104+F134+F164+F194+F224+F254+F284</f>
        <v>-0.606162753662818</v>
      </c>
      <c r="G314" s="25" t="n">
        <f aca="false">G17+G46+G75+G104+G134+G164+G194+G224+G254+G284</f>
        <v>-6.3902664119019</v>
      </c>
    </row>
    <row r="315" customFormat="false" ht="13.5" hidden="false" customHeight="true" outlineLevel="0" collapsed="false">
      <c r="B315" s="29" t="n">
        <f aca="false">B18</f>
        <v>82</v>
      </c>
      <c r="C315" s="25" t="n">
        <f aca="false">C18+C47+C76+C105+C135+C165+C195+C225+C255+C285</f>
        <v>-1.23559765025303</v>
      </c>
      <c r="D315" s="25" t="n">
        <f aca="false">D18+D47+D76+D105+D135+D165+D195+D225+D255+D285</f>
        <v>0.136052098098974</v>
      </c>
      <c r="E315" s="25" t="n">
        <f aca="false">E18+E47+E76+E105+E135+E165+E195+E225+E255+E285</f>
        <v>0.135129774707013</v>
      </c>
      <c r="F315" s="25" t="n">
        <f aca="false">F18+F47+F76+F105+F135+F165+F195+F225+F255+F285</f>
        <v>-0.657166547432538</v>
      </c>
      <c r="G315" s="25" t="n">
        <f aca="false">G18+G47+G76+G105+G135+G165+G195+G225+G255+G285</f>
        <v>-5.22047673792214</v>
      </c>
    </row>
    <row r="316" customFormat="false" ht="13.5" hidden="false" customHeight="true" outlineLevel="0" collapsed="false">
      <c r="B316" s="29" t="n">
        <f aca="false">B19</f>
        <v>81</v>
      </c>
      <c r="C316" s="25" t="n">
        <f aca="false">C19+C48+C77+C106+C136+C166+C196+C226+C256+C286</f>
        <v>-1.37857699581358</v>
      </c>
      <c r="D316" s="25" t="n">
        <f aca="false">D19+D48+D77+D106+D136+D166+D196+D226+D256+D286</f>
        <v>0.150059677708381</v>
      </c>
      <c r="E316" s="25" t="n">
        <f aca="false">E19+E48+E77+E106+E136+E166+E196+E226+E256+E286</f>
        <v>0.14373858766495</v>
      </c>
      <c r="F316" s="25" t="n">
        <f aca="false">F19+F48+F77+F106+F136+F166+F196+F226+F256+F286</f>
        <v>-0.71001218252588</v>
      </c>
      <c r="G316" s="25" t="n">
        <f aca="false">G19+G48+G77+G106+G136+G166+G196+G226+G256+G286</f>
        <v>-3.91455677791909</v>
      </c>
    </row>
    <row r="317" customFormat="false" ht="13.5" hidden="false" customHeight="true" outlineLevel="0" collapsed="false">
      <c r="B317" s="29" t="n">
        <f aca="false">B20</f>
        <v>80</v>
      </c>
      <c r="C317" s="25" t="n">
        <f aca="false">C20+C49+C78+C107+C137+C167+C197+C227+C257+C287</f>
        <v>-1.53601399448572</v>
      </c>
      <c r="D317" s="25" t="n">
        <f aca="false">D20+D49+D78+D107+D137+D167+D197+D227+D257+D287</f>
        <v>0.164957254302467</v>
      </c>
      <c r="E317" s="25" t="n">
        <f aca="false">E20+E49+E78+E107+E137+E167+E197+E227+E257+E287</f>
        <v>0.152487323134915</v>
      </c>
      <c r="F317" s="25" t="n">
        <f aca="false">F20+F49+F78+F107+F137+F167+F197+F227+F257+F287</f>
        <v>-0.764205135178665</v>
      </c>
      <c r="G317" s="25" t="n">
        <f aca="false">G20+G49+G78+G107+G137+G167+G197+G227+G257+G287</f>
        <v>-2.45850285259874</v>
      </c>
    </row>
    <row r="318" customFormat="false" ht="13.5" hidden="false" customHeight="true" outlineLevel="0" collapsed="false">
      <c r="B318" s="29" t="n">
        <f aca="false">B21</f>
        <v>79</v>
      </c>
      <c r="C318" s="25" t="n">
        <f aca="false">C21+C50+C79+C108+C138+C168+C198+C228+C258+C288</f>
        <v>-1.70876319651587</v>
      </c>
      <c r="D318" s="25" t="n">
        <f aca="false">D21+D50+D79+D108+D138+D168+D198+D228+D258+D288</f>
        <v>0.18066884391316</v>
      </c>
      <c r="E318" s="25" t="n">
        <f aca="false">E21+E50+E79+E108+E138+E168+E198+E228+E258+E288</f>
        <v>0.161301771323156</v>
      </c>
      <c r="F318" s="25" t="n">
        <f aca="false">F21+F50+F79+F108+F138+F168+F198+F228+F258+F288</f>
        <v>-0.819141737275975</v>
      </c>
      <c r="G318" s="25" t="n">
        <f aca="false">G21+G50+G79+G108+G138+G168+G198+G228+G258+G288</f>
        <v>-0.837423705632324</v>
      </c>
    </row>
    <row r="319" customFormat="false" ht="13.5" hidden="false" customHeight="true" outlineLevel="0" collapsed="false">
      <c r="B319" s="29" t="n">
        <f aca="false">B22</f>
        <v>78</v>
      </c>
      <c r="C319" s="25" t="n">
        <f aca="false">C22+C51+C80+C109+C139+C169+C199+C229+C259+C289</f>
        <v>-1.89758747280693</v>
      </c>
      <c r="D319" s="25" t="n">
        <f aca="false">D22+D51+D80+D109+D139+D169+D199+D229+D259+D289</f>
        <v>0.197086680455073</v>
      </c>
      <c r="E319" s="25" t="n">
        <f aca="false">E22+E51+E80+E109+E139+E169+E199+E229+E259+E289</f>
        <v>0.170096483383299</v>
      </c>
      <c r="F319" s="25" t="n">
        <f aca="false">F22+F51+F80+F109+F139+F169+F199+F229+F259+F289</f>
        <v>-0.8741121750611</v>
      </c>
      <c r="G319" s="25" t="n">
        <f aca="false">G22+G51+G80+G109+G139+G169+G199+G229+G259+G289</f>
        <v>0.964383279749148</v>
      </c>
    </row>
    <row r="320" customFormat="false" ht="13.5" hidden="false" customHeight="true" outlineLevel="0" collapsed="false">
      <c r="B320" s="29" t="n">
        <f aca="false">B23</f>
        <v>77</v>
      </c>
      <c r="C320" s="25" t="n">
        <f aca="false">C23+C52+C81+C110+C140+C170+C200+C230+C260+C290</f>
        <v>-2.10312523842348</v>
      </c>
      <c r="D320" s="25" t="n">
        <f aca="false">D23+D52+D81+D110+D140+D170+D200+D230+D260+D290</f>
        <v>0.214069418043709</v>
      </c>
      <c r="E320" s="25" t="n">
        <f aca="false">E23+E52+E81+E110+E140+E170+E200+E230+E260+E290</f>
        <v>0.178775536348478</v>
      </c>
      <c r="F320" s="25" t="n">
        <f aca="false">F23+F52+F81+F110+F140+F170+F200+F230+F260+F290</f>
        <v>-0.928309199907281</v>
      </c>
      <c r="G320" s="25" t="n">
        <f aca="false">G23+G52+G81+G110+G140+G170+G200+G230+G260+G290</f>
        <v>2.96332416344331</v>
      </c>
    </row>
    <row r="321" customFormat="false" ht="13.5" hidden="false" customHeight="true" outlineLevel="0" collapsed="false">
      <c r="B321" s="29" t="n">
        <f aca="false">B24</f>
        <v>76</v>
      </c>
      <c r="C321" s="25" t="n">
        <f aca="false">C24+C53+C82+C111+C141+C171+C201+C231+C261+C291</f>
        <v>-2.32585650784555</v>
      </c>
      <c r="D321" s="25" t="n">
        <f aca="false">D24+D53+D82+D111+D141+D171+D201+D231+D261+D291</f>
        <v>0.231441647790202</v>
      </c>
      <c r="E321" s="25" t="n">
        <f aca="false">E24+E53+E82+E111+E141+E171+E201+E231+E261+E291</f>
        <v>0.187233862406961</v>
      </c>
      <c r="F321" s="25" t="n">
        <f aca="false">F24+F53+F82+F111+F141+F171+F201+F231+F261+F291</f>
        <v>-0.980843176787483</v>
      </c>
      <c r="G321" s="25" t="n">
        <f aca="false">G24+G53+G82+G111+G141+G171+G201+G231+G261+G291</f>
        <v>5.1763670609797</v>
      </c>
    </row>
    <row r="322" customFormat="false" ht="13.5" hidden="false" customHeight="true" outlineLevel="0" collapsed="false">
      <c r="B322" s="29" t="n">
        <f aca="false">B25</f>
        <v>75</v>
      </c>
      <c r="C322" s="25" t="n">
        <f aca="false">C25+C54+C83+C112+C142+C172+C202+C232+C262+C292</f>
        <v>-2.56606925860888</v>
      </c>
      <c r="D322" s="25" t="n">
        <f aca="false">D25+D54+D83+D112+D142+D172+D202+D232+D262+D292</f>
        <v>0.248995047524454</v>
      </c>
      <c r="E322" s="25" t="n">
        <f aca="false">E25+E54+E83+E112+E142+E172+E202+E232+E262+E292</f>
        <v>0.195359170694579</v>
      </c>
      <c r="F322" s="25" t="n">
        <f aca="false">F25+F54+F83+F112+F142+F172+F202+F232+F262+F292</f>
        <v>-1.03076375079848</v>
      </c>
      <c r="G322" s="25" t="n">
        <f aca="false">G25+G54+G83+G112+G142+G172+G202+G232+G262+G292</f>
        <v>7.6208668293184</v>
      </c>
    </row>
    <row r="323" customFormat="false" ht="13.5" hidden="false" customHeight="true" outlineLevel="0" collapsed="false">
      <c r="B323" s="29" t="n">
        <f aca="false">B26</f>
        <v>74</v>
      </c>
      <c r="C323" s="25" t="n">
        <f aca="false">C26+C55+C84+C113+C143+C173+C203+C233+C263+C293</f>
        <v>-2.82382787461009</v>
      </c>
      <c r="D323" s="25" t="n">
        <f aca="false">D26+D55+D84+D113+D143+D173+D203+D233+D263+D293</f>
        <v>0.266491428914813</v>
      </c>
      <c r="E323" s="25" t="n">
        <f aca="false">E26+E55+E84+E113+E143+E173+E203+E233+E263+E293</f>
        <v>0.203034452507263</v>
      </c>
      <c r="F323" s="25" t="n">
        <f aca="false">F26+F55+F84+F113+F143+F173+F203+F233+F263+F293</f>
        <v>-1.07708795617138</v>
      </c>
      <c r="G323" s="25" t="n">
        <f aca="false">G26+G55+G84+G113+G143+G173+G203+G233+G263+G293</f>
        <v>10.3143569978745</v>
      </c>
    </row>
    <row r="324" customFormat="false" ht="13.5" hidden="false" customHeight="true" outlineLevel="0" collapsed="false">
      <c r="B324" s="29" t="n">
        <f aca="false">B27</f>
        <v>73</v>
      </c>
      <c r="C324" s="25" t="n">
        <f aca="false">C27+C56+C85+C114+C144+C174+C204+C234+C264+C294</f>
        <v>-3.09894566127898</v>
      </c>
      <c r="D324" s="25" t="n">
        <f aca="false">D27+D56+D85+D114+D144+D174+D204+D234+D264+D294</f>
        <v>0.283667852470368</v>
      </c>
      <c r="E324" s="25" t="n">
        <f aca="false">E27+E56+E85+E114+E144+E174+E204+E234+E264+E294</f>
        <v>0.210141015946917</v>
      </c>
      <c r="F324" s="25" t="n">
        <f aca="false">F27+F56+F85+F114+F144+F174+F204+F234+F264+F294</f>
        <v>-1.11883404465062</v>
      </c>
      <c r="G324" s="25" t="n">
        <f aca="false">G27+G56+G85+G114+G144+G174+G204+G234+G264+G294</f>
        <v>13.2743120062704</v>
      </c>
    </row>
    <row r="325" customFormat="false" ht="13.5" hidden="false" customHeight="true" outlineLevel="0" collapsed="false">
      <c r="B325" s="29" t="n">
        <f aca="false">B28</f>
        <v>72</v>
      </c>
      <c r="C325" s="25" t="n">
        <f aca="false">C28+C57+C86+C115+C145+C175+C205+C235+C265+C295</f>
        <v>-3.39096353109336</v>
      </c>
      <c r="D325" s="25" t="n">
        <f aca="false">D28+D57+D86+D115+D145+D175+D205+D235+D265+D295</f>
        <v>0.300243845770879</v>
      </c>
      <c r="E325" s="25" t="n">
        <f aca="false">E28+E57+E86+E115+E145+E175+E205+E235+E265+E295</f>
        <v>0.216561946365501</v>
      </c>
      <c r="F325" s="25" t="n">
        <f aca="false">F28+F57+F86+F115+F145+F175+F205+F235+F265+F295</f>
        <v>-1.15505970676104</v>
      </c>
      <c r="G325" s="25" t="n">
        <f aca="false">G28+G57+G86+G115+G145+G175+G205+G235+G265+G295</f>
        <v>16.5178848669201</v>
      </c>
    </row>
    <row r="326" customFormat="false" ht="13.5" hidden="false" customHeight="true" outlineLevel="0" collapsed="false">
      <c r="B326" s="29" t="n">
        <f aca="false">B29</f>
        <v>71</v>
      </c>
      <c r="C326" s="25" t="n">
        <f aca="false">C29+C58+C87+C116+C146+C176+C206+C236+C266+C296</f>
        <v>-3.69913690980296</v>
      </c>
      <c r="D326" s="25" t="n">
        <f aca="false">D29+D58+D87+D116+D146+D176+D206+D236+D266+D296</f>
        <v>0.315930587756526</v>
      </c>
      <c r="E326" s="25" t="n">
        <f aca="false">E29+E58+E87+E116+E146+E176+E206+E236+E266+E296</f>
        <v>0.222185838811002</v>
      </c>
      <c r="F326" s="25" t="n">
        <f aca="false">F29+F58+F87+F116+F146+F176+F206+F236+F266+F296</f>
        <v>-1.18490275323726</v>
      </c>
      <c r="G326" s="25" t="n">
        <f aca="false">G29+G58+G87+G116+G146+G176+G206+G236+G266+G296</f>
        <v>20.0616274593657</v>
      </c>
    </row>
    <row r="327" customFormat="false" ht="13.5" hidden="false" customHeight="true" outlineLevel="0" collapsed="false">
      <c r="B327" s="29" t="n">
        <f aca="false">B30</f>
        <v>70</v>
      </c>
      <c r="C327" s="25" t="n">
        <f aca="false">C30+C59+C88+C117+C147+C177+C207+C237+C267+C297</f>
        <v>-4.02243267826454</v>
      </c>
      <c r="D327" s="25" t="n">
        <f aca="false">D30+D59+D88+D117+D147+D177+D207+D237+D267+D297</f>
        <v>0.330441721909321</v>
      </c>
      <c r="E327" s="25" t="n">
        <f aca="false">E30+E59+E88+E117+E147+E177+E207+E237+E267+E297</f>
        <v>0.226910603456642</v>
      </c>
      <c r="F327" s="25" t="n">
        <f aca="false">F30+F59+F88+F117+F147+F177+F207+F237+F267+F297</f>
        <v>-1.20762178257964</v>
      </c>
      <c r="G327" s="25" t="n">
        <f aca="false">G30+G59+G88+G117+G147+G177+G207+G237+G267+G297</f>
        <v>23.9212026126055</v>
      </c>
    </row>
    <row r="328" customFormat="false" ht="13.5" hidden="false" customHeight="true" outlineLevel="0" collapsed="false">
      <c r="B328" s="29" t="n">
        <f aca="false">B31</f>
        <v>69</v>
      </c>
      <c r="C328" s="25" t="n">
        <f aca="false">C31+C60+C89+C118+C148+C178+C208+C238+C268+C298</f>
        <v>-4.35953752220284</v>
      </c>
      <c r="D328" s="25" t="n">
        <f aca="false">D31+D60+D89+D118+D148+D178+D208+D238+D268+D298</f>
        <v>0.343505250227985</v>
      </c>
      <c r="E328" s="25" t="n">
        <f aca="false">E31+E60+E89+E118+E148+E178+E208+E238+E268+E298</f>
        <v>0.230647110943325</v>
      </c>
      <c r="F328" s="25" t="n">
        <f aca="false">F31+F60+F89+F118+F148+F178+F208+F238+F268+F298</f>
        <v>-1.22263396170648</v>
      </c>
      <c r="G328" s="25" t="n">
        <f aca="false">G31+G60+G89+G118+G148+G178+G208+G238+G268+G298</f>
        <v>28.1110987428732</v>
      </c>
    </row>
    <row r="329" customFormat="false" ht="13.5" hidden="false" customHeight="true" outlineLevel="0" collapsed="false">
      <c r="B329" s="29" t="n">
        <f aca="false">B32</f>
        <v>68</v>
      </c>
      <c r="C329" s="25" t="n">
        <f aca="false">C32+C61+C90+C119+C149+C179+C209+C239+C269+C299</f>
        <v>-4.70887841253985</v>
      </c>
      <c r="D329" s="25" t="n">
        <f aca="false">D32+D61+D90+D119+D149+D179+D209+D239+D269+D299</f>
        <v>0.354875760945119</v>
      </c>
      <c r="E329" s="25" t="n">
        <f aca="false">E32+E61+E90+E119+E149+E179+E209+E239+E269+E299</f>
        <v>0.233322428010003</v>
      </c>
      <c r="F329" s="25" t="n">
        <f aca="false">F32+F61+F90+F119+F149+F179+F209+F239+F269+F299</f>
        <v>-1.22954686836827</v>
      </c>
      <c r="G329" s="25" t="n">
        <f aca="false">G32+G61+G90+G119+G149+G179+G209+G239+G269+G299</f>
        <v>32.6443588784252</v>
      </c>
    </row>
    <row r="330" customFormat="false" ht="13.5" hidden="false" customHeight="true" outlineLevel="0" collapsed="false">
      <c r="B330" s="29" t="n">
        <f aca="false">B33</f>
        <v>67</v>
      </c>
      <c r="C330" s="25" t="n">
        <f aca="false">C33+C62+C91+C120+C150+C180+C210+C240+C270+C300</f>
        <v>-5.06865510772137</v>
      </c>
      <c r="D330" s="25" t="n">
        <f aca="false">D33+D62+D91+D120+D150+D180+D210+D240+D270+D300</f>
        <v>0.364346083703046</v>
      </c>
      <c r="E330" s="25" t="n">
        <f aca="false">E33+E62+E91+E120+E150+E180+E210+E240+E270+E300</f>
        <v>0.234882400228564</v>
      </c>
      <c r="F330" s="25" t="n">
        <f aca="false">F33+F62+F91+F120+F150+F180+F210+F240+F270+F300</f>
        <v>-1.22818145432016</v>
      </c>
      <c r="G330" s="25" t="n">
        <f aca="false">G33+G62+G91+G120+G150+G180+G210+G240+G270+G300</f>
        <v>37.5323362232385</v>
      </c>
    </row>
    <row r="331" customFormat="false" ht="13.5" hidden="false" customHeight="true" outlineLevel="0" collapsed="false">
      <c r="B331" s="29" t="n">
        <f aca="false">B34</f>
        <v>66</v>
      </c>
      <c r="C331" s="25" t="n">
        <f aca="false">C34+C63+C92+C121+C151+C181+C211+C241+C271+C301</f>
        <v>-5.43688361128528</v>
      </c>
      <c r="D331" s="25" t="n">
        <f aca="false">D34+D63+D92+D121+D151+D181+D211+D241+D271+D301</f>
        <v>0.371757376111323</v>
      </c>
      <c r="E331" s="25" t="n">
        <f aca="false">E34+E63+E92+E121+E151+E181+E211+E241+E271+E301</f>
        <v>0.235293371719652</v>
      </c>
      <c r="F331" s="25" t="n">
        <f aca="false">F34+F63+F92+F121+F151+F181+F211+F241+F271+F301</f>
        <v>-1.21858363159562</v>
      </c>
      <c r="G331" s="25" t="n">
        <f aca="false">G34+G63+G92+G121+G151+G181+G211+G241+G271+G301</f>
        <v>42.7844878313809</v>
      </c>
    </row>
    <row r="332" customFormat="false" ht="13.5" hidden="false" customHeight="true" outlineLevel="0" collapsed="false">
      <c r="B332" s="29" t="n">
        <f aca="false">B35</f>
        <v>65</v>
      </c>
      <c r="C332" s="25" t="n">
        <f aca="false">C35+C64+C93+C122+C152+C182+C212+C242+C272+C302</f>
        <v>-5.81144851635118</v>
      </c>
      <c r="D332" s="25" t="n">
        <f aca="false">D35+D64+D93+D122+D152+D182+D212+D242+D272+D302</f>
        <v>0.377006652787906</v>
      </c>
      <c r="E332" s="25" t="n">
        <f aca="false">E35+E64+E93+E122+E152+E182+E212+E242+E272+E302</f>
        <v>0.234542892098565</v>
      </c>
      <c r="F332" s="25" t="n">
        <f aca="false">F35+F64+F93+F122+F152+F182+F212+F242+F272+F302</f>
        <v>-1.20102276840716</v>
      </c>
      <c r="G332" s="25" t="n">
        <f aca="false">G35+G64+G93+G122+G152+G182+G212+G242+G272+G302</f>
        <v>48.4082163957081</v>
      </c>
    </row>
    <row r="333" customFormat="false" ht="13.5" hidden="false" customHeight="true" outlineLevel="0" collapsed="false">
      <c r="B333" s="29" t="n">
        <f aca="false">B36</f>
        <v>64</v>
      </c>
      <c r="C333" s="25" t="n">
        <f aca="false">C36+C65+C94+C123+C153+C183+C213+C243+C273+C303</f>
        <v>-6.19016123169082</v>
      </c>
      <c r="D333" s="25" t="n">
        <f aca="false">D36+D65+D94+D123+D153+D183+D213+D243+D273+D303</f>
        <v>0.380050892372012</v>
      </c>
      <c r="E333" s="25" t="n">
        <f aca="false">E36+E65+E94+E123+E153+E183+E213+E243+E273+E303</f>
        <v>0.232639345519068</v>
      </c>
      <c r="F333" s="25" t="n">
        <f aca="false">F36+F65+F94+F123+F153+F183+F213+F243+F273+F303</f>
        <v>-1.17597646712815</v>
      </c>
      <c r="G333" s="25" t="n">
        <f aca="false">G36+G65+G94+G123+G153+G183+G213+G243+G273+G303</f>
        <v>54.4087676073572</v>
      </c>
    </row>
    <row r="334" customFormat="false" ht="13.5" hidden="false" customHeight="true" outlineLevel="0" collapsed="false">
      <c r="B334" s="29" t="n">
        <f aca="false">B37</f>
        <v>63</v>
      </c>
      <c r="C334" s="25" t="n">
        <f aca="false">C37+C66+C95+C124+C154+C184+C214+C244+C274+C304</f>
        <v>-6.57082033381521</v>
      </c>
      <c r="D334" s="25" t="n">
        <f aca="false">D37+D66+D95+D124+D154+D184+D214+D244+D274+D304</f>
        <v>0.380907107136808</v>
      </c>
      <c r="E334" s="25" t="n">
        <f aca="false">E37+E66+E95+E124+E154+E184+E214+E244+E274+E304</f>
        <v>0.229610538319684</v>
      </c>
      <c r="F334" s="25" t="n">
        <f aca="false">F37+F66+F95+F124+F154+F184+F214+F244+F274+F304</f>
        <v>-1.1441022935572</v>
      </c>
      <c r="G334" s="25" t="n">
        <f aca="false">G37+G66+G95+G124+G154+G184+G214+G244+G274+G304</f>
        <v>60.7891871412798</v>
      </c>
    </row>
    <row r="335" customFormat="false" ht="13.5" hidden="false" customHeight="true" outlineLevel="0" collapsed="false">
      <c r="B335" s="29" t="n">
        <f aca="false">B38</f>
        <v>62</v>
      </c>
      <c r="C335" s="25" t="n">
        <f aca="false">C38+C67+C96+C125+C155+C185+C215+C245+C275+C305</f>
        <v>-6.95126984753478</v>
      </c>
      <c r="D335" s="25" t="n">
        <f aca="false">D38+D67+D96+D125+D155+D185+D215+D245+D275+D305</f>
        <v>0.379648123909305</v>
      </c>
      <c r="E335" s="25" t="n">
        <f aca="false">E38+E67+E96+E125+E155+E185+E215+E245+E275+E305</f>
        <v>0.22550138928385</v>
      </c>
      <c r="F335" s="25" t="n">
        <f aca="false">F38+F67+F96+F125+F155+F185+F215+F245+F275+F305</f>
        <v>-1.10619849455789</v>
      </c>
      <c r="G335" s="25" t="n">
        <f aca="false">G38+G67+G96+G125+G155+G185+G215+G245+G275+G305</f>
        <v>67.5503373161197</v>
      </c>
    </row>
    <row r="336" customFormat="false" ht="13.5" hidden="false" customHeight="true" outlineLevel="0" collapsed="false">
      <c r="B336" s="29" t="n">
        <f aca="false">B39</f>
        <v>61</v>
      </c>
      <c r="C336" s="25" t="n">
        <f aca="false">C39+C68+C97+C126+C156+C186+C216+C246+C276+C306</f>
        <v>-7.32945122539877</v>
      </c>
      <c r="D336" s="25" t="n">
        <f aca="false">D39+D68+D97+D126+D156+D186+D216+D246+D276+D306</f>
        <v>0.3763942740729</v>
      </c>
      <c r="E336" s="25" t="n">
        <f aca="false">E39+E68+E97+E126+E156+E186+E216+E246+E276+E306</f>
        <v>0.220370965854744</v>
      </c>
      <c r="F336" s="25" t="n">
        <f aca="false">F39+F68+F97+F126+F156+F186+F216+F246+F276+F306</f>
        <v>-1.06315700452737</v>
      </c>
      <c r="G336" s="25" t="n">
        <f aca="false">G39+G68+G97+G126+G156+G186+G216+G246+G276+G306</f>
        <v>74.6909692256838</v>
      </c>
    </row>
    <row r="337" customFormat="false" ht="13.5" hidden="false" customHeight="true" outlineLevel="0" collapsed="false">
      <c r="B337" s="29" t="n">
        <f aca="false">B40</f>
        <v>60</v>
      </c>
      <c r="C337" s="25" t="n">
        <f aca="false">C40+C69+C98+C127+C157+C187+C217+C247+C277+C307</f>
        <v>-7.70344523593442</v>
      </c>
      <c r="D337" s="25" t="n">
        <f aca="false">D40+D69+D98+D127+D157+D187+D217+D247+D277+D307</f>
        <v>0.371301674699083</v>
      </c>
      <c r="E337" s="25" t="n">
        <f aca="false">E40+E69+E98+E127+E157+E187+E217+E247+E277+E307</f>
        <v>0.214289185653513</v>
      </c>
      <c r="F337" s="25" t="n">
        <f aca="false">F40+F69+F98+F127+F157+F187+F217+F247+F277+F307</f>
        <v>-1.01591301080991</v>
      </c>
      <c r="G337" s="25" t="n">
        <f aca="false">G40+G69+G98+G127+G157+G187+G217+G247+G277+G307</f>
        <v>82.2078420889664</v>
      </c>
    </row>
    <row r="338" customFormat="false" ht="13.5" hidden="false" customHeight="true" outlineLevel="0" collapsed="false">
      <c r="B338" s="29" t="n">
        <f aca="false">B41</f>
        <v>59</v>
      </c>
      <c r="C338" s="25" t="n">
        <f aca="false">C41+C70+C99+C128+C158+C188+C218+C248+C278+C308</f>
        <v>-8.07150088520972</v>
      </c>
      <c r="D338" s="25" t="n">
        <f aca="false">D41+D70+D99+D128+D158+D188+D218+D248+D278+D308</f>
        <v>0.364548236945505</v>
      </c>
      <c r="E338" s="25" t="n">
        <f aca="false">E41+E70+E99+E128+E158+E188+E218+E248+E278+E308</f>
        <v>0.207333541520478</v>
      </c>
      <c r="F338" s="25" t="n">
        <f aca="false">F41+F70+F99+F128+F158+F188+F218+F248+F278+F308</f>
        <v>-0.96539585164839</v>
      </c>
      <c r="G338" s="25" t="n">
        <f aca="false">G41+G70+G99+G128+G158+G188+G218+G248+G278+G308</f>
        <v>90.0958781949669</v>
      </c>
    </row>
    <row r="339" customFormat="false" ht="13.5" hidden="false" customHeight="true" outlineLevel="0" collapsed="false">
      <c r="B339" s="29" t="n">
        <f aca="false">B42</f>
        <v>58</v>
      </c>
      <c r="C339" s="25" t="n">
        <f aca="false">C42+C71+C100+C129+C159+C189+C219+C249+C279+C309</f>
        <v>-8.43204981961268</v>
      </c>
      <c r="D339" s="25" t="n">
        <f aca="false">D42+D71+D100+D129+D159+D189+D219+D249+D279+D309</f>
        <v>0.356318889190902</v>
      </c>
      <c r="E339" s="25" t="n">
        <f aca="false">E42+E71+E100+E129+E159+E189+E219+E249+E279+E309</f>
        <v>0.199586200238382</v>
      </c>
      <c r="F339" s="25" t="n">
        <f aca="false">F42+F71+F100+F129+F159+F189+F219+F249+F279+F309</f>
        <v>-0.912485935217517</v>
      </c>
      <c r="G339" s="25" t="n">
        <f aca="false">G42+G71+G100+G129+G159+G189+G219+G249+G279+G309</f>
        <v>98.3483395753756</v>
      </c>
    </row>
    <row r="340" customFormat="false" ht="13.5" hidden="false" customHeight="true" outlineLevel="0" collapsed="false">
      <c r="B340" s="29" t="n">
        <f aca="false">B43</f>
        <v>57</v>
      </c>
      <c r="C340" s="25" t="n">
        <f aca="false">C43+C72+C101+C130+C160+C190+C220+C250+C280+C310</f>
        <v>-8.783706252227</v>
      </c>
      <c r="D340" s="25" t="n">
        <f aca="false">D43+D72+D101+D130+D160+D190+D220+D250+D280+D310</f>
        <v>0.346791683070924</v>
      </c>
      <c r="E340" s="25" t="n">
        <f aca="false">E43+E72+E101+E130+E160+E190+E220+E250+E280+E310</f>
        <v>0.191131766786342</v>
      </c>
      <c r="F340" s="25" t="n">
        <f aca="false">F43+F72+F101+F130+F160+F190+F220+F250+F280+F310</f>
        <v>-0.857981652914779</v>
      </c>
      <c r="G340" s="25" t="n">
        <f aca="false">G43+G72+G101+G130+G160+G190+G220+G250+G280+G310</f>
        <v>106.957011768211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2" activeCellId="0" sqref="G22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2" width="4.31"/>
    <col collapsed="false" customWidth="true" hidden="false" outlineLevel="0" max="2" min="2" style="2" width="22.76"/>
    <col collapsed="false" customWidth="true" hidden="false" outlineLevel="0" max="3" min="3" style="2" width="13.95"/>
    <col collapsed="false" customWidth="true" hidden="false" outlineLevel="0" max="4" min="4" style="2" width="13.03"/>
    <col collapsed="false" customWidth="true" hidden="false" outlineLevel="0" max="5" min="5" style="2" width="11.03"/>
    <col collapsed="false" customWidth="true" hidden="false" outlineLevel="0" max="6" min="6" style="2" width="10.76"/>
    <col collapsed="false" customWidth="false" hidden="false" outlineLevel="0" max="8" min="7" style="2" width="11.53"/>
    <col collapsed="false" customWidth="true" hidden="false" outlineLevel="0" max="9" min="9" style="2" width="8.25"/>
    <col collapsed="false" customWidth="true" hidden="false" outlineLevel="0" max="10" min="10" style="2" width="8.11"/>
    <col collapsed="false" customWidth="true" hidden="false" outlineLevel="0" max="11" min="11" style="2" width="6.58"/>
    <col collapsed="false" customWidth="true" hidden="false" outlineLevel="0" max="12" min="12" style="2" width="4.59"/>
    <col collapsed="false" customWidth="true" hidden="false" outlineLevel="0" max="13" min="13" style="2" width="7.69"/>
    <col collapsed="false" customWidth="true" hidden="false" outlineLevel="0" max="15" min="14" style="2" width="8.8"/>
    <col collapsed="false" customWidth="true" hidden="false" outlineLevel="0" max="16" min="16" style="2" width="9.36"/>
    <col collapsed="false" customWidth="true" hidden="false" outlineLevel="0" max="17" min="17" style="2" width="9.08"/>
    <col collapsed="false" customWidth="true" hidden="false" outlineLevel="0" max="18" min="18" style="2" width="9.53"/>
    <col collapsed="false" customWidth="true" hidden="false" outlineLevel="0" max="20" min="19" style="2" width="10.76"/>
    <col collapsed="false" customWidth="true" hidden="false" outlineLevel="0" max="21" min="21" style="2" width="11.03"/>
    <col collapsed="false" customWidth="true" hidden="false" outlineLevel="0" max="22" min="22" style="2" width="7.09"/>
    <col collapsed="false" customWidth="false" hidden="false" outlineLevel="0" max="23" min="23" style="2" width="11.53"/>
    <col collapsed="false" customWidth="true" hidden="false" outlineLevel="0" max="29" min="24" style="2" width="7.69"/>
    <col collapsed="false" customWidth="true" hidden="false" outlineLevel="0" max="33" min="30" style="2" width="7.27"/>
    <col collapsed="false" customWidth="true" hidden="false" outlineLevel="0" max="34" min="34" style="2" width="7.69"/>
    <col collapsed="false" customWidth="true" hidden="false" outlineLevel="0" max="35" min="35" style="2" width="7.27"/>
    <col collapsed="false" customWidth="true" hidden="false" outlineLevel="0" max="43" min="36" style="2" width="6.58"/>
  </cols>
  <sheetData>
    <row r="1" customFormat="false" ht="12.75" hidden="false" customHeight="true" outlineLevel="0" collapsed="false">
      <c r="B1" s="15"/>
      <c r="C1" s="66" t="s">
        <v>199</v>
      </c>
      <c r="D1" s="66" t="s">
        <v>141</v>
      </c>
      <c r="E1" s="66" t="s">
        <v>200</v>
      </c>
      <c r="G1" s="35" t="s">
        <v>165</v>
      </c>
      <c r="H1" s="34" t="s">
        <v>166</v>
      </c>
      <c r="I1" s="36" t="n">
        <v>0</v>
      </c>
      <c r="J1" s="36" t="n">
        <v>0.05</v>
      </c>
      <c r="K1" s="39"/>
      <c r="M1" s="52"/>
      <c r="N1" s="66" t="n">
        <v>42</v>
      </c>
      <c r="O1" s="66" t="n">
        <v>21</v>
      </c>
      <c r="P1" s="66" t="n">
        <v>14</v>
      </c>
      <c r="Q1" s="74" t="s">
        <v>201</v>
      </c>
      <c r="R1" s="66" t="s">
        <v>176</v>
      </c>
      <c r="S1" s="66" t="s">
        <v>202</v>
      </c>
    </row>
    <row r="2" customFormat="false" ht="17.25" hidden="false" customHeight="true" outlineLevel="0" collapsed="false">
      <c r="B2" s="75" t="s">
        <v>203</v>
      </c>
      <c r="C2" s="34" t="n">
        <f aca="false">Portfolio!C10</f>
        <v>16.371245</v>
      </c>
      <c r="D2" s="18" t="n">
        <f aca="false">Portfolio!D10</f>
        <v>83.4293253403452</v>
      </c>
      <c r="E2" s="18" t="n">
        <f aca="false">Portfolio!F10</f>
        <v>1365.8419253315</v>
      </c>
      <c r="G2" s="35" t="s">
        <v>167</v>
      </c>
      <c r="H2" s="34" t="s">
        <v>168</v>
      </c>
      <c r="I2" s="36" t="n">
        <v>0.05</v>
      </c>
      <c r="J2" s="36" t="n">
        <v>0.15</v>
      </c>
      <c r="K2" s="39"/>
      <c r="M2" s="52" t="n">
        <v>70</v>
      </c>
      <c r="N2" s="34" t="n">
        <f aca="false">G21</f>
        <v>2</v>
      </c>
      <c r="O2" s="15"/>
      <c r="P2" s="15" t="n">
        <f aca="false">G24</f>
        <v>3</v>
      </c>
      <c r="Q2" s="34" t="n">
        <f aca="false">SUM(N2:P2)</f>
        <v>5</v>
      </c>
      <c r="R2" s="18" t="n">
        <f aca="false">H21+H24</f>
        <v>7.19</v>
      </c>
      <c r="S2" s="36" t="n">
        <f aca="false">R2/$R$5</f>
        <v>0.494158075601375</v>
      </c>
    </row>
    <row r="3" customFormat="false" ht="12.75" hidden="false" customHeight="true" outlineLevel="0" collapsed="false">
      <c r="C3" s="17"/>
      <c r="D3" s="17"/>
      <c r="G3" s="35" t="s">
        <v>169</v>
      </c>
      <c r="H3" s="34" t="s">
        <v>170</v>
      </c>
      <c r="I3" s="36" t="n">
        <v>0.16</v>
      </c>
      <c r="J3" s="36" t="s">
        <v>171</v>
      </c>
      <c r="K3" s="39"/>
      <c r="M3" s="52" t="n">
        <v>65</v>
      </c>
      <c r="N3" s="34"/>
      <c r="O3" s="15"/>
      <c r="P3" s="15"/>
      <c r="Q3" s="34" t="n">
        <f aca="false">SUM(N3:P3)</f>
        <v>0</v>
      </c>
      <c r="R3" s="18"/>
      <c r="S3" s="36" t="n">
        <f aca="false">R3/$R$5</f>
        <v>0</v>
      </c>
    </row>
    <row r="4" customFormat="false" ht="12.75" hidden="false" customHeight="true" outlineLevel="0" collapsed="false">
      <c r="B4" s="15" t="s">
        <v>179</v>
      </c>
      <c r="C4" s="16" t="n">
        <f aca="false">Portfolio!D15</f>
        <v>27.31683850663</v>
      </c>
      <c r="D4" s="16" t="n">
        <f aca="false">Portfolio!E15</f>
        <v>34.1460481332875</v>
      </c>
      <c r="M4" s="52" t="n">
        <v>60</v>
      </c>
      <c r="N4" s="34" t="n">
        <f aca="false">G20</f>
        <v>7</v>
      </c>
      <c r="O4" s="15" t="n">
        <f aca="false">G22</f>
        <v>0</v>
      </c>
      <c r="P4" s="15" t="n">
        <f aca="false">G23</f>
        <v>1</v>
      </c>
      <c r="Q4" s="34" t="n">
        <f aca="false">SUM(N4:P4)</f>
        <v>8</v>
      </c>
      <c r="R4" s="18" t="n">
        <f aca="false">H20+H22+H23</f>
        <v>7.36</v>
      </c>
      <c r="S4" s="36" t="n">
        <f aca="false">R4/$R$5</f>
        <v>0.505841924398625</v>
      </c>
    </row>
    <row r="5" customFormat="false" ht="12.75" hidden="false" customHeight="true" outlineLevel="0" collapsed="false">
      <c r="B5" s="76" t="s">
        <v>204</v>
      </c>
      <c r="C5" s="16" t="n">
        <f aca="false">C4*0.7</f>
        <v>19.121786954641</v>
      </c>
      <c r="D5" s="17" t="n">
        <f aca="false">R2+R3</f>
        <v>7.19</v>
      </c>
      <c r="E5" s="17" t="n">
        <f aca="false">C5-D5</f>
        <v>11.931786954641</v>
      </c>
      <c r="F5" s="15" t="s">
        <v>13</v>
      </c>
      <c r="G5" s="77" t="n">
        <f aca="false">C2*0.8</f>
        <v>13.096996</v>
      </c>
      <c r="H5" s="77" t="n">
        <f aca="false">C2*1.12</f>
        <v>18.3357944</v>
      </c>
      <c r="M5" s="52"/>
      <c r="N5" s="78"/>
      <c r="O5" s="17"/>
      <c r="Q5" s="3" t="n">
        <f aca="false">SUM(Q2:Q4)</f>
        <v>13</v>
      </c>
      <c r="R5" s="78" t="n">
        <f aca="false">SUM(R2:R4)</f>
        <v>14.55</v>
      </c>
      <c r="S5" s="3"/>
    </row>
    <row r="6" customFormat="false" ht="12.75" hidden="false" customHeight="true" outlineLevel="0" collapsed="false">
      <c r="B6" s="76" t="s">
        <v>205</v>
      </c>
      <c r="C6" s="16" t="n">
        <f aca="false">C4*0.3</f>
        <v>8.195051551989</v>
      </c>
      <c r="D6" s="17" t="n">
        <f aca="false">R4</f>
        <v>7.36</v>
      </c>
      <c r="E6" s="17" t="n">
        <f aca="false">C6-D6</f>
        <v>0.835051551989</v>
      </c>
    </row>
    <row r="7" customFormat="false" ht="14.25" hidden="false" customHeight="true" outlineLevel="0" collapsed="false">
      <c r="C7" s="17"/>
      <c r="D7" s="17"/>
      <c r="I7" s="79"/>
      <c r="J7" s="79"/>
      <c r="K7" s="79"/>
      <c r="N7" s="37"/>
      <c r="P7" s="37"/>
      <c r="R7" s="37"/>
    </row>
    <row r="8" customFormat="false" ht="14.25" hidden="false" customHeight="true" outlineLevel="0" collapsed="false">
      <c r="B8" s="19" t="s">
        <v>0</v>
      </c>
      <c r="C8" s="19" t="s">
        <v>12</v>
      </c>
      <c r="D8" s="19" t="s">
        <v>13</v>
      </c>
      <c r="E8" s="19" t="s">
        <v>161</v>
      </c>
      <c r="F8" s="19" t="s">
        <v>206</v>
      </c>
      <c r="G8" s="19" t="s">
        <v>207</v>
      </c>
      <c r="H8" s="19" t="s">
        <v>208</v>
      </c>
      <c r="I8" s="33"/>
      <c r="J8" s="33"/>
      <c r="K8" s="33"/>
      <c r="L8" s="33"/>
      <c r="N8" s="35" t="n">
        <v>1</v>
      </c>
      <c r="O8" s="35" t="n">
        <v>2</v>
      </c>
      <c r="P8" s="35" t="n">
        <v>3</v>
      </c>
      <c r="Q8" s="35" t="n">
        <v>4</v>
      </c>
      <c r="R8" s="35" t="n">
        <v>5</v>
      </c>
      <c r="S8" s="35" t="n">
        <v>6</v>
      </c>
      <c r="T8" s="2" t="n">
        <v>7</v>
      </c>
      <c r="V8" s="2" t="n">
        <f aca="false">N8</f>
        <v>1</v>
      </c>
      <c r="W8" s="2" t="n">
        <f aca="false">O8</f>
        <v>2</v>
      </c>
      <c r="X8" s="2" t="n">
        <f aca="false">P8</f>
        <v>3</v>
      </c>
      <c r="Y8" s="2" t="n">
        <f aca="false">Q8</f>
        <v>4</v>
      </c>
      <c r="Z8" s="2" t="n">
        <f aca="false">R8</f>
        <v>5</v>
      </c>
      <c r="AA8" s="2" t="n">
        <f aca="false">S8</f>
        <v>6</v>
      </c>
      <c r="AB8" s="2" t="n">
        <f aca="false">T8</f>
        <v>7</v>
      </c>
      <c r="AD8" s="2" t="n">
        <f aca="false">V8</f>
        <v>1</v>
      </c>
      <c r="AE8" s="2" t="n">
        <f aca="false">W8</f>
        <v>2</v>
      </c>
      <c r="AF8" s="2" t="n">
        <f aca="false">X8</f>
        <v>3</v>
      </c>
      <c r="AG8" s="2" t="n">
        <f aca="false">Y8</f>
        <v>4</v>
      </c>
      <c r="AH8" s="2" t="n">
        <f aca="false">Z8</f>
        <v>5</v>
      </c>
      <c r="AI8" s="2" t="n">
        <f aca="false">AA8</f>
        <v>6</v>
      </c>
      <c r="AJ8" s="2" t="n">
        <f aca="false">AB8</f>
        <v>7</v>
      </c>
    </row>
    <row r="9" customFormat="false" ht="12.75" hidden="false" customHeight="true" outlineLevel="0" collapsed="false">
      <c r="A9" s="3" t="n">
        <v>1</v>
      </c>
      <c r="B9" s="15" t="s">
        <v>5</v>
      </c>
      <c r="C9" s="34" t="n">
        <f aca="false">VLOOKUP(B9,OptionBoard!$A$2:$M$79,2,0)</f>
        <v>60</v>
      </c>
      <c r="D9" s="80" t="n">
        <f aca="false">VLOOKUP(B9,OptionBoard!$A$2:$M$79,3,0)</f>
        <v>-0.05332898</v>
      </c>
      <c r="E9" s="81" t="n">
        <f aca="false">VLOOKUP(B9,OptionBoard!$A$2:$M$79,9,0)</f>
        <v>39</v>
      </c>
      <c r="F9" s="36" t="n">
        <f aca="false">($D$2-C9)/$D$2</f>
        <v>0.280828416684021</v>
      </c>
      <c r="G9" s="36" t="n">
        <f aca="false">(Portfolio!$C$4-C9)/Portfolio!$C$4</f>
        <v>0.375</v>
      </c>
      <c r="H9" s="18" t="n">
        <v>0.99</v>
      </c>
      <c r="I9" s="78"/>
      <c r="J9" s="3"/>
      <c r="K9" s="78"/>
      <c r="M9" s="3" t="n">
        <v>66</v>
      </c>
      <c r="N9" s="15" t="n">
        <f aca="false">VLOOKUP(M9,$W$73:$AQ$99,2,0)/$H$20</f>
        <v>2.36800178413725</v>
      </c>
      <c r="O9" s="15" t="n">
        <f aca="false">VLOOKUP(M9,$W$73:$AQ$99,4,0)/$H$21</f>
        <v>2.55382943564391</v>
      </c>
      <c r="P9" s="15" t="e">
        <f aca="false">VLOOKUP(M9,$W$73:$AQ$99,6,0)/$H$22</f>
        <v>#DIV/0!</v>
      </c>
      <c r="Q9" s="15" t="n">
        <f aca="false">VLOOKUP(M9,$W$73:$AQ$99,8,0)/$H$23</f>
        <v>-0.394343448645868</v>
      </c>
      <c r="R9" s="15" t="n">
        <f aca="false">VLOOKUP(M9,$W$73:$AQ$99,10,0)/$H$24</f>
        <v>5.61816258468803</v>
      </c>
      <c r="S9" s="15" t="e">
        <f aca="false">VLOOKUP(M9,$W$73:$AQ$99,12,0)/$H$25</f>
        <v>#DIV/0!</v>
      </c>
      <c r="T9" s="15" t="e">
        <f aca="false">VLOOKUP(M9,$W$73:$AQ$99,14,0)/$H$26</f>
        <v>#DIV/0!</v>
      </c>
      <c r="V9" s="15" t="n">
        <f aca="false">N9-N10</f>
        <v>-0.314429953165221</v>
      </c>
      <c r="W9" s="15" t="n">
        <f aca="false">O9-O10</f>
        <v>-0.256647579682459</v>
      </c>
      <c r="X9" s="15" t="e">
        <f aca="false">P9-P10</f>
        <v>#DIV/0!</v>
      </c>
      <c r="Y9" s="15" t="n">
        <f aca="false">Q9-Q10</f>
        <v>-0.628915685702853</v>
      </c>
      <c r="Z9" s="15" t="n">
        <f aca="false">R9-R10</f>
        <v>-0.754400068867136</v>
      </c>
      <c r="AA9" s="15" t="e">
        <f aca="false">S9-S10</f>
        <v>#DIV/0!</v>
      </c>
      <c r="AB9" s="15" t="e">
        <f aca="false">T9-T10</f>
        <v>#DIV/0!</v>
      </c>
      <c r="AD9" s="15" t="n">
        <f aca="false">V9-V10</f>
        <v>0.0238849623857309</v>
      </c>
      <c r="AE9" s="15" t="n">
        <f aca="false">W9-W10</f>
        <v>0.0122863516993035</v>
      </c>
      <c r="AF9" s="15" t="e">
        <f aca="false">X9-X10</f>
        <v>#DIV/0!</v>
      </c>
      <c r="AG9" s="15" t="n">
        <f aca="false">Y9-Y10</f>
        <v>0.0733284673542812</v>
      </c>
      <c r="AH9" s="15" t="n">
        <f aca="false">Z9-Z10</f>
        <v>0.0465297031257173</v>
      </c>
      <c r="AI9" s="15" t="e">
        <f aca="false">AA9-AA10</f>
        <v>#DIV/0!</v>
      </c>
      <c r="AJ9" s="15" t="e">
        <f aca="false">AB9-AB10</f>
        <v>#DIV/0!</v>
      </c>
    </row>
    <row r="10" customFormat="false" ht="12.75" hidden="false" customHeight="true" outlineLevel="0" collapsed="false">
      <c r="A10" s="3" t="n">
        <v>2</v>
      </c>
      <c r="B10" s="15" t="s">
        <v>6</v>
      </c>
      <c r="C10" s="34" t="n">
        <f aca="false">VLOOKUP(B10,OptionBoard!$A$2:$M$79,2,0)</f>
        <v>70</v>
      </c>
      <c r="D10" s="80" t="n">
        <f aca="false">VLOOKUP(B10,OptionBoard!$A$2:$M$79,3,0)</f>
        <v>-0.15294325</v>
      </c>
      <c r="E10" s="81" t="n">
        <f aca="false">VLOOKUP(B10,OptionBoard!$A$2:$M$79,9,0)</f>
        <v>39</v>
      </c>
      <c r="F10" s="36" t="n">
        <f aca="false">($D$2-C10)/$D$2</f>
        <v>0.160966486131358</v>
      </c>
      <c r="G10" s="36" t="n">
        <f aca="false">(Portfolio!$C$4-C10)/Portfolio!$C$4</f>
        <v>0.270833333333333</v>
      </c>
      <c r="H10" s="18" t="n">
        <v>2.26</v>
      </c>
      <c r="I10" s="78"/>
      <c r="J10" s="3"/>
      <c r="K10" s="78"/>
      <c r="M10" s="3" t="n">
        <v>65</v>
      </c>
      <c r="N10" s="15" t="n">
        <f aca="false">VLOOKUP(M10,$W$73:$AQ$99,2,0)/$H$20</f>
        <v>2.68243173730247</v>
      </c>
      <c r="O10" s="15" t="n">
        <f aca="false">VLOOKUP(M10,$W$73:$AQ$99,4,0)/$H$21</f>
        <v>2.81047701532637</v>
      </c>
      <c r="P10" s="15" t="e">
        <f aca="false">VLOOKUP(M10,$W$73:$AQ$99,6,0)/$H$22</f>
        <v>#DIV/0!</v>
      </c>
      <c r="Q10" s="15" t="n">
        <f aca="false">VLOOKUP(M10,$W$73:$AQ$99,8,0)/$H$23</f>
        <v>0.234572237056985</v>
      </c>
      <c r="R10" s="15" t="n">
        <f aca="false">VLOOKUP(M10,$W$73:$AQ$99,10,0)/$H$24</f>
        <v>6.37256265355517</v>
      </c>
      <c r="S10" s="15" t="e">
        <f aca="false">VLOOKUP(M10,$W$73:$AQ$99,12,0)/$H$25</f>
        <v>#DIV/0!</v>
      </c>
      <c r="T10" s="15" t="e">
        <f aca="false">VLOOKUP(M10,$W$73:$AQ$99,14,0)/$H$26</f>
        <v>#DIV/0!</v>
      </c>
      <c r="V10" s="15" t="n">
        <f aca="false">N10-N11</f>
        <v>-0.338314915550952</v>
      </c>
      <c r="W10" s="15" t="n">
        <f aca="false">O10-O11</f>
        <v>-0.268933931381762</v>
      </c>
      <c r="X10" s="15" t="e">
        <f aca="false">P10-P11</f>
        <v>#DIV/0!</v>
      </c>
      <c r="Y10" s="15" t="n">
        <f aca="false">Q10-Q11</f>
        <v>-0.702244153057134</v>
      </c>
      <c r="Z10" s="15" t="n">
        <f aca="false">R10-R11</f>
        <v>-0.800929771992854</v>
      </c>
      <c r="AA10" s="15" t="e">
        <f aca="false">S10-S11</f>
        <v>#DIV/0!</v>
      </c>
      <c r="AB10" s="15" t="e">
        <f aca="false">T10-T11</f>
        <v>#DIV/0!</v>
      </c>
      <c r="AD10" s="15" t="n">
        <f aca="false">V10-V11</f>
        <v>0.0249535442940827</v>
      </c>
      <c r="AE10" s="15" t="n">
        <f aca="false">W10-W11</f>
        <v>0.0122340003227612</v>
      </c>
      <c r="AF10" s="15" t="e">
        <f aca="false">X10-X11</f>
        <v>#DIV/0!</v>
      </c>
      <c r="AG10" s="15" t="n">
        <f aca="false">Y10-Y11</f>
        <v>0.0781666900768329</v>
      </c>
      <c r="AH10" s="15" t="n">
        <f aca="false">Z10-Z11</f>
        <v>0.0442063303833251</v>
      </c>
      <c r="AI10" s="15" t="e">
        <f aca="false">AA10-AA11</f>
        <v>#DIV/0!</v>
      </c>
      <c r="AJ10" s="15" t="e">
        <f aca="false">AB10-AB11</f>
        <v>#DIV/0!</v>
      </c>
    </row>
    <row r="11" customFormat="false" ht="12.75" hidden="false" customHeight="true" outlineLevel="0" collapsed="false">
      <c r="A11" s="3" t="n">
        <v>3</v>
      </c>
      <c r="B11" s="15" t="s">
        <v>7</v>
      </c>
      <c r="C11" s="34" t="n">
        <f aca="false">VLOOKUP(B11,OptionBoard!$A$2:$M$79,2,0)</f>
        <v>60</v>
      </c>
      <c r="D11" s="80" t="n">
        <f aca="false">VLOOKUP(B11,OptionBoard!$A$2:$M$79,3,0)</f>
        <v>-0.01827967</v>
      </c>
      <c r="E11" s="81" t="n">
        <f aca="false">VLOOKUP(B11,OptionBoard!$A$2:$M$79,9,0)</f>
        <v>18</v>
      </c>
      <c r="F11" s="36" t="n">
        <f aca="false">($D$2-C11)/$D$2</f>
        <v>0.280828416684021</v>
      </c>
      <c r="G11" s="36" t="n">
        <f aca="false">(Portfolio!$C$4-C11)/Portfolio!$C$4</f>
        <v>0.375</v>
      </c>
      <c r="H11" s="18" t="n">
        <v>0.65</v>
      </c>
      <c r="I11" s="78"/>
      <c r="J11" s="3"/>
      <c r="K11" s="78"/>
      <c r="M11" s="3" t="n">
        <v>64</v>
      </c>
      <c r="N11" s="15" t="n">
        <f aca="false">VLOOKUP(M11,$W$73:$AQ$99,2,0)/$H$20</f>
        <v>3.02074665285342</v>
      </c>
      <c r="O11" s="15" t="n">
        <f aca="false">VLOOKUP(M11,$W$73:$AQ$99,4,0)/$H$21</f>
        <v>3.07941094670813</v>
      </c>
      <c r="P11" s="15" t="e">
        <f aca="false">VLOOKUP(M11,$W$73:$AQ$99,6,0)/$H$22</f>
        <v>#DIV/0!</v>
      </c>
      <c r="Q11" s="15" t="n">
        <f aca="false">VLOOKUP(M11,$W$73:$AQ$99,8,0)/$H$23</f>
        <v>0.936816390114119</v>
      </c>
      <c r="R11" s="15" t="n">
        <f aca="false">VLOOKUP(M11,$W$73:$AQ$99,10,0)/$H$24</f>
        <v>7.17349242554802</v>
      </c>
      <c r="S11" s="15" t="e">
        <f aca="false">VLOOKUP(M11,$W$73:$AQ$99,12,0)/$H$25</f>
        <v>#DIV/0!</v>
      </c>
      <c r="T11" s="15" t="e">
        <f aca="false">VLOOKUP(M11,$W$73:$AQ$99,14,0)/$H$26</f>
        <v>#DIV/0!</v>
      </c>
      <c r="V11" s="15" t="n">
        <f aca="false">N11-N12</f>
        <v>-0.363268459845034</v>
      </c>
      <c r="W11" s="15" t="n">
        <f aca="false">O11-O12</f>
        <v>-0.281167931704524</v>
      </c>
      <c r="X11" s="15" t="e">
        <f aca="false">P11-P12</f>
        <v>#DIV/0!</v>
      </c>
      <c r="Y11" s="15" t="n">
        <f aca="false">Q11-Q12</f>
        <v>-0.780410843133967</v>
      </c>
      <c r="Z11" s="15" t="n">
        <f aca="false">R11-R12</f>
        <v>-0.845136102376179</v>
      </c>
      <c r="AA11" s="15" t="e">
        <f aca="false">S11-S12</f>
        <v>#DIV/0!</v>
      </c>
      <c r="AB11" s="15" t="e">
        <f aca="false">T11-T12</f>
        <v>#DIV/0!</v>
      </c>
      <c r="AD11" s="15" t="n">
        <f aca="false">V11-V12</f>
        <v>0.0259704694359169</v>
      </c>
      <c r="AE11" s="15" t="n">
        <f aca="false">W11-W12</f>
        <v>0.0121163027687436</v>
      </c>
      <c r="AF11" s="15" t="e">
        <f aca="false">X11-X12</f>
        <v>#DIV/0!</v>
      </c>
      <c r="AG11" s="15" t="n">
        <f aca="false">Y11-Y12</f>
        <v>0.0826655892531722</v>
      </c>
      <c r="AH11" s="15" t="n">
        <f aca="false">Z11-Z12</f>
        <v>0.0413645677276673</v>
      </c>
      <c r="AI11" s="15" t="e">
        <f aca="false">AA11-AA12</f>
        <v>#DIV/0!</v>
      </c>
      <c r="AJ11" s="15" t="e">
        <f aca="false">AB11-AB12</f>
        <v>#DIV/0!</v>
      </c>
    </row>
    <row r="12" customFormat="false" ht="12.75" hidden="false" customHeight="true" outlineLevel="0" collapsed="false">
      <c r="A12" s="3" t="n">
        <v>4</v>
      </c>
      <c r="B12" s="15" t="s">
        <v>8</v>
      </c>
      <c r="C12" s="34" t="n">
        <f aca="false">VLOOKUP(B12,OptionBoard!$A$2:$M$79,2,0)</f>
        <v>60</v>
      </c>
      <c r="D12" s="80" t="n">
        <f aca="false">VLOOKUP(B12,OptionBoard!$A$2:$M$79,3,0)</f>
        <v>-0.0159575</v>
      </c>
      <c r="E12" s="81" t="n">
        <f aca="false">VLOOKUP(B12,OptionBoard!$A$2:$M$79,9,0)</f>
        <v>11</v>
      </c>
      <c r="F12" s="36" t="n">
        <f aca="false">($D$2-C12)/$D$2</f>
        <v>0.280828416684021</v>
      </c>
      <c r="G12" s="36" t="n">
        <f aca="false">(Portfolio!$C$4-C12)/Portfolio!$C$4</f>
        <v>0.375</v>
      </c>
      <c r="H12" s="18" t="n">
        <v>2</v>
      </c>
      <c r="I12" s="78"/>
      <c r="J12" s="3"/>
      <c r="K12" s="78"/>
      <c r="M12" s="3" t="n">
        <v>63</v>
      </c>
      <c r="N12" s="15" t="n">
        <f aca="false">VLOOKUP(M12,$W$73:$AQ$99,2,0)/$H$20</f>
        <v>3.38401511269845</v>
      </c>
      <c r="O12" s="15" t="n">
        <f aca="false">VLOOKUP(M12,$W$73:$AQ$99,4,0)/$H$21</f>
        <v>3.36057887841266</v>
      </c>
      <c r="P12" s="15" t="e">
        <f aca="false">VLOOKUP(M12,$W$73:$AQ$99,6,0)/$H$22</f>
        <v>#DIV/0!</v>
      </c>
      <c r="Q12" s="15" t="n">
        <f aca="false">VLOOKUP(M12,$W$73:$AQ$99,8,0)/$H$23</f>
        <v>1.71722723324809</v>
      </c>
      <c r="R12" s="15" t="n">
        <f aca="false">VLOOKUP(M12,$W$73:$AQ$99,10,0)/$H$24</f>
        <v>8.0186285279242</v>
      </c>
      <c r="S12" s="15" t="e">
        <f aca="false">VLOOKUP(M12,$W$73:$AQ$99,12,0)/$H$25</f>
        <v>#DIV/0!</v>
      </c>
      <c r="T12" s="15" t="e">
        <f aca="false">VLOOKUP(M12,$W$73:$AQ$99,14,0)/$H$26</f>
        <v>#DIV/0!</v>
      </c>
      <c r="V12" s="15" t="n">
        <f aca="false">N12-N13</f>
        <v>-0.389238929280951</v>
      </c>
      <c r="W12" s="15" t="n">
        <f aca="false">O12-O13</f>
        <v>-0.293284234473267</v>
      </c>
      <c r="X12" s="15" t="e">
        <f aca="false">P12-P13</f>
        <v>#DIV/0!</v>
      </c>
      <c r="Y12" s="15" t="n">
        <f aca="false">Q12-Q13</f>
        <v>-0.863076432387139</v>
      </c>
      <c r="Z12" s="15" t="n">
        <f aca="false">R12-R13</f>
        <v>-0.886500670103846</v>
      </c>
      <c r="AA12" s="15" t="e">
        <f aca="false">S12-S13</f>
        <v>#DIV/0!</v>
      </c>
      <c r="AB12" s="15" t="e">
        <f aca="false">T12-T13</f>
        <v>#DIV/0!</v>
      </c>
      <c r="AD12" s="15" t="n">
        <f aca="false">V12-V13</f>
        <v>0.0269204679848585</v>
      </c>
      <c r="AE12" s="15" t="n">
        <f aca="false">W12-W13</f>
        <v>0.0119320670689618</v>
      </c>
      <c r="AF12" s="15" t="e">
        <f aca="false">X12-X13</f>
        <v>#DIV/0!</v>
      </c>
      <c r="AG12" s="15" t="n">
        <f aca="false">Y12-Y13</f>
        <v>0.0866980368006278</v>
      </c>
      <c r="AH12" s="15" t="n">
        <f aca="false">Z12-Z13</f>
        <v>0.0380935552858528</v>
      </c>
      <c r="AI12" s="15" t="e">
        <f aca="false">AA12-AA13</f>
        <v>#DIV/0!</v>
      </c>
      <c r="AJ12" s="15" t="e">
        <f aca="false">AB12-AB13</f>
        <v>#DIV/0!</v>
      </c>
    </row>
    <row r="13" customFormat="false" ht="12.75" hidden="false" customHeight="true" outlineLevel="0" collapsed="false">
      <c r="A13" s="3" t="n">
        <v>5</v>
      </c>
      <c r="B13" s="15" t="s">
        <v>9</v>
      </c>
      <c r="C13" s="34" t="n">
        <f aca="false">VLOOKUP(B13,OptionBoard!$A$2:$M$79,2,0)</f>
        <v>70</v>
      </c>
      <c r="D13" s="80" t="n">
        <f aca="false">VLOOKUP(B13,OptionBoard!$A$2:$M$79,3,0)</f>
        <v>-0.06118015</v>
      </c>
      <c r="E13" s="81" t="n">
        <f aca="false">VLOOKUP(B13,OptionBoard!$A$2:$M$79,9,0)</f>
        <v>11</v>
      </c>
      <c r="F13" s="36" t="n">
        <f aca="false">($D$2-C13)/$D$2</f>
        <v>0.160966486131358</v>
      </c>
      <c r="G13" s="36" t="n">
        <f aca="false">(Portfolio!$C$4-C13)/Portfolio!$C$4</f>
        <v>0.270833333333333</v>
      </c>
      <c r="H13" s="18" t="n">
        <v>0.89</v>
      </c>
      <c r="I13" s="78"/>
      <c r="J13" s="3"/>
      <c r="K13" s="78"/>
      <c r="M13" s="3" t="n">
        <v>62</v>
      </c>
      <c r="N13" s="15" t="n">
        <f aca="false">VLOOKUP(M13,$W$73:$AQ$99,2,0)/$H$20</f>
        <v>3.7732540419794</v>
      </c>
      <c r="O13" s="15" t="n">
        <f aca="false">VLOOKUP(M13,$W$73:$AQ$99,4,0)/$H$21</f>
        <v>3.65386311288592</v>
      </c>
      <c r="P13" s="15" t="e">
        <f aca="false">VLOOKUP(M13,$W$73:$AQ$99,6,0)/$H$22</f>
        <v>#DIV/0!</v>
      </c>
      <c r="Q13" s="15" t="n">
        <f aca="false">VLOOKUP(M13,$W$73:$AQ$99,8,0)/$H$23</f>
        <v>2.58030366563523</v>
      </c>
      <c r="R13" s="15" t="n">
        <f aca="false">VLOOKUP(M13,$W$73:$AQ$99,10,0)/$H$24</f>
        <v>8.90512919802804</v>
      </c>
      <c r="S13" s="15" t="e">
        <f aca="false">VLOOKUP(M13,$W$73:$AQ$99,12,0)/$H$25</f>
        <v>#DIV/0!</v>
      </c>
      <c r="T13" s="15" t="e">
        <f aca="false">VLOOKUP(M13,$W$73:$AQ$99,14,0)/$H$26</f>
        <v>#DIV/0!</v>
      </c>
      <c r="V13" s="15" t="n">
        <f aca="false">N13-N14</f>
        <v>-0.41615939726581</v>
      </c>
      <c r="W13" s="15" t="n">
        <f aca="false">O13-O14</f>
        <v>-0.305216301542229</v>
      </c>
      <c r="X13" s="15" t="e">
        <f aca="false">P13-P14</f>
        <v>#DIV/0!</v>
      </c>
      <c r="Y13" s="15" t="n">
        <f aca="false">Q13-Q14</f>
        <v>-0.949774469187767</v>
      </c>
      <c r="Z13" s="15" t="n">
        <f aca="false">R13-R14</f>
        <v>-0.924594225389699</v>
      </c>
      <c r="AA13" s="15" t="e">
        <f aca="false">S13-S14</f>
        <v>#DIV/0!</v>
      </c>
      <c r="AB13" s="15" t="e">
        <f aca="false">T13-T14</f>
        <v>#DIV/0!</v>
      </c>
      <c r="AD13" s="15" t="n">
        <f aca="false">V13-V14</f>
        <v>0.0277875889639803</v>
      </c>
      <c r="AE13" s="15" t="n">
        <f aca="false">W13-W14</f>
        <v>0.0116811708524636</v>
      </c>
      <c r="AF13" s="15" t="e">
        <f aca="false">X13-X14</f>
        <v>#DIV/0!</v>
      </c>
      <c r="AG13" s="15" t="n">
        <f aca="false">Y13-Y14</f>
        <v>0.0901347642550614</v>
      </c>
      <c r="AH13" s="15" t="n">
        <f aca="false">Z13-Z14</f>
        <v>0.0345004199682553</v>
      </c>
      <c r="AI13" s="15" t="e">
        <f aca="false">AA13-AA14</f>
        <v>#DIV/0!</v>
      </c>
      <c r="AJ13" s="15" t="e">
        <f aca="false">AB13-AB14</f>
        <v>#DIV/0!</v>
      </c>
    </row>
    <row r="14" customFormat="false" ht="12.75" hidden="false" customHeight="true" outlineLevel="0" collapsed="false">
      <c r="A14" s="3" t="n">
        <v>6</v>
      </c>
      <c r="B14" s="15" t="s">
        <v>10</v>
      </c>
      <c r="C14" s="34" t="n">
        <f aca="false">VLOOKUP(B14,OptionBoard!$A$2:$M$79,2,0)</f>
        <v>72</v>
      </c>
      <c r="D14" s="80" t="n">
        <f aca="false">VLOOKUP(B14,OptionBoard!$A$2:$M$79,3,0)</f>
        <v>-0.08120607</v>
      </c>
      <c r="E14" s="81" t="n">
        <f aca="false">VLOOKUP(B14,OptionBoard!$A$2:$M$79,9,0)</f>
        <v>11</v>
      </c>
      <c r="F14" s="36" t="n">
        <f aca="false">($D$2-C14)/$D$2</f>
        <v>0.136994100020825</v>
      </c>
      <c r="G14" s="36" t="n">
        <f aca="false">(Portfolio!$C$4-C14)/Portfolio!$C$4</f>
        <v>0.25</v>
      </c>
      <c r="H14" s="18" t="n">
        <v>1.09</v>
      </c>
      <c r="I14" s="78"/>
      <c r="J14" s="3"/>
      <c r="K14" s="78"/>
      <c r="M14" s="3" t="n">
        <v>61</v>
      </c>
      <c r="N14" s="15" t="n">
        <f aca="false">VLOOKUP(M14,$W$73:$AQ$99,2,0)/$H$20</f>
        <v>4.18941343924521</v>
      </c>
      <c r="O14" s="15" t="n">
        <f aca="false">VLOOKUP(M14,$W$73:$AQ$99,4,0)/$H$21</f>
        <v>3.95907941442815</v>
      </c>
      <c r="P14" s="15" t="e">
        <f aca="false">VLOOKUP(M14,$W$73:$AQ$99,6,0)/$H$22</f>
        <v>#DIV/0!</v>
      </c>
      <c r="Q14" s="15" t="n">
        <f aca="false">VLOOKUP(M14,$W$73:$AQ$99,8,0)/$H$23</f>
        <v>3.53007813482299</v>
      </c>
      <c r="R14" s="15" t="n">
        <f aca="false">VLOOKUP(M14,$W$73:$AQ$99,10,0)/$H$24</f>
        <v>9.82972342341774</v>
      </c>
      <c r="S14" s="15" t="e">
        <f aca="false">VLOOKUP(M14,$W$73:$AQ$99,12,0)/$H$25</f>
        <v>#DIV/0!</v>
      </c>
      <c r="T14" s="15" t="e">
        <f aca="false">VLOOKUP(M14,$W$73:$AQ$99,14,0)/$H$26</f>
        <v>#DIV/0!</v>
      </c>
      <c r="V14" s="15" t="n">
        <f aca="false">N14-N15</f>
        <v>-0.44394698622979</v>
      </c>
      <c r="W14" s="15" t="n">
        <f aca="false">O14-O15</f>
        <v>-0.316897472394693</v>
      </c>
      <c r="X14" s="15" t="e">
        <f aca="false">P14-P15</f>
        <v>#DIV/0!</v>
      </c>
      <c r="Y14" s="15" t="n">
        <f aca="false">Q14-Q15</f>
        <v>-1.03990923344283</v>
      </c>
      <c r="Z14" s="15" t="n">
        <f aca="false">R14-R15</f>
        <v>-0.959094645357954</v>
      </c>
      <c r="AA14" s="15" t="e">
        <f aca="false">S14-S15</f>
        <v>#DIV/0!</v>
      </c>
      <c r="AB14" s="15" t="e">
        <f aca="false">T14-T15</f>
        <v>#DIV/0!</v>
      </c>
      <c r="AD14" s="15" t="n">
        <f aca="false">V14-V15</f>
        <v>0.0285554657613725</v>
      </c>
      <c r="AE14" s="15" t="n">
        <f aca="false">W14-W15</f>
        <v>0.0113646535108161</v>
      </c>
      <c r="AF14" s="15" t="e">
        <f aca="false">X14-X15</f>
        <v>#DIV/0!</v>
      </c>
      <c r="AG14" s="15" t="n">
        <f aca="false">Y14-Y15</f>
        <v>0.0928495645901828</v>
      </c>
      <c r="AH14" s="15" t="n">
        <f aca="false">Z14-Z15</f>
        <v>0.0307042390819809</v>
      </c>
      <c r="AI14" s="15" t="e">
        <f aca="false">AA14-AA15</f>
        <v>#DIV/0!</v>
      </c>
      <c r="AJ14" s="15" t="e">
        <f aca="false">AB14-AB15</f>
        <v>#DIV/0!</v>
      </c>
    </row>
    <row r="15" customFormat="false" ht="12.75" hidden="false" customHeight="true" outlineLevel="0" collapsed="false">
      <c r="A15" s="3" t="n">
        <v>7</v>
      </c>
      <c r="B15" s="15" t="s">
        <v>11</v>
      </c>
      <c r="C15" s="34" t="n">
        <f aca="false">VLOOKUP(B15,OptionBoard!$A$2:$M$79,2,0)</f>
        <v>74</v>
      </c>
      <c r="D15" s="80" t="n">
        <f aca="false">VLOOKUP(B15,OptionBoard!$A$2:$M$79,3,0)</f>
        <v>-0.1081426</v>
      </c>
      <c r="E15" s="81" t="n">
        <f aca="false">VLOOKUP(B15,OptionBoard!$A$2:$M$79,9,0)</f>
        <v>11</v>
      </c>
      <c r="F15" s="36" t="n">
        <f aca="false">($D$2-C15)/$D$2</f>
        <v>0.113021713910293</v>
      </c>
      <c r="G15" s="36" t="n">
        <f aca="false">(Portfolio!$C$4-C15)/Portfolio!$C$4</f>
        <v>0.229166666666667</v>
      </c>
      <c r="H15" s="18" t="n">
        <v>1.21</v>
      </c>
      <c r="I15" s="78"/>
      <c r="J15" s="3"/>
      <c r="K15" s="78"/>
      <c r="M15" s="3" t="n">
        <v>60</v>
      </c>
      <c r="N15" s="15" t="n">
        <f aca="false">VLOOKUP(M15,$W$73:$AQ$99,2,0)/$H$20</f>
        <v>4.633360425475</v>
      </c>
      <c r="O15" s="15" t="n">
        <f aca="false">VLOOKUP(M15,$W$73:$AQ$99,4,0)/$H$21</f>
        <v>4.27597688682284</v>
      </c>
      <c r="P15" s="15" t="e">
        <f aca="false">VLOOKUP(M15,$W$73:$AQ$99,6,0)/$H$22</f>
        <v>#DIV/0!</v>
      </c>
      <c r="Q15" s="15" t="n">
        <f aca="false">VLOOKUP(M15,$W$73:$AQ$99,8,0)/$H$23</f>
        <v>4.56998736826582</v>
      </c>
      <c r="R15" s="15" t="n">
        <f aca="false">VLOOKUP(M15,$W$73:$AQ$99,10,0)/$H$24</f>
        <v>10.7888180687757</v>
      </c>
      <c r="S15" s="15" t="e">
        <f aca="false">VLOOKUP(M15,$W$73:$AQ$99,12,0)/$H$25</f>
        <v>#DIV/0!</v>
      </c>
      <c r="T15" s="15" t="e">
        <f aca="false">VLOOKUP(M15,$W$73:$AQ$99,14,0)/$H$26</f>
        <v>#DIV/0!</v>
      </c>
      <c r="V15" s="15" t="n">
        <f aca="false">N15-N16</f>
        <v>-0.472502451991162</v>
      </c>
      <c r="W15" s="15" t="n">
        <f aca="false">O15-O16</f>
        <v>-0.328262125905509</v>
      </c>
      <c r="X15" s="15" t="e">
        <f aca="false">P15-P16</f>
        <v>#DIV/0!</v>
      </c>
      <c r="Y15" s="15" t="n">
        <f aca="false">Q15-Q16</f>
        <v>-1.13275879803301</v>
      </c>
      <c r="Z15" s="15" t="n">
        <f aca="false">R15-R16</f>
        <v>-0.989798884439935</v>
      </c>
      <c r="AA15" s="15" t="e">
        <f aca="false">S15-S16</f>
        <v>#DIV/0!</v>
      </c>
      <c r="AB15" s="15" t="e">
        <f aca="false">T15-T16</f>
        <v>#DIV/0!</v>
      </c>
    </row>
    <row r="16" customFormat="false" ht="12.75" hidden="false" customHeight="true" outlineLevel="0" collapsed="false">
      <c r="B16" s="15"/>
      <c r="C16" s="34"/>
      <c r="D16" s="80"/>
      <c r="E16" s="81"/>
      <c r="F16" s="36"/>
      <c r="G16" s="36"/>
      <c r="H16" s="18"/>
      <c r="I16" s="78"/>
      <c r="J16" s="3"/>
      <c r="K16" s="78"/>
      <c r="M16" s="3" t="n">
        <v>59</v>
      </c>
      <c r="N16" s="15" t="n">
        <f aca="false">VLOOKUP(M16,$W$73:$AQ$99,2,0)/$H$20</f>
        <v>5.10586287746616</v>
      </c>
      <c r="O16" s="15" t="n">
        <f aca="false">VLOOKUP(M16,$W$73:$AQ$99,4,0)/$H$21</f>
        <v>4.60423901272835</v>
      </c>
      <c r="P16" s="15" t="e">
        <f aca="false">VLOOKUP(M16,$W$73:$AQ$99,6,0)/$H$22</f>
        <v>#DIV/0!</v>
      </c>
      <c r="Q16" s="15" t="n">
        <f aca="false">VLOOKUP(M16,$W$73:$AQ$99,8,0)/$H$23</f>
        <v>5.70274616629883</v>
      </c>
      <c r="R16" s="15" t="n">
        <f aca="false">VLOOKUP(M16,$W$73:$AQ$99,10,0)/$H$24</f>
        <v>11.7786169532156</v>
      </c>
      <c r="S16" s="15" t="e">
        <f aca="false">VLOOKUP(M16,$W$73:$AQ$99,12,0)/$H$25</f>
        <v>#DIV/0!</v>
      </c>
      <c r="T16" s="15" t="e">
        <f aca="false">VLOOKUP(M16,$W$73:$AQ$99,14,0)/$H$26</f>
        <v>#DIV/0!</v>
      </c>
      <c r="AD16" s="2" t="n">
        <f aca="false">AD14-AD9</f>
        <v>0.00467050337564157</v>
      </c>
      <c r="AG16" s="2" t="n">
        <f aca="false">AG14-AG9</f>
        <v>0.0195210972359016</v>
      </c>
    </row>
    <row r="17" customFormat="false" ht="12.75" hidden="false" customHeight="true" outlineLevel="0" collapsed="false">
      <c r="C17" s="3"/>
      <c r="D17" s="82"/>
      <c r="E17" s="83"/>
      <c r="F17" s="39"/>
      <c r="G17" s="39"/>
      <c r="H17" s="78"/>
      <c r="I17" s="78"/>
      <c r="J17" s="3"/>
      <c r="K17" s="3"/>
      <c r="N17" s="2" t="n">
        <f aca="false">AVERAGE(N$9:N$16)</f>
        <v>3.64463575889467</v>
      </c>
      <c r="O17" s="2" t="n">
        <f aca="false">AVERAGE(O$9:O$16)</f>
        <v>3.53718183786954</v>
      </c>
      <c r="P17" s="2" t="e">
        <f aca="false">AVERAGE(P$9:P$16)</f>
        <v>#DIV/0!</v>
      </c>
      <c r="Q17" s="2" t="n">
        <f aca="false">AVERAGE(Q$9:Q$16)</f>
        <v>2.35967346834952</v>
      </c>
      <c r="R17" s="2" t="n">
        <f aca="false">AVERAGE(R$9:R$16)</f>
        <v>8.56064172939407</v>
      </c>
      <c r="S17" s="2" t="e">
        <f aca="false">AVERAGE(S$9:S$16)</f>
        <v>#DIV/0!</v>
      </c>
      <c r="T17" s="2" t="e">
        <f aca="false">AVERAGE(T$9:T$16)</f>
        <v>#DIV/0!</v>
      </c>
    </row>
    <row r="18" customFormat="false" ht="14.25" hidden="false" customHeight="true" outlineLevel="0" collapsed="false">
      <c r="P18" s="2" t="n">
        <f aca="false">P26/C2</f>
        <v>-0.447702738881421</v>
      </c>
    </row>
    <row r="19" customFormat="false" ht="15" hidden="false" customHeight="true" outlineLevel="0" collapsed="false">
      <c r="A19" s="9"/>
      <c r="B19" s="19" t="s">
        <v>0</v>
      </c>
      <c r="C19" s="19" t="s">
        <v>12</v>
      </c>
      <c r="D19" s="19" t="s">
        <v>13</v>
      </c>
      <c r="E19" s="19" t="s">
        <v>161</v>
      </c>
      <c r="F19" s="19" t="s">
        <v>208</v>
      </c>
      <c r="G19" s="19" t="s">
        <v>175</v>
      </c>
      <c r="H19" s="19" t="s">
        <v>176</v>
      </c>
      <c r="I19" s="19" t="s">
        <v>202</v>
      </c>
      <c r="M19" s="19" t="s">
        <v>209</v>
      </c>
      <c r="N19" s="84" t="s">
        <v>210</v>
      </c>
      <c r="O19" s="84" t="s">
        <v>211</v>
      </c>
      <c r="P19" s="34" t="s">
        <v>193</v>
      </c>
      <c r="Q19" s="34" t="s">
        <v>144</v>
      </c>
      <c r="R19" s="34" t="s">
        <v>194</v>
      </c>
      <c r="S19" s="15" t="s">
        <v>212</v>
      </c>
      <c r="V19" s="9"/>
      <c r="X19" s="39"/>
      <c r="Y19" s="40"/>
      <c r="Z19" s="9"/>
      <c r="AA19" s="9"/>
    </row>
    <row r="20" customFormat="false" ht="15" hidden="false" customHeight="true" outlineLevel="0" collapsed="false">
      <c r="A20" s="40"/>
      <c r="B20" s="15" t="str">
        <f aca="false">B9</f>
        <v>SOL-29MAY26-60-P-USDT</v>
      </c>
      <c r="C20" s="34" t="n">
        <f aca="false">C9</f>
        <v>60</v>
      </c>
      <c r="D20" s="68" t="n">
        <f aca="false">D9</f>
        <v>-0.05332898</v>
      </c>
      <c r="E20" s="81" t="n">
        <f aca="false">E9</f>
        <v>39</v>
      </c>
      <c r="F20" s="18" t="n">
        <f aca="false">H9</f>
        <v>0.99</v>
      </c>
      <c r="G20" s="34" t="n">
        <v>7</v>
      </c>
      <c r="H20" s="18" t="n">
        <f aca="false">F20*G20</f>
        <v>6.93</v>
      </c>
      <c r="I20" s="36" t="n">
        <f aca="false">H20/$H$30</f>
        <v>0.476288659793814</v>
      </c>
      <c r="M20" s="74" t="n">
        <v>70</v>
      </c>
      <c r="N20" s="85" t="n">
        <f aca="false">VLOOKUP(M20,$B$73:$C$99,2,0)</f>
        <v>1.64406890808285</v>
      </c>
      <c r="O20" s="85" t="n">
        <f aca="false">VLOOKUP(M20,$B$73:$D$99,3,0)</f>
        <v>-1</v>
      </c>
      <c r="P20" s="68" t="n">
        <f aca="false">VLOOKUP(M20,$M$73:$P$99,2,0)</f>
        <v>-4.02243267826454</v>
      </c>
      <c r="Q20" s="16" t="n">
        <f aca="false">VLOOKUP(M20,$M$73:$P$99,3,0)</f>
        <v>23.9212026126055</v>
      </c>
      <c r="R20" s="16" t="n">
        <f aca="false">VLOOKUP(M20,$M$73:$P$99,4,0)</f>
        <v>-14.55</v>
      </c>
      <c r="S20" s="15"/>
      <c r="V20" s="14"/>
      <c r="X20" s="39"/>
      <c r="Y20" s="40"/>
      <c r="Z20" s="14"/>
      <c r="AA20" s="14"/>
    </row>
    <row r="21" customFormat="false" ht="15" hidden="false" customHeight="true" outlineLevel="0" collapsed="false">
      <c r="A21" s="47"/>
      <c r="B21" s="15" t="str">
        <f aca="false">B10</f>
        <v>SOL-29MAY26-70-P-USDT</v>
      </c>
      <c r="C21" s="34" t="n">
        <f aca="false">C10</f>
        <v>70</v>
      </c>
      <c r="D21" s="68" t="n">
        <f aca="false">D10</f>
        <v>-0.15294325</v>
      </c>
      <c r="E21" s="81" t="n">
        <f aca="false">E10</f>
        <v>39</v>
      </c>
      <c r="F21" s="18" t="n">
        <v>2.26</v>
      </c>
      <c r="G21" s="34" t="n">
        <v>2</v>
      </c>
      <c r="H21" s="18" t="n">
        <f aca="false">F21*G21</f>
        <v>4.52</v>
      </c>
      <c r="I21" s="36" t="n">
        <f aca="false">H21/$H$30</f>
        <v>0.310652920962199</v>
      </c>
      <c r="M21" s="74" t="n">
        <v>66</v>
      </c>
      <c r="N21" s="85" t="n">
        <f aca="false">VLOOKUP(M21,$B$73:$C$99,2,0)</f>
        <v>2.94051462758632</v>
      </c>
      <c r="O21" s="85" t="n">
        <f aca="false">VLOOKUP(M21,$B$73:$D$99,3,0)</f>
        <v>0.374570446735395</v>
      </c>
      <c r="P21" s="68" t="n">
        <f aca="false">VLOOKUP(M21,$M$73:$P$99,2,0)</f>
        <v>-5.43688361128528</v>
      </c>
      <c r="Q21" s="16" t="n">
        <f aca="false">VLOOKUP(M21,$M$73:$P$99,3,0)</f>
        <v>42.7844878313809</v>
      </c>
      <c r="R21" s="16" t="n">
        <f aca="false">VLOOKUP(M21,$M$73:$P$99,4,0)</f>
        <v>5.45</v>
      </c>
      <c r="S21" s="16" t="n">
        <f aca="false">Q21-Q20</f>
        <v>18.8632852187754</v>
      </c>
      <c r="V21" s="14"/>
      <c r="X21" s="39"/>
      <c r="Y21" s="40"/>
      <c r="Z21" s="14"/>
      <c r="AA21" s="14"/>
    </row>
    <row r="22" customFormat="false" ht="15" hidden="false" customHeight="true" outlineLevel="0" collapsed="false">
      <c r="A22" s="49"/>
      <c r="B22" s="15" t="str">
        <f aca="false">B11</f>
        <v>SOL-8MAY26-60-P-USDT</v>
      </c>
      <c r="C22" s="34" t="n">
        <f aca="false">C11</f>
        <v>60</v>
      </c>
      <c r="D22" s="68" t="n">
        <f aca="false">D11</f>
        <v>-0.01827967</v>
      </c>
      <c r="E22" s="81" t="n">
        <f aca="false">E11</f>
        <v>18</v>
      </c>
      <c r="F22" s="18" t="n">
        <f aca="false">H11</f>
        <v>0.65</v>
      </c>
      <c r="G22" s="34"/>
      <c r="H22" s="18" t="n">
        <f aca="false">F22*G22</f>
        <v>0</v>
      </c>
      <c r="I22" s="36" t="n">
        <f aca="false">H22/$H$30</f>
        <v>0</v>
      </c>
      <c r="M22" s="74" t="n">
        <v>65</v>
      </c>
      <c r="N22" s="85" t="n">
        <f aca="false">VLOOKUP(M22,$B$73:$C$99,2,0)</f>
        <v>3.32702518183561</v>
      </c>
      <c r="O22" s="85" t="n">
        <f aca="false">VLOOKUP(M22,$B$73:$D$99,3,0)</f>
        <v>0.718213058419244</v>
      </c>
      <c r="P22" s="68" t="n">
        <f aca="false">VLOOKUP(M22,$M$73:$P$99,2,0)</f>
        <v>-5.81144851635118</v>
      </c>
      <c r="Q22" s="16" t="n">
        <f aca="false">VLOOKUP(M22,$M$73:$P$99,3,0)</f>
        <v>48.4082163957081</v>
      </c>
      <c r="R22" s="16" t="n">
        <f aca="false">VLOOKUP(M22,$M$73:$P$99,4,0)</f>
        <v>10.45</v>
      </c>
      <c r="S22" s="16" t="n">
        <f aca="false">Q22-Q21</f>
        <v>5.62372856432717</v>
      </c>
      <c r="V22" s="14"/>
      <c r="X22" s="39"/>
      <c r="Y22" s="14"/>
      <c r="Z22" s="14"/>
      <c r="AA22" s="14"/>
    </row>
    <row r="23" customFormat="false" ht="16.5" hidden="false" customHeight="true" outlineLevel="0" collapsed="false">
      <c r="B23" s="15" t="str">
        <f aca="false">B12</f>
        <v>SOL-1MAY26-60-P-USDT</v>
      </c>
      <c r="C23" s="34" t="n">
        <f aca="false">C12</f>
        <v>60</v>
      </c>
      <c r="D23" s="68" t="n">
        <f aca="false">D12</f>
        <v>-0.0159575</v>
      </c>
      <c r="E23" s="81" t="n">
        <f aca="false">E12</f>
        <v>11</v>
      </c>
      <c r="F23" s="18" t="n">
        <v>0.43</v>
      </c>
      <c r="G23" s="34" t="n">
        <v>1</v>
      </c>
      <c r="H23" s="18" t="n">
        <f aca="false">F23*G23</f>
        <v>0.43</v>
      </c>
      <c r="I23" s="36" t="n">
        <f aca="false">H23/$H$30</f>
        <v>0.029553264604811</v>
      </c>
      <c r="M23" s="74" t="n">
        <v>64</v>
      </c>
      <c r="N23" s="85" t="n">
        <f aca="false">VLOOKUP(M23,$B$73:$C$99,2,0)</f>
        <v>3.73943419981837</v>
      </c>
      <c r="O23" s="85" t="n">
        <f aca="false">VLOOKUP(M23,$B$73:$D$99,3,0)</f>
        <v>1.06185567010309</v>
      </c>
      <c r="P23" s="68" t="n">
        <f aca="false">VLOOKUP(M23,$M$73:$P$99,2,0)</f>
        <v>-6.19016123169082</v>
      </c>
      <c r="Q23" s="16" t="n">
        <f aca="false">VLOOKUP(M23,$M$73:$P$99,3,0)</f>
        <v>54.4087676073572</v>
      </c>
      <c r="R23" s="16" t="n">
        <f aca="false">VLOOKUP(M23,$M$73:$P$99,4,0)</f>
        <v>15.45</v>
      </c>
      <c r="S23" s="16" t="n">
        <f aca="false">Q23-Q22</f>
        <v>6.00055121164915</v>
      </c>
      <c r="V23" s="14"/>
      <c r="X23" s="39"/>
      <c r="Y23" s="40"/>
      <c r="Z23" s="14"/>
      <c r="AA23" s="14"/>
    </row>
    <row r="24" customFormat="false" ht="16.5" hidden="false" customHeight="true" outlineLevel="0" collapsed="false">
      <c r="B24" s="15" t="str">
        <f aca="false">B13</f>
        <v>SOL-1MAY26-70-P-USDT</v>
      </c>
      <c r="C24" s="34" t="n">
        <f aca="false">C13</f>
        <v>70</v>
      </c>
      <c r="D24" s="68" t="n">
        <f aca="false">D13</f>
        <v>-0.06118015</v>
      </c>
      <c r="E24" s="81" t="n">
        <f aca="false">E13</f>
        <v>11</v>
      </c>
      <c r="F24" s="18" t="n">
        <f aca="false">H13</f>
        <v>0.89</v>
      </c>
      <c r="G24" s="34" t="n">
        <v>3</v>
      </c>
      <c r="H24" s="18" t="n">
        <f aca="false">F24*G24</f>
        <v>2.67</v>
      </c>
      <c r="I24" s="36" t="n">
        <f aca="false">H24/$H$30</f>
        <v>0.183505154639175</v>
      </c>
      <c r="M24" s="74" t="n">
        <v>63</v>
      </c>
      <c r="N24" s="85" t="n">
        <f aca="false">VLOOKUP(M24,$B$73:$C$99,2,0)</f>
        <v>4.17795100627352</v>
      </c>
      <c r="O24" s="85" t="n">
        <f aca="false">VLOOKUP(M24,$B$73:$D$99,3,0)</f>
        <v>1.40549828178694</v>
      </c>
      <c r="P24" s="68" t="n">
        <f aca="false">VLOOKUP(M24,$M$73:$P$99,2,0)</f>
        <v>-6.57082033381521</v>
      </c>
      <c r="Q24" s="16" t="n">
        <f aca="false">VLOOKUP(M24,$M$73:$P$99,3,0)</f>
        <v>60.7891871412798</v>
      </c>
      <c r="R24" s="16" t="n">
        <f aca="false">VLOOKUP(M24,$M$73:$P$99,4,0)</f>
        <v>20.45</v>
      </c>
      <c r="S24" s="16" t="n">
        <f aca="false">Q24-Q23</f>
        <v>6.38041953392253</v>
      </c>
      <c r="V24" s="14"/>
      <c r="X24" s="39"/>
      <c r="Y24" s="40"/>
      <c r="Z24" s="14"/>
      <c r="AA24" s="14"/>
    </row>
    <row r="25" customFormat="false" ht="16.5" hidden="false" customHeight="true" outlineLevel="0" collapsed="false">
      <c r="B25" s="15" t="str">
        <f aca="false">B14</f>
        <v>SOL-1MAY26-72-P-USDT</v>
      </c>
      <c r="C25" s="34" t="n">
        <f aca="false">C14</f>
        <v>72</v>
      </c>
      <c r="D25" s="68" t="n">
        <f aca="false">D14</f>
        <v>-0.08120607</v>
      </c>
      <c r="E25" s="81" t="n">
        <f aca="false">E14</f>
        <v>11</v>
      </c>
      <c r="F25" s="18" t="n">
        <f aca="false">H14</f>
        <v>1.09</v>
      </c>
      <c r="G25" s="34"/>
      <c r="H25" s="18" t="n">
        <f aca="false">F25*G25</f>
        <v>0</v>
      </c>
      <c r="I25" s="36" t="n">
        <f aca="false">H25/$H$30</f>
        <v>0</v>
      </c>
      <c r="M25" s="74" t="n">
        <v>62</v>
      </c>
      <c r="N25" s="85" t="n">
        <f aca="false">VLOOKUP(M25,$B$73:$C$99,2,0)</f>
        <v>4.64263486708726</v>
      </c>
      <c r="O25" s="85" t="n">
        <f aca="false">VLOOKUP(M25,$B$73:$D$99,3,0)</f>
        <v>1.74914089347079</v>
      </c>
      <c r="P25" s="68" t="n">
        <f aca="false">VLOOKUP(M25,$M$73:$P$99,2,0)</f>
        <v>-6.95126984753478</v>
      </c>
      <c r="Q25" s="16" t="n">
        <f aca="false">VLOOKUP(M25,$M$73:$P$99,3,0)</f>
        <v>67.5503373161197</v>
      </c>
      <c r="R25" s="16" t="n">
        <f aca="false">VLOOKUP(M25,$M$73:$P$99,4,0)</f>
        <v>25.45</v>
      </c>
      <c r="S25" s="16" t="n">
        <f aca="false">Q25-Q24</f>
        <v>6.7611501748399</v>
      </c>
      <c r="X25" s="39"/>
      <c r="Y25" s="40"/>
      <c r="Z25" s="14"/>
      <c r="AA25" s="14"/>
    </row>
    <row r="26" customFormat="false" ht="16.5" hidden="false" customHeight="true" outlineLevel="0" collapsed="false">
      <c r="B26" s="15" t="str">
        <f aca="false">B15</f>
        <v>SOL-1MAY26-74-P-USDT</v>
      </c>
      <c r="C26" s="34" t="n">
        <f aca="false">C15</f>
        <v>74</v>
      </c>
      <c r="D26" s="68" t="n">
        <f aca="false">D15</f>
        <v>-0.1081426</v>
      </c>
      <c r="E26" s="81" t="n">
        <f aca="false">E15</f>
        <v>11</v>
      </c>
      <c r="F26" s="18" t="n">
        <f aca="false">H15</f>
        <v>1.21</v>
      </c>
      <c r="G26" s="34"/>
      <c r="H26" s="18" t="n">
        <f aca="false">F26*G26</f>
        <v>0</v>
      </c>
      <c r="I26" s="36" t="n">
        <f aca="false">H26/$H$30</f>
        <v>0</v>
      </c>
      <c r="M26" s="74" t="n">
        <v>61</v>
      </c>
      <c r="N26" s="85" t="n">
        <f aca="false">VLOOKUP(M26,$B$73:$C$99,2,0)</f>
        <v>5.13339994678239</v>
      </c>
      <c r="O26" s="85" t="n">
        <f aca="false">VLOOKUP(M26,$B$73:$D$99,3,0)</f>
        <v>2.09278350515464</v>
      </c>
      <c r="P26" s="86" t="n">
        <f aca="false">VLOOKUP(M26,$M$73:$P$99,2,0)</f>
        <v>-7.32945122539877</v>
      </c>
      <c r="Q26" s="16" t="n">
        <f aca="false">VLOOKUP(M26,$M$73:$P$99,3,0)</f>
        <v>74.6909692256838</v>
      </c>
      <c r="R26" s="16" t="n">
        <f aca="false">VLOOKUP(M26,$M$73:$P$99,4,0)</f>
        <v>30.45</v>
      </c>
      <c r="S26" s="16" t="n">
        <f aca="false">Q26-Q25</f>
        <v>7.14063190956416</v>
      </c>
      <c r="X26" s="39"/>
      <c r="Y26" s="40"/>
      <c r="Z26" s="14"/>
      <c r="AA26" s="14"/>
    </row>
    <row r="27" customFormat="false" ht="16.5" hidden="false" customHeight="true" outlineLevel="0" collapsed="false">
      <c r="B27" s="87" t="s">
        <v>5</v>
      </c>
      <c r="C27" s="88" t="n">
        <f aca="false">Hedge_Far!B9</f>
        <v>60</v>
      </c>
      <c r="D27" s="89" t="n">
        <f aca="false">Hedge_Far!C9</f>
        <v>-0.05332898</v>
      </c>
      <c r="E27" s="88" t="n">
        <f aca="false">Hedge_Far!I9</f>
        <v>39</v>
      </c>
      <c r="F27" s="88"/>
      <c r="G27" s="88"/>
      <c r="H27" s="90" t="n">
        <f aca="false">Hedge_Far!N9</f>
        <v>0</v>
      </c>
      <c r="I27" s="91" t="n">
        <f aca="false">H27/$H$30</f>
        <v>0</v>
      </c>
      <c r="M27" s="74" t="n">
        <v>60</v>
      </c>
      <c r="N27" s="85" t="n">
        <f aca="false">VLOOKUP(M27,$B$73:$C$99,2,0)</f>
        <v>5.65002351126917</v>
      </c>
      <c r="O27" s="85" t="n">
        <f aca="false">VLOOKUP(M27,$B$73:$D$99,3,0)</f>
        <v>2.43642611683849</v>
      </c>
      <c r="P27" s="68" t="n">
        <f aca="false">VLOOKUP(M27,$M$73:$P$99,2,0)</f>
        <v>-7.70344523593442</v>
      </c>
      <c r="Q27" s="16" t="n">
        <f aca="false">VLOOKUP(M27,$M$73:$P$99,3,0)</f>
        <v>82.2078420889664</v>
      </c>
      <c r="R27" s="16" t="n">
        <f aca="false">VLOOKUP(M27,$M$73:$P$99,4,0)</f>
        <v>35.45</v>
      </c>
      <c r="S27" s="16" t="n">
        <f aca="false">Q27-Q26</f>
        <v>7.51687286328261</v>
      </c>
      <c r="V27" s="14"/>
      <c r="X27" s="39"/>
      <c r="Y27" s="40"/>
      <c r="Z27" s="14"/>
      <c r="AA27" s="14"/>
    </row>
    <row r="28" customFormat="false" ht="16.5" hidden="false" customHeight="true" outlineLevel="0" collapsed="false">
      <c r="B28" s="87" t="s">
        <v>5</v>
      </c>
      <c r="C28" s="88" t="n">
        <f aca="false">Hedge_Far!B10</f>
        <v>60</v>
      </c>
      <c r="D28" s="89" t="n">
        <f aca="false">Hedge_Far!C10</f>
        <v>-0.05332898</v>
      </c>
      <c r="E28" s="88" t="n">
        <f aca="false">Hedge_Far!I10</f>
        <v>39</v>
      </c>
      <c r="F28" s="88"/>
      <c r="G28" s="88"/>
      <c r="H28" s="90" t="n">
        <f aca="false">Hedge_Far!N10</f>
        <v>0</v>
      </c>
      <c r="I28" s="91" t="n">
        <f aca="false">H28/$H$30</f>
        <v>0</v>
      </c>
      <c r="M28" s="74" t="n">
        <v>59</v>
      </c>
      <c r="N28" s="85" t="n">
        <f aca="false">VLOOKUP(M28,$B$73:$C$99,2,0)</f>
        <v>6.19215657697367</v>
      </c>
      <c r="O28" s="85" t="n">
        <f aca="false">VLOOKUP(M28,$B$73:$D$99,3,0)</f>
        <v>3.3298969072165</v>
      </c>
      <c r="P28" s="68" t="n">
        <f aca="false">VLOOKUP(M28,$M$73:$P$99,2,0)</f>
        <v>-8.07150088520972</v>
      </c>
      <c r="Q28" s="16" t="n">
        <f aca="false">VLOOKUP(M28,$M$73:$P$99,3,0)</f>
        <v>90.0958781949669</v>
      </c>
      <c r="R28" s="16" t="n">
        <f aca="false">VLOOKUP(M28,$M$73:$P$99,4,0)</f>
        <v>48.45</v>
      </c>
      <c r="S28" s="16" t="n">
        <f aca="false">Q28-Q27</f>
        <v>7.88803610600047</v>
      </c>
      <c r="V28" s="14"/>
      <c r="X28" s="39"/>
      <c r="Y28" s="40"/>
      <c r="Z28" s="14"/>
      <c r="AA28" s="14"/>
    </row>
    <row r="29" customFormat="false" ht="16.5" hidden="false" customHeight="true" outlineLevel="0" collapsed="false">
      <c r="B29" s="87" t="s">
        <v>6</v>
      </c>
      <c r="C29" s="88" t="n">
        <f aca="false">Hedge_Far!B11</f>
        <v>70</v>
      </c>
      <c r="D29" s="89" t="n">
        <f aca="false">Hedge_Far!C11</f>
        <v>-0.15294325</v>
      </c>
      <c r="E29" s="88" t="n">
        <f aca="false">Hedge_Far!I11</f>
        <v>39</v>
      </c>
      <c r="F29" s="88"/>
      <c r="G29" s="88"/>
      <c r="H29" s="90" t="n">
        <f aca="false">Hedge_Far!N11</f>
        <v>0</v>
      </c>
      <c r="I29" s="91" t="n">
        <f aca="false">H29/$H$30</f>
        <v>0</v>
      </c>
      <c r="M29" s="74" t="n">
        <v>58</v>
      </c>
      <c r="N29" s="85" t="n">
        <f aca="false">VLOOKUP(M29,$B$73:$C$99,2,0)</f>
        <v>6.75933605329042</v>
      </c>
      <c r="O29" s="85" t="n">
        <f aca="false">VLOOKUP(M29,$B$73:$D$99,3,0)</f>
        <v>4.2233676975945</v>
      </c>
      <c r="P29" s="68" t="n">
        <f aca="false">VLOOKUP(M29,$M$73:$P$99,2,0)</f>
        <v>-8.43204981961268</v>
      </c>
      <c r="Q29" s="16" t="n">
        <f aca="false">VLOOKUP(M29,$M$73:$P$99,3,0)</f>
        <v>98.3483395753756</v>
      </c>
      <c r="R29" s="16" t="n">
        <f aca="false">VLOOKUP(M29,$M$73:$P$99,4,0)</f>
        <v>61.45</v>
      </c>
      <c r="S29" s="16" t="n">
        <f aca="false">Q29-Q28</f>
        <v>8.25246138040873</v>
      </c>
      <c r="V29" s="14"/>
      <c r="X29" s="39"/>
      <c r="Y29" s="40"/>
      <c r="Z29" s="14"/>
      <c r="AA29" s="14"/>
    </row>
    <row r="30" customFormat="false" ht="16.5" hidden="false" customHeight="true" outlineLevel="0" collapsed="false">
      <c r="B30" s="52"/>
      <c r="C30" s="78"/>
      <c r="E30" s="78"/>
      <c r="H30" s="78" t="n">
        <f aca="false">SUM(H20:H29)</f>
        <v>14.55</v>
      </c>
      <c r="I30" s="3"/>
      <c r="M30" s="92"/>
      <c r="N30" s="2" t="n">
        <f aca="false">AVERAGE(N20,N21,N22,N27)</f>
        <v>3.39040805719349</v>
      </c>
      <c r="O30" s="2" t="n">
        <f aca="false">AVERAGE(O20,O21,O22,O27)</f>
        <v>0.632302405498282</v>
      </c>
      <c r="Q30" s="17" t="n">
        <f aca="false">AVERAGE(Q20,Q21,Q26)</f>
        <v>47.1322198898901</v>
      </c>
      <c r="R30" s="17"/>
      <c r="S30" s="17"/>
      <c r="V30" s="14"/>
      <c r="X30" s="39"/>
      <c r="Y30" s="40"/>
      <c r="Z30" s="14"/>
      <c r="AA30" s="14"/>
    </row>
    <row r="31" customFormat="false" ht="16.5" hidden="false" customHeight="true" outlineLevel="0" collapsed="false">
      <c r="B31" s="52"/>
      <c r="C31" s="78"/>
      <c r="E31" s="78"/>
      <c r="H31" s="78"/>
      <c r="I31" s="3"/>
      <c r="M31" s="92"/>
      <c r="Q31" s="17"/>
      <c r="R31" s="17"/>
      <c r="S31" s="17"/>
      <c r="V31" s="14"/>
      <c r="X31" s="39"/>
      <c r="Y31" s="40"/>
      <c r="Z31" s="14"/>
      <c r="AA31" s="14"/>
    </row>
    <row r="32" customFormat="false" ht="16.5" hidden="false" customHeight="true" outlineLevel="0" collapsed="false">
      <c r="B32" s="19" t="s">
        <v>0</v>
      </c>
      <c r="C32" s="19" t="s">
        <v>12</v>
      </c>
      <c r="D32" s="19" t="s">
        <v>13</v>
      </c>
      <c r="E32" s="19" t="s">
        <v>161</v>
      </c>
      <c r="F32" s="19" t="s">
        <v>208</v>
      </c>
      <c r="G32" s="19" t="s">
        <v>175</v>
      </c>
      <c r="H32" s="19" t="s">
        <v>176</v>
      </c>
      <c r="I32" s="19" t="s">
        <v>202</v>
      </c>
      <c r="M32" s="19" t="s">
        <v>209</v>
      </c>
      <c r="N32" s="84" t="s">
        <v>210</v>
      </c>
      <c r="O32" s="84" t="s">
        <v>211</v>
      </c>
      <c r="P32" s="34" t="s">
        <v>193</v>
      </c>
      <c r="Q32" s="34" t="s">
        <v>144</v>
      </c>
      <c r="R32" s="34" t="s">
        <v>194</v>
      </c>
      <c r="S32" s="15" t="s">
        <v>212</v>
      </c>
      <c r="V32" s="14"/>
      <c r="X32" s="39"/>
      <c r="Y32" s="40"/>
      <c r="Z32" s="14"/>
      <c r="AA32" s="14"/>
    </row>
    <row r="33" customFormat="false" ht="16.5" hidden="false" customHeight="true" outlineLevel="0" collapsed="false">
      <c r="B33" s="15" t="s">
        <v>5</v>
      </c>
      <c r="C33" s="34" t="n">
        <v>60</v>
      </c>
      <c r="D33" s="68" t="n">
        <v>-0.06374595</v>
      </c>
      <c r="E33" s="81" t="n">
        <v>42</v>
      </c>
      <c r="F33" s="18" t="n">
        <v>0.99</v>
      </c>
      <c r="G33" s="93" t="n">
        <v>10</v>
      </c>
      <c r="H33" s="18" t="n">
        <v>9.9</v>
      </c>
      <c r="I33" s="36" t="n">
        <v>0.565068493150685</v>
      </c>
      <c r="M33" s="74" t="n">
        <v>70</v>
      </c>
      <c r="N33" s="15" t="n">
        <v>1.76429832186137</v>
      </c>
      <c r="O33" s="15" t="n">
        <v>-1</v>
      </c>
      <c r="P33" s="15" t="n">
        <v>-4.74912133686053</v>
      </c>
      <c r="Q33" s="16" t="n">
        <v>30.9105065990112</v>
      </c>
      <c r="R33" s="16" t="n">
        <v>-17.52</v>
      </c>
      <c r="S33" s="16"/>
      <c r="V33" s="14"/>
      <c r="X33" s="39"/>
      <c r="Y33" s="40"/>
      <c r="Z33" s="14"/>
      <c r="AA33" s="14"/>
    </row>
    <row r="34" customFormat="false" ht="16.5" hidden="false" customHeight="true" outlineLevel="0" collapsed="false">
      <c r="B34" s="15" t="s">
        <v>6</v>
      </c>
      <c r="C34" s="34" t="n">
        <v>70</v>
      </c>
      <c r="D34" s="68" t="n">
        <v>-0.16339571</v>
      </c>
      <c r="E34" s="81" t="n">
        <v>42</v>
      </c>
      <c r="F34" s="18" t="n">
        <v>2.26</v>
      </c>
      <c r="G34" s="93" t="n">
        <v>2</v>
      </c>
      <c r="H34" s="18" t="n">
        <v>4.52</v>
      </c>
      <c r="I34" s="36" t="n">
        <v>0.257990867579909</v>
      </c>
      <c r="M34" s="74" t="n">
        <v>66</v>
      </c>
      <c r="N34" s="15" t="n">
        <v>3.02865991516954</v>
      </c>
      <c r="O34" s="15" t="n">
        <v>0.141552511415525</v>
      </c>
      <c r="P34" s="15" t="n">
        <v>-6.36129685429396</v>
      </c>
      <c r="Q34" s="16" t="n">
        <v>53.0621217137703</v>
      </c>
      <c r="R34" s="16" t="n">
        <v>2.48</v>
      </c>
      <c r="S34" s="16" t="n">
        <v>22.1516151147591</v>
      </c>
      <c r="V34" s="14"/>
      <c r="X34" s="39"/>
      <c r="Y34" s="40"/>
      <c r="Z34" s="14"/>
      <c r="AA34" s="14"/>
    </row>
    <row r="35" customFormat="false" ht="16.5" hidden="false" customHeight="true" outlineLevel="0" collapsed="false">
      <c r="B35" s="15" t="s">
        <v>112</v>
      </c>
      <c r="C35" s="34" t="n">
        <v>60</v>
      </c>
      <c r="D35" s="68" t="n">
        <v>-0.03067346</v>
      </c>
      <c r="E35" s="81" t="n">
        <v>21</v>
      </c>
      <c r="F35" s="18" t="n">
        <v>0.65</v>
      </c>
      <c r="G35" s="93"/>
      <c r="H35" s="18" t="n">
        <v>0</v>
      </c>
      <c r="I35" s="36" t="n">
        <v>0</v>
      </c>
      <c r="M35" s="74" t="n">
        <v>65</v>
      </c>
      <c r="N35" s="15" t="n">
        <v>3.4040033518206</v>
      </c>
      <c r="O35" s="15" t="n">
        <v>0.426940639269406</v>
      </c>
      <c r="P35" s="15" t="n">
        <v>-6.7920902211369</v>
      </c>
      <c r="Q35" s="16" t="n">
        <v>59.6381387238968</v>
      </c>
      <c r="R35" s="16" t="n">
        <v>7.48</v>
      </c>
      <c r="S35" s="16" t="n">
        <v>6.57601701012656</v>
      </c>
      <c r="V35" s="14"/>
      <c r="X35" s="39"/>
      <c r="Y35" s="40"/>
      <c r="Z35" s="14"/>
      <c r="AA35" s="14"/>
    </row>
    <row r="36" customFormat="false" ht="16.5" hidden="false" customHeight="true" outlineLevel="0" collapsed="false">
      <c r="B36" s="15" t="s">
        <v>8</v>
      </c>
      <c r="C36" s="34" t="n">
        <v>60</v>
      </c>
      <c r="D36" s="68" t="n">
        <v>-0.01514063</v>
      </c>
      <c r="E36" s="81" t="n">
        <v>14</v>
      </c>
      <c r="F36" s="18" t="n">
        <v>0.43</v>
      </c>
      <c r="G36" s="93" t="n">
        <v>1</v>
      </c>
      <c r="H36" s="18" t="n">
        <v>0.43</v>
      </c>
      <c r="I36" s="36" t="n">
        <v>0.0245433789954338</v>
      </c>
      <c r="M36" s="74" t="n">
        <v>64</v>
      </c>
      <c r="N36" s="15" t="n">
        <v>3.80414666261086</v>
      </c>
      <c r="O36" s="15" t="n">
        <v>0.712328767123288</v>
      </c>
      <c r="P36" s="15" t="n">
        <v>-7.22992378979619</v>
      </c>
      <c r="Q36" s="16" t="n">
        <v>66.6486495289422</v>
      </c>
      <c r="R36" s="16" t="n">
        <v>12.48</v>
      </c>
      <c r="S36" s="16" t="n">
        <v>7.0105108050454</v>
      </c>
      <c r="V36" s="14"/>
      <c r="X36" s="39"/>
      <c r="Y36" s="40"/>
      <c r="Z36" s="14"/>
      <c r="AA36" s="14"/>
    </row>
    <row r="37" customFormat="false" ht="16.5" hidden="false" customHeight="true" outlineLevel="0" collapsed="false">
      <c r="B37" s="15" t="s">
        <v>9</v>
      </c>
      <c r="C37" s="34" t="n">
        <v>70</v>
      </c>
      <c r="D37" s="68" t="n">
        <v>-0.07024332</v>
      </c>
      <c r="E37" s="81" t="n">
        <v>14</v>
      </c>
      <c r="F37" s="18" t="n">
        <v>0.89</v>
      </c>
      <c r="G37" s="93" t="n">
        <v>3</v>
      </c>
      <c r="H37" s="18" t="n">
        <v>2.67</v>
      </c>
      <c r="I37" s="36" t="n">
        <v>0.152397260273973</v>
      </c>
      <c r="M37" s="74" t="n">
        <v>63</v>
      </c>
      <c r="N37" s="15" t="n">
        <v>4.22942953007858</v>
      </c>
      <c r="O37" s="15" t="n">
        <v>0.997716894977169</v>
      </c>
      <c r="P37" s="15" t="n">
        <v>-7.67261433810841</v>
      </c>
      <c r="Q37" s="16" t="n">
        <v>74.0996053669768</v>
      </c>
      <c r="R37" s="16" t="n">
        <v>17.48</v>
      </c>
      <c r="S37" s="16" t="n">
        <v>7.45095583803456</v>
      </c>
      <c r="V37" s="14"/>
      <c r="X37" s="39"/>
      <c r="Y37" s="40"/>
      <c r="Z37" s="14"/>
      <c r="AA37" s="14"/>
    </row>
    <row r="38" customFormat="false" ht="16.5" hidden="false" customHeight="true" outlineLevel="0" collapsed="false">
      <c r="B38" s="15" t="s">
        <v>10</v>
      </c>
      <c r="C38" s="34" t="n">
        <v>72</v>
      </c>
      <c r="D38" s="68" t="n">
        <v>-0.0951608</v>
      </c>
      <c r="E38" s="81" t="n">
        <v>14</v>
      </c>
      <c r="F38" s="18" t="n">
        <v>1.09</v>
      </c>
      <c r="G38" s="93"/>
      <c r="H38" s="18" t="n">
        <v>0</v>
      </c>
      <c r="I38" s="36" t="n">
        <v>0</v>
      </c>
      <c r="M38" s="74" t="n">
        <v>62</v>
      </c>
      <c r="N38" s="15" t="n">
        <v>4.68006659446359</v>
      </c>
      <c r="O38" s="15" t="n">
        <v>1.28310502283105</v>
      </c>
      <c r="P38" s="15" t="n">
        <v>-8.11797183613421</v>
      </c>
      <c r="Q38" s="16" t="n">
        <v>81.994766735002</v>
      </c>
      <c r="R38" s="16" t="n">
        <v>22.48</v>
      </c>
      <c r="S38" s="16" t="n">
        <v>7.89516136802521</v>
      </c>
      <c r="V38" s="14"/>
      <c r="X38" s="39"/>
      <c r="Y38" s="40"/>
      <c r="Z38" s="14"/>
      <c r="AA38" s="14"/>
    </row>
    <row r="39" customFormat="false" ht="16.5" hidden="false" customHeight="true" outlineLevel="0" collapsed="false">
      <c r="B39" s="15" t="s">
        <v>11</v>
      </c>
      <c r="C39" s="34" t="n">
        <v>74</v>
      </c>
      <c r="D39" s="68" t="n">
        <v>-0.12809999</v>
      </c>
      <c r="E39" s="81" t="n">
        <v>14</v>
      </c>
      <c r="F39" s="18" t="n">
        <v>1.21</v>
      </c>
      <c r="G39" s="93"/>
      <c r="H39" s="18" t="n">
        <v>0</v>
      </c>
      <c r="I39" s="36" t="n">
        <v>0</v>
      </c>
      <c r="M39" s="74" t="n">
        <v>61</v>
      </c>
      <c r="N39" s="15" t="n">
        <v>5.15614842618906</v>
      </c>
      <c r="O39" s="15" t="n">
        <v>1.56849315068493</v>
      </c>
      <c r="P39" s="77" t="n">
        <v>-8.5638461836181</v>
      </c>
      <c r="Q39" s="16" t="n">
        <v>90.3357204268324</v>
      </c>
      <c r="R39" s="16" t="n">
        <v>27.48</v>
      </c>
      <c r="S39" s="16" t="n">
        <v>8.34095369183039</v>
      </c>
      <c r="V39" s="14"/>
      <c r="X39" s="39"/>
      <c r="Y39" s="40"/>
      <c r="Z39" s="14"/>
      <c r="AA39" s="14"/>
    </row>
    <row r="40" customFormat="false" ht="16.5" hidden="false" customHeight="true" outlineLevel="0" collapsed="false">
      <c r="B40" s="15" t="s">
        <v>5</v>
      </c>
      <c r="C40" s="88" t="n">
        <v>60</v>
      </c>
      <c r="D40" s="89" t="n">
        <v>-0.06374595</v>
      </c>
      <c r="E40" s="88" t="n">
        <v>42</v>
      </c>
      <c r="F40" s="88"/>
      <c r="G40" s="88"/>
      <c r="H40" s="90" t="n">
        <v>0</v>
      </c>
      <c r="I40" s="91" t="n">
        <v>0</v>
      </c>
      <c r="M40" s="74" t="n">
        <v>60</v>
      </c>
      <c r="N40" s="15" t="n">
        <v>5.65764497309443</v>
      </c>
      <c r="O40" s="15" t="n">
        <v>1.85388127853881</v>
      </c>
      <c r="P40" s="15" t="n">
        <v>-9.00816669149183</v>
      </c>
      <c r="Q40" s="16" t="n">
        <v>99.1219399286144</v>
      </c>
      <c r="R40" s="16" t="n">
        <v>32.48</v>
      </c>
      <c r="S40" s="16" t="n">
        <v>8.78621950178199</v>
      </c>
      <c r="V40" s="14"/>
      <c r="X40" s="39"/>
      <c r="Y40" s="40"/>
      <c r="Z40" s="14"/>
      <c r="AA40" s="14"/>
    </row>
    <row r="41" customFormat="false" ht="16.5" hidden="false" customHeight="true" outlineLevel="0" collapsed="false">
      <c r="B41" s="15" t="s">
        <v>5</v>
      </c>
      <c r="C41" s="88" t="n">
        <v>60</v>
      </c>
      <c r="D41" s="89" t="n">
        <v>-0.06374595</v>
      </c>
      <c r="E41" s="88" t="n">
        <v>42</v>
      </c>
      <c r="F41" s="88"/>
      <c r="G41" s="88"/>
      <c r="H41" s="90" t="n">
        <v>0</v>
      </c>
      <c r="I41" s="91" t="n">
        <v>0</v>
      </c>
      <c r="M41" s="74" t="n">
        <v>59</v>
      </c>
      <c r="N41" s="15" t="n">
        <v>6.18441099059914</v>
      </c>
      <c r="O41" s="15" t="n">
        <v>2.76712328767123</v>
      </c>
      <c r="P41" s="15" t="n">
        <v>-9.44897172600204</v>
      </c>
      <c r="Q41" s="16" t="n">
        <v>108.350880555297</v>
      </c>
      <c r="R41" s="16" t="n">
        <v>48.48</v>
      </c>
      <c r="S41" s="16" t="n">
        <v>9.22894062668252</v>
      </c>
      <c r="V41" s="14"/>
      <c r="X41" s="39"/>
      <c r="Y41" s="40"/>
      <c r="Z41" s="14"/>
      <c r="AA41" s="14"/>
    </row>
    <row r="42" customFormat="false" ht="16.5" hidden="false" customHeight="true" outlineLevel="0" collapsed="false">
      <c r="B42" s="15" t="s">
        <v>6</v>
      </c>
      <c r="C42" s="88" t="n">
        <v>70</v>
      </c>
      <c r="D42" s="89" t="n">
        <v>-0.16339571</v>
      </c>
      <c r="E42" s="88" t="n">
        <v>42</v>
      </c>
      <c r="F42" s="88"/>
      <c r="G42" s="88"/>
      <c r="H42" s="90" t="n">
        <v>0</v>
      </c>
      <c r="I42" s="91" t="n">
        <v>0</v>
      </c>
      <c r="M42" s="74" t="n">
        <v>58</v>
      </c>
      <c r="N42" s="15" t="n">
        <v>6.73619284275175</v>
      </c>
      <c r="O42" s="15" t="n">
        <v>3.68036529680365</v>
      </c>
      <c r="P42" s="15" t="n">
        <v>-9.88442693588991</v>
      </c>
      <c r="Q42" s="16" t="n">
        <v>118.018098605011</v>
      </c>
      <c r="R42" s="16" t="n">
        <v>64.48</v>
      </c>
      <c r="S42" s="16" t="n">
        <v>9.66721804971371</v>
      </c>
      <c r="V42" s="16" t="n">
        <f aca="false">Q30-R57</f>
        <v>47.1322198898901</v>
      </c>
      <c r="W42" s="70" t="n">
        <f aca="false">V42/V43</f>
        <v>3.23932782748385</v>
      </c>
      <c r="X42" s="39"/>
      <c r="Y42" s="40"/>
      <c r="Z42" s="14"/>
      <c r="AA42" s="14"/>
    </row>
    <row r="43" customFormat="false" ht="16.5" hidden="false" customHeight="true" outlineLevel="0" collapsed="false">
      <c r="B43" s="52"/>
      <c r="C43" s="78"/>
      <c r="E43" s="78"/>
      <c r="H43" s="78" t="n">
        <v>17.52</v>
      </c>
      <c r="I43" s="3"/>
      <c r="M43" s="92"/>
      <c r="N43" s="2" t="n">
        <v>3.46365164048648</v>
      </c>
      <c r="O43" s="2" t="n">
        <v>0.355593607305936</v>
      </c>
      <c r="Q43" s="17" t="n">
        <v>58.1027829132046</v>
      </c>
      <c r="R43" s="17"/>
      <c r="S43" s="17"/>
      <c r="V43" s="16" t="n">
        <f aca="false">H30-I56</f>
        <v>14.55</v>
      </c>
      <c r="W43" s="15"/>
      <c r="X43" s="39"/>
      <c r="Y43" s="40"/>
      <c r="Z43" s="14"/>
      <c r="AA43" s="14"/>
    </row>
    <row r="44" customFormat="false" ht="16.5" hidden="false" customHeight="true" outlineLevel="0" collapsed="false">
      <c r="I44" s="78"/>
      <c r="J44" s="3"/>
      <c r="K44" s="3"/>
      <c r="L44" s="3"/>
      <c r="N44" s="92"/>
      <c r="R44" s="17"/>
      <c r="S44" s="17"/>
      <c r="T44" s="17"/>
      <c r="V44" s="14"/>
      <c r="X44" s="39"/>
      <c r="Y44" s="40"/>
      <c r="Z44" s="14"/>
      <c r="AA44" s="14"/>
    </row>
    <row r="45" customFormat="false" ht="16.5" hidden="false" customHeight="true" outlineLevel="0" collapsed="false">
      <c r="B45" s="19" t="s">
        <v>0</v>
      </c>
      <c r="C45" s="19" t="s">
        <v>12</v>
      </c>
      <c r="D45" s="19" t="s">
        <v>13</v>
      </c>
      <c r="E45" s="19" t="s">
        <v>161</v>
      </c>
      <c r="F45" s="19" t="s">
        <v>208</v>
      </c>
      <c r="G45" s="19" t="s">
        <v>175</v>
      </c>
      <c r="H45" s="19" t="s">
        <v>176</v>
      </c>
      <c r="I45" s="19" t="s">
        <v>202</v>
      </c>
      <c r="J45" s="33"/>
      <c r="K45" s="33"/>
      <c r="L45" s="33"/>
      <c r="M45" s="19" t="s">
        <v>209</v>
      </c>
      <c r="N45" s="84" t="s">
        <v>210</v>
      </c>
      <c r="O45" s="84" t="s">
        <v>211</v>
      </c>
      <c r="P45" s="34" t="s">
        <v>193</v>
      </c>
      <c r="Q45" s="34" t="s">
        <v>144</v>
      </c>
      <c r="R45" s="34" t="s">
        <v>194</v>
      </c>
      <c r="S45" s="15" t="s">
        <v>212</v>
      </c>
      <c r="V45" s="14"/>
      <c r="X45" s="39"/>
      <c r="Y45" s="40"/>
      <c r="Z45" s="14"/>
      <c r="AA45" s="14"/>
    </row>
    <row r="46" customFormat="false" ht="16.5" hidden="false" customHeight="true" outlineLevel="0" collapsed="false">
      <c r="B46" s="15"/>
      <c r="C46" s="34"/>
      <c r="D46" s="68"/>
      <c r="E46" s="34"/>
      <c r="F46" s="36"/>
      <c r="G46" s="34"/>
      <c r="H46" s="18"/>
      <c r="I46" s="18"/>
      <c r="J46" s="39"/>
      <c r="K46" s="39"/>
      <c r="L46" s="39"/>
      <c r="M46" s="74"/>
      <c r="N46" s="85"/>
      <c r="O46" s="85"/>
      <c r="P46" s="68"/>
      <c r="Q46" s="16"/>
      <c r="R46" s="16"/>
      <c r="S46" s="15"/>
      <c r="V46" s="14"/>
      <c r="X46" s="39"/>
      <c r="Y46" s="40"/>
      <c r="Z46" s="14"/>
      <c r="AA46" s="14"/>
    </row>
    <row r="47" customFormat="false" ht="16.5" hidden="false" customHeight="true" outlineLevel="0" collapsed="false">
      <c r="B47" s="15"/>
      <c r="C47" s="34"/>
      <c r="D47" s="68"/>
      <c r="E47" s="34"/>
      <c r="F47" s="36"/>
      <c r="G47" s="34"/>
      <c r="H47" s="18"/>
      <c r="I47" s="18"/>
      <c r="J47" s="39"/>
      <c r="K47" s="39"/>
      <c r="L47" s="39"/>
      <c r="M47" s="74"/>
      <c r="N47" s="85"/>
      <c r="O47" s="85"/>
      <c r="P47" s="68"/>
      <c r="Q47" s="16"/>
      <c r="R47" s="16"/>
      <c r="S47" s="16"/>
      <c r="V47" s="14"/>
      <c r="X47" s="39"/>
      <c r="Y47" s="40"/>
      <c r="Z47" s="14"/>
      <c r="AA47" s="14"/>
    </row>
    <row r="48" customFormat="false" ht="16.5" hidden="false" customHeight="true" outlineLevel="0" collapsed="false">
      <c r="B48" s="15"/>
      <c r="C48" s="34"/>
      <c r="D48" s="68"/>
      <c r="E48" s="34"/>
      <c r="F48" s="36"/>
      <c r="G48" s="34"/>
      <c r="H48" s="18"/>
      <c r="I48" s="18"/>
      <c r="J48" s="39"/>
      <c r="K48" s="39"/>
      <c r="L48" s="39"/>
      <c r="M48" s="74"/>
      <c r="N48" s="85"/>
      <c r="O48" s="85"/>
      <c r="P48" s="68"/>
      <c r="Q48" s="16"/>
      <c r="R48" s="16"/>
      <c r="S48" s="16"/>
      <c r="V48" s="14"/>
      <c r="X48" s="39"/>
      <c r="Y48" s="40"/>
      <c r="Z48" s="14"/>
      <c r="AA48" s="14"/>
    </row>
    <row r="49" customFormat="false" ht="16.5" hidden="false" customHeight="true" outlineLevel="0" collapsed="false">
      <c r="B49" s="15"/>
      <c r="C49" s="34"/>
      <c r="D49" s="68"/>
      <c r="E49" s="34"/>
      <c r="F49" s="36"/>
      <c r="G49" s="34"/>
      <c r="H49" s="18"/>
      <c r="I49" s="18"/>
      <c r="J49" s="39"/>
      <c r="K49" s="39"/>
      <c r="L49" s="39"/>
      <c r="M49" s="74"/>
      <c r="N49" s="85"/>
      <c r="O49" s="85"/>
      <c r="P49" s="68"/>
      <c r="Q49" s="16"/>
      <c r="R49" s="16"/>
      <c r="S49" s="16"/>
      <c r="V49" s="14"/>
      <c r="X49" s="39"/>
      <c r="Y49" s="40"/>
      <c r="Z49" s="14"/>
      <c r="AA49" s="14"/>
    </row>
    <row r="50" customFormat="false" ht="16.5" hidden="false" customHeight="true" outlineLevel="0" collapsed="false">
      <c r="B50" s="15"/>
      <c r="C50" s="34"/>
      <c r="D50" s="68"/>
      <c r="E50" s="34"/>
      <c r="F50" s="36"/>
      <c r="G50" s="34"/>
      <c r="H50" s="18"/>
      <c r="I50" s="18"/>
      <c r="J50" s="39"/>
      <c r="K50" s="39"/>
      <c r="L50" s="39"/>
      <c r="M50" s="74"/>
      <c r="N50" s="85"/>
      <c r="O50" s="85"/>
      <c r="P50" s="68"/>
      <c r="Q50" s="16"/>
      <c r="R50" s="16"/>
      <c r="S50" s="16"/>
      <c r="V50" s="14"/>
      <c r="X50" s="39"/>
      <c r="Y50" s="40"/>
      <c r="Z50" s="14"/>
      <c r="AA50" s="14"/>
    </row>
    <row r="51" customFormat="false" ht="16.5" hidden="false" customHeight="true" outlineLevel="0" collapsed="false">
      <c r="B51" s="15"/>
      <c r="C51" s="34"/>
      <c r="D51" s="68"/>
      <c r="E51" s="34"/>
      <c r="F51" s="36"/>
      <c r="G51" s="34"/>
      <c r="H51" s="18"/>
      <c r="I51" s="18"/>
      <c r="J51" s="39"/>
      <c r="K51" s="39"/>
      <c r="L51" s="39"/>
      <c r="M51" s="74"/>
      <c r="N51" s="85"/>
      <c r="O51" s="85"/>
      <c r="P51" s="68"/>
      <c r="Q51" s="16"/>
      <c r="R51" s="16"/>
      <c r="S51" s="16"/>
      <c r="V51" s="14"/>
      <c r="X51" s="39"/>
      <c r="Y51" s="40"/>
      <c r="Z51" s="14"/>
      <c r="AA51" s="14"/>
    </row>
    <row r="52" customFormat="false" ht="16.5" hidden="false" customHeight="true" outlineLevel="0" collapsed="false">
      <c r="B52" s="15"/>
      <c r="C52" s="34"/>
      <c r="D52" s="68"/>
      <c r="E52" s="34"/>
      <c r="F52" s="36"/>
      <c r="G52" s="34"/>
      <c r="H52" s="18"/>
      <c r="I52" s="18"/>
      <c r="J52" s="39"/>
      <c r="K52" s="39"/>
      <c r="L52" s="39"/>
      <c r="M52" s="74"/>
      <c r="N52" s="85"/>
      <c r="O52" s="85"/>
      <c r="P52" s="86"/>
      <c r="Q52" s="16"/>
      <c r="R52" s="16"/>
      <c r="S52" s="16"/>
      <c r="V52" s="14"/>
      <c r="X52" s="39"/>
      <c r="Y52" s="40"/>
      <c r="Z52" s="14"/>
      <c r="AA52" s="14"/>
    </row>
    <row r="53" customFormat="false" ht="16.5" hidden="false" customHeight="true" outlineLevel="0" collapsed="false">
      <c r="B53" s="15"/>
      <c r="C53" s="34"/>
      <c r="D53" s="68"/>
      <c r="E53" s="34"/>
      <c r="F53" s="36"/>
      <c r="G53" s="34"/>
      <c r="H53" s="18"/>
      <c r="I53" s="18"/>
      <c r="J53" s="39"/>
      <c r="K53" s="39"/>
      <c r="L53" s="39"/>
      <c r="M53" s="74"/>
      <c r="N53" s="85"/>
      <c r="O53" s="85"/>
      <c r="P53" s="68"/>
      <c r="Q53" s="16"/>
      <c r="R53" s="16"/>
      <c r="S53" s="16"/>
      <c r="V53" s="14"/>
      <c r="X53" s="39"/>
      <c r="Y53" s="40"/>
      <c r="Z53" s="14"/>
      <c r="AA53" s="14"/>
    </row>
    <row r="54" customFormat="false" ht="16.5" hidden="false" customHeight="true" outlineLevel="0" collapsed="false">
      <c r="B54" s="15"/>
      <c r="C54" s="34"/>
      <c r="D54" s="68"/>
      <c r="E54" s="34"/>
      <c r="F54" s="36"/>
      <c r="G54" s="34"/>
      <c r="H54" s="18"/>
      <c r="I54" s="18"/>
      <c r="J54" s="39"/>
      <c r="K54" s="39"/>
      <c r="L54" s="39"/>
      <c r="M54" s="74"/>
      <c r="N54" s="85"/>
      <c r="O54" s="85"/>
      <c r="P54" s="68"/>
      <c r="Q54" s="16"/>
      <c r="R54" s="16"/>
      <c r="S54" s="16"/>
      <c r="V54" s="14"/>
      <c r="X54" s="39"/>
      <c r="Y54" s="40"/>
      <c r="Z54" s="14"/>
      <c r="AA54" s="14"/>
    </row>
    <row r="55" customFormat="false" ht="16.5" hidden="false" customHeight="true" outlineLevel="0" collapsed="false">
      <c r="B55" s="15"/>
      <c r="C55" s="34"/>
      <c r="D55" s="68"/>
      <c r="E55" s="34"/>
      <c r="F55" s="36"/>
      <c r="G55" s="34"/>
      <c r="H55" s="18"/>
      <c r="I55" s="18"/>
      <c r="J55" s="39"/>
      <c r="K55" s="39"/>
      <c r="L55" s="39"/>
      <c r="M55" s="74"/>
      <c r="N55" s="85"/>
      <c r="O55" s="85"/>
      <c r="P55" s="68"/>
      <c r="Q55" s="16"/>
      <c r="R55" s="16"/>
      <c r="S55" s="16"/>
      <c r="V55" s="14"/>
      <c r="X55" s="39"/>
      <c r="Y55" s="40"/>
      <c r="Z55" s="14"/>
      <c r="AA55" s="14"/>
    </row>
    <row r="56" customFormat="false" ht="16.5" hidden="false" customHeight="true" outlineLevel="0" collapsed="false">
      <c r="B56" s="52"/>
      <c r="C56" s="78"/>
      <c r="D56" s="78"/>
      <c r="E56" s="78"/>
      <c r="G56" s="3"/>
      <c r="H56" s="3"/>
      <c r="I56" s="3"/>
      <c r="J56" s="3"/>
      <c r="K56" s="3"/>
      <c r="L56" s="3"/>
      <c r="M56" s="92"/>
      <c r="Q56" s="17"/>
      <c r="R56" s="17"/>
      <c r="S56" s="17"/>
      <c r="V56" s="14"/>
      <c r="X56" s="39"/>
      <c r="Y56" s="40"/>
      <c r="Z56" s="14"/>
      <c r="AA56" s="14"/>
    </row>
    <row r="57" customFormat="false" ht="16.5" hidden="false" customHeight="true" outlineLevel="0" collapsed="false">
      <c r="B57" s="52"/>
      <c r="C57" s="78"/>
      <c r="D57" s="78"/>
      <c r="E57" s="78"/>
      <c r="G57" s="3"/>
      <c r="H57" s="3"/>
      <c r="I57" s="3"/>
      <c r="J57" s="3"/>
      <c r="K57" s="3"/>
      <c r="L57" s="3"/>
      <c r="R57" s="17"/>
      <c r="V57" s="14"/>
      <c r="X57" s="39"/>
      <c r="Y57" s="40"/>
      <c r="Z57" s="14"/>
      <c r="AA57" s="14"/>
    </row>
    <row r="58" customFormat="false" ht="16.5" hidden="false" customHeight="true" outlineLevel="0" collapsed="false">
      <c r="B58" s="19" t="s">
        <v>0</v>
      </c>
      <c r="C58" s="19" t="s">
        <v>12</v>
      </c>
      <c r="D58" s="19" t="s">
        <v>13</v>
      </c>
      <c r="E58" s="19" t="s">
        <v>161</v>
      </c>
      <c r="F58" s="19" t="s">
        <v>213</v>
      </c>
      <c r="G58" s="19" t="s">
        <v>175</v>
      </c>
      <c r="H58" s="19" t="s">
        <v>176</v>
      </c>
      <c r="I58" s="19" t="s">
        <v>202</v>
      </c>
      <c r="J58" s="33"/>
      <c r="K58" s="33"/>
      <c r="L58" s="33"/>
      <c r="M58" s="19" t="s">
        <v>209</v>
      </c>
      <c r="N58" s="84" t="s">
        <v>210</v>
      </c>
      <c r="O58" s="84" t="s">
        <v>211</v>
      </c>
      <c r="P58" s="34" t="s">
        <v>193</v>
      </c>
      <c r="Q58" s="34" t="s">
        <v>144</v>
      </c>
      <c r="R58" s="34" t="s">
        <v>194</v>
      </c>
      <c r="S58" s="15" t="s">
        <v>212</v>
      </c>
      <c r="U58" s="52"/>
      <c r="V58" s="66" t="n">
        <v>46</v>
      </c>
      <c r="W58" s="66" t="n">
        <v>18</v>
      </c>
      <c r="X58" s="66" t="n">
        <v>11</v>
      </c>
      <c r="Y58" s="74" t="s">
        <v>201</v>
      </c>
      <c r="Z58" s="66" t="s">
        <v>176</v>
      </c>
      <c r="AA58" s="66" t="s">
        <v>202</v>
      </c>
    </row>
    <row r="59" customFormat="false" ht="16.5" hidden="false" customHeight="true" outlineLevel="0" collapsed="false">
      <c r="B59" s="15" t="s">
        <v>5</v>
      </c>
      <c r="C59" s="34" t="n">
        <v>60</v>
      </c>
      <c r="D59" s="18" t="n">
        <v>-0.10159583</v>
      </c>
      <c r="E59" s="34" t="n">
        <v>46</v>
      </c>
      <c r="F59" s="34" t="n">
        <v>1.26</v>
      </c>
      <c r="G59" s="34" t="n">
        <v>7</v>
      </c>
      <c r="H59" s="18" t="n">
        <f aca="false">F59*G59</f>
        <v>8.82</v>
      </c>
      <c r="I59" s="18" t="n">
        <v>0.192008486562942</v>
      </c>
      <c r="J59" s="39"/>
      <c r="K59" s="39"/>
      <c r="L59" s="39"/>
      <c r="M59" s="74" t="n">
        <v>70</v>
      </c>
      <c r="N59" s="85" t="n">
        <v>1.38268413723884</v>
      </c>
      <c r="O59" s="85" t="n">
        <v>-1</v>
      </c>
      <c r="P59" s="68" t="n">
        <v>-7.49058085045171</v>
      </c>
      <c r="Q59" s="16" t="n">
        <v>39.1023074011144</v>
      </c>
      <c r="R59" s="16" t="n">
        <v>-28.28</v>
      </c>
      <c r="S59" s="15"/>
      <c r="U59" s="52" t="n">
        <v>70</v>
      </c>
      <c r="V59" s="34" t="n">
        <v>2</v>
      </c>
      <c r="W59" s="15" t="n">
        <v>2</v>
      </c>
      <c r="X59" s="15" t="n">
        <v>5</v>
      </c>
      <c r="Y59" s="34" t="n">
        <v>9</v>
      </c>
      <c r="Z59" s="18" t="n">
        <v>15.4</v>
      </c>
      <c r="AA59" s="36" t="n">
        <v>0.544554455445545</v>
      </c>
    </row>
    <row r="60" customFormat="false" ht="16.5" hidden="false" customHeight="true" outlineLevel="0" collapsed="false">
      <c r="B60" s="15" t="s">
        <v>6</v>
      </c>
      <c r="C60" s="34" t="n">
        <v>70</v>
      </c>
      <c r="D60" s="18" t="n">
        <v>-0.22409187</v>
      </c>
      <c r="E60" s="34" t="n">
        <v>46</v>
      </c>
      <c r="F60" s="34" t="n">
        <v>3.55</v>
      </c>
      <c r="G60" s="34" t="n">
        <v>2</v>
      </c>
      <c r="H60" s="18" t="n">
        <v>7.1</v>
      </c>
      <c r="I60" s="18" t="n">
        <v>0.251060820367751</v>
      </c>
      <c r="J60" s="39"/>
      <c r="K60" s="39"/>
      <c r="L60" s="39"/>
      <c r="M60" s="74" t="n">
        <v>65</v>
      </c>
      <c r="N60" s="85" t="n">
        <v>3.03641582193686</v>
      </c>
      <c r="O60" s="85" t="n">
        <v>0.591230551626591</v>
      </c>
      <c r="P60" s="68" t="n">
        <v>-11.3164222869737</v>
      </c>
      <c r="Q60" s="16" t="n">
        <v>85.8698394443744</v>
      </c>
      <c r="R60" s="16" t="n">
        <v>16.72</v>
      </c>
      <c r="S60" s="16" t="n">
        <v>46.7675320432601</v>
      </c>
      <c r="U60" s="52" t="n">
        <v>65</v>
      </c>
      <c r="V60" s="34"/>
      <c r="W60" s="15"/>
      <c r="X60" s="15" t="n">
        <v>5</v>
      </c>
      <c r="Y60" s="34" t="n">
        <v>5</v>
      </c>
      <c r="Z60" s="18" t="n">
        <v>4.2</v>
      </c>
      <c r="AA60" s="36" t="n">
        <v>0.148514851485149</v>
      </c>
    </row>
    <row r="61" customFormat="false" ht="16.5" hidden="false" customHeight="true" outlineLevel="0" collapsed="false">
      <c r="B61" s="15" t="s">
        <v>8</v>
      </c>
      <c r="C61" s="34" t="n">
        <v>60</v>
      </c>
      <c r="D61" s="18" t="n">
        <v>-0.03792071</v>
      </c>
      <c r="E61" s="34" t="n">
        <v>18</v>
      </c>
      <c r="F61" s="34" t="n">
        <v>0.43</v>
      </c>
      <c r="G61" s="34" t="n">
        <v>1</v>
      </c>
      <c r="H61" s="18" t="n">
        <v>0.43</v>
      </c>
      <c r="I61" s="18" t="n">
        <v>0.0152050919377652</v>
      </c>
      <c r="J61" s="39"/>
      <c r="K61" s="39"/>
      <c r="L61" s="39"/>
      <c r="M61" s="74" t="n">
        <v>64</v>
      </c>
      <c r="N61" s="85" t="n">
        <v>3.45101477175098</v>
      </c>
      <c r="O61" s="85" t="n">
        <v>1.08628005657709</v>
      </c>
      <c r="P61" s="68" t="n">
        <v>-12.1344325196171</v>
      </c>
      <c r="Q61" s="16" t="n">
        <v>97.5946977451177</v>
      </c>
      <c r="R61" s="16" t="n">
        <v>30.72</v>
      </c>
      <c r="S61" s="16" t="n">
        <v>11.7248583007433</v>
      </c>
      <c r="U61" s="52" t="n">
        <v>60</v>
      </c>
      <c r="V61" s="34" t="n">
        <v>3</v>
      </c>
      <c r="W61" s="15" t="n">
        <v>1</v>
      </c>
      <c r="X61" s="15" t="n">
        <v>6</v>
      </c>
      <c r="Y61" s="34" t="n">
        <v>10</v>
      </c>
      <c r="Z61" s="18" t="n">
        <v>8.68</v>
      </c>
      <c r="AA61" s="36" t="n">
        <v>0.306930693069307</v>
      </c>
    </row>
    <row r="62" customFormat="false" ht="16.5" hidden="false" customHeight="true" outlineLevel="0" collapsed="false">
      <c r="B62" s="15" t="s">
        <v>9</v>
      </c>
      <c r="C62" s="34" t="n">
        <v>70</v>
      </c>
      <c r="D62" s="18" t="n">
        <v>-0.13970333</v>
      </c>
      <c r="E62" s="34" t="n">
        <v>18</v>
      </c>
      <c r="F62" s="34" t="n">
        <v>1.06</v>
      </c>
      <c r="G62" s="34" t="n">
        <v>3</v>
      </c>
      <c r="H62" s="18" t="n">
        <v>2</v>
      </c>
      <c r="I62" s="18" t="n">
        <v>0.0707213578500707</v>
      </c>
      <c r="J62" s="39"/>
      <c r="K62" s="39"/>
      <c r="L62" s="39"/>
      <c r="M62" s="74" t="n">
        <v>63</v>
      </c>
      <c r="N62" s="85" t="n">
        <v>3.89462175408532</v>
      </c>
      <c r="O62" s="85" t="n">
        <v>1.58132956152758</v>
      </c>
      <c r="P62" s="68" t="n">
        <v>-12.9560344393672</v>
      </c>
      <c r="Q62" s="16" t="n">
        <v>110.139903205533</v>
      </c>
      <c r="R62" s="16" t="n">
        <v>44.72</v>
      </c>
      <c r="S62" s="16" t="n">
        <v>12.5452054604152</v>
      </c>
      <c r="U62" s="52"/>
      <c r="V62" s="78"/>
      <c r="W62" s="17"/>
      <c r="Y62" s="3" t="n">
        <v>24</v>
      </c>
      <c r="Z62" s="78" t="n">
        <v>28.28</v>
      </c>
      <c r="AA62" s="3"/>
    </row>
    <row r="63" customFormat="false" ht="16.5" hidden="false" customHeight="true" outlineLevel="0" collapsed="false">
      <c r="B63" s="15" t="s">
        <v>214</v>
      </c>
      <c r="C63" s="34" t="n">
        <v>60</v>
      </c>
      <c r="D63" s="18" t="n">
        <v>-0.03169814</v>
      </c>
      <c r="E63" s="34" t="n">
        <v>11</v>
      </c>
      <c r="F63" s="34" t="n">
        <v>0.47</v>
      </c>
      <c r="G63" s="34" t="n">
        <v>6</v>
      </c>
      <c r="H63" s="18" t="n">
        <v>2.82</v>
      </c>
      <c r="I63" s="18" t="n">
        <v>0.0997171145685997</v>
      </c>
      <c r="J63" s="39"/>
      <c r="K63" s="39"/>
      <c r="L63" s="39"/>
      <c r="M63" s="74" t="n">
        <v>62</v>
      </c>
      <c r="N63" s="85" t="n">
        <v>4.36724848744639</v>
      </c>
      <c r="O63" s="85" t="n">
        <v>2.07637906647808</v>
      </c>
      <c r="P63" s="68" t="n">
        <v>-13.7746994315909</v>
      </c>
      <c r="Q63" s="16" t="n">
        <v>123.505787224984</v>
      </c>
      <c r="R63" s="16" t="n">
        <v>58.72</v>
      </c>
      <c r="S63" s="16" t="n">
        <v>13.3658840194509</v>
      </c>
      <c r="V63" s="14"/>
      <c r="X63" s="39"/>
      <c r="Y63" s="40"/>
      <c r="Z63" s="14"/>
      <c r="AA63" s="14"/>
    </row>
    <row r="64" customFormat="false" ht="16.5" hidden="false" customHeight="true" outlineLevel="0" collapsed="false">
      <c r="B64" s="15" t="s">
        <v>36</v>
      </c>
      <c r="C64" s="34" t="n">
        <v>65</v>
      </c>
      <c r="D64" s="18" t="n">
        <v>-0.05661972</v>
      </c>
      <c r="E64" s="34" t="n">
        <v>11</v>
      </c>
      <c r="F64" s="34" t="n">
        <v>0.84</v>
      </c>
      <c r="G64" s="34" t="n">
        <v>5</v>
      </c>
      <c r="H64" s="18" t="n">
        <v>4.2</v>
      </c>
      <c r="I64" s="18" t="n">
        <v>0.148514851485149</v>
      </c>
      <c r="J64" s="39"/>
      <c r="K64" s="39"/>
      <c r="L64" s="39"/>
      <c r="M64" s="74" t="n">
        <v>61</v>
      </c>
      <c r="N64" s="85" t="n">
        <v>4.86867599543736</v>
      </c>
      <c r="O64" s="85" t="n">
        <v>2.57142857142857</v>
      </c>
      <c r="P64" s="68" t="n">
        <v>-14.5839365842979</v>
      </c>
      <c r="Q64" s="16" t="n">
        <v>137.686157150969</v>
      </c>
      <c r="R64" s="16" t="n">
        <v>72.72</v>
      </c>
      <c r="S64" s="16" t="n">
        <v>14.1803699259848</v>
      </c>
      <c r="V64" s="14"/>
      <c r="X64" s="39"/>
      <c r="Y64" s="40"/>
      <c r="Z64" s="14"/>
      <c r="AA64" s="14"/>
    </row>
    <row r="65" customFormat="false" ht="16.5" hidden="false" customHeight="true" outlineLevel="0" collapsed="false">
      <c r="B65" s="15" t="s">
        <v>38</v>
      </c>
      <c r="C65" s="34" t="n">
        <v>70</v>
      </c>
      <c r="D65" s="18" t="n">
        <v>-0.10544421</v>
      </c>
      <c r="E65" s="34" t="n">
        <v>11</v>
      </c>
      <c r="F65" s="34" t="n">
        <v>1.26</v>
      </c>
      <c r="G65" s="34" t="n">
        <v>5</v>
      </c>
      <c r="H65" s="18" t="n">
        <v>6.3</v>
      </c>
      <c r="I65" s="18" t="n">
        <v>0.222772277227723</v>
      </c>
      <c r="J65" s="39"/>
      <c r="K65" s="39"/>
      <c r="L65" s="39"/>
      <c r="M65" s="74" t="n">
        <v>60</v>
      </c>
      <c r="N65" s="85" t="n">
        <v>5.39845893767642</v>
      </c>
      <c r="O65" s="85" t="n">
        <v>3.06647807637907</v>
      </c>
      <c r="P65" s="86" t="n">
        <v>-15.3774609961752</v>
      </c>
      <c r="Q65" s="16" t="n">
        <v>152.668418757489</v>
      </c>
      <c r="R65" s="16" t="n">
        <v>86.72</v>
      </c>
      <c r="S65" s="16" t="n">
        <v>14.9822616065205</v>
      </c>
      <c r="V65" s="14"/>
      <c r="X65" s="39"/>
      <c r="Y65" s="40"/>
      <c r="Z65" s="14"/>
      <c r="AA65" s="14"/>
    </row>
    <row r="66" customFormat="false" ht="16.5" hidden="false" customHeight="true" outlineLevel="0" collapsed="false">
      <c r="B66" s="15"/>
      <c r="C66" s="34"/>
      <c r="D66" s="18"/>
      <c r="E66" s="34"/>
      <c r="F66" s="34"/>
      <c r="G66" s="36"/>
      <c r="H66" s="18"/>
      <c r="I66" s="18"/>
      <c r="J66" s="39"/>
      <c r="K66" s="39"/>
      <c r="L66" s="39"/>
      <c r="M66" s="74" t="n">
        <v>59</v>
      </c>
      <c r="N66" s="85" t="n">
        <v>5.95593571118446</v>
      </c>
      <c r="O66" s="85" t="n">
        <v>3.91513437057992</v>
      </c>
      <c r="P66" s="68" t="n">
        <v>-16.1493504962669</v>
      </c>
      <c r="Q66" s="16" t="n">
        <v>168.433861912296</v>
      </c>
      <c r="R66" s="16" t="n">
        <v>110.72</v>
      </c>
      <c r="S66" s="16" t="n">
        <v>15.7654431548073</v>
      </c>
      <c r="V66" s="14"/>
      <c r="X66" s="39"/>
      <c r="Y66" s="40"/>
      <c r="Z66" s="14"/>
      <c r="AA66" s="14"/>
    </row>
    <row r="67" customFormat="false" ht="16.5" hidden="false" customHeight="true" outlineLevel="0" collapsed="false">
      <c r="B67" s="15"/>
      <c r="C67" s="34"/>
      <c r="D67" s="18"/>
      <c r="E67" s="34"/>
      <c r="F67" s="34"/>
      <c r="G67" s="36"/>
      <c r="H67" s="18"/>
      <c r="I67" s="18"/>
      <c r="J67" s="39"/>
      <c r="K67" s="39"/>
      <c r="L67" s="39"/>
      <c r="M67" s="74" t="n">
        <v>58</v>
      </c>
      <c r="N67" s="85" t="n">
        <v>6.54024377737887</v>
      </c>
      <c r="O67" s="85" t="n">
        <v>4.76379066478076</v>
      </c>
      <c r="P67" s="68" t="n">
        <v>-16.8941833865037</v>
      </c>
      <c r="Q67" s="16" t="n">
        <v>184.958094024274</v>
      </c>
      <c r="R67" s="16" t="n">
        <v>134.72</v>
      </c>
      <c r="S67" s="16" t="n">
        <v>16.5242321119781</v>
      </c>
      <c r="V67" s="14"/>
      <c r="X67" s="39"/>
      <c r="Y67" s="40"/>
      <c r="Z67" s="14"/>
      <c r="AA67" s="14"/>
    </row>
    <row r="68" customFormat="false" ht="16.5" hidden="false" customHeight="true" outlineLevel="0" collapsed="false">
      <c r="B68" s="15"/>
      <c r="C68" s="34"/>
      <c r="D68" s="18"/>
      <c r="E68" s="34"/>
      <c r="F68" s="34"/>
      <c r="G68" s="36"/>
      <c r="H68" s="18"/>
      <c r="I68" s="18"/>
      <c r="J68" s="39"/>
      <c r="K68" s="39"/>
      <c r="L68" s="39"/>
      <c r="M68" s="74" t="n">
        <v>57</v>
      </c>
      <c r="N68" s="85" t="n">
        <v>7.15033943880973</v>
      </c>
      <c r="O68" s="85" t="n">
        <v>5.61244695898161</v>
      </c>
      <c r="P68" s="68" t="n">
        <v>-17.6071516227293</v>
      </c>
      <c r="Q68" s="16" t="n">
        <v>202.211599329539</v>
      </c>
      <c r="R68" s="16" t="n">
        <v>158.72</v>
      </c>
      <c r="S68" s="16" t="n">
        <v>17.2535053052647</v>
      </c>
      <c r="V68" s="14"/>
      <c r="X68" s="39"/>
      <c r="Y68" s="40"/>
      <c r="Z68" s="14"/>
      <c r="AA68" s="14"/>
    </row>
    <row r="69" customFormat="false" ht="16.5" hidden="false" customHeight="true" outlineLevel="0" collapsed="false">
      <c r="B69" s="52"/>
      <c r="C69" s="78"/>
      <c r="D69" s="78"/>
      <c r="E69" s="78"/>
      <c r="G69" s="3"/>
      <c r="H69" s="3" t="n">
        <v>28.28</v>
      </c>
      <c r="I69" s="3"/>
      <c r="J69" s="3"/>
      <c r="K69" s="3"/>
      <c r="L69" s="3"/>
      <c r="M69" s="92"/>
      <c r="N69" s="2" t="n">
        <v>3.45651261052778</v>
      </c>
      <c r="O69" s="2" t="n">
        <v>1.1481612446959</v>
      </c>
      <c r="Q69" s="17" t="n">
        <v>92.5468552009926</v>
      </c>
      <c r="R69" s="17"/>
      <c r="S69" s="17"/>
      <c r="V69" s="14"/>
      <c r="X69" s="39"/>
      <c r="Y69" s="40"/>
      <c r="Z69" s="14"/>
      <c r="AA69" s="14"/>
    </row>
    <row r="70" customFormat="false" ht="13.5" hidden="false" customHeight="true" outlineLevel="0" collapsed="false">
      <c r="Z70" s="37"/>
    </row>
    <row r="71" customFormat="false" ht="14.25" hidden="false" customHeight="true" outlineLevel="0" collapsed="false">
      <c r="B71" s="63" t="s">
        <v>187</v>
      </c>
      <c r="C71" s="63"/>
      <c r="D71" s="63"/>
      <c r="E71" s="63"/>
      <c r="F71" s="63"/>
      <c r="M71" s="63" t="s">
        <v>188</v>
      </c>
      <c r="N71" s="63"/>
      <c r="O71" s="63"/>
      <c r="P71" s="63"/>
      <c r="Q71" s="63"/>
      <c r="R71" s="63"/>
      <c r="S71" s="63"/>
      <c r="T71" s="63"/>
      <c r="U71" s="64"/>
      <c r="X71" s="63" t="str">
        <f aca="false">B20</f>
        <v>SOL-29MAY26-60-P-USDT</v>
      </c>
      <c r="Y71" s="63"/>
      <c r="Z71" s="63" t="str">
        <f aca="false">B21</f>
        <v>SOL-29MAY26-70-P-USDT</v>
      </c>
      <c r="AA71" s="63"/>
      <c r="AB71" s="63" t="str">
        <f aca="false">B22</f>
        <v>SOL-8MAY26-60-P-USDT</v>
      </c>
      <c r="AC71" s="63"/>
      <c r="AD71" s="63" t="str">
        <f aca="false">B23</f>
        <v>SOL-1MAY26-60-P-USDT</v>
      </c>
      <c r="AE71" s="63"/>
      <c r="AF71" s="63" t="str">
        <f aca="false">B24</f>
        <v>SOL-1MAY26-70-P-USDT</v>
      </c>
      <c r="AG71" s="63"/>
      <c r="AH71" s="63" t="str">
        <f aca="false">B25</f>
        <v>SOL-1MAY26-72-P-USDT</v>
      </c>
      <c r="AI71" s="63"/>
      <c r="AJ71" s="63" t="str">
        <f aca="false">B26</f>
        <v>SOL-1MAY26-74-P-USDT</v>
      </c>
      <c r="AK71" s="63"/>
      <c r="AL71" s="63" t="str">
        <f aca="false">B27</f>
        <v>SOL-29MAY26-60-P-USDT</v>
      </c>
      <c r="AM71" s="63"/>
      <c r="AN71" s="63" t="str">
        <f aca="false">B28</f>
        <v>SOL-29MAY26-60-P-USDT</v>
      </c>
      <c r="AO71" s="63"/>
      <c r="AP71" s="63" t="str">
        <f aca="false">B29</f>
        <v>SOL-29MAY26-70-P-USDT</v>
      </c>
      <c r="AQ71" s="63"/>
    </row>
    <row r="72" customFormat="false" ht="14.25" hidden="false" customHeight="true" outlineLevel="0" collapsed="false">
      <c r="B72" s="34" t="s">
        <v>189</v>
      </c>
      <c r="C72" s="34" t="s">
        <v>190</v>
      </c>
      <c r="D72" s="34" t="s">
        <v>191</v>
      </c>
      <c r="E72" s="34" t="s">
        <v>144</v>
      </c>
      <c r="F72" s="34" t="s">
        <v>192</v>
      </c>
      <c r="M72" s="34" t="s">
        <v>189</v>
      </c>
      <c r="N72" s="34" t="s">
        <v>193</v>
      </c>
      <c r="O72" s="34" t="s">
        <v>144</v>
      </c>
      <c r="P72" s="34" t="s">
        <v>194</v>
      </c>
      <c r="Q72" s="34" t="s">
        <v>195</v>
      </c>
      <c r="R72" s="34" t="s">
        <v>196</v>
      </c>
      <c r="S72" s="34" t="s">
        <v>197</v>
      </c>
      <c r="T72" s="34" t="s">
        <v>198</v>
      </c>
      <c r="U72" s="34"/>
      <c r="W72" s="34" t="s">
        <v>189</v>
      </c>
      <c r="X72" s="66" t="s">
        <v>144</v>
      </c>
      <c r="Y72" s="66" t="s">
        <v>194</v>
      </c>
      <c r="Z72" s="66" t="s">
        <v>144</v>
      </c>
      <c r="AA72" s="66" t="s">
        <v>194</v>
      </c>
      <c r="AB72" s="66" t="s">
        <v>144</v>
      </c>
      <c r="AC72" s="66" t="s">
        <v>194</v>
      </c>
      <c r="AD72" s="66" t="s">
        <v>144</v>
      </c>
      <c r="AE72" s="66" t="s">
        <v>194</v>
      </c>
      <c r="AF72" s="66" t="s">
        <v>144</v>
      </c>
      <c r="AG72" s="66" t="s">
        <v>194</v>
      </c>
      <c r="AH72" s="66" t="s">
        <v>144</v>
      </c>
      <c r="AI72" s="66" t="s">
        <v>194</v>
      </c>
      <c r="AJ72" s="66" t="s">
        <v>144</v>
      </c>
      <c r="AK72" s="66" t="s">
        <v>194</v>
      </c>
      <c r="AL72" s="66" t="s">
        <v>144</v>
      </c>
      <c r="AM72" s="66" t="s">
        <v>194</v>
      </c>
      <c r="AN72" s="66" t="s">
        <v>144</v>
      </c>
      <c r="AO72" s="66" t="s">
        <v>194</v>
      </c>
      <c r="AP72" s="66" t="s">
        <v>144</v>
      </c>
      <c r="AQ72" s="66" t="s">
        <v>194</v>
      </c>
    </row>
    <row r="73" customFormat="false" ht="14.25" hidden="false" customHeight="true" outlineLevel="0" collapsed="false">
      <c r="B73" s="67" t="n">
        <f aca="false">ROUND(Portfolio!D10,0)</f>
        <v>83</v>
      </c>
      <c r="C73" s="68" t="n">
        <f aca="false">O73/$H$30</f>
        <v>-0.439193567828309</v>
      </c>
      <c r="D73" s="68" t="n">
        <f aca="false">P73/$H$30</f>
        <v>-1</v>
      </c>
      <c r="E73" s="16" t="n">
        <f aca="false">($C$2*B73)-$E$2</f>
        <v>-7.02859033150003</v>
      </c>
      <c r="F73" s="69" t="n">
        <f aca="false">(E73/$E$2)</f>
        <v>-0.00514597641289576</v>
      </c>
      <c r="M73" s="67" t="n">
        <f aca="false">B73</f>
        <v>83</v>
      </c>
      <c r="N73" s="68" t="n">
        <f aca="false">Hedge_Far!C314</f>
        <v>-1.1061601902927</v>
      </c>
      <c r="O73" s="16" t="n">
        <f aca="false">Hedge_Far!G314</f>
        <v>-6.3902664119019</v>
      </c>
      <c r="P73" s="16" t="n">
        <f aca="false">Y73+AA73+AC73+AE73+AG73+AI73+AK73+AM73+AO73+AQ73</f>
        <v>-14.55</v>
      </c>
      <c r="Q73" s="69" t="n">
        <f aca="false">S73/$E$2</f>
        <v>-0.00982460451281364</v>
      </c>
      <c r="R73" s="69" t="n">
        <f aca="false">T73/$E$2</f>
        <v>-0.0157987464956918</v>
      </c>
      <c r="S73" s="16" t="n">
        <f aca="false">E73+O73</f>
        <v>-13.4188567434019</v>
      </c>
      <c r="T73" s="16" t="n">
        <f aca="false">E73+P73</f>
        <v>-21.5785903315</v>
      </c>
      <c r="U73" s="16"/>
      <c r="W73" s="67" t="n">
        <f aca="false">B73</f>
        <v>83</v>
      </c>
      <c r="X73" s="16" t="n">
        <f aca="false">Hedge_Far!G17</f>
        <v>-2.62283184856018</v>
      </c>
      <c r="Y73" s="16" t="n">
        <f aca="false">IF(B73&gt;$C$20,-1*$H$20,(($C$20-B73)*$G$20)-$H$20)</f>
        <v>-6.93</v>
      </c>
      <c r="Z73" s="16" t="n">
        <f aca="false">Hedge_Far!G46</f>
        <v>-0.549109097982104</v>
      </c>
      <c r="AA73" s="16" t="n">
        <f aca="false">IF(B73&gt;$C$21,-1*$H$21,(($C$21-B73)*$G$21)-$H$21)</f>
        <v>-4.52</v>
      </c>
      <c r="AB73" s="16" t="n">
        <f aca="false">Hedge_Far!G75</f>
        <v>-0</v>
      </c>
      <c r="AC73" s="16" t="n">
        <f aca="false">IF(B73&gt;$C$22,-1*$H$22,(($C$22-B73)*$G$22)-$H$22)</f>
        <v>-0</v>
      </c>
      <c r="AD73" s="16" t="n">
        <f aca="false">Hedge_Far!G104</f>
        <v>-1.88878656773891</v>
      </c>
      <c r="AE73" s="16" t="n">
        <f aca="false">IF(B73&gt;$C$23,-1*$H$23,(($C$23-B73)*$G$23)-$H$23)</f>
        <v>-0.43</v>
      </c>
      <c r="AF73" s="16" t="n">
        <f aca="false">Hedge_Far!G134</f>
        <v>-1.3295388976207</v>
      </c>
      <c r="AG73" s="16" t="n">
        <f aca="false">IF(B73&gt;$C$24,-1*$H$24,(($C$24-B73)*$G$24)-$H$24)</f>
        <v>-2.67</v>
      </c>
      <c r="AH73" s="16" t="n">
        <f aca="false">Hedge_Far!G164</f>
        <v>-0</v>
      </c>
      <c r="AI73" s="16" t="n">
        <f aca="false">IF(B73&gt;$C$25,-1*$H$25,(($C$25-B73)*$G$25)-$H$25)</f>
        <v>-0</v>
      </c>
      <c r="AJ73" s="16" t="n">
        <f aca="false">Hedge_Far!G194</f>
        <v>-0</v>
      </c>
      <c r="AK73" s="16" t="n">
        <f aca="false">IF(B73&gt;$C$26,-1*$H$26,(($C$26-B73)*$G$26)-$H$26)</f>
        <v>-0</v>
      </c>
      <c r="AL73" s="16" t="n">
        <f aca="false">Hedge_Far!G224</f>
        <v>-0</v>
      </c>
      <c r="AM73" s="16" t="n">
        <f aca="false">IF(B73&gt;$C$27,-1*$H$27,(($C$27-B73)*$G$27)-$H$27)</f>
        <v>-0</v>
      </c>
      <c r="AN73" s="16" t="n">
        <f aca="false">Hedge_Far!G254</f>
        <v>-0</v>
      </c>
      <c r="AO73" s="16" t="n">
        <f aca="false">IF(B73&gt;$C$28,-1*$H$28,(($C$28-B73)*$G$28)-$H$28)</f>
        <v>-0</v>
      </c>
      <c r="AP73" s="16" t="n">
        <f aca="false">Hedge_Far!G284</f>
        <v>-0</v>
      </c>
      <c r="AQ73" s="16" t="n">
        <f aca="false">IF(B73&gt;$C$29,-1*$H$29,(($C$29-B73)*$G$29)-$H$29)</f>
        <v>-0</v>
      </c>
      <c r="AR73" s="2"/>
    </row>
    <row r="74" customFormat="false" ht="14.25" hidden="false" customHeight="true" outlineLevel="0" collapsed="false">
      <c r="B74" s="67" t="n">
        <f aca="false">B73-1</f>
        <v>82</v>
      </c>
      <c r="C74" s="68" t="n">
        <f aca="false">O74/$H$30</f>
        <v>-0.358795652090869</v>
      </c>
      <c r="D74" s="68" t="n">
        <f aca="false">P74/$H$30</f>
        <v>-1</v>
      </c>
      <c r="E74" s="16" t="n">
        <f aca="false">($C$2*B74)-$E$2</f>
        <v>-23.3998353314998</v>
      </c>
      <c r="F74" s="69" t="n">
        <f aca="false">(E74/$E$2)</f>
        <v>-0.0171321694681619</v>
      </c>
      <c r="M74" s="67" t="n">
        <f aca="false">M73-1</f>
        <v>82</v>
      </c>
      <c r="N74" s="68" t="n">
        <f aca="false">Hedge_Far!C315</f>
        <v>-1.23559765025303</v>
      </c>
      <c r="O74" s="16" t="n">
        <f aca="false">Hedge_Far!G315</f>
        <v>-5.22047673792214</v>
      </c>
      <c r="P74" s="16" t="n">
        <f aca="false">Y74+AA74+AC74+AE74+AG74+AI74+AK74+AM74+AO74+AQ74</f>
        <v>-14.55</v>
      </c>
      <c r="Q74" s="69" t="n">
        <f aca="false">S74/$E$2</f>
        <v>-0.0209543370565929</v>
      </c>
      <c r="R74" s="69" t="n">
        <f aca="false">T74/$E$2</f>
        <v>-0.027784939550958</v>
      </c>
      <c r="S74" s="16" t="n">
        <f aca="false">E74+O74</f>
        <v>-28.620312069422</v>
      </c>
      <c r="T74" s="16" t="n">
        <f aca="false">E74+P74</f>
        <v>-37.9498353314998</v>
      </c>
      <c r="U74" s="70" t="n">
        <f aca="false">O75-2*O74+O73</f>
        <v>0.1361302860233</v>
      </c>
      <c r="V74" s="71"/>
      <c r="W74" s="67" t="n">
        <f aca="false">W73-1</f>
        <v>82</v>
      </c>
      <c r="X74" s="16" t="n">
        <f aca="false">Hedge_Far!G18</f>
        <v>-2.13702674714436</v>
      </c>
      <c r="Y74" s="16" t="n">
        <f aca="false">IF(B74&gt;$C$20,-1*$H$20,(($C$20-B74)*$G$20)-$H$20)</f>
        <v>-6.93</v>
      </c>
      <c r="Z74" s="16" t="n">
        <f aca="false">Hedge_Far!G47</f>
        <v>-0.166006106277958</v>
      </c>
      <c r="AA74" s="16" t="n">
        <f aca="false">IF(B74&gt;$C$21,-1*$H$21,(($C$21-B74)*$G$21)-$H$21)</f>
        <v>-4.52</v>
      </c>
      <c r="AB74" s="16" t="n">
        <f aca="false">Hedge_Far!G76</f>
        <v>-0</v>
      </c>
      <c r="AC74" s="16" t="n">
        <f aca="false">IF(B74&gt;$C$22,-1*$H$22,(($C$22-B74)*$G$22)-$H$22)</f>
        <v>-0</v>
      </c>
      <c r="AD74" s="16" t="n">
        <f aca="false">Hedge_Far!G105</f>
        <v>-1.86618087738082</v>
      </c>
      <c r="AE74" s="16" t="n">
        <f aca="false">IF(B74&gt;$C$23,-1*$H$23,(($C$23-B74)*$G$23)-$H$23)</f>
        <v>-0.43</v>
      </c>
      <c r="AF74" s="16" t="n">
        <f aca="false">Hedge_Far!G135</f>
        <v>-1.05126300711901</v>
      </c>
      <c r="AG74" s="16" t="n">
        <f aca="false">IF(B74&gt;$C$24,-1*$H$24,(($C$24-B74)*$G$24)-$H$24)</f>
        <v>-2.67</v>
      </c>
      <c r="AH74" s="16" t="n">
        <f aca="false">Hedge_Far!G165</f>
        <v>-0</v>
      </c>
      <c r="AI74" s="16" t="n">
        <f aca="false">IF(B74&gt;$C$25,-1*$H$25,(($C$25-B74)*$G$25)-$H$25)</f>
        <v>-0</v>
      </c>
      <c r="AJ74" s="16" t="n">
        <f aca="false">Hedge_Far!G195</f>
        <v>-0</v>
      </c>
      <c r="AK74" s="16" t="n">
        <f aca="false">IF(B74&gt;$C$26,-1*$H$26,(($C$26-B74)*$G$26)-$H$26)</f>
        <v>-0</v>
      </c>
      <c r="AL74" s="16" t="n">
        <f aca="false">Hedge_Far!G225</f>
        <v>-0</v>
      </c>
      <c r="AM74" s="16" t="n">
        <f aca="false">IF(B74&gt;$C$27,-1*$H$27,(($C$27-B74)*$G$27)-$H$27)</f>
        <v>-0</v>
      </c>
      <c r="AN74" s="16" t="n">
        <f aca="false">Hedge_Far!G255</f>
        <v>-0</v>
      </c>
      <c r="AO74" s="16" t="n">
        <f aca="false">IF(B74&gt;$C$28,-1*$H$28,(($C$28-B74)*$G$28)-$H$28)</f>
        <v>-0</v>
      </c>
      <c r="AP74" s="16" t="n">
        <f aca="false">Hedge_Far!G285</f>
        <v>-0</v>
      </c>
      <c r="AQ74" s="16" t="n">
        <f aca="false">IF(B74&gt;$C$29,-1*$H$29,(($C$29-B74)*$G$29)-$H$29)</f>
        <v>-0</v>
      </c>
      <c r="AR74" s="2"/>
    </row>
    <row r="75" customFormat="false" ht="14.25" hidden="false" customHeight="true" outlineLevel="0" collapsed="false">
      <c r="B75" s="67" t="n">
        <f aca="false">B74-1</f>
        <v>81</v>
      </c>
      <c r="C75" s="68" t="n">
        <f aca="false">O75/$H$30</f>
        <v>-0.269041702949766</v>
      </c>
      <c r="D75" s="68" t="n">
        <f aca="false">P75/$H$30</f>
        <v>-1</v>
      </c>
      <c r="E75" s="16" t="n">
        <f aca="false">($C$2*B75)-$E$2</f>
        <v>-39.7710803314999</v>
      </c>
      <c r="F75" s="69" t="n">
        <f aca="false">(E75/$E$2)</f>
        <v>-0.0291183625234283</v>
      </c>
      <c r="M75" s="67" t="n">
        <f aca="false">M74-1</f>
        <v>81</v>
      </c>
      <c r="N75" s="68" t="n">
        <f aca="false">Hedge_Far!C316</f>
        <v>-1.37857699581358</v>
      </c>
      <c r="O75" s="16" t="n">
        <f aca="false">Hedge_Far!G316</f>
        <v>-3.91455677791909</v>
      </c>
      <c r="P75" s="16" t="n">
        <f aca="false">Y75+AA75+AC75+AE75+AG75+AI75+AK75+AM75+AO75+AQ75</f>
        <v>-14.55</v>
      </c>
      <c r="Q75" s="69" t="n">
        <f aca="false">S75/$E$2</f>
        <v>-0.0319844019276361</v>
      </c>
      <c r="R75" s="69" t="n">
        <f aca="false">T75/$E$2</f>
        <v>-0.0397711326062244</v>
      </c>
      <c r="S75" s="16" t="n">
        <f aca="false">E75+O75</f>
        <v>-43.685637109419</v>
      </c>
      <c r="T75" s="16" t="n">
        <f aca="false">E75+P75</f>
        <v>-54.3210803314999</v>
      </c>
      <c r="U75" s="70" t="n">
        <f aca="false">O76-2*O75+O74</f>
        <v>0.150133965317299</v>
      </c>
      <c r="V75" s="71"/>
      <c r="W75" s="67" t="n">
        <f aca="false">W74-1</f>
        <v>81</v>
      </c>
      <c r="X75" s="16" t="n">
        <f aca="false">Hedge_Far!G19</f>
        <v>-1.60055261462302</v>
      </c>
      <c r="Y75" s="16" t="n">
        <f aca="false">IF(B75&gt;$C$20,-1*$H$20,(($C$20-B75)*$G$20)-$H$20)</f>
        <v>-6.93</v>
      </c>
      <c r="Z75" s="16" t="n">
        <f aca="false">Hedge_Far!G48</f>
        <v>0.248825763013844</v>
      </c>
      <c r="AA75" s="16" t="n">
        <f aca="false">IF(B75&gt;$C$21,-1*$H$21,(($C$21-B75)*$G$21)-$H$21)</f>
        <v>-4.52</v>
      </c>
      <c r="AB75" s="16" t="n">
        <f aca="false">Hedge_Far!G77</f>
        <v>-0</v>
      </c>
      <c r="AC75" s="16" t="n">
        <f aca="false">IF(B75&gt;$C$22,-1*$H$22,(($C$22-B75)*$G$22)-$H$22)</f>
        <v>-0</v>
      </c>
      <c r="AD75" s="16" t="n">
        <f aca="false">Hedge_Far!G106</f>
        <v>-1.83932481877074</v>
      </c>
      <c r="AE75" s="16" t="n">
        <f aca="false">IF(B75&gt;$C$23,-1*$H$23,(($C$23-B75)*$G$23)-$H$23)</f>
        <v>-0.43</v>
      </c>
      <c r="AF75" s="16" t="n">
        <f aca="false">Hedge_Far!G136</f>
        <v>-0.723505107539179</v>
      </c>
      <c r="AG75" s="16" t="n">
        <f aca="false">IF(B75&gt;$C$24,-1*$H$24,(($C$24-B75)*$G$24)-$H$24)</f>
        <v>-2.67</v>
      </c>
      <c r="AH75" s="16" t="n">
        <f aca="false">Hedge_Far!G166</f>
        <v>-0</v>
      </c>
      <c r="AI75" s="16" t="n">
        <f aca="false">IF(B75&gt;$C$25,-1*$H$25,(($C$25-B75)*$G$25)-$H$25)</f>
        <v>-0</v>
      </c>
      <c r="AJ75" s="16" t="n">
        <f aca="false">Hedge_Far!G196</f>
        <v>-0</v>
      </c>
      <c r="AK75" s="16" t="n">
        <f aca="false">IF(B75&gt;$C$26,-1*$H$26,(($C$26-B75)*$G$26)-$H$26)</f>
        <v>-0</v>
      </c>
      <c r="AL75" s="16" t="n">
        <f aca="false">Hedge_Far!G226</f>
        <v>-0</v>
      </c>
      <c r="AM75" s="16" t="n">
        <f aca="false">IF(B75&gt;$C$27,-1*$H$27,(($C$27-B75)*$G$27)-$H$27)</f>
        <v>-0</v>
      </c>
      <c r="AN75" s="16" t="n">
        <f aca="false">Hedge_Far!G256</f>
        <v>-0</v>
      </c>
      <c r="AO75" s="16" t="n">
        <f aca="false">IF(B75&gt;$C$28,-1*$H$28,(($C$28-B75)*$G$28)-$H$28)</f>
        <v>-0</v>
      </c>
      <c r="AP75" s="16" t="n">
        <f aca="false">Hedge_Far!G286</f>
        <v>0</v>
      </c>
      <c r="AQ75" s="16" t="n">
        <f aca="false">IF(B75&gt;$C$29,-1*$H$29,(($C$29-B75)*$G$29)-$H$29)</f>
        <v>-0</v>
      </c>
      <c r="AR75" s="2"/>
    </row>
    <row r="76" customFormat="false" ht="14.25" hidden="false" customHeight="true" outlineLevel="0" collapsed="false">
      <c r="B76" s="67" t="n">
        <f aca="false">B75-1</f>
        <v>80</v>
      </c>
      <c r="C76" s="68" t="n">
        <f aca="false">O76/$H$30</f>
        <v>-0.168969268219845</v>
      </c>
      <c r="D76" s="68" t="n">
        <f aca="false">P76/$H$30</f>
        <v>-1</v>
      </c>
      <c r="E76" s="16" t="n">
        <f aca="false">($C$2*B76)-$E$2</f>
        <v>-56.1423253314999</v>
      </c>
      <c r="F76" s="69" t="n">
        <f aca="false">(E76/$E$2)</f>
        <v>-0.0411045555786946</v>
      </c>
      <c r="M76" s="67" t="n">
        <f aca="false">M75-1</f>
        <v>80</v>
      </c>
      <c r="N76" s="68" t="n">
        <f aca="false">Hedge_Far!C317</f>
        <v>-1.53601399448572</v>
      </c>
      <c r="O76" s="16" t="n">
        <f aca="false">Hedge_Far!G317</f>
        <v>-2.45850285259874</v>
      </c>
      <c r="P76" s="16" t="n">
        <f aca="false">Y76+AA76+AC76+AE76+AG76+AI76+AK76+AM76+AO76+AQ76</f>
        <v>-14.55</v>
      </c>
      <c r="Q76" s="69" t="n">
        <f aca="false">S76/$E$2</f>
        <v>-0.0429045463440989</v>
      </c>
      <c r="R76" s="69" t="n">
        <f aca="false">T76/$E$2</f>
        <v>-0.0517573256614907</v>
      </c>
      <c r="S76" s="16" t="n">
        <f aca="false">E76+O76</f>
        <v>-58.6008281840987</v>
      </c>
      <c r="T76" s="16" t="n">
        <f aca="false">E76+P76</f>
        <v>-70.6923253314999</v>
      </c>
      <c r="U76" s="70" t="n">
        <f aca="false">O77-2*O76+O75</f>
        <v>0.165025221646065</v>
      </c>
      <c r="V76" s="71"/>
      <c r="W76" s="67" t="n">
        <f aca="false">W75-1</f>
        <v>80</v>
      </c>
      <c r="X76" s="16" t="n">
        <f aca="false">Hedge_Far!G20</f>
        <v>-1.00878833124963</v>
      </c>
      <c r="Y76" s="16" t="n">
        <f aca="false">IF(B76&gt;$C$20,-1*$H$20,(($C$20-B76)*$G$20)-$H$20)</f>
        <v>-6.93</v>
      </c>
      <c r="Z76" s="16" t="n">
        <f aca="false">Hedge_Far!G49</f>
        <v>0.697308815063298</v>
      </c>
      <c r="AA76" s="16" t="n">
        <f aca="false">IF(B76&gt;$C$21,-1*$H$21,(($C$21-B76)*$G$21)-$H$21)</f>
        <v>-4.52</v>
      </c>
      <c r="AB76" s="16" t="n">
        <f aca="false">Hedge_Far!G78</f>
        <v>-0</v>
      </c>
      <c r="AC76" s="16" t="n">
        <f aca="false">IF(B76&gt;$C$22,-1*$H$22,(($C$22-B76)*$G$22)-$H$22)</f>
        <v>-0</v>
      </c>
      <c r="AD76" s="16" t="n">
        <f aca="false">Hedge_Far!G107</f>
        <v>-1.8075061565945</v>
      </c>
      <c r="AE76" s="16" t="n">
        <f aca="false">IF(B76&gt;$C$23,-1*$H$23,(($C$23-B76)*$G$23)-$H$23)</f>
        <v>-0.43</v>
      </c>
      <c r="AF76" s="16" t="n">
        <f aca="false">Hedge_Far!G137</f>
        <v>-0.339517179817902</v>
      </c>
      <c r="AG76" s="16" t="n">
        <f aca="false">IF(B76&gt;$C$24,-1*$H$24,(($C$24-B76)*$G$24)-$H$24)</f>
        <v>-2.67</v>
      </c>
      <c r="AH76" s="16" t="n">
        <f aca="false">Hedge_Far!G167</f>
        <v>-0</v>
      </c>
      <c r="AI76" s="16" t="n">
        <f aca="false">IF(B76&gt;$C$25,-1*$H$25,(($C$25-B76)*$G$25)-$H$25)</f>
        <v>-0</v>
      </c>
      <c r="AJ76" s="16" t="n">
        <f aca="false">Hedge_Far!G197</f>
        <v>0</v>
      </c>
      <c r="AK76" s="16" t="n">
        <f aca="false">IF(B76&gt;$C$26,-1*$H$26,(($C$26-B76)*$G$26)-$H$26)</f>
        <v>-0</v>
      </c>
      <c r="AL76" s="16" t="n">
        <f aca="false">Hedge_Far!G227</f>
        <v>-0</v>
      </c>
      <c r="AM76" s="16" t="n">
        <f aca="false">IF(B76&gt;$C$27,-1*$H$27,(($C$27-B76)*$G$27)-$H$27)</f>
        <v>-0</v>
      </c>
      <c r="AN76" s="16" t="n">
        <f aca="false">Hedge_Far!G257</f>
        <v>-0</v>
      </c>
      <c r="AO76" s="16" t="n">
        <f aca="false">IF(B76&gt;$C$28,-1*$H$28,(($C$28-B76)*$G$28)-$H$28)</f>
        <v>-0</v>
      </c>
      <c r="AP76" s="16" t="n">
        <f aca="false">Hedge_Far!G287</f>
        <v>0</v>
      </c>
      <c r="AQ76" s="16" t="n">
        <f aca="false">IF(B76&gt;$C$29,-1*$H$29,(($C$29-B76)*$G$29)-$H$29)</f>
        <v>-0</v>
      </c>
      <c r="AR76" s="2"/>
    </row>
    <row r="77" customFormat="false" ht="14.25" hidden="false" customHeight="true" outlineLevel="0" collapsed="false">
      <c r="B77" s="67" t="n">
        <f aca="false">B76-1</f>
        <v>79</v>
      </c>
      <c r="C77" s="68" t="n">
        <f aca="false">O77/$H$30</f>
        <v>-0.0575548938578917</v>
      </c>
      <c r="D77" s="68" t="n">
        <f aca="false">P77/$H$30</f>
        <v>-1</v>
      </c>
      <c r="E77" s="16" t="n">
        <f aca="false">($C$2*B77)-$E$2</f>
        <v>-72.5135703315</v>
      </c>
      <c r="F77" s="69" t="n">
        <f aca="false">(E77/$E$2)</f>
        <v>-0.053090748633961</v>
      </c>
      <c r="M77" s="67" t="n">
        <f aca="false">M76-1</f>
        <v>79</v>
      </c>
      <c r="N77" s="68" t="n">
        <f aca="false">Hedge_Far!C318</f>
        <v>-1.70876319651587</v>
      </c>
      <c r="O77" s="16" t="n">
        <f aca="false">Hedge_Far!G318</f>
        <v>-0.837423705632324</v>
      </c>
      <c r="P77" s="16" t="n">
        <f aca="false">Y77+AA77+AC77+AE77+AG77+AI77+AK77+AM77+AO77+AQ77</f>
        <v>-14.55</v>
      </c>
      <c r="Q77" s="69" t="n">
        <f aca="false">S77/$E$2</f>
        <v>-0.0537038676853688</v>
      </c>
      <c r="R77" s="69" t="n">
        <f aca="false">T77/$E$2</f>
        <v>-0.0637435187167571</v>
      </c>
      <c r="S77" s="16" t="n">
        <f aca="false">E77+O77</f>
        <v>-73.3509940371323</v>
      </c>
      <c r="T77" s="16" t="n">
        <f aca="false">E77+P77</f>
        <v>-87.0635703315</v>
      </c>
      <c r="U77" s="70" t="n">
        <f aca="false">O78-2*O77+O76</f>
        <v>0.180727838415056</v>
      </c>
      <c r="V77" s="71"/>
      <c r="W77" s="67" t="n">
        <f aca="false">W76-1</f>
        <v>79</v>
      </c>
      <c r="X77" s="16" t="n">
        <f aca="false">Hedge_Far!G21</f>
        <v>-0.356795533989191</v>
      </c>
      <c r="Y77" s="16" t="n">
        <f aca="false">IF(B77&gt;$C$20,-1*$H$20,(($C$20-B77)*$G$20)-$H$20)</f>
        <v>-6.93</v>
      </c>
      <c r="Z77" s="16" t="n">
        <f aca="false">Hedge_Far!G50</f>
        <v>1.18138937474393</v>
      </c>
      <c r="AA77" s="16" t="n">
        <f aca="false">IF(B77&gt;$C$21,-1*$H$21,(($C$21-B77)*$G$21)-$H$21)</f>
        <v>-4.52</v>
      </c>
      <c r="AB77" s="16" t="n">
        <f aca="false">Hedge_Far!G79</f>
        <v>-0</v>
      </c>
      <c r="AC77" s="16" t="n">
        <f aca="false">IF(B77&gt;$C$22,-1*$H$22,(($C$22-B77)*$G$22)-$H$22)</f>
        <v>-0</v>
      </c>
      <c r="AD77" s="16" t="n">
        <f aca="false">Hedge_Far!G108</f>
        <v>-1.76991443444377</v>
      </c>
      <c r="AE77" s="16" t="n">
        <f aca="false">IF(B77&gt;$C$23,-1*$H$23,(($C$23-B77)*$G$23)-$H$23)</f>
        <v>-0.43</v>
      </c>
      <c r="AF77" s="16" t="n">
        <f aca="false">Hedge_Far!G138</f>
        <v>0.107896888056713</v>
      </c>
      <c r="AG77" s="16" t="n">
        <f aca="false">IF(B77&gt;$C$24,-1*$H$24,(($C$24-B77)*$G$24)-$H$24)</f>
        <v>-2.67</v>
      </c>
      <c r="AH77" s="16" t="n">
        <f aca="false">Hedge_Far!G168</f>
        <v>0</v>
      </c>
      <c r="AI77" s="16" t="n">
        <f aca="false">IF(B77&gt;$C$25,-1*$H$25,(($C$25-B77)*$G$25)-$H$25)</f>
        <v>-0</v>
      </c>
      <c r="AJ77" s="16" t="n">
        <f aca="false">Hedge_Far!G198</f>
        <v>0</v>
      </c>
      <c r="AK77" s="16" t="n">
        <f aca="false">IF(B77&gt;$C$26,-1*$H$26,(($C$26-B77)*$G$26)-$H$26)</f>
        <v>-0</v>
      </c>
      <c r="AL77" s="16" t="n">
        <f aca="false">Hedge_Far!G228</f>
        <v>-0</v>
      </c>
      <c r="AM77" s="16" t="n">
        <f aca="false">IF(B77&gt;$C$27,-1*$H$27,(($C$27-B77)*$G$27)-$H$27)</f>
        <v>-0</v>
      </c>
      <c r="AN77" s="16" t="n">
        <f aca="false">Hedge_Far!G258</f>
        <v>-0</v>
      </c>
      <c r="AO77" s="16" t="n">
        <f aca="false">IF(B77&gt;$C$28,-1*$H$28,(($C$28-B77)*$G$28)-$H$28)</f>
        <v>-0</v>
      </c>
      <c r="AP77" s="16" t="n">
        <f aca="false">Hedge_Far!G288</f>
        <v>0</v>
      </c>
      <c r="AQ77" s="16" t="n">
        <f aca="false">IF(B77&gt;$C$29,-1*$H$29,(($C$29-B77)*$G$29)-$H$29)</f>
        <v>-0</v>
      </c>
      <c r="AR77" s="2"/>
    </row>
    <row r="78" customFormat="false" ht="14.25" hidden="false" customHeight="true" outlineLevel="0" collapsed="false">
      <c r="B78" s="67" t="n">
        <f aca="false">B77-1</f>
        <v>78</v>
      </c>
      <c r="C78" s="68" t="n">
        <f aca="false">O78/$H$30</f>
        <v>0.0662806377834466</v>
      </c>
      <c r="D78" s="68" t="n">
        <f aca="false">P78/$H$30</f>
        <v>-1</v>
      </c>
      <c r="E78" s="16" t="n">
        <f aca="false">($C$2*B78)-$E$2</f>
        <v>-88.8848153315</v>
      </c>
      <c r="F78" s="69" t="n">
        <f aca="false">(E78/$E$2)</f>
        <v>-0.0650769416892273</v>
      </c>
      <c r="M78" s="67" t="n">
        <f aca="false">M77-1</f>
        <v>78</v>
      </c>
      <c r="N78" s="68" t="n">
        <f aca="false">Hedge_Far!C319</f>
        <v>-1.89758747280693</v>
      </c>
      <c r="O78" s="16" t="n">
        <f aca="false">Hedge_Far!G319</f>
        <v>0.964383279749148</v>
      </c>
      <c r="P78" s="16" t="n">
        <f aca="false">Y78+AA78+AC78+AE78+AG78+AI78+AK78+AM78+AO78+AQ78</f>
        <v>-14.55</v>
      </c>
      <c r="Q78" s="69" t="n">
        <f aca="false">S78/$E$2</f>
        <v>-0.0643708692939792</v>
      </c>
      <c r="R78" s="69" t="n">
        <f aca="false">T78/$E$2</f>
        <v>-0.0757297117720234</v>
      </c>
      <c r="S78" s="16" t="n">
        <f aca="false">E78+O78</f>
        <v>-87.9204320517509</v>
      </c>
      <c r="T78" s="16" t="n">
        <f aca="false">E78+P78</f>
        <v>-103.4348153315</v>
      </c>
      <c r="U78" s="70" t="n">
        <f aca="false">O79-2*O78+O77</f>
        <v>0.197133898312685</v>
      </c>
      <c r="V78" s="71"/>
      <c r="W78" s="67" t="n">
        <f aca="false">W77-1</f>
        <v>78</v>
      </c>
      <c r="X78" s="16" t="n">
        <f aca="false">Hedge_Far!G22</f>
        <v>0.360686718156028</v>
      </c>
      <c r="Y78" s="16" t="n">
        <f aca="false">IF(B78&gt;$C$20,-1*$H$20,(($C$20-B78)*$G$20)-$H$20)</f>
        <v>-6.93</v>
      </c>
      <c r="Z78" s="16" t="n">
        <f aca="false">Hedge_Far!G51</f>
        <v>1.70302477355693</v>
      </c>
      <c r="AA78" s="16" t="n">
        <f aca="false">IF(B78&gt;$C$21,-1*$H$21,(($C$21-B78)*$G$21)-$H$21)</f>
        <v>-4.52</v>
      </c>
      <c r="AB78" s="16" t="n">
        <f aca="false">Hedge_Far!G80</f>
        <v>-0</v>
      </c>
      <c r="AC78" s="16" t="n">
        <f aca="false">IF(B78&gt;$C$22,-1*$H$22,(($C$22-B78)*$G$22)-$H$22)</f>
        <v>-0</v>
      </c>
      <c r="AD78" s="16" t="n">
        <f aca="false">Hedge_Far!G109</f>
        <v>-1.72563241367472</v>
      </c>
      <c r="AE78" s="16" t="n">
        <f aca="false">IF(B78&gt;$C$23,-1*$H$23,(($C$23-B78)*$G$23)-$H$23)</f>
        <v>-0.43</v>
      </c>
      <c r="AF78" s="16" t="n">
        <f aca="false">Hedge_Far!G139</f>
        <v>0.626304201710909</v>
      </c>
      <c r="AG78" s="16" t="n">
        <f aca="false">IF(B78&gt;$C$24,-1*$H$24,(($C$24-B78)*$G$24)-$H$24)</f>
        <v>-2.67</v>
      </c>
      <c r="AH78" s="16" t="n">
        <f aca="false">Hedge_Far!G169</f>
        <v>0</v>
      </c>
      <c r="AI78" s="16" t="n">
        <f aca="false">IF(B78&gt;$C$25,-1*$H$25,(($C$25-B78)*$G$25)-$H$25)</f>
        <v>-0</v>
      </c>
      <c r="AJ78" s="16" t="n">
        <f aca="false">Hedge_Far!G199</f>
        <v>0</v>
      </c>
      <c r="AK78" s="16" t="n">
        <f aca="false">IF(B78&gt;$C$26,-1*$H$26,(($C$26-B78)*$G$26)-$H$26)</f>
        <v>-0</v>
      </c>
      <c r="AL78" s="16" t="n">
        <f aca="false">Hedge_Far!G229</f>
        <v>0</v>
      </c>
      <c r="AM78" s="16" t="n">
        <f aca="false">IF(B78&gt;$C$27,-1*$H$27,(($C$27-B78)*$G$27)-$H$27)</f>
        <v>-0</v>
      </c>
      <c r="AN78" s="16" t="n">
        <f aca="false">Hedge_Far!G259</f>
        <v>0</v>
      </c>
      <c r="AO78" s="16" t="n">
        <f aca="false">IF(B78&gt;$C$28,-1*$H$28,(($C$28-B78)*$G$28)-$H$28)</f>
        <v>-0</v>
      </c>
      <c r="AP78" s="16" t="n">
        <f aca="false">Hedge_Far!G289</f>
        <v>0</v>
      </c>
      <c r="AQ78" s="16" t="n">
        <f aca="false">IF(B78&gt;$C$29,-1*$H$29,(($C$29-B78)*$G$29)-$H$29)</f>
        <v>-0</v>
      </c>
      <c r="AR78" s="2"/>
    </row>
    <row r="79" customFormat="false" ht="14.25" hidden="false" customHeight="true" outlineLevel="0" collapsed="false">
      <c r="B79" s="67" t="n">
        <f aca="false">B78-1</f>
        <v>77</v>
      </c>
      <c r="C79" s="68" t="n">
        <f aca="false">O79/$H$30</f>
        <v>0.203664890958303</v>
      </c>
      <c r="D79" s="68" t="n">
        <f aca="false">P79/$H$30</f>
        <v>-1</v>
      </c>
      <c r="E79" s="16" t="n">
        <f aca="false">($C$2*B79)-$E$2</f>
        <v>-105.2560603315</v>
      </c>
      <c r="F79" s="69" t="n">
        <f aca="false">(E79/$E$2)</f>
        <v>-0.0770631347444935</v>
      </c>
      <c r="M79" s="67" t="n">
        <f aca="false">M78-1</f>
        <v>77</v>
      </c>
      <c r="N79" s="68" t="n">
        <f aca="false">Hedge_Far!C320</f>
        <v>-2.10312523842348</v>
      </c>
      <c r="O79" s="16" t="n">
        <f aca="false">Hedge_Far!G320</f>
        <v>2.96332416344331</v>
      </c>
      <c r="P79" s="16" t="n">
        <f aca="false">Y79+AA79+AC79+AE79+AG79+AI79+AK79+AM79+AO79+AQ79</f>
        <v>-14.55</v>
      </c>
      <c r="Q79" s="69" t="n">
        <f aca="false">S79/$E$2</f>
        <v>-0.074893539487177</v>
      </c>
      <c r="R79" s="69" t="n">
        <f aca="false">T79/$E$2</f>
        <v>-0.0877159048272896</v>
      </c>
      <c r="S79" s="16" t="n">
        <f aca="false">E79+O79</f>
        <v>-102.292736168057</v>
      </c>
      <c r="T79" s="16" t="n">
        <f aca="false">E79+P79</f>
        <v>-119.8060603315</v>
      </c>
      <c r="U79" s="70" t="n">
        <f aca="false">O80-2*O79+O78</f>
        <v>0.214102013842233</v>
      </c>
      <c r="V79" s="71"/>
      <c r="W79" s="67" t="n">
        <f aca="false">W78-1</f>
        <v>77</v>
      </c>
      <c r="X79" s="16" t="n">
        <f aca="false">Hedge_Far!G23</f>
        <v>1.14924438636137</v>
      </c>
      <c r="Y79" s="16" t="n">
        <f aca="false">IF(B79&gt;$C$20,-1*$H$20,(($C$20-B79)*$G$20)-$H$20)</f>
        <v>-6.93</v>
      </c>
      <c r="Z79" s="16" t="n">
        <f aca="false">Hedge_Far!G52</f>
        <v>2.26416866422089</v>
      </c>
      <c r="AA79" s="16" t="n">
        <f aca="false">IF(B79&gt;$C$21,-1*$H$21,(($C$21-B79)*$G$21)-$H$21)</f>
        <v>-4.52</v>
      </c>
      <c r="AB79" s="16" t="n">
        <f aca="false">Hedge_Far!G81</f>
        <v>-0</v>
      </c>
      <c r="AC79" s="16" t="n">
        <f aca="false">IF(B79&gt;$C$22,-1*$H$22,(($C$22-B79)*$G$22)-$H$22)</f>
        <v>-0</v>
      </c>
      <c r="AD79" s="16" t="n">
        <f aca="false">Hedge_Far!G110</f>
        <v>-1.67362796440556</v>
      </c>
      <c r="AE79" s="16" t="n">
        <f aca="false">IF(B79&gt;$C$23,-1*$H$23,(($C$23-B79)*$G$23)-$H$23)</f>
        <v>-0.43</v>
      </c>
      <c r="AF79" s="16" t="n">
        <f aca="false">Hedge_Far!G140</f>
        <v>1.22353907726661</v>
      </c>
      <c r="AG79" s="16" t="n">
        <f aca="false">IF(B79&gt;$C$24,-1*$H$24,(($C$24-B79)*$G$24)-$H$24)</f>
        <v>-2.67</v>
      </c>
      <c r="AH79" s="16" t="n">
        <f aca="false">Hedge_Far!G170</f>
        <v>0</v>
      </c>
      <c r="AI79" s="16" t="n">
        <f aca="false">IF(B79&gt;$C$25,-1*$H$25,(($C$25-B79)*$G$25)-$H$25)</f>
        <v>-0</v>
      </c>
      <c r="AJ79" s="16" t="n">
        <f aca="false">Hedge_Far!G200</f>
        <v>0</v>
      </c>
      <c r="AK79" s="16" t="n">
        <f aca="false">IF(B79&gt;$C$26,-1*$H$26,(($C$26-B79)*$G$26)-$H$26)</f>
        <v>-0</v>
      </c>
      <c r="AL79" s="16" t="n">
        <f aca="false">Hedge_Far!G230</f>
        <v>0</v>
      </c>
      <c r="AM79" s="16" t="n">
        <f aca="false">IF(B79&gt;$C$27,-1*$H$27,(($C$27-B79)*$G$27)-$H$27)</f>
        <v>-0</v>
      </c>
      <c r="AN79" s="16" t="n">
        <f aca="false">Hedge_Far!G260</f>
        <v>0</v>
      </c>
      <c r="AO79" s="16" t="n">
        <f aca="false">IF(B79&gt;$C$28,-1*$H$28,(($C$28-B79)*$G$28)-$H$28)</f>
        <v>-0</v>
      </c>
      <c r="AP79" s="16" t="n">
        <f aca="false">Hedge_Far!G290</f>
        <v>0</v>
      </c>
      <c r="AQ79" s="16" t="n">
        <f aca="false">IF(B79&gt;$C$29,-1*$H$29,(($C$29-B79)*$G$29)-$H$29)</f>
        <v>-0</v>
      </c>
      <c r="AR79" s="2"/>
    </row>
    <row r="80" customFormat="false" ht="14.25" hidden="false" customHeight="true" outlineLevel="0" collapsed="false">
      <c r="B80" s="67" t="n">
        <f aca="false">B79-1</f>
        <v>76</v>
      </c>
      <c r="C80" s="68" t="n">
        <f aca="false">O80/$H$30</f>
        <v>0.355764059173862</v>
      </c>
      <c r="D80" s="68" t="n">
        <f aca="false">P80/$H$30</f>
        <v>-1</v>
      </c>
      <c r="E80" s="16" t="n">
        <f aca="false">($C$2*B80)-$E$2</f>
        <v>-121.6273053315</v>
      </c>
      <c r="F80" s="69" t="n">
        <f aca="false">(E80/$E$2)</f>
        <v>-0.0890493277997599</v>
      </c>
      <c r="M80" s="67" t="n">
        <f aca="false">M79-1</f>
        <v>76</v>
      </c>
      <c r="N80" s="68" t="n">
        <f aca="false">Hedge_Far!C321</f>
        <v>-2.32585650784555</v>
      </c>
      <c r="O80" s="16" t="n">
        <f aca="false">Hedge_Far!G321</f>
        <v>5.1763670609797</v>
      </c>
      <c r="P80" s="16" t="n">
        <f aca="false">Y80+AA80+AC80+AE80+AG80+AI80+AK80+AM80+AO80+AQ80</f>
        <v>-14.55</v>
      </c>
      <c r="Q80" s="69" t="n">
        <f aca="false">S80/$E$2</f>
        <v>-0.0852594550736584</v>
      </c>
      <c r="R80" s="69" t="n">
        <f aca="false">T80/$E$2</f>
        <v>-0.099702097882556</v>
      </c>
      <c r="S80" s="16" t="n">
        <f aca="false">E80+O80</f>
        <v>-116.45093827052</v>
      </c>
      <c r="T80" s="16" t="n">
        <f aca="false">E80+P80</f>
        <v>-136.1773053315</v>
      </c>
      <c r="U80" s="70" t="n">
        <f aca="false">O81-2*O80+O79</f>
        <v>0.231456870802307</v>
      </c>
      <c r="V80" s="71"/>
      <c r="W80" s="67" t="n">
        <f aca="false">W79-1</f>
        <v>76</v>
      </c>
      <c r="X80" s="16" t="n">
        <f aca="false">Hedge_Far!G24</f>
        <v>2.01478745852696</v>
      </c>
      <c r="Y80" s="16" t="n">
        <f aca="false">IF(B80&gt;$C$20,-1*$H$20,(($C$20-B80)*$G$20)-$H$20)</f>
        <v>-6.93</v>
      </c>
      <c r="Z80" s="16" t="n">
        <f aca="false">Hedge_Far!G53</f>
        <v>2.86675468080623</v>
      </c>
      <c r="AA80" s="16" t="n">
        <f aca="false">IF(B80&gt;$C$21,-1*$H$21,(($C$21-B80)*$G$21)-$H$21)</f>
        <v>-4.52</v>
      </c>
      <c r="AB80" s="16" t="n">
        <f aca="false">Hedge_Far!G82</f>
        <v>-0</v>
      </c>
      <c r="AC80" s="16" t="n">
        <f aca="false">IF(B80&gt;$C$22,-1*$H$22,(($C$22-B80)*$G$22)-$H$22)</f>
        <v>-0</v>
      </c>
      <c r="AD80" s="16" t="n">
        <f aca="false">Hedge_Far!G111</f>
        <v>-1.61274677351998</v>
      </c>
      <c r="AE80" s="16" t="n">
        <f aca="false">IF(B80&gt;$C$23,-1*$H$23,(($C$23-B80)*$G$23)-$H$23)</f>
        <v>-0.43</v>
      </c>
      <c r="AF80" s="16" t="n">
        <f aca="false">Hedge_Far!G141</f>
        <v>1.90757169516648</v>
      </c>
      <c r="AG80" s="16" t="n">
        <f aca="false">IF(B80&gt;$C$24,-1*$H$24,(($C$24-B80)*$G$24)-$H$24)</f>
        <v>-2.67</v>
      </c>
      <c r="AH80" s="16" t="n">
        <f aca="false">Hedge_Far!G171</f>
        <v>0</v>
      </c>
      <c r="AI80" s="16" t="n">
        <f aca="false">IF(B80&gt;$C$25,-1*$H$25,(($C$25-B80)*$G$25)-$H$25)</f>
        <v>-0</v>
      </c>
      <c r="AJ80" s="16" t="n">
        <f aca="false">Hedge_Far!G201</f>
        <v>0</v>
      </c>
      <c r="AK80" s="16" t="n">
        <f aca="false">IF(B80&gt;$C$26,-1*$H$26,(($C$26-B80)*$G$26)-$H$26)</f>
        <v>-0</v>
      </c>
      <c r="AL80" s="16" t="n">
        <f aca="false">Hedge_Far!G231</f>
        <v>0</v>
      </c>
      <c r="AM80" s="16" t="n">
        <f aca="false">IF(B80&gt;$C$27,-1*$H$27,(($C$27-B80)*$G$27)-$H$27)</f>
        <v>-0</v>
      </c>
      <c r="AN80" s="16" t="n">
        <f aca="false">Hedge_Far!G261</f>
        <v>0</v>
      </c>
      <c r="AO80" s="16" t="n">
        <f aca="false">IF(B80&gt;$C$28,-1*$H$28,(($C$28-B80)*$G$28)-$H$28)</f>
        <v>-0</v>
      </c>
      <c r="AP80" s="16" t="n">
        <f aca="false">Hedge_Far!G291</f>
        <v>0</v>
      </c>
      <c r="AQ80" s="16" t="n">
        <f aca="false">IF(B80&gt;$C$29,-1*$H$29,(($C$29-B80)*$G$29)-$H$29)</f>
        <v>-0</v>
      </c>
      <c r="AR80" s="2"/>
    </row>
    <row r="81" customFormat="false" ht="14.25" hidden="false" customHeight="true" outlineLevel="0" collapsed="false">
      <c r="B81" s="67" t="n">
        <f aca="false">B80-1</f>
        <v>75</v>
      </c>
      <c r="C81" s="68" t="n">
        <f aca="false">O81/$H$30</f>
        <v>0.523770916104357</v>
      </c>
      <c r="D81" s="68" t="n">
        <f aca="false">P81/$H$30</f>
        <v>-1</v>
      </c>
      <c r="E81" s="16" t="n">
        <f aca="false">($C$2*B81)-$E$2</f>
        <v>-137.9985503315</v>
      </c>
      <c r="F81" s="69" t="n">
        <f aca="false">(E81/$E$2)</f>
        <v>-0.101035520855026</v>
      </c>
      <c r="M81" s="67" t="n">
        <f aca="false">M80-1</f>
        <v>75</v>
      </c>
      <c r="N81" s="68" t="n">
        <f aca="false">Hedge_Far!C322</f>
        <v>-2.56606925860888</v>
      </c>
      <c r="O81" s="16" t="n">
        <f aca="false">Hedge_Far!G322</f>
        <v>7.6208668293184</v>
      </c>
      <c r="P81" s="16" t="n">
        <f aca="false">Y81+AA81+AC81+AE81+AG81+AI81+AK81+AM81+AO81+AQ81</f>
        <v>-14.55</v>
      </c>
      <c r="Q81" s="69" t="n">
        <f aca="false">S81/$E$2</f>
        <v>-0.095455909709711</v>
      </c>
      <c r="R81" s="69" t="n">
        <f aca="false">T81/$E$2</f>
        <v>-0.111688290937822</v>
      </c>
      <c r="S81" s="16" t="n">
        <f aca="false">E81+O81</f>
        <v>-130.377683502182</v>
      </c>
      <c r="T81" s="16" t="n">
        <f aca="false">E81+P81</f>
        <v>-152.5485503315</v>
      </c>
      <c r="U81" s="70" t="n">
        <f aca="false">O82-2*O81+O80</f>
        <v>0.248990400217442</v>
      </c>
      <c r="V81" s="71"/>
      <c r="W81" s="67" t="n">
        <f aca="false">W80-1</f>
        <v>75</v>
      </c>
      <c r="X81" s="16" t="n">
        <f aca="false">Hedge_Far!G25</f>
        <v>2.96354494120675</v>
      </c>
      <c r="Y81" s="16" t="n">
        <f aca="false">IF(B81&gt;$C$20,-1*$H$20,(($C$20-B81)*$G$20)-$H$20)</f>
        <v>-6.93</v>
      </c>
      <c r="Z81" s="16" t="n">
        <f aca="false">Hedge_Far!G54</f>
        <v>3.51267850158802</v>
      </c>
      <c r="AA81" s="16" t="n">
        <f aca="false">IF(B81&gt;$C$21,-1*$H$21,(($C$21-B81)*$G$21)-$H$21)</f>
        <v>-4.52</v>
      </c>
      <c r="AB81" s="16" t="n">
        <f aca="false">Hedge_Far!G83</f>
        <v>-0</v>
      </c>
      <c r="AC81" s="16" t="n">
        <f aca="false">IF(B81&gt;$C$22,-1*$H$22,(($C$22-B81)*$G$22)-$H$22)</f>
        <v>-0</v>
      </c>
      <c r="AD81" s="16" t="n">
        <f aca="false">Hedge_Far!G112</f>
        <v>-1.54170630162091</v>
      </c>
      <c r="AE81" s="16" t="n">
        <f aca="false">IF(B81&gt;$C$23,-1*$H$23,(($C$23-B81)*$G$23)-$H$23)</f>
        <v>-0.43</v>
      </c>
      <c r="AF81" s="16" t="n">
        <f aca="false">Hedge_Far!G142</f>
        <v>2.68634968814452</v>
      </c>
      <c r="AG81" s="16" t="n">
        <f aca="false">IF(B81&gt;$C$24,-1*$H$24,(($C$24-B81)*$G$24)-$H$24)</f>
        <v>-2.67</v>
      </c>
      <c r="AH81" s="16" t="n">
        <f aca="false">Hedge_Far!G172</f>
        <v>0</v>
      </c>
      <c r="AI81" s="16" t="n">
        <f aca="false">IF(B81&gt;$C$25,-1*$H$25,(($C$25-B81)*$G$25)-$H$25)</f>
        <v>-0</v>
      </c>
      <c r="AJ81" s="16" t="n">
        <f aca="false">Hedge_Far!G202</f>
        <v>0</v>
      </c>
      <c r="AK81" s="16" t="n">
        <f aca="false">IF(B81&gt;$C$26,-1*$H$26,(($C$26-B81)*$G$26)-$H$26)</f>
        <v>-0</v>
      </c>
      <c r="AL81" s="16" t="n">
        <f aca="false">Hedge_Far!G232</f>
        <v>0</v>
      </c>
      <c r="AM81" s="16" t="n">
        <f aca="false">IF(B81&gt;$C$27,-1*$H$27,(($C$27-B81)*$G$27)-$H$27)</f>
        <v>-0</v>
      </c>
      <c r="AN81" s="16" t="n">
        <f aca="false">Hedge_Far!G262</f>
        <v>0</v>
      </c>
      <c r="AO81" s="16" t="n">
        <f aca="false">IF(B81&gt;$C$28,-1*$H$28,(($C$28-B81)*$G$28)-$H$28)</f>
        <v>-0</v>
      </c>
      <c r="AP81" s="16" t="n">
        <f aca="false">Hedge_Far!G292</f>
        <v>0</v>
      </c>
      <c r="AQ81" s="16" t="n">
        <f aca="false">IF(B81&gt;$C$29,-1*$H$29,(($C$29-B81)*$G$29)-$H$29)</f>
        <v>-0</v>
      </c>
      <c r="AR81" s="2"/>
    </row>
    <row r="82" customFormat="false" ht="14.25" hidden="false" customHeight="true" outlineLevel="0" collapsed="false">
      <c r="B82" s="67" t="n">
        <f aca="false">B81-1</f>
        <v>74</v>
      </c>
      <c r="C82" s="68" t="n">
        <f aca="false">O82/$H$30</f>
        <v>0.708890515317838</v>
      </c>
      <c r="D82" s="68" t="n">
        <f aca="false">P82/$H$30</f>
        <v>-1</v>
      </c>
      <c r="E82" s="16" t="n">
        <f aca="false">($C$2*B82)-$E$2</f>
        <v>-154.3697953315</v>
      </c>
      <c r="F82" s="69" t="n">
        <f aca="false">(E82/$E$2)</f>
        <v>-0.113021713910293</v>
      </c>
      <c r="M82" s="67" t="n">
        <f aca="false">M81-1</f>
        <v>74</v>
      </c>
      <c r="N82" s="68" t="n">
        <f aca="false">Hedge_Far!C323</f>
        <v>-2.82382787461009</v>
      </c>
      <c r="O82" s="16" t="n">
        <f aca="false">Hedge_Far!G323</f>
        <v>10.3143569978745</v>
      </c>
      <c r="P82" s="16" t="n">
        <f aca="false">Y82+AA82+AC82+AE82+AG82+AI82+AK82+AM82+AO82+AQ82</f>
        <v>-14.55</v>
      </c>
      <c r="Q82" s="69" t="n">
        <f aca="false">S82/$E$2</f>
        <v>-0.105470066236737</v>
      </c>
      <c r="R82" s="69" t="n">
        <f aca="false">T82/$E$2</f>
        <v>-0.123674483993089</v>
      </c>
      <c r="S82" s="16" t="n">
        <f aca="false">E82+O82</f>
        <v>-144.055438333625</v>
      </c>
      <c r="T82" s="16" t="n">
        <f aca="false">E82+P82</f>
        <v>-168.9197953315</v>
      </c>
      <c r="U82" s="70" t="n">
        <f aca="false">O83-2*O82+O81</f>
        <v>0.266464839839758</v>
      </c>
      <c r="V82" s="71"/>
      <c r="W82" s="67" t="n">
        <f aca="false">W81-1</f>
        <v>74</v>
      </c>
      <c r="X82" s="16" t="n">
        <f aca="false">Hedge_Far!G26</f>
        <v>4.00205522933602</v>
      </c>
      <c r="Y82" s="16" t="n">
        <f aca="false">IF(B82&gt;$C$20,-1*$H$20,(($C$20-B82)*$G$20)-$H$20)</f>
        <v>-6.93</v>
      </c>
      <c r="Z82" s="16" t="n">
        <f aca="false">Hedge_Far!G55</f>
        <v>4.20377841663842</v>
      </c>
      <c r="AA82" s="16" t="n">
        <f aca="false">IF(B82&gt;$C$21,-1*$H$21,(($C$21-B82)*$G$21)-$H$21)</f>
        <v>-4.52</v>
      </c>
      <c r="AB82" s="16" t="n">
        <f aca="false">Hedge_Far!G84</f>
        <v>-0</v>
      </c>
      <c r="AC82" s="16" t="n">
        <f aca="false">IF(B82&gt;$C$22,-1*$H$22,(($C$22-B82)*$G$22)-$H$22)</f>
        <v>-0</v>
      </c>
      <c r="AD82" s="16" t="n">
        <f aca="false">Hedge_Far!G113</f>
        <v>-1.45909148654107</v>
      </c>
      <c r="AE82" s="16" t="n">
        <f aca="false">IF(B82&gt;$C$23,-1*$H$23,(($C$23-B82)*$G$23)-$H$23)</f>
        <v>-0.43</v>
      </c>
      <c r="AF82" s="16" t="n">
        <f aca="false">Hedge_Far!G143</f>
        <v>3.56761483844116</v>
      </c>
      <c r="AG82" s="16" t="n">
        <f aca="false">IF(B82&gt;$C$24,-1*$H$24,(($C$24-B82)*$G$24)-$H$24)</f>
        <v>-2.67</v>
      </c>
      <c r="AH82" s="16" t="n">
        <f aca="false">Hedge_Far!G173</f>
        <v>0</v>
      </c>
      <c r="AI82" s="16" t="n">
        <f aca="false">IF(B82&gt;$C$25,-1*$H$25,(($C$25-B82)*$G$25)-$H$25)</f>
        <v>-0</v>
      </c>
      <c r="AJ82" s="16" t="n">
        <f aca="false">Hedge_Far!G203</f>
        <v>0</v>
      </c>
      <c r="AK82" s="16" t="n">
        <f aca="false">IF(B82&gt;$C$26,-1*$H$26,(($C$26-B82)*$G$26)-$H$26)</f>
        <v>0</v>
      </c>
      <c r="AL82" s="16" t="n">
        <f aca="false">Hedge_Far!G233</f>
        <v>0</v>
      </c>
      <c r="AM82" s="16" t="n">
        <f aca="false">IF(B82&gt;$C$27,-1*$H$27,(($C$27-B82)*$G$27)-$H$27)</f>
        <v>-0</v>
      </c>
      <c r="AN82" s="16" t="n">
        <f aca="false">Hedge_Far!G263</f>
        <v>0</v>
      </c>
      <c r="AO82" s="16" t="n">
        <f aca="false">IF(B82&gt;$C$28,-1*$H$28,(($C$28-B82)*$G$28)-$H$28)</f>
        <v>-0</v>
      </c>
      <c r="AP82" s="16" t="n">
        <f aca="false">Hedge_Far!G293</f>
        <v>0</v>
      </c>
      <c r="AQ82" s="16" t="n">
        <f aca="false">IF(B82&gt;$C$29,-1*$H$29,(($C$29-B82)*$G$29)-$H$29)</f>
        <v>-0</v>
      </c>
      <c r="AR82" s="2"/>
    </row>
    <row r="83" customFormat="false" ht="14.25" hidden="false" customHeight="true" outlineLevel="0" collapsed="false">
      <c r="B83" s="67" t="n">
        <f aca="false">B82-1</f>
        <v>73</v>
      </c>
      <c r="C83" s="68" t="n">
        <f aca="false">O83/$H$30</f>
        <v>0.912323849228209</v>
      </c>
      <c r="D83" s="68" t="n">
        <f aca="false">P83/$H$30</f>
        <v>-1</v>
      </c>
      <c r="E83" s="16" t="n">
        <f aca="false">($C$2*B83)-$E$2</f>
        <v>-170.7410403315</v>
      </c>
      <c r="F83" s="69" t="n">
        <f aca="false">(E83/$E$2)</f>
        <v>-0.125007906965559</v>
      </c>
      <c r="M83" s="67" t="n">
        <f aca="false">M82-1</f>
        <v>73</v>
      </c>
      <c r="N83" s="68" t="n">
        <f aca="false">Hedge_Far!C324</f>
        <v>-3.09894566127898</v>
      </c>
      <c r="O83" s="16" t="n">
        <f aca="false">Hedge_Far!G324</f>
        <v>13.2743120062704</v>
      </c>
      <c r="P83" s="16" t="n">
        <f aca="false">Y83+AA83+AC83+AE83+AG83+AI83+AK83+AM83+AO83+AQ83</f>
        <v>-14.55</v>
      </c>
      <c r="Q83" s="69" t="n">
        <f aca="false">S83/$E$2</f>
        <v>-0.115289130758679</v>
      </c>
      <c r="R83" s="69" t="n">
        <f aca="false">T83/$E$2</f>
        <v>-0.135660677048355</v>
      </c>
      <c r="S83" s="16" t="n">
        <f aca="false">E83+O83</f>
        <v>-157.46672832523</v>
      </c>
      <c r="T83" s="16" t="n">
        <f aca="false">E83+P83</f>
        <v>-185.2910403315</v>
      </c>
      <c r="U83" s="70" t="n">
        <f aca="false">O84-2*O83+O82</f>
        <v>0.283617852253807</v>
      </c>
      <c r="V83" s="71"/>
      <c r="W83" s="67" t="n">
        <f aca="false">W82-1</f>
        <v>73</v>
      </c>
      <c r="X83" s="16" t="n">
        <f aca="false">Hedge_Far!G27</f>
        <v>5.13715122728755</v>
      </c>
      <c r="Y83" s="16" t="n">
        <f aca="false">IF(B83&gt;$C$20,-1*$H$20,(($C$20-B83)*$G$20)-$H$20)</f>
        <v>-6.93</v>
      </c>
      <c r="Z83" s="16" t="n">
        <f aca="false">Hedge_Far!G56</f>
        <v>4.9418145522253</v>
      </c>
      <c r="AA83" s="16" t="n">
        <f aca="false">IF(B83&gt;$C$21,-1*$H$21,(($C$21-B83)*$G$21)-$H$21)</f>
        <v>-4.52</v>
      </c>
      <c r="AB83" s="16" t="n">
        <f aca="false">Hedge_Far!G85</f>
        <v>0</v>
      </c>
      <c r="AC83" s="16" t="n">
        <f aca="false">IF(B83&gt;$C$22,-1*$H$22,(($C$22-B83)*$G$22)-$H$22)</f>
        <v>-0</v>
      </c>
      <c r="AD83" s="16" t="n">
        <f aca="false">Hedge_Far!G114</f>
        <v>-1.36335275092724</v>
      </c>
      <c r="AE83" s="16" t="n">
        <f aca="false">IF(B83&gt;$C$23,-1*$H$23,(($C$23-B83)*$G$23)-$H$23)</f>
        <v>-0.43</v>
      </c>
      <c r="AF83" s="16" t="n">
        <f aca="false">Hedge_Far!G144</f>
        <v>4.55869897768482</v>
      </c>
      <c r="AG83" s="16" t="n">
        <f aca="false">IF(B83&gt;$C$24,-1*$H$24,(($C$24-B83)*$G$24)-$H$24)</f>
        <v>-2.67</v>
      </c>
      <c r="AH83" s="16" t="n">
        <f aca="false">Hedge_Far!G174</f>
        <v>0</v>
      </c>
      <c r="AI83" s="16" t="n">
        <f aca="false">IF(B83&gt;$C$25,-1*$H$25,(($C$25-B83)*$G$25)-$H$25)</f>
        <v>-0</v>
      </c>
      <c r="AJ83" s="16" t="n">
        <f aca="false">Hedge_Far!G204</f>
        <v>0</v>
      </c>
      <c r="AK83" s="16" t="n">
        <f aca="false">IF(B83&gt;$C$26,-1*$H$26,(($C$26-B83)*$G$26)-$H$26)</f>
        <v>0</v>
      </c>
      <c r="AL83" s="16" t="n">
        <f aca="false">Hedge_Far!G234</f>
        <v>0</v>
      </c>
      <c r="AM83" s="16" t="n">
        <f aca="false">IF(B83&gt;$C$27,-1*$H$27,(($C$27-B83)*$G$27)-$H$27)</f>
        <v>-0</v>
      </c>
      <c r="AN83" s="16" t="n">
        <f aca="false">Hedge_Far!G264</f>
        <v>0</v>
      </c>
      <c r="AO83" s="16" t="n">
        <f aca="false">IF(B83&gt;$C$28,-1*$H$28,(($C$28-B83)*$G$28)-$H$28)</f>
        <v>-0</v>
      </c>
      <c r="AP83" s="16" t="n">
        <f aca="false">Hedge_Far!G294</f>
        <v>0</v>
      </c>
      <c r="AQ83" s="16" t="n">
        <f aca="false">IF(B83&gt;$C$29,-1*$H$29,(($C$29-B83)*$G$29)-$H$29)</f>
        <v>-0</v>
      </c>
      <c r="AR83" s="2"/>
    </row>
    <row r="84" customFormat="false" ht="14.25" hidden="false" customHeight="true" outlineLevel="0" collapsed="false">
      <c r="B84" s="67" t="n">
        <f aca="false">B83-1</f>
        <v>72</v>
      </c>
      <c r="C84" s="68" t="n">
        <f aca="false">O84/$H$30</f>
        <v>1.13524981903231</v>
      </c>
      <c r="D84" s="68" t="n">
        <f aca="false">P84/$H$30</f>
        <v>-1</v>
      </c>
      <c r="E84" s="16" t="n">
        <f aca="false">($C$2*B84)-$E$2</f>
        <v>-187.1122853315</v>
      </c>
      <c r="F84" s="69" t="n">
        <f aca="false">(E84/$E$2)</f>
        <v>-0.136994100020825</v>
      </c>
      <c r="M84" s="67" t="n">
        <f aca="false">M83-1</f>
        <v>72</v>
      </c>
      <c r="N84" s="68" t="n">
        <f aca="false">Hedge_Far!C325</f>
        <v>-3.39096353109336</v>
      </c>
      <c r="O84" s="16" t="n">
        <f aca="false">Hedge_Far!G325</f>
        <v>16.5178848669201</v>
      </c>
      <c r="P84" s="16" t="n">
        <f aca="false">Y84+AA84+AC84+AE84+AG84+AI84+AK84+AM84+AO84+AQ84</f>
        <v>-14.55</v>
      </c>
      <c r="Q84" s="69" t="n">
        <f aca="false">S84/$E$2</f>
        <v>-0.124900544712138</v>
      </c>
      <c r="R84" s="69" t="n">
        <f aca="false">T84/$E$2</f>
        <v>-0.147646870103621</v>
      </c>
      <c r="S84" s="16" t="n">
        <f aca="false">E84+O84</f>
        <v>-170.59440046458</v>
      </c>
      <c r="T84" s="16" t="n">
        <f aca="false">E84+P84</f>
        <v>-201.6622853315</v>
      </c>
      <c r="U84" s="70" t="n">
        <f aca="false">O85-2*O84+O83</f>
        <v>0.300169731795902</v>
      </c>
      <c r="V84" s="71"/>
      <c r="W84" s="67" t="n">
        <f aca="false">W83-1</f>
        <v>72</v>
      </c>
      <c r="X84" s="16" t="n">
        <f aca="false">Hedge_Far!G28</f>
        <v>6.37593958862474</v>
      </c>
      <c r="Y84" s="16" t="n">
        <f aca="false">IF(B84&gt;$C$20,-1*$H$20,(($C$20-B84)*$G$20)-$H$20)</f>
        <v>-6.93</v>
      </c>
      <c r="Z84" s="16" t="n">
        <f aca="false">Hedge_Far!G57</f>
        <v>5.72844695868235</v>
      </c>
      <c r="AA84" s="16" t="n">
        <f aca="false">IF(B84&gt;$C$21,-1*$H$21,(($C$21-B84)*$G$21)-$H$21)</f>
        <v>-4.52</v>
      </c>
      <c r="AB84" s="16" t="n">
        <f aca="false">Hedge_Far!G86</f>
        <v>0</v>
      </c>
      <c r="AC84" s="16" t="n">
        <f aca="false">IF(B84&gt;$C$22,-1*$H$22,(($C$22-B84)*$G$22)-$H$22)</f>
        <v>-0</v>
      </c>
      <c r="AD84" s="16" t="n">
        <f aca="false">Hedge_Far!G115</f>
        <v>-1.25280692014436</v>
      </c>
      <c r="AE84" s="16" t="n">
        <f aca="false">IF(B84&gt;$C$23,-1*$H$23,(($C$23-B84)*$G$23)-$H$23)</f>
        <v>-0.43</v>
      </c>
      <c r="AF84" s="16" t="n">
        <f aca="false">Hedge_Far!G145</f>
        <v>5.66630523975742</v>
      </c>
      <c r="AG84" s="16" t="n">
        <f aca="false">IF(B84&gt;$C$24,-1*$H$24,(($C$24-B84)*$G$24)-$H$24)</f>
        <v>-2.67</v>
      </c>
      <c r="AH84" s="16" t="n">
        <f aca="false">Hedge_Far!G175</f>
        <v>0</v>
      </c>
      <c r="AI84" s="16" t="n">
        <f aca="false">IF(B84&gt;$C$25,-1*$H$25,(($C$25-B84)*$G$25)-$H$25)</f>
        <v>0</v>
      </c>
      <c r="AJ84" s="16" t="n">
        <f aca="false">Hedge_Far!G205</f>
        <v>0</v>
      </c>
      <c r="AK84" s="16" t="n">
        <f aca="false">IF(B84&gt;$C$26,-1*$H$26,(($C$26-B84)*$G$26)-$H$26)</f>
        <v>0</v>
      </c>
      <c r="AL84" s="16" t="n">
        <f aca="false">Hedge_Far!G235</f>
        <v>0</v>
      </c>
      <c r="AM84" s="16" t="n">
        <f aca="false">IF(B84&gt;$C$27,-1*$H$27,(($C$27-B84)*$G$27)-$H$27)</f>
        <v>-0</v>
      </c>
      <c r="AN84" s="16" t="n">
        <f aca="false">Hedge_Far!G265</f>
        <v>0</v>
      </c>
      <c r="AO84" s="16" t="n">
        <f aca="false">IF(B84&gt;$C$28,-1*$H$28,(($C$28-B84)*$G$28)-$H$28)</f>
        <v>-0</v>
      </c>
      <c r="AP84" s="16" t="n">
        <f aca="false">Hedge_Far!G295</f>
        <v>0</v>
      </c>
      <c r="AQ84" s="16" t="n">
        <f aca="false">IF(B84&gt;$C$29,-1*$H$29,(($C$29-B84)*$G$29)-$H$29)</f>
        <v>-0</v>
      </c>
      <c r="AR84" s="2"/>
    </row>
    <row r="85" customFormat="false" ht="14.25" hidden="false" customHeight="true" outlineLevel="0" collapsed="false">
      <c r="B85" s="67" t="n">
        <f aca="false">B84-1</f>
        <v>71</v>
      </c>
      <c r="C85" s="68" t="n">
        <f aca="false">O85/$H$30</f>
        <v>1.37880601095297</v>
      </c>
      <c r="D85" s="68" t="n">
        <f aca="false">P85/$H$30</f>
        <v>-1</v>
      </c>
      <c r="E85" s="16" t="n">
        <f aca="false">($C$2*B85)-$E$2</f>
        <v>-203.4835303315</v>
      </c>
      <c r="F85" s="69" t="n">
        <f aca="false">(E85/$E$2)</f>
        <v>-0.148980293076091</v>
      </c>
      <c r="M85" s="67" t="n">
        <f aca="false">M84-1</f>
        <v>71</v>
      </c>
      <c r="N85" s="68" t="n">
        <f aca="false">Hedge_Far!C326</f>
        <v>-3.69913690980296</v>
      </c>
      <c r="O85" s="16" t="n">
        <f aca="false">Hedge_Far!G326</f>
        <v>20.0616274593657</v>
      </c>
      <c r="P85" s="16" t="n">
        <f aca="false">Y85+AA85+AC85+AE85+AG85+AI85+AK85+AM85+AO85+AQ85</f>
        <v>-14.55</v>
      </c>
      <c r="Q85" s="69" t="n">
        <f aca="false">S85/$E$2</f>
        <v>-0.134292189652632</v>
      </c>
      <c r="R85" s="69" t="n">
        <f aca="false">T85/$E$2</f>
        <v>-0.159633063158888</v>
      </c>
      <c r="S85" s="16" t="n">
        <f aca="false">E85+O85</f>
        <v>-183.421902872134</v>
      </c>
      <c r="T85" s="16" t="n">
        <f aca="false">E85+P85</f>
        <v>-218.0335303315</v>
      </c>
      <c r="U85" s="70" t="n">
        <f aca="false">O86-2*O85+O84</f>
        <v>0.315832560794163</v>
      </c>
      <c r="V85" s="71"/>
      <c r="W85" s="67" t="n">
        <f aca="false">W84-1</f>
        <v>71</v>
      </c>
      <c r="X85" s="16" t="n">
        <f aca="false">Hedge_Far!G29</f>
        <v>7.72577345178443</v>
      </c>
      <c r="Y85" s="16" t="n">
        <f aca="false">IF(B85&gt;$C$20,-1*$H$20,(($C$20-B85)*$G$20)-$H$20)</f>
        <v>-6.93</v>
      </c>
      <c r="Z85" s="16" t="n">
        <f aca="false">Hedge_Far!G58</f>
        <v>6.5652128265993</v>
      </c>
      <c r="AA85" s="16" t="n">
        <f aca="false">IF(B85&gt;$C$21,-1*$H$21,(($C$21-B85)*$G$21)-$H$21)</f>
        <v>-4.52</v>
      </c>
      <c r="AB85" s="16" t="n">
        <f aca="false">Hedge_Far!G87</f>
        <v>0</v>
      </c>
      <c r="AC85" s="16" t="n">
        <f aca="false">IF(B85&gt;$C$22,-1*$H$22,(($C$22-B85)*$G$22)-$H$22)</f>
        <v>-0</v>
      </c>
      <c r="AD85" s="16" t="n">
        <f aca="false">Hedge_Far!G116</f>
        <v>-1.12564168780763</v>
      </c>
      <c r="AE85" s="16" t="n">
        <f aca="false">IF(B85&gt;$C$23,-1*$H$23,(($C$23-B85)*$G$23)-$H$23)</f>
        <v>-0.43</v>
      </c>
      <c r="AF85" s="16" t="n">
        <f aca="false">Hedge_Far!G146</f>
        <v>6.89628286878964</v>
      </c>
      <c r="AG85" s="16" t="n">
        <f aca="false">IF(B85&gt;$C$24,-1*$H$24,(($C$24-B85)*$G$24)-$H$24)</f>
        <v>-2.67</v>
      </c>
      <c r="AH85" s="16" t="n">
        <f aca="false">Hedge_Far!G176</f>
        <v>0</v>
      </c>
      <c r="AI85" s="16" t="n">
        <f aca="false">IF(B85&gt;$C$25,-1*$H$25,(($C$25-B85)*$G$25)-$H$25)</f>
        <v>0</v>
      </c>
      <c r="AJ85" s="16" t="n">
        <f aca="false">Hedge_Far!G206</f>
        <v>0</v>
      </c>
      <c r="AK85" s="16" t="n">
        <f aca="false">IF(B85&gt;$C$26,-1*$H$26,(($C$26-B85)*$G$26)-$H$26)</f>
        <v>0</v>
      </c>
      <c r="AL85" s="16" t="n">
        <f aca="false">Hedge_Far!G236</f>
        <v>0</v>
      </c>
      <c r="AM85" s="16" t="n">
        <f aca="false">IF(B85&gt;$C$27,-1*$H$27,(($C$27-B85)*$G$27)-$H$27)</f>
        <v>-0</v>
      </c>
      <c r="AN85" s="16" t="n">
        <f aca="false">Hedge_Far!G266</f>
        <v>0</v>
      </c>
      <c r="AO85" s="16" t="n">
        <f aca="false">IF(B85&gt;$C$28,-1*$H$28,(($C$28-B85)*$G$28)-$H$28)</f>
        <v>-0</v>
      </c>
      <c r="AP85" s="16" t="n">
        <f aca="false">Hedge_Far!G296</f>
        <v>0</v>
      </c>
      <c r="AQ85" s="16" t="n">
        <f aca="false">IF(B85&gt;$C$29,-1*$H$29,(($C$29-B85)*$G$29)-$H$29)</f>
        <v>-0</v>
      </c>
      <c r="AR85" s="2"/>
    </row>
    <row r="86" customFormat="false" ht="14.25" hidden="false" customHeight="true" outlineLevel="0" collapsed="false">
      <c r="B86" s="67" t="n">
        <f aca="false">B85-1</f>
        <v>70</v>
      </c>
      <c r="C86" s="68" t="n">
        <f aca="false">O86/$H$30</f>
        <v>1.64406890808285</v>
      </c>
      <c r="D86" s="68" t="n">
        <f aca="false">P86/$H$30</f>
        <v>-1</v>
      </c>
      <c r="E86" s="16" t="n">
        <f aca="false">($C$2*B86)-$E$2</f>
        <v>-219.8547753315</v>
      </c>
      <c r="F86" s="69" t="n">
        <f aca="false">(E86/$E$2)</f>
        <v>-0.160966486131358</v>
      </c>
      <c r="M86" s="67" t="n">
        <f aca="false">M85-1</f>
        <v>70</v>
      </c>
      <c r="N86" s="68" t="n">
        <f aca="false">Hedge_Far!C327</f>
        <v>-4.02243267826454</v>
      </c>
      <c r="O86" s="16" t="n">
        <f aca="false">Hedge_Far!G327</f>
        <v>23.9212026126055</v>
      </c>
      <c r="P86" s="16" t="n">
        <f aca="false">Y86+AA86+AC86+AE86+AG86+AI86+AK86+AM86+AO86+AQ86</f>
        <v>-14.55</v>
      </c>
      <c r="Q86" s="69" t="n">
        <f aca="false">S86/$E$2</f>
        <v>-0.143452598053278</v>
      </c>
      <c r="R86" s="69" t="n">
        <f aca="false">T86/$E$2</f>
        <v>-0.171619256214154</v>
      </c>
      <c r="S86" s="16" t="n">
        <f aca="false">E86+O86</f>
        <v>-195.933572718894</v>
      </c>
      <c r="T86" s="16" t="n">
        <f aca="false">E86+P86</f>
        <v>-234.4047753315</v>
      </c>
      <c r="U86" s="70" t="n">
        <f aca="false">O87-2*O86+O85</f>
        <v>0.330320977027867</v>
      </c>
      <c r="V86" s="71"/>
      <c r="W86" s="67" t="n">
        <f aca="false">W85-1</f>
        <v>70</v>
      </c>
      <c r="X86" s="16" t="n">
        <f aca="false">Hedge_Far!G30</f>
        <v>9.19421807836566</v>
      </c>
      <c r="Y86" s="16" t="n">
        <f aca="false">IF(B86&gt;$C$20,-1*$H$20,(($C$20-B86)*$G$20)-$H$20)</f>
        <v>-6.93</v>
      </c>
      <c r="Z86" s="16" t="n">
        <f aca="false">Hedge_Far!G59</f>
        <v>7.45350315661461</v>
      </c>
      <c r="AA86" s="16" t="n">
        <f aca="false">IF(B86&gt;$C$21,-1*$H$21,(($C$21-B86)*$G$21)-$H$21)</f>
        <v>-4.52</v>
      </c>
      <c r="AB86" s="16" t="n">
        <f aca="false">Hedge_Far!G88</f>
        <v>0</v>
      </c>
      <c r="AC86" s="16" t="n">
        <f aca="false">IF(B86&gt;$C$22,-1*$H$22,(($C$22-B86)*$G$22)-$H$22)</f>
        <v>-0</v>
      </c>
      <c r="AD86" s="16" t="n">
        <f aca="false">Hedge_Far!G117</f>
        <v>-0.979924272246263</v>
      </c>
      <c r="AE86" s="16" t="n">
        <f aca="false">IF(B86&gt;$C$23,-1*$H$23,(($C$23-B86)*$G$23)-$H$23)</f>
        <v>-0.43</v>
      </c>
      <c r="AF86" s="16" t="n">
        <f aca="false">Hedge_Far!G147</f>
        <v>8.25340564987151</v>
      </c>
      <c r="AG86" s="16" t="n">
        <f aca="false">IF(B86&gt;$C$24,-1*$H$24,(($C$24-B86)*$G$24)-$H$24)</f>
        <v>-2.67</v>
      </c>
      <c r="AH86" s="16" t="n">
        <f aca="false">Hedge_Far!G177</f>
        <v>0</v>
      </c>
      <c r="AI86" s="16" t="n">
        <f aca="false">IF(B86&gt;$C$25,-1*$H$25,(($C$25-B86)*$G$25)-$H$25)</f>
        <v>0</v>
      </c>
      <c r="AJ86" s="16" t="n">
        <f aca="false">Hedge_Far!G207</f>
        <v>0</v>
      </c>
      <c r="AK86" s="16" t="n">
        <f aca="false">IF(B86&gt;$C$26,-1*$H$26,(($C$26-B86)*$G$26)-$H$26)</f>
        <v>0</v>
      </c>
      <c r="AL86" s="16" t="n">
        <f aca="false">Hedge_Far!G237</f>
        <v>0</v>
      </c>
      <c r="AM86" s="16" t="n">
        <f aca="false">IF(B86&gt;$C$27,-1*$H$27,(($C$27-B86)*$G$27)-$H$27)</f>
        <v>-0</v>
      </c>
      <c r="AN86" s="16" t="n">
        <f aca="false">Hedge_Far!G267</f>
        <v>0</v>
      </c>
      <c r="AO86" s="16" t="n">
        <f aca="false">IF(B86&gt;$C$28,-1*$H$28,(($C$28-B86)*$G$28)-$H$28)</f>
        <v>-0</v>
      </c>
      <c r="AP86" s="16" t="n">
        <f aca="false">Hedge_Far!G297</f>
        <v>0</v>
      </c>
      <c r="AQ86" s="16" t="n">
        <f aca="false">IF(B86&gt;$C$29,-1*$H$29,(($C$29-B86)*$G$29)-$H$29)</f>
        <v>0</v>
      </c>
      <c r="AR86" s="2"/>
    </row>
    <row r="87" customFormat="false" ht="14.25" hidden="false" customHeight="true" outlineLevel="0" collapsed="false">
      <c r="B87" s="67" t="n">
        <f aca="false">B86-1</f>
        <v>69</v>
      </c>
      <c r="C87" s="68" t="n">
        <f aca="false">O87/$H$30</f>
        <v>1.9320342778607</v>
      </c>
      <c r="D87" s="68" t="n">
        <f aca="false">P87/$H$30</f>
        <v>-0.656357388316151</v>
      </c>
      <c r="E87" s="16" t="n">
        <f aca="false">($C$2*B87)-$E$2</f>
        <v>-236.2260203315</v>
      </c>
      <c r="F87" s="69" t="n">
        <f aca="false">(E87/$E$2)</f>
        <v>-0.172952679186624</v>
      </c>
      <c r="M87" s="67" t="n">
        <f aca="false">M86-1</f>
        <v>69</v>
      </c>
      <c r="N87" s="68" t="n">
        <f aca="false">Hedge_Far!C328</f>
        <v>-4.35953752220284</v>
      </c>
      <c r="O87" s="16" t="n">
        <f aca="false">Hedge_Far!G328</f>
        <v>28.1110987428732</v>
      </c>
      <c r="P87" s="16" t="n">
        <f aca="false">Y87+AA87+AC87+AE87+AG87+AI87+AK87+AM87+AO87+AQ87</f>
        <v>-9.55</v>
      </c>
      <c r="Q87" s="69" t="n">
        <f aca="false">S87/$E$2</f>
        <v>-0.152371162232493</v>
      </c>
      <c r="R87" s="69" t="n">
        <f aca="false">T87/$E$2</f>
        <v>-0.179944703536501</v>
      </c>
      <c r="S87" s="16" t="n">
        <f aca="false">E87+O87</f>
        <v>-208.114921588627</v>
      </c>
      <c r="T87" s="16" t="n">
        <f aca="false">E87+P87</f>
        <v>-245.7760203315</v>
      </c>
      <c r="U87" s="70" t="n">
        <f aca="false">O88-2*O87+O86</f>
        <v>0.343364005284439</v>
      </c>
      <c r="V87" s="71"/>
      <c r="W87" s="67" t="n">
        <f aca="false">W86-1</f>
        <v>69</v>
      </c>
      <c r="X87" s="16" t="n">
        <f aca="false">Hedge_Far!G31</f>
        <v>10.7890088534684</v>
      </c>
      <c r="Y87" s="16" t="n">
        <f aca="false">IF(B87&gt;$C$20,-1*$H$20,(($C$20-B87)*$G$20)-$H$20)</f>
        <v>-6.93</v>
      </c>
      <c r="Z87" s="16" t="n">
        <f aca="false">Hedge_Far!G60</f>
        <v>8.39453926905206</v>
      </c>
      <c r="AA87" s="16" t="n">
        <f aca="false">IF(B87&gt;$C$21,-1*$H$21,(($C$21-B87)*$G$21)-$H$21)</f>
        <v>-2.52</v>
      </c>
      <c r="AB87" s="16" t="n">
        <f aca="false">Hedge_Far!G89</f>
        <v>0</v>
      </c>
      <c r="AC87" s="16" t="n">
        <f aca="false">IF(B87&gt;$C$22,-1*$H$22,(($C$22-B87)*$G$22)-$H$22)</f>
        <v>-0</v>
      </c>
      <c r="AD87" s="16" t="n">
        <f aca="false">Hedge_Far!G118</f>
        <v>-0.813614880112279</v>
      </c>
      <c r="AE87" s="16" t="n">
        <f aca="false">IF(B87&gt;$C$23,-1*$H$23,(($C$23-B87)*$G$23)-$H$23)</f>
        <v>-0.43</v>
      </c>
      <c r="AF87" s="16" t="n">
        <f aca="false">Hedge_Far!G148</f>
        <v>9.74116550046494</v>
      </c>
      <c r="AG87" s="16" t="n">
        <f aca="false">IF(B87&gt;$C$24,-1*$H$24,(($C$24-B87)*$G$24)-$H$24)</f>
        <v>0.33</v>
      </c>
      <c r="AH87" s="16" t="n">
        <f aca="false">Hedge_Far!G178</f>
        <v>0</v>
      </c>
      <c r="AI87" s="16" t="n">
        <f aca="false">IF(B87&gt;$C$25,-1*$H$25,(($C$25-B87)*$G$25)-$H$25)</f>
        <v>0</v>
      </c>
      <c r="AJ87" s="16" t="n">
        <f aca="false">Hedge_Far!G208</f>
        <v>0</v>
      </c>
      <c r="AK87" s="16" t="n">
        <f aca="false">IF(B87&gt;$C$26,-1*$H$26,(($C$26-B87)*$G$26)-$H$26)</f>
        <v>0</v>
      </c>
      <c r="AL87" s="16" t="n">
        <f aca="false">Hedge_Far!G238</f>
        <v>0</v>
      </c>
      <c r="AM87" s="16" t="n">
        <f aca="false">IF(B87&gt;$C$27,-1*$H$27,(($C$27-B87)*$G$27)-$H$27)</f>
        <v>-0</v>
      </c>
      <c r="AN87" s="16" t="n">
        <f aca="false">Hedge_Far!G268</f>
        <v>0</v>
      </c>
      <c r="AO87" s="16" t="n">
        <f aca="false">IF(B87&gt;$C$28,-1*$H$28,(($C$28-B87)*$G$28)-$H$28)</f>
        <v>-0</v>
      </c>
      <c r="AP87" s="16" t="n">
        <f aca="false">Hedge_Far!G298</f>
        <v>0</v>
      </c>
      <c r="AQ87" s="16" t="n">
        <f aca="false">IF(B87&gt;$C$29,-1*$H$29,(($C$29-B87)*$G$29)-$H$29)</f>
        <v>0</v>
      </c>
      <c r="AR87" s="2"/>
    </row>
    <row r="88" customFormat="false" ht="14.25" hidden="false" customHeight="true" outlineLevel="0" collapsed="false">
      <c r="B88" s="67" t="n">
        <f aca="false">B87-1</f>
        <v>68</v>
      </c>
      <c r="C88" s="68" t="n">
        <f aca="false">O88/$H$30</f>
        <v>2.24359854834538</v>
      </c>
      <c r="D88" s="68" t="n">
        <f aca="false">P88/$H$30</f>
        <v>-0.312714776632302</v>
      </c>
      <c r="E88" s="16" t="n">
        <f aca="false">($C$2*B88)-$E$2</f>
        <v>-252.5972653315</v>
      </c>
      <c r="F88" s="69" t="n">
        <f aca="false">(E88/$E$2)</f>
        <v>-0.18493887224189</v>
      </c>
      <c r="M88" s="67" t="n">
        <f aca="false">M87-1</f>
        <v>68</v>
      </c>
      <c r="N88" s="68" t="n">
        <f aca="false">Hedge_Far!C329</f>
        <v>-4.70887841253985</v>
      </c>
      <c r="O88" s="16" t="n">
        <f aca="false">Hedge_Far!G329</f>
        <v>32.6443588784252</v>
      </c>
      <c r="P88" s="16" t="n">
        <f aca="false">Y88+AA88+AC88+AE88+AG88+AI88+AK88+AM88+AO88+AQ88</f>
        <v>-4.55</v>
      </c>
      <c r="Q88" s="69" t="n">
        <f aca="false">S88/$E$2</f>
        <v>-0.161038332748272</v>
      </c>
      <c r="R88" s="69" t="n">
        <f aca="false">T88/$E$2</f>
        <v>-0.188270150858847</v>
      </c>
      <c r="S88" s="16" t="n">
        <f aca="false">E88+O88</f>
        <v>-219.952906453075</v>
      </c>
      <c r="T88" s="16" t="n">
        <f aca="false">E88+P88</f>
        <v>-257.1472653315</v>
      </c>
      <c r="U88" s="70" t="n">
        <f aca="false">O89-2*O88+O87</f>
        <v>0.354717209261224</v>
      </c>
      <c r="V88" s="71"/>
      <c r="W88" s="67" t="n">
        <f aca="false">W87-1</f>
        <v>68</v>
      </c>
      <c r="X88" s="16" t="n">
        <f aca="false">Hedge_Far!G32</f>
        <v>12.5180011874101</v>
      </c>
      <c r="Y88" s="16" t="n">
        <f aca="false">IF(B88&gt;$C$20,-1*$H$20,(($C$20-B88)*$G$20)-$H$20)</f>
        <v>-6.93</v>
      </c>
      <c r="Z88" s="16" t="n">
        <f aca="false">Hedge_Far!G61</f>
        <v>9.38934959900116</v>
      </c>
      <c r="AA88" s="16" t="n">
        <f aca="false">IF(B88&gt;$C$21,-1*$H$21,(($C$21-B88)*$G$21)-$H$21)</f>
        <v>-0.52</v>
      </c>
      <c r="AB88" s="16" t="n">
        <f aca="false">Hedge_Far!G90</f>
        <v>0</v>
      </c>
      <c r="AC88" s="16" t="n">
        <f aca="false">IF(B88&gt;$C$22,-1*$H$22,(($C$22-B88)*$G$22)-$H$22)</f>
        <v>-0</v>
      </c>
      <c r="AD88" s="16" t="n">
        <f aca="false">Hedge_Far!G119</f>
        <v>-0.62458552498572</v>
      </c>
      <c r="AE88" s="16" t="n">
        <f aca="false">IF(B88&gt;$C$23,-1*$H$23,(($C$23-B88)*$G$23)-$H$23)</f>
        <v>-0.43</v>
      </c>
      <c r="AF88" s="16" t="n">
        <f aca="false">Hedge_Far!G149</f>
        <v>11.3615936169997</v>
      </c>
      <c r="AG88" s="16" t="n">
        <f aca="false">IF(B88&gt;$C$24,-1*$H$24,(($C$24-B88)*$G$24)-$H$24)</f>
        <v>3.33</v>
      </c>
      <c r="AH88" s="16" t="n">
        <f aca="false">Hedge_Far!G179</f>
        <v>0</v>
      </c>
      <c r="AI88" s="16" t="n">
        <f aca="false">IF(B88&gt;$C$25,-1*$H$25,(($C$25-B88)*$G$25)-$H$25)</f>
        <v>0</v>
      </c>
      <c r="AJ88" s="16" t="n">
        <f aca="false">Hedge_Far!G209</f>
        <v>0</v>
      </c>
      <c r="AK88" s="16" t="n">
        <f aca="false">IF(B88&gt;$C$26,-1*$H$26,(($C$26-B88)*$G$26)-$H$26)</f>
        <v>0</v>
      </c>
      <c r="AL88" s="16" t="n">
        <f aca="false">Hedge_Far!G239</f>
        <v>0</v>
      </c>
      <c r="AM88" s="16" t="n">
        <f aca="false">IF(B88&gt;$C$27,-1*$H$27,(($C$27-B88)*$G$27)-$H$27)</f>
        <v>-0</v>
      </c>
      <c r="AN88" s="16" t="n">
        <f aca="false">Hedge_Far!G269</f>
        <v>0</v>
      </c>
      <c r="AO88" s="16" t="n">
        <f aca="false">IF(B88&gt;$C$28,-1*$H$28,(($C$28-B88)*$G$28)-$H$28)</f>
        <v>-0</v>
      </c>
      <c r="AP88" s="16" t="n">
        <f aca="false">Hedge_Far!G299</f>
        <v>0</v>
      </c>
      <c r="AQ88" s="16" t="n">
        <f aca="false">IF(B88&gt;$C$29,-1*$H$29,(($C$29-B88)*$G$29)-$H$29)</f>
        <v>0</v>
      </c>
      <c r="AR88" s="2"/>
    </row>
    <row r="89" customFormat="false" ht="14.25" hidden="false" customHeight="true" outlineLevel="0" collapsed="false">
      <c r="B89" s="67" t="n">
        <f aca="false">B88-1</f>
        <v>67</v>
      </c>
      <c r="C89" s="68" t="n">
        <f aca="false">O89/$H$30</f>
        <v>2.57954200847</v>
      </c>
      <c r="D89" s="68" t="n">
        <f aca="false">P89/$H$30</f>
        <v>0.0309278350515465</v>
      </c>
      <c r="E89" s="16" t="n">
        <f aca="false">($C$2*B89)-$E$2</f>
        <v>-268.9685103315</v>
      </c>
      <c r="F89" s="69" t="n">
        <f aca="false">(E89/$E$2)</f>
        <v>-0.196925065297157</v>
      </c>
      <c r="M89" s="67" t="n">
        <f aca="false">M88-1</f>
        <v>67</v>
      </c>
      <c r="N89" s="68" t="n">
        <f aca="false">Hedge_Far!C330</f>
        <v>-5.06865510772137</v>
      </c>
      <c r="O89" s="16" t="n">
        <f aca="false">Hedge_Far!G330</f>
        <v>37.5323362232385</v>
      </c>
      <c r="P89" s="16" t="n">
        <f aca="false">Y89+AA89+AC89+AE89+AG89+AI89+AK89+AM89+AO89+AQ89</f>
        <v>0.450000000000001</v>
      </c>
      <c r="Q89" s="69" t="n">
        <f aca="false">S89/$E$2</f>
        <v>-0.169445797362012</v>
      </c>
      <c r="R89" s="69" t="n">
        <f aca="false">T89/$E$2</f>
        <v>-0.196595598181194</v>
      </c>
      <c r="S89" s="16" t="n">
        <f aca="false">E89+O89</f>
        <v>-231.436174108262</v>
      </c>
      <c r="T89" s="16" t="n">
        <f aca="false">E89+P89</f>
        <v>-268.5185103315</v>
      </c>
      <c r="U89" s="70" t="n">
        <f aca="false">O90-2*O89+O88</f>
        <v>0.364174263329062</v>
      </c>
      <c r="V89" s="71"/>
      <c r="W89" s="67" t="n">
        <f aca="false">W88-1</f>
        <v>67</v>
      </c>
      <c r="X89" s="16" t="n">
        <f aca="false">Hedge_Far!G33</f>
        <v>14.3891119688317</v>
      </c>
      <c r="Y89" s="16" t="n">
        <f aca="false">IF(B89&gt;$C$20,-1*$H$20,(($C$20-B89)*$G$20)-$H$20)</f>
        <v>-6.93</v>
      </c>
      <c r="Z89" s="16" t="n">
        <f aca="false">Hedge_Far!G62</f>
        <v>10.4387472776759</v>
      </c>
      <c r="AA89" s="16" t="n">
        <f aca="false">IF(B89&gt;$C$21,-1*$H$21,(($C$21-B89)*$G$21)-$H$21)</f>
        <v>1.48</v>
      </c>
      <c r="AB89" s="16" t="n">
        <f aca="false">Hedge_Far!G91</f>
        <v>0</v>
      </c>
      <c r="AC89" s="16" t="n">
        <f aca="false">IF(B89&gt;$C$22,-1*$H$22,(($C$22-B89)*$G$22)-$H$22)</f>
        <v>-0</v>
      </c>
      <c r="AD89" s="16" t="n">
        <f aca="false">Hedge_Far!G120</f>
        <v>-0.410644631504585</v>
      </c>
      <c r="AE89" s="16" t="n">
        <f aca="false">IF(B89&gt;$C$23,-1*$H$23,(($C$23-B89)*$G$23)-$H$23)</f>
        <v>-0.43</v>
      </c>
      <c r="AF89" s="16" t="n">
        <f aca="false">Hedge_Far!G150</f>
        <v>13.1151216082355</v>
      </c>
      <c r="AG89" s="16" t="n">
        <f aca="false">IF(B89&gt;$C$24,-1*$H$24,(($C$24-B89)*$G$24)-$H$24)</f>
        <v>6.33</v>
      </c>
      <c r="AH89" s="16" t="n">
        <f aca="false">Hedge_Far!G180</f>
        <v>0</v>
      </c>
      <c r="AI89" s="16" t="n">
        <f aca="false">IF(B89&gt;$C$25,-1*$H$25,(($C$25-B89)*$G$25)-$H$25)</f>
        <v>0</v>
      </c>
      <c r="AJ89" s="16" t="n">
        <f aca="false">Hedge_Far!G210</f>
        <v>0</v>
      </c>
      <c r="AK89" s="16" t="n">
        <f aca="false">IF(B89&gt;$C$26,-1*$H$26,(($C$26-B89)*$G$26)-$H$26)</f>
        <v>0</v>
      </c>
      <c r="AL89" s="16" t="n">
        <f aca="false">Hedge_Far!G240</f>
        <v>0</v>
      </c>
      <c r="AM89" s="16" t="n">
        <f aca="false">IF(B89&gt;$C$27,-1*$H$27,(($C$27-B89)*$G$27)-$H$27)</f>
        <v>-0</v>
      </c>
      <c r="AN89" s="16" t="n">
        <f aca="false">Hedge_Far!G270</f>
        <v>0</v>
      </c>
      <c r="AO89" s="16" t="n">
        <f aca="false">IF(B89&gt;$C$28,-1*$H$28,(($C$28-B89)*$G$28)-$H$28)</f>
        <v>-0</v>
      </c>
      <c r="AP89" s="16" t="n">
        <f aca="false">Hedge_Far!G300</f>
        <v>0</v>
      </c>
      <c r="AQ89" s="16" t="n">
        <f aca="false">IF(B89&gt;$C$29,-1*$H$29,(($C$29-B89)*$G$29)-$H$29)</f>
        <v>0</v>
      </c>
      <c r="AR89" s="2"/>
    </row>
    <row r="90" customFormat="false" ht="14.25" hidden="false" customHeight="true" outlineLevel="0" collapsed="false">
      <c r="B90" s="67" t="n">
        <f aca="false">B89-1</f>
        <v>66</v>
      </c>
      <c r="C90" s="68" t="n">
        <f aca="false">O90/$H$30</f>
        <v>2.94051462758632</v>
      </c>
      <c r="D90" s="68" t="n">
        <f aca="false">P90/$H$30</f>
        <v>0.374570446735395</v>
      </c>
      <c r="E90" s="16" t="n">
        <f aca="false">($C$2*B90)-$E$2</f>
        <v>-285.3397553315</v>
      </c>
      <c r="F90" s="69" t="n">
        <f aca="false">(E90/$E$2)</f>
        <v>-0.208911258352423</v>
      </c>
      <c r="M90" s="67" t="n">
        <f aca="false">M89-1</f>
        <v>66</v>
      </c>
      <c r="N90" s="68" t="n">
        <f aca="false">Hedge_Far!C331</f>
        <v>-5.43688361128528</v>
      </c>
      <c r="O90" s="16" t="n">
        <f aca="false">Hedge_Far!G331</f>
        <v>42.7844878313809</v>
      </c>
      <c r="P90" s="16" t="n">
        <f aca="false">Y90+AA90+AC90+AE90+AG90+AI90+AK90+AM90+AO90+AQ90</f>
        <v>5.45</v>
      </c>
      <c r="Q90" s="69" t="n">
        <f aca="false">S90/$E$2</f>
        <v>-0.177586632099647</v>
      </c>
      <c r="R90" s="69" t="n">
        <f aca="false">T90/$E$2</f>
        <v>-0.204921045503541</v>
      </c>
      <c r="S90" s="16" t="n">
        <f aca="false">E90+O90</f>
        <v>-242.555267500119</v>
      </c>
      <c r="T90" s="16" t="n">
        <f aca="false">E90+P90</f>
        <v>-279.8897553315</v>
      </c>
      <c r="U90" s="70" t="n">
        <f aca="false">O91-2*O90+O89</f>
        <v>0.371576956184811</v>
      </c>
      <c r="V90" s="71"/>
      <c r="W90" s="67" t="n">
        <f aca="false">W89-1</f>
        <v>66</v>
      </c>
      <c r="X90" s="16" t="n">
        <f aca="false">Hedge_Far!G34</f>
        <v>16.4102523640711</v>
      </c>
      <c r="Y90" s="16" t="n">
        <f aca="false">IF(B90&gt;$C$20,-1*$H$20,(($C$20-B90)*$G$20)-$H$20)</f>
        <v>-6.93</v>
      </c>
      <c r="Z90" s="16" t="n">
        <f aca="false">Hedge_Far!G63</f>
        <v>11.5433090491105</v>
      </c>
      <c r="AA90" s="16" t="n">
        <f aca="false">IF(B90&gt;$C$21,-1*$H$21,(($C$21-B90)*$G$21)-$H$21)</f>
        <v>3.48</v>
      </c>
      <c r="AB90" s="16" t="n">
        <f aca="false">Hedge_Far!G92</f>
        <v>0</v>
      </c>
      <c r="AC90" s="16" t="n">
        <f aca="false">IF(B90&gt;$C$22,-1*$H$22,(($C$22-B90)*$G$22)-$H$22)</f>
        <v>-0</v>
      </c>
      <c r="AD90" s="16" t="n">
        <f aca="false">Hedge_Far!G121</f>
        <v>-0.169567682917723</v>
      </c>
      <c r="AE90" s="16" t="n">
        <f aca="false">IF(B90&gt;$C$23,-1*$H$23,(($C$23-B90)*$G$23)-$H$23)</f>
        <v>-0.43</v>
      </c>
      <c r="AF90" s="16" t="n">
        <f aca="false">Hedge_Far!G151</f>
        <v>15.000494101117</v>
      </c>
      <c r="AG90" s="16" t="n">
        <f aca="false">IF(B90&gt;$C$24,-1*$H$24,(($C$24-B90)*$G$24)-$H$24)</f>
        <v>9.33</v>
      </c>
      <c r="AH90" s="16" t="n">
        <f aca="false">Hedge_Far!G181</f>
        <v>0</v>
      </c>
      <c r="AI90" s="16" t="n">
        <f aca="false">IF(B90&gt;$C$25,-1*$H$25,(($C$25-B90)*$G$25)-$H$25)</f>
        <v>0</v>
      </c>
      <c r="AJ90" s="16" t="n">
        <f aca="false">Hedge_Far!G211</f>
        <v>0</v>
      </c>
      <c r="AK90" s="16" t="n">
        <f aca="false">IF(B90&gt;$C$26,-1*$H$26,(($C$26-B90)*$G$26)-$H$26)</f>
        <v>0</v>
      </c>
      <c r="AL90" s="16" t="n">
        <f aca="false">Hedge_Far!G241</f>
        <v>0</v>
      </c>
      <c r="AM90" s="16" t="n">
        <f aca="false">IF(B90&gt;$C$27,-1*$H$27,(($C$27-B90)*$G$27)-$H$27)</f>
        <v>-0</v>
      </c>
      <c r="AN90" s="16" t="n">
        <f aca="false">Hedge_Far!G271</f>
        <v>0</v>
      </c>
      <c r="AO90" s="16" t="n">
        <f aca="false">IF(B90&gt;$C$28,-1*$H$28,(($C$28-B90)*$G$28)-$H$28)</f>
        <v>-0</v>
      </c>
      <c r="AP90" s="16" t="n">
        <f aca="false">Hedge_Far!G301</f>
        <v>0</v>
      </c>
      <c r="AQ90" s="16" t="n">
        <f aca="false">IF(B90&gt;$C$29,-1*$H$29,(($C$29-B90)*$G$29)-$H$29)</f>
        <v>0</v>
      </c>
      <c r="AR90" s="2"/>
    </row>
    <row r="91" customFormat="false" ht="14.25" hidden="false" customHeight="true" outlineLevel="0" collapsed="false">
      <c r="B91" s="67" t="n">
        <f aca="false">B90-1</f>
        <v>65</v>
      </c>
      <c r="C91" s="68" t="n">
        <f aca="false">O91/$H$30</f>
        <v>3.32702518183561</v>
      </c>
      <c r="D91" s="68" t="n">
        <f aca="false">P91/$H$30</f>
        <v>0.718213058419244</v>
      </c>
      <c r="E91" s="16" t="n">
        <f aca="false">($C$2*B91)-$E$2</f>
        <v>-301.7110003315</v>
      </c>
      <c r="F91" s="69" t="n">
        <f aca="false">(E91/$E$2)</f>
        <v>-0.220897451407689</v>
      </c>
      <c r="M91" s="67" t="n">
        <f aca="false">M90-1</f>
        <v>65</v>
      </c>
      <c r="N91" s="68" t="n">
        <f aca="false">Hedge_Far!C332</f>
        <v>-5.81144851635118</v>
      </c>
      <c r="O91" s="16" t="n">
        <f aca="false">Hedge_Far!G332</f>
        <v>48.4082163957081</v>
      </c>
      <c r="P91" s="16" t="n">
        <f aca="false">Y91+AA91+AC91+AE91+AG91+AI91+AK91+AM91+AO91+AQ91</f>
        <v>10.45</v>
      </c>
      <c r="Q91" s="69" t="n">
        <f aca="false">S91/$E$2</f>
        <v>-0.185455417085922</v>
      </c>
      <c r="R91" s="69" t="n">
        <f aca="false">T91/$E$2</f>
        <v>-0.213246492825887</v>
      </c>
      <c r="S91" s="16" t="n">
        <f aca="false">E91+O91</f>
        <v>-253.302783935792</v>
      </c>
      <c r="T91" s="16" t="n">
        <f aca="false">E91+P91</f>
        <v>-291.2610003315</v>
      </c>
      <c r="U91" s="70" t="n">
        <f aca="false">O92-2*O91+O90</f>
        <v>0.37682264732198</v>
      </c>
      <c r="V91" s="71"/>
      <c r="W91" s="67" t="n">
        <f aca="false">W90-1</f>
        <v>65</v>
      </c>
      <c r="X91" s="16" t="n">
        <f aca="false">Hedge_Far!G35</f>
        <v>18.5892519395061</v>
      </c>
      <c r="Y91" s="16" t="n">
        <f aca="false">IF(B91&gt;$C$20,-1*$H$20,(($C$20-B91)*$G$20)-$H$20)</f>
        <v>-6.93</v>
      </c>
      <c r="Z91" s="16" t="n">
        <f aca="false">Hedge_Far!G64</f>
        <v>12.7033561092752</v>
      </c>
      <c r="AA91" s="16" t="n">
        <f aca="false">IF(B91&gt;$C$21,-1*$H$21,(($C$21-B91)*$G$21)-$H$21)</f>
        <v>5.48</v>
      </c>
      <c r="AB91" s="16" t="n">
        <f aca="false">Hedge_Far!G93</f>
        <v>0</v>
      </c>
      <c r="AC91" s="16" t="n">
        <f aca="false">IF(B91&gt;$C$22,-1*$H$22,(($C$22-B91)*$G$22)-$H$22)</f>
        <v>-0</v>
      </c>
      <c r="AD91" s="16" t="n">
        <f aca="false">Hedge_Far!G122</f>
        <v>0.100866061934504</v>
      </c>
      <c r="AE91" s="16" t="n">
        <f aca="false">IF(B91&gt;$C$23,-1*$H$23,(($C$23-B91)*$G$23)-$H$23)</f>
        <v>-0.43</v>
      </c>
      <c r="AF91" s="16" t="n">
        <f aca="false">Hedge_Far!G152</f>
        <v>17.0147422849923</v>
      </c>
      <c r="AG91" s="16" t="n">
        <f aca="false">IF(B91&gt;$C$24,-1*$H$24,(($C$24-B91)*$G$24)-$H$24)</f>
        <v>12.33</v>
      </c>
      <c r="AH91" s="16" t="n">
        <f aca="false">Hedge_Far!G182</f>
        <v>0</v>
      </c>
      <c r="AI91" s="16" t="n">
        <f aca="false">IF(B91&gt;$C$25,-1*$H$25,(($C$25-B91)*$G$25)-$H$25)</f>
        <v>0</v>
      </c>
      <c r="AJ91" s="16" t="n">
        <f aca="false">Hedge_Far!G212</f>
        <v>0</v>
      </c>
      <c r="AK91" s="16" t="n">
        <f aca="false">IF(B91&gt;$C$26,-1*$H$26,(($C$26-B91)*$G$26)-$H$26)</f>
        <v>0</v>
      </c>
      <c r="AL91" s="16" t="n">
        <f aca="false">Hedge_Far!G242</f>
        <v>0</v>
      </c>
      <c r="AM91" s="16" t="n">
        <f aca="false">IF(B91&gt;$C$27,-1*$H$27,(($C$27-B91)*$G$27)-$H$27)</f>
        <v>-0</v>
      </c>
      <c r="AN91" s="16" t="n">
        <f aca="false">Hedge_Far!G272</f>
        <v>0</v>
      </c>
      <c r="AO91" s="16" t="n">
        <f aca="false">IF(B91&gt;$C$28,-1*$H$28,(($C$28-B91)*$G$28)-$H$28)</f>
        <v>-0</v>
      </c>
      <c r="AP91" s="16" t="n">
        <f aca="false">Hedge_Far!G302</f>
        <v>0</v>
      </c>
      <c r="AQ91" s="16" t="n">
        <f aca="false">IF(B91&gt;$C$29,-1*$H$29,(($C$29-B91)*$G$29)-$H$29)</f>
        <v>0</v>
      </c>
      <c r="AR91" s="2"/>
    </row>
    <row r="92" customFormat="false" ht="14.25" hidden="false" customHeight="true" outlineLevel="0" collapsed="false">
      <c r="B92" s="67" t="n">
        <f aca="false">B91-1</f>
        <v>64</v>
      </c>
      <c r="C92" s="68" t="n">
        <f aca="false">O92/$H$30</f>
        <v>3.73943419981837</v>
      </c>
      <c r="D92" s="68" t="n">
        <f aca="false">P92/$H$30</f>
        <v>1.06185567010309</v>
      </c>
      <c r="E92" s="16" t="n">
        <f aca="false">($C$2*B92)-$E$2</f>
        <v>-318.0822453315</v>
      </c>
      <c r="F92" s="69" t="n">
        <f aca="false">(E92/$E$2)</f>
        <v>-0.232883644462956</v>
      </c>
      <c r="M92" s="67" t="n">
        <f aca="false">M91-1</f>
        <v>64</v>
      </c>
      <c r="N92" s="68" t="n">
        <f aca="false">Hedge_Far!C333</f>
        <v>-6.19016123169082</v>
      </c>
      <c r="O92" s="16" t="n">
        <f aca="false">Hedge_Far!G333</f>
        <v>54.4087676073572</v>
      </c>
      <c r="P92" s="16" t="n">
        <f aca="false">Y92+AA92+AC92+AE92+AG92+AI92+AK92+AM92+AO92+AQ92</f>
        <v>15.45</v>
      </c>
      <c r="Q92" s="69" t="n">
        <f aca="false">S92/$E$2</f>
        <v>-0.193048311692546</v>
      </c>
      <c r="R92" s="69" t="n">
        <f aca="false">T92/$E$2</f>
        <v>-0.221571940148234</v>
      </c>
      <c r="S92" s="16" t="n">
        <f aca="false">E92+O92</f>
        <v>-263.673477724143</v>
      </c>
      <c r="T92" s="16" t="n">
        <f aca="false">E92+P92</f>
        <v>-302.6322453315</v>
      </c>
      <c r="U92" s="70" t="n">
        <f aca="false">O93-2*O92+O91</f>
        <v>0.379868322273381</v>
      </c>
      <c r="V92" s="71"/>
      <c r="W92" s="67" t="n">
        <f aca="false">W91-1</f>
        <v>64</v>
      </c>
      <c r="X92" s="16" t="n">
        <f aca="false">Hedge_Far!G36</f>
        <v>20.9337743042742</v>
      </c>
      <c r="Y92" s="16" t="n">
        <f aca="false">IF(B92&gt;$C$20,-1*$H$20,(($C$20-B92)*$G$20)-$H$20)</f>
        <v>-6.93</v>
      </c>
      <c r="Z92" s="16" t="n">
        <f aca="false">Hedge_Far!G65</f>
        <v>13.9189374791208</v>
      </c>
      <c r="AA92" s="16" t="n">
        <f aca="false">IF(B92&gt;$C$21,-1*$H$21,(($C$21-B92)*$G$21)-$H$21)</f>
        <v>7.48</v>
      </c>
      <c r="AB92" s="16" t="n">
        <f aca="false">Hedge_Far!G94</f>
        <v>0</v>
      </c>
      <c r="AC92" s="16" t="n">
        <f aca="false">IF(B92&gt;$C$22,-1*$H$22,(($C$22-B92)*$G$22)-$H$22)</f>
        <v>-0</v>
      </c>
      <c r="AD92" s="16" t="n">
        <f aca="false">Hedge_Far!G123</f>
        <v>0.402831047749071</v>
      </c>
      <c r="AE92" s="16" t="n">
        <f aca="false">IF(B92&gt;$C$23,-1*$H$23,(($C$23-B92)*$G$23)-$H$23)</f>
        <v>-0.43</v>
      </c>
      <c r="AF92" s="16" t="n">
        <f aca="false">Hedge_Far!G153</f>
        <v>19.1532247762132</v>
      </c>
      <c r="AG92" s="16" t="n">
        <f aca="false">IF(B92&gt;$C$24,-1*$H$24,(($C$24-B92)*$G$24)-$H$24)</f>
        <v>15.33</v>
      </c>
      <c r="AH92" s="16" t="n">
        <f aca="false">Hedge_Far!G183</f>
        <v>0</v>
      </c>
      <c r="AI92" s="16" t="n">
        <f aca="false">IF(B92&gt;$C$25,-1*$H$25,(($C$25-B92)*$G$25)-$H$25)</f>
        <v>0</v>
      </c>
      <c r="AJ92" s="16" t="n">
        <f aca="false">Hedge_Far!G213</f>
        <v>0</v>
      </c>
      <c r="AK92" s="16" t="n">
        <f aca="false">IF(B92&gt;$C$26,-1*$H$26,(($C$26-B92)*$G$26)-$H$26)</f>
        <v>0</v>
      </c>
      <c r="AL92" s="16" t="n">
        <f aca="false">Hedge_Far!G243</f>
        <v>0</v>
      </c>
      <c r="AM92" s="16" t="n">
        <f aca="false">IF(B92&gt;$C$27,-1*$H$27,(($C$27-B92)*$G$27)-$H$27)</f>
        <v>-0</v>
      </c>
      <c r="AN92" s="16" t="n">
        <f aca="false">Hedge_Far!G273</f>
        <v>0</v>
      </c>
      <c r="AO92" s="16" t="n">
        <f aca="false">IF(B92&gt;$C$28,-1*$H$28,(($C$28-B92)*$G$28)-$H$28)</f>
        <v>-0</v>
      </c>
      <c r="AP92" s="16" t="n">
        <f aca="false">Hedge_Far!G303</f>
        <v>0</v>
      </c>
      <c r="AQ92" s="16" t="n">
        <f aca="false">IF(B92&gt;$C$29,-1*$H$29,(($C$29-B92)*$G$29)-$H$29)</f>
        <v>0</v>
      </c>
      <c r="AR92" s="2"/>
    </row>
    <row r="93" customFormat="false" ht="14.25" hidden="false" customHeight="true" outlineLevel="0" collapsed="false">
      <c r="B93" s="67" t="n">
        <f aca="false">B92-1</f>
        <v>63</v>
      </c>
      <c r="C93" s="68" t="n">
        <f aca="false">O93/$H$30</f>
        <v>4.17795100627352</v>
      </c>
      <c r="D93" s="68" t="n">
        <f aca="false">P93/$H$30</f>
        <v>1.40549828178694</v>
      </c>
      <c r="E93" s="16" t="n">
        <f aca="false">($C$2*B93)-$E$2</f>
        <v>-334.4534903315</v>
      </c>
      <c r="F93" s="69" t="n">
        <f aca="false">(E93/$E$2)</f>
        <v>-0.244869837518222</v>
      </c>
      <c r="M93" s="67" t="n">
        <f aca="false">M92-1</f>
        <v>63</v>
      </c>
      <c r="N93" s="68" t="n">
        <f aca="false">Hedge_Far!C334</f>
        <v>-6.57082033381521</v>
      </c>
      <c r="O93" s="16" t="n">
        <f aca="false">Hedge_Far!G334</f>
        <v>60.7891871412798</v>
      </c>
      <c r="P93" s="16" t="n">
        <f aca="false">Y93+AA93+AC93+AE93+AG93+AI93+AK93+AM93+AO93+AQ93</f>
        <v>20.45</v>
      </c>
      <c r="Q93" s="69" t="n">
        <f aca="false">S93/$E$2</f>
        <v>-0.200363086031204</v>
      </c>
      <c r="R93" s="69" t="n">
        <f aca="false">T93/$E$2</f>
        <v>-0.229897387470581</v>
      </c>
      <c r="S93" s="16" t="n">
        <f aca="false">E93+O93</f>
        <v>-273.66430319022</v>
      </c>
      <c r="T93" s="16" t="n">
        <f aca="false">E93+P93</f>
        <v>-314.0034903315</v>
      </c>
      <c r="U93" s="70" t="n">
        <f aca="false">O94-2*O93+O92</f>
        <v>0.380730640917363</v>
      </c>
      <c r="V93" s="71"/>
      <c r="W93" s="67" t="n">
        <f aca="false">W92-1</f>
        <v>63</v>
      </c>
      <c r="X93" s="16" t="n">
        <f aca="false">Hedge_Far!G37</f>
        <v>23.4512247310003</v>
      </c>
      <c r="Y93" s="16" t="n">
        <f aca="false">IF(B93&gt;$C$20,-1*$H$20,(($C$20-B93)*$G$20)-$H$20)</f>
        <v>-6.93</v>
      </c>
      <c r="Z93" s="16" t="n">
        <f aca="false">Hedge_Far!G66</f>
        <v>15.1898165304252</v>
      </c>
      <c r="AA93" s="16" t="n">
        <f aca="false">IF(B93&gt;$C$21,-1*$H$21,(($C$21-B93)*$G$21)-$H$21)</f>
        <v>9.48</v>
      </c>
      <c r="AB93" s="16" t="n">
        <f aca="false">Hedge_Far!G95</f>
        <v>0</v>
      </c>
      <c r="AC93" s="16" t="n">
        <f aca="false">IF(B93&gt;$C$22,-1*$H$22,(($C$22-B93)*$G$22)-$H$22)</f>
        <v>-0</v>
      </c>
      <c r="AD93" s="16" t="n">
        <f aca="false">Hedge_Far!G124</f>
        <v>0.738407710296677</v>
      </c>
      <c r="AE93" s="16" t="n">
        <f aca="false">IF(B93&gt;$C$23,-1*$H$23,(($C$23-B93)*$G$23)-$H$23)</f>
        <v>-0.43</v>
      </c>
      <c r="AF93" s="16" t="n">
        <f aca="false">Hedge_Far!G154</f>
        <v>21.4097381695576</v>
      </c>
      <c r="AG93" s="16" t="n">
        <f aca="false">IF(B93&gt;$C$24,-1*$H$24,(($C$24-B93)*$G$24)-$H$24)</f>
        <v>18.33</v>
      </c>
      <c r="AH93" s="16" t="n">
        <f aca="false">Hedge_Far!G184</f>
        <v>0</v>
      </c>
      <c r="AI93" s="16" t="n">
        <f aca="false">IF(B93&gt;$C$25,-1*$H$25,(($C$25-B93)*$G$25)-$H$25)</f>
        <v>0</v>
      </c>
      <c r="AJ93" s="16" t="n">
        <f aca="false">Hedge_Far!G214</f>
        <v>0</v>
      </c>
      <c r="AK93" s="16" t="n">
        <f aca="false">IF(B93&gt;$C$26,-1*$H$26,(($C$26-B93)*$G$26)-$H$26)</f>
        <v>0</v>
      </c>
      <c r="AL93" s="16" t="n">
        <f aca="false">Hedge_Far!G244</f>
        <v>0</v>
      </c>
      <c r="AM93" s="16" t="n">
        <f aca="false">IF(B93&gt;$C$27,-1*$H$27,(($C$27-B93)*$G$27)-$H$27)</f>
        <v>-0</v>
      </c>
      <c r="AN93" s="16" t="n">
        <f aca="false">Hedge_Far!G274</f>
        <v>0</v>
      </c>
      <c r="AO93" s="16" t="n">
        <f aca="false">IF(B93&gt;$C$28,-1*$H$28,(($C$28-B93)*$G$28)-$H$28)</f>
        <v>-0</v>
      </c>
      <c r="AP93" s="16" t="n">
        <f aca="false">Hedge_Far!G304</f>
        <v>0</v>
      </c>
      <c r="AQ93" s="16" t="n">
        <f aca="false">IF(B93&gt;$C$29,-1*$H$29,(($C$29-B93)*$G$29)-$H$29)</f>
        <v>0</v>
      </c>
      <c r="AR93" s="2"/>
    </row>
    <row r="94" customFormat="false" ht="14.25" hidden="false" customHeight="true" outlineLevel="0" collapsed="false">
      <c r="B94" s="67" t="n">
        <f aca="false">B93-1</f>
        <v>62</v>
      </c>
      <c r="C94" s="68" t="n">
        <f aca="false">O94/$H$30</f>
        <v>4.64263486708726</v>
      </c>
      <c r="D94" s="68" t="n">
        <f aca="false">P94/$H$30</f>
        <v>1.74914089347079</v>
      </c>
      <c r="E94" s="16" t="n">
        <f aca="false">($C$2*B94)-$E$2</f>
        <v>-350.8247353315</v>
      </c>
      <c r="F94" s="69" t="n">
        <f aca="false">(E94/$E$2)</f>
        <v>-0.256856030573488</v>
      </c>
      <c r="M94" s="67" t="n">
        <f aca="false">M93-1</f>
        <v>62</v>
      </c>
      <c r="N94" s="68" t="n">
        <f aca="false">Hedge_Far!C335</f>
        <v>-6.95126984753478</v>
      </c>
      <c r="O94" s="16" t="n">
        <f aca="false">Hedge_Far!G335</f>
        <v>67.5503373161197</v>
      </c>
      <c r="P94" s="16" t="n">
        <f aca="false">Y94+AA94+AC94+AE94+AG94+AI94+AK94+AM94+AO94+AQ94</f>
        <v>25.45</v>
      </c>
      <c r="Q94" s="69" t="n">
        <f aca="false">S94/$E$2</f>
        <v>-0.207399108756035</v>
      </c>
      <c r="R94" s="69" t="n">
        <f aca="false">T94/$E$2</f>
        <v>-0.238222834792928</v>
      </c>
      <c r="S94" s="16" t="n">
        <f aca="false">E94+O94</f>
        <v>-283.27439801538</v>
      </c>
      <c r="T94" s="16" t="n">
        <f aca="false">E94+P94</f>
        <v>-325.3747353315</v>
      </c>
      <c r="U94" s="70" t="n">
        <f aca="false">O95-2*O94+O93</f>
        <v>0.379481734724266</v>
      </c>
      <c r="V94" s="71"/>
      <c r="W94" s="67" t="n">
        <f aca="false">W93-1</f>
        <v>62</v>
      </c>
      <c r="X94" s="16" t="n">
        <f aca="false">Hedge_Far!G38</f>
        <v>26.1486505109173</v>
      </c>
      <c r="Y94" s="16" t="n">
        <f aca="false">IF(B94&gt;$C$20,-1*$H$20,(($C$20-B94)*$G$20)-$H$20)</f>
        <v>-6.93</v>
      </c>
      <c r="Z94" s="16" t="n">
        <f aca="false">Hedge_Far!G67</f>
        <v>16.5154612702444</v>
      </c>
      <c r="AA94" s="16" t="n">
        <f aca="false">IF(B94&gt;$C$21,-1*$H$21,(($C$21-B94)*$G$21)-$H$21)</f>
        <v>11.48</v>
      </c>
      <c r="AB94" s="16" t="n">
        <f aca="false">Hedge_Far!G96</f>
        <v>0</v>
      </c>
      <c r="AC94" s="16" t="n">
        <f aca="false">IF(B94&gt;$C$22,-1*$H$22,(($C$22-B94)*$G$22)-$H$22)</f>
        <v>-0</v>
      </c>
      <c r="AD94" s="16" t="n">
        <f aca="false">Hedge_Far!G125</f>
        <v>1.10953057622315</v>
      </c>
      <c r="AE94" s="16" t="n">
        <f aca="false">IF(B94&gt;$C$23,-1*$H$23,(($C$23-B94)*$G$23)-$H$23)</f>
        <v>-0.43</v>
      </c>
      <c r="AF94" s="16" t="n">
        <f aca="false">Hedge_Far!G155</f>
        <v>23.7766949587349</v>
      </c>
      <c r="AG94" s="16" t="n">
        <f aca="false">IF(B94&gt;$C$24,-1*$H$24,(($C$24-B94)*$G$24)-$H$24)</f>
        <v>21.33</v>
      </c>
      <c r="AH94" s="16" t="n">
        <f aca="false">Hedge_Far!G185</f>
        <v>0</v>
      </c>
      <c r="AI94" s="16" t="n">
        <f aca="false">IF(B94&gt;$C$25,-1*$H$25,(($C$25-B94)*$G$25)-$H$25)</f>
        <v>0</v>
      </c>
      <c r="AJ94" s="16" t="n">
        <f aca="false">Hedge_Far!G215</f>
        <v>0</v>
      </c>
      <c r="AK94" s="16" t="n">
        <f aca="false">IF(B94&gt;$C$26,-1*$H$26,(($C$26-B94)*$G$26)-$H$26)</f>
        <v>0</v>
      </c>
      <c r="AL94" s="16" t="n">
        <f aca="false">Hedge_Far!G245</f>
        <v>0</v>
      </c>
      <c r="AM94" s="16" t="n">
        <f aca="false">IF(B94&gt;$C$27,-1*$H$27,(($C$27-B94)*$G$27)-$H$27)</f>
        <v>-0</v>
      </c>
      <c r="AN94" s="16" t="n">
        <f aca="false">Hedge_Far!G275</f>
        <v>0</v>
      </c>
      <c r="AO94" s="16" t="n">
        <f aca="false">IF(B94&gt;$C$28,-1*$H$28,(($C$28-B94)*$G$28)-$H$28)</f>
        <v>-0</v>
      </c>
      <c r="AP94" s="16" t="n">
        <f aca="false">Hedge_Far!G305</f>
        <v>0</v>
      </c>
      <c r="AQ94" s="16" t="n">
        <f aca="false">IF(B94&gt;$C$29,-1*$H$29,(($C$29-B94)*$G$29)-$H$29)</f>
        <v>0</v>
      </c>
      <c r="AR94" s="2"/>
    </row>
    <row r="95" customFormat="false" ht="14.25" hidden="false" customHeight="true" outlineLevel="0" collapsed="false">
      <c r="B95" s="67" t="n">
        <f aca="false">B94-1</f>
        <v>61</v>
      </c>
      <c r="C95" s="68" t="n">
        <f aca="false">O95/$H$30</f>
        <v>5.13339994678239</v>
      </c>
      <c r="D95" s="68" t="n">
        <f aca="false">P95/$H$30</f>
        <v>2.09278350515464</v>
      </c>
      <c r="E95" s="16" t="n">
        <f aca="false">($C$2*B95)-$E$2</f>
        <v>-367.1959803315</v>
      </c>
      <c r="F95" s="69" t="n">
        <f aca="false">(E95/$E$2)</f>
        <v>-0.268842223628755</v>
      </c>
      <c r="M95" s="67" t="n">
        <f aca="false">M94-1</f>
        <v>61</v>
      </c>
      <c r="N95" s="68" t="n">
        <f aca="false">Hedge_Far!C336</f>
        <v>-7.32945122539877</v>
      </c>
      <c r="O95" s="16" t="n">
        <f aca="false">Hedge_Far!G336</f>
        <v>74.6909692256838</v>
      </c>
      <c r="P95" s="16" t="n">
        <f aca="false">Y95+AA95+AC95+AE95+AG95+AI95+AK95+AM95+AO95+AQ95</f>
        <v>30.45</v>
      </c>
      <c r="Q95" s="69" t="n">
        <f aca="false">S95/$E$2</f>
        <v>-0.214157294252644</v>
      </c>
      <c r="R95" s="69" t="n">
        <f aca="false">T95/$E$2</f>
        <v>-0.246548282115274</v>
      </c>
      <c r="S95" s="16" t="n">
        <f aca="false">E95+O95</f>
        <v>-292.505011105816</v>
      </c>
      <c r="T95" s="16" t="n">
        <f aca="false">E95+P95</f>
        <v>-336.7459803315</v>
      </c>
      <c r="U95" s="70" t="n">
        <f aca="false">O96-2*O95+O94</f>
        <v>0.376240953718451</v>
      </c>
      <c r="V95" s="71"/>
      <c r="W95" s="67" t="n">
        <f aca="false">W94-1</f>
        <v>61</v>
      </c>
      <c r="X95" s="16" t="n">
        <f aca="false">Hedge_Far!G39</f>
        <v>29.0326351339693</v>
      </c>
      <c r="Y95" s="16" t="n">
        <f aca="false">IF(B95&gt;$C$20,-1*$H$20,(($C$20-B95)*$G$20)-$H$20)</f>
        <v>-6.93</v>
      </c>
      <c r="Z95" s="16" t="n">
        <f aca="false">Hedge_Far!G68</f>
        <v>17.8950389532152</v>
      </c>
      <c r="AA95" s="16" t="n">
        <f aca="false">IF(B95&gt;$C$21,-1*$H$21,(($C$21-B95)*$G$21)-$H$21)</f>
        <v>13.48</v>
      </c>
      <c r="AB95" s="16" t="n">
        <f aca="false">Hedge_Far!G97</f>
        <v>0</v>
      </c>
      <c r="AC95" s="16" t="n">
        <f aca="false">IF(B95&gt;$C$22,-1*$H$22,(($C$22-B95)*$G$22)-$H$22)</f>
        <v>-0</v>
      </c>
      <c r="AD95" s="16" t="n">
        <f aca="false">Hedge_Far!G126</f>
        <v>1.51793359797389</v>
      </c>
      <c r="AE95" s="16" t="n">
        <f aca="false">IF(B95&gt;$C$23,-1*$H$23,(($C$23-B95)*$G$23)-$H$23)</f>
        <v>-0.43</v>
      </c>
      <c r="AF95" s="16" t="n">
        <f aca="false">Hedge_Far!G156</f>
        <v>26.2453615405254</v>
      </c>
      <c r="AG95" s="16" t="n">
        <f aca="false">IF(B95&gt;$C$24,-1*$H$24,(($C$24-B95)*$G$24)-$H$24)</f>
        <v>24.33</v>
      </c>
      <c r="AH95" s="16" t="n">
        <f aca="false">Hedge_Far!G186</f>
        <v>0</v>
      </c>
      <c r="AI95" s="16" t="n">
        <f aca="false">IF(B95&gt;$C$25,-1*$H$25,(($C$25-B95)*$G$25)-$H$25)</f>
        <v>0</v>
      </c>
      <c r="AJ95" s="16" t="n">
        <f aca="false">Hedge_Far!G216</f>
        <v>0</v>
      </c>
      <c r="AK95" s="16" t="n">
        <f aca="false">IF(B95&gt;$C$26,-1*$H$26,(($C$26-B95)*$G$26)-$H$26)</f>
        <v>0</v>
      </c>
      <c r="AL95" s="16" t="n">
        <f aca="false">Hedge_Far!G246</f>
        <v>0</v>
      </c>
      <c r="AM95" s="16" t="n">
        <f aca="false">IF(B95&gt;$C$27,-1*$H$27,(($C$27-B95)*$G$27)-$H$27)</f>
        <v>-0</v>
      </c>
      <c r="AN95" s="16" t="n">
        <f aca="false">Hedge_Far!G276</f>
        <v>0</v>
      </c>
      <c r="AO95" s="16" t="n">
        <f aca="false">IF(B95&gt;$C$28,-1*$H$28,(($C$28-B95)*$G$28)-$H$28)</f>
        <v>-0</v>
      </c>
      <c r="AP95" s="16" t="n">
        <f aca="false">Hedge_Far!G306</f>
        <v>0</v>
      </c>
      <c r="AQ95" s="16" t="n">
        <f aca="false">IF(B95&gt;$C$29,-1*$H$29,(($C$29-B95)*$G$29)-$H$29)</f>
        <v>0</v>
      </c>
      <c r="AR95" s="2"/>
    </row>
    <row r="96" customFormat="false" ht="14.25" hidden="false" customHeight="true" outlineLevel="0" collapsed="false">
      <c r="B96" s="67" t="n">
        <f aca="false">B95-1</f>
        <v>60</v>
      </c>
      <c r="C96" s="68" t="n">
        <f aca="false">O96/$H$30</f>
        <v>5.65002351126917</v>
      </c>
      <c r="D96" s="68" t="n">
        <f aca="false">P96/$H$30</f>
        <v>2.43642611683849</v>
      </c>
      <c r="E96" s="16" t="n">
        <f aca="false">($C$2*B96)-$E$2</f>
        <v>-383.5672253315</v>
      </c>
      <c r="F96" s="69" t="n">
        <f aca="false">(E96/$E$2)</f>
        <v>-0.280828416684021</v>
      </c>
      <c r="M96" s="67" t="n">
        <f aca="false">M95-1</f>
        <v>60</v>
      </c>
      <c r="N96" s="68" t="n">
        <f aca="false">Hedge_Far!C337</f>
        <v>-7.70344523593442</v>
      </c>
      <c r="O96" s="16" t="n">
        <f aca="false">Hedge_Far!G337</f>
        <v>82.2078420889664</v>
      </c>
      <c r="P96" s="16" t="n">
        <f aca="false">Y96+AA96+AC96+AE96+AG96+AI96+AK96+AM96+AO96+AQ96</f>
        <v>35.45</v>
      </c>
      <c r="Q96" s="69" t="n">
        <f aca="false">S96/$E$2</f>
        <v>-0.220640015256078</v>
      </c>
      <c r="R96" s="69" t="n">
        <f aca="false">T96/$E$2</f>
        <v>-0.254873729437621</v>
      </c>
      <c r="S96" s="16" t="n">
        <f aca="false">E96+O96</f>
        <v>-301.359383242533</v>
      </c>
      <c r="T96" s="16" t="n">
        <f aca="false">E96+P96</f>
        <v>-348.1172253315</v>
      </c>
      <c r="U96" s="70" t="n">
        <f aca="false">O97-2*O96+O95</f>
        <v>0.371163242717856</v>
      </c>
      <c r="V96" s="71"/>
      <c r="W96" s="67" t="n">
        <f aca="false">W95-1</f>
        <v>60</v>
      </c>
      <c r="X96" s="16" t="n">
        <f aca="false">Hedge_Far!G40</f>
        <v>32.1091877485418</v>
      </c>
      <c r="Y96" s="16" t="n">
        <f aca="false">IF(B96&gt;$C$20,-1*$H$20,(($C$20-B96)*$G$20)-$H$20)</f>
        <v>-6.93</v>
      </c>
      <c r="Z96" s="16" t="n">
        <f aca="false">Hedge_Far!G69</f>
        <v>19.3274155284393</v>
      </c>
      <c r="AA96" s="16" t="n">
        <f aca="false">IF(B96&gt;$C$21,-1*$H$21,(($C$21-B96)*$G$21)-$H$21)</f>
        <v>15.48</v>
      </c>
      <c r="AB96" s="16" t="n">
        <f aca="false">Hedge_Far!G98</f>
        <v>0</v>
      </c>
      <c r="AC96" s="16" t="n">
        <f aca="false">IF(B96&gt;$C$22,-1*$H$22,(($C$22-B96)*$G$22)-$H$22)</f>
        <v>0</v>
      </c>
      <c r="AD96" s="16" t="n">
        <f aca="false">Hedge_Far!G127</f>
        <v>1.9650945683543</v>
      </c>
      <c r="AE96" s="16" t="n">
        <f aca="false">IF(B96&gt;$C$23,-1*$H$23,(($C$23-B96)*$G$23)-$H$23)</f>
        <v>-0.43</v>
      </c>
      <c r="AF96" s="16" t="n">
        <f aca="false">Hedge_Far!G157</f>
        <v>28.8061442436311</v>
      </c>
      <c r="AG96" s="16" t="n">
        <f aca="false">IF(B96&gt;$C$24,-1*$H$24,(($C$24-B96)*$G$24)-$H$24)</f>
        <v>27.33</v>
      </c>
      <c r="AH96" s="16" t="n">
        <f aca="false">Hedge_Far!G187</f>
        <v>0</v>
      </c>
      <c r="AI96" s="16" t="n">
        <f aca="false">IF(B96&gt;$C$25,-1*$H$25,(($C$25-B96)*$G$25)-$H$25)</f>
        <v>0</v>
      </c>
      <c r="AJ96" s="16" t="n">
        <f aca="false">Hedge_Far!G217</f>
        <v>0</v>
      </c>
      <c r="AK96" s="16" t="n">
        <f aca="false">IF(B96&gt;$C$26,-1*$H$26,(($C$26-B96)*$G$26)-$H$26)</f>
        <v>0</v>
      </c>
      <c r="AL96" s="16" t="n">
        <f aca="false">Hedge_Far!G247</f>
        <v>0</v>
      </c>
      <c r="AM96" s="16" t="n">
        <f aca="false">IF(B96&gt;$C$27,-1*$H$27,(($C$27-B96)*$G$27)-$H$27)</f>
        <v>0</v>
      </c>
      <c r="AN96" s="16" t="n">
        <f aca="false">Hedge_Far!G277</f>
        <v>0</v>
      </c>
      <c r="AO96" s="16" t="n">
        <f aca="false">IF(B96&gt;$C$28,-1*$H$28,(($C$28-B96)*$G$28)-$H$28)</f>
        <v>0</v>
      </c>
      <c r="AP96" s="16" t="n">
        <f aca="false">Hedge_Far!G307</f>
        <v>0</v>
      </c>
      <c r="AQ96" s="16" t="n">
        <f aca="false">IF(B96&gt;$C$29,-1*$H$29,(($C$29-B96)*$G$29)-$H$29)</f>
        <v>0</v>
      </c>
      <c r="AR96" s="2"/>
    </row>
    <row r="97" customFormat="false" ht="14.25" hidden="false" customHeight="true" outlineLevel="0" collapsed="false">
      <c r="B97" s="67" t="n">
        <f aca="false">B96-1</f>
        <v>59</v>
      </c>
      <c r="C97" s="68" t="n">
        <f aca="false">O97/$H$30</f>
        <v>6.19215657697367</v>
      </c>
      <c r="D97" s="68" t="n">
        <f aca="false">P97/$H$30</f>
        <v>3.3298969072165</v>
      </c>
      <c r="E97" s="16" t="n">
        <f aca="false">($C$2*B97)-$E$2</f>
        <v>-399.9384703315</v>
      </c>
      <c r="F97" s="69" t="n">
        <f aca="false">(E97/$E$2)</f>
        <v>-0.292814609739287</v>
      </c>
      <c r="M97" s="67" t="n">
        <f aca="false">M96-1</f>
        <v>59</v>
      </c>
      <c r="N97" s="68" t="n">
        <f aca="false">Hedge_Far!C338</f>
        <v>-8.07150088520972</v>
      </c>
      <c r="O97" s="16" t="n">
        <f aca="false">Hedge_Far!G338</f>
        <v>90.0958781949669</v>
      </c>
      <c r="P97" s="16" t="n">
        <f aca="false">Y97+AA97+AC97+AE97+AG97+AI97+AK97+AM97+AO97+AQ97</f>
        <v>48.45</v>
      </c>
      <c r="Q97" s="69" t="n">
        <f aca="false">S97/$E$2</f>
        <v>-0.226850989408113</v>
      </c>
      <c r="R97" s="69" t="n">
        <f aca="false">T97/$E$2</f>
        <v>-0.257341983587296</v>
      </c>
      <c r="S97" s="16" t="n">
        <f aca="false">E97+O97</f>
        <v>-309.842592136533</v>
      </c>
      <c r="T97" s="16" t="n">
        <f aca="false">E97+P97</f>
        <v>-351.4884703315</v>
      </c>
      <c r="U97" s="70" t="n">
        <f aca="false">O98-2*O97+O96</f>
        <v>0.364425274408262</v>
      </c>
      <c r="V97" s="71"/>
      <c r="W97" s="67" t="n">
        <f aca="false">W96-1</f>
        <v>59</v>
      </c>
      <c r="X97" s="16" t="n">
        <f aca="false">Hedge_Far!G41</f>
        <v>35.3836297408405</v>
      </c>
      <c r="Y97" s="16" t="n">
        <f aca="false">IF(B97&gt;$C$20,-1*$H$20,(($C$20-B97)*$G$20)-$H$20)</f>
        <v>0.0700000000000003</v>
      </c>
      <c r="Z97" s="16" t="n">
        <f aca="false">Hedge_Far!G70</f>
        <v>20.8111603375322</v>
      </c>
      <c r="AA97" s="16" t="n">
        <f aca="false">IF(B97&gt;$C$21,-1*$H$21,(($C$21-B97)*$G$21)-$H$21)</f>
        <v>17.48</v>
      </c>
      <c r="AB97" s="16" t="n">
        <f aca="false">Hedge_Far!G99</f>
        <v>0</v>
      </c>
      <c r="AC97" s="16" t="n">
        <f aca="false">IF(B97&gt;$C$22,-1*$H$22,(($C$22-B97)*$G$22)-$H$22)</f>
        <v>0</v>
      </c>
      <c r="AD97" s="16" t="n">
        <f aca="false">Hedge_Far!G128</f>
        <v>2.4521808515085</v>
      </c>
      <c r="AE97" s="16" t="n">
        <f aca="false">IF(B97&gt;$C$23,-1*$H$23,(($C$23-B97)*$G$23)-$H$23)</f>
        <v>0.57</v>
      </c>
      <c r="AF97" s="16" t="n">
        <f aca="false">Hedge_Far!G158</f>
        <v>31.4489072650857</v>
      </c>
      <c r="AG97" s="16" t="n">
        <f aca="false">IF(B97&gt;$C$24,-1*$H$24,(($C$24-B97)*$G$24)-$H$24)</f>
        <v>30.33</v>
      </c>
      <c r="AH97" s="16" t="n">
        <f aca="false">Hedge_Far!G188</f>
        <v>0</v>
      </c>
      <c r="AI97" s="16" t="n">
        <f aca="false">IF(B97&gt;$C$25,-1*$H$25,(($C$25-B97)*$G$25)-$H$25)</f>
        <v>0</v>
      </c>
      <c r="AJ97" s="16" t="n">
        <f aca="false">Hedge_Far!G218</f>
        <v>0</v>
      </c>
      <c r="AK97" s="16" t="n">
        <f aca="false">IF(B97&gt;$C$26,-1*$H$26,(($C$26-B97)*$G$26)-$H$26)</f>
        <v>0</v>
      </c>
      <c r="AL97" s="16" t="n">
        <f aca="false">Hedge_Far!G248</f>
        <v>0</v>
      </c>
      <c r="AM97" s="16" t="n">
        <f aca="false">IF(B97&gt;$C$27,-1*$H$27,(($C$27-B97)*$G$27)-$H$27)</f>
        <v>0</v>
      </c>
      <c r="AN97" s="16" t="n">
        <f aca="false">Hedge_Far!G278</f>
        <v>0</v>
      </c>
      <c r="AO97" s="16" t="n">
        <f aca="false">IF(B97&gt;$C$28,-1*$H$28,(($C$28-B97)*$G$28)-$H$28)</f>
        <v>0</v>
      </c>
      <c r="AP97" s="16" t="n">
        <f aca="false">Hedge_Far!G308</f>
        <v>0</v>
      </c>
      <c r="AQ97" s="16" t="n">
        <f aca="false">IF(B97&gt;$C$29,-1*$H$29,(($C$29-B97)*$G$29)-$H$29)</f>
        <v>0</v>
      </c>
      <c r="AR97" s="2"/>
    </row>
    <row r="98" customFormat="false" ht="14.25" hidden="false" customHeight="true" outlineLevel="0" collapsed="false">
      <c r="B98" s="67" t="n">
        <f aca="false">B97-1</f>
        <v>58</v>
      </c>
      <c r="C98" s="68" t="n">
        <f aca="false">O98/$H$30</f>
        <v>6.75933605329042</v>
      </c>
      <c r="D98" s="68" t="n">
        <f aca="false">P98/$H$30</f>
        <v>4.2233676975945</v>
      </c>
      <c r="E98" s="16" t="n">
        <f aca="false">($C$2*B98)-$E$2</f>
        <v>-416.3097153315</v>
      </c>
      <c r="F98" s="69" t="n">
        <f aca="false">(E98/$E$2)</f>
        <v>-0.304800802794554</v>
      </c>
      <c r="M98" s="67" t="n">
        <f aca="false">M97-1</f>
        <v>58</v>
      </c>
      <c r="N98" s="68" t="n">
        <f aca="false">Hedge_Far!C339</f>
        <v>-8.43204981961268</v>
      </c>
      <c r="O98" s="16" t="n">
        <f aca="false">Hedge_Far!G339</f>
        <v>98.3483395753756</v>
      </c>
      <c r="P98" s="16" t="n">
        <f aca="false">Y98+AA98+AC98+AE98+AG98+AI98+AK98+AM98+AO98+AQ98</f>
        <v>61.45</v>
      </c>
      <c r="Q98" s="69" t="n">
        <f aca="false">S98/$E$2</f>
        <v>-0.232795149906497</v>
      </c>
      <c r="R98" s="69" t="n">
        <f aca="false">T98/$E$2</f>
        <v>-0.259810237736972</v>
      </c>
      <c r="S98" s="16" t="n">
        <f aca="false">E98+O98</f>
        <v>-317.961375756124</v>
      </c>
      <c r="T98" s="16" t="n">
        <f aca="false">E98+P98</f>
        <v>-354.8597153315</v>
      </c>
      <c r="U98" s="70" t="n">
        <f aca="false">O99-2*O98+O97</f>
        <v>0.356210812426738</v>
      </c>
      <c r="V98" s="71"/>
      <c r="W98" s="67" t="n">
        <f aca="false">W97-1</f>
        <v>58</v>
      </c>
      <c r="X98" s="16" t="n">
        <f aca="false">Hedge_Far!G42</f>
        <v>38.860480668811</v>
      </c>
      <c r="Y98" s="16" t="n">
        <f aca="false">IF(B98&gt;$C$20,-1*$H$20,(($C$20-B98)*$G$20)-$H$20)</f>
        <v>7.07</v>
      </c>
      <c r="Z98" s="16" t="n">
        <f aca="false">Hedge_Far!G71</f>
        <v>22.3445563621566</v>
      </c>
      <c r="AA98" s="16" t="n">
        <f aca="false">IF(B98&gt;$C$21,-1*$H$21,(($C$21-B98)*$G$21)-$H$21)</f>
        <v>19.48</v>
      </c>
      <c r="AB98" s="16" t="n">
        <f aca="false">Hedge_Far!G100</f>
        <v>0</v>
      </c>
      <c r="AC98" s="16" t="n">
        <f aca="false">IF(B98&gt;$C$22,-1*$H$22,(($C$22-B98)*$G$22)-$H$22)</f>
        <v>0</v>
      </c>
      <c r="AD98" s="16" t="n">
        <f aca="false">Hedge_Far!G129</f>
        <v>2.97999899178206</v>
      </c>
      <c r="AE98" s="16" t="n">
        <f aca="false">IF(B98&gt;$C$23,-1*$H$23,(($C$23-B98)*$G$23)-$H$23)</f>
        <v>1.57</v>
      </c>
      <c r="AF98" s="16" t="n">
        <f aca="false">Hedge_Far!G159</f>
        <v>34.163303552626</v>
      </c>
      <c r="AG98" s="16" t="n">
        <f aca="false">IF(B98&gt;$C$24,-1*$H$24,(($C$24-B98)*$G$24)-$H$24)</f>
        <v>33.33</v>
      </c>
      <c r="AH98" s="16" t="n">
        <f aca="false">Hedge_Far!G189</f>
        <v>0</v>
      </c>
      <c r="AI98" s="16" t="n">
        <f aca="false">IF(B98&gt;$C$25,-1*$H$25,(($C$25-B98)*$G$25)-$H$25)</f>
        <v>0</v>
      </c>
      <c r="AJ98" s="16" t="n">
        <f aca="false">Hedge_Far!G219</f>
        <v>0</v>
      </c>
      <c r="AK98" s="16" t="n">
        <f aca="false">IF(B98&gt;$C$26,-1*$H$26,(($C$26-B98)*$G$26)-$H$26)</f>
        <v>0</v>
      </c>
      <c r="AL98" s="16" t="n">
        <f aca="false">Hedge_Far!G249</f>
        <v>0</v>
      </c>
      <c r="AM98" s="16" t="n">
        <f aca="false">IF(B98&gt;$C$27,-1*$H$27,(($C$27-B98)*$G$27)-$H$27)</f>
        <v>0</v>
      </c>
      <c r="AN98" s="16" t="n">
        <f aca="false">Hedge_Far!G279</f>
        <v>0</v>
      </c>
      <c r="AO98" s="16" t="n">
        <f aca="false">IF(B98&gt;$C$28,-1*$H$28,(($C$28-B98)*$G$28)-$H$28)</f>
        <v>0</v>
      </c>
      <c r="AP98" s="16" t="n">
        <f aca="false">Hedge_Far!G309</f>
        <v>0</v>
      </c>
      <c r="AQ98" s="16" t="n">
        <f aca="false">IF(B98&gt;$C$29,-1*$H$29,(($C$29-B98)*$G$29)-$H$29)</f>
        <v>0</v>
      </c>
      <c r="AR98" s="2"/>
    </row>
    <row r="99" customFormat="false" ht="14.25" hidden="false" customHeight="true" outlineLevel="0" collapsed="false">
      <c r="B99" s="67" t="n">
        <f aca="false">B98-1</f>
        <v>57</v>
      </c>
      <c r="C99" s="68" t="n">
        <f aca="false">O99/$H$30</f>
        <v>7.35099737238564</v>
      </c>
      <c r="D99" s="68" t="n">
        <f aca="false">P99/$H$30</f>
        <v>5.11683848797251</v>
      </c>
      <c r="E99" s="16" t="n">
        <f aca="false">($C$2*B99)-$E$2</f>
        <v>-432.6809603315</v>
      </c>
      <c r="F99" s="69" t="n">
        <f aca="false">(E99/$E$2)</f>
        <v>-0.31678699584982</v>
      </c>
      <c r="M99" s="67" t="n">
        <f aca="false">M98-1</f>
        <v>57</v>
      </c>
      <c r="N99" s="68" t="n">
        <f aca="false">Hedge_Far!C340</f>
        <v>-8.783706252227</v>
      </c>
      <c r="O99" s="16" t="n">
        <f aca="false">Hedge_Far!G340</f>
        <v>106.957011768211</v>
      </c>
      <c r="P99" s="16" t="n">
        <f aca="false">Y99+AA99+AC99+AE99+AG99+AI99+AK99+AM99+AO99+AQ99</f>
        <v>74.45</v>
      </c>
      <c r="Q99" s="69" t="n">
        <f aca="false">S99/$E$2</f>
        <v>-0.238478510962558</v>
      </c>
      <c r="R99" s="69" t="n">
        <f aca="false">T99/$E$2</f>
        <v>-0.262278491886647</v>
      </c>
      <c r="S99" s="16" t="n">
        <f aca="false">E99+O99</f>
        <v>-325.723948563289</v>
      </c>
      <c r="T99" s="16" t="n">
        <f aca="false">E99+P99</f>
        <v>-358.2309603315</v>
      </c>
      <c r="U99" s="15"/>
      <c r="W99" s="67" t="n">
        <f aca="false">W98-1</f>
        <v>57</v>
      </c>
      <c r="X99" s="16" t="n">
        <f aca="false">Hedge_Far!G43</f>
        <v>42.5433461744824</v>
      </c>
      <c r="Y99" s="16" t="n">
        <f aca="false">IF(B99&gt;$C$20,-1*$H$20,(($C$20-B99)*$G$20)-$H$20)</f>
        <v>14.07</v>
      </c>
      <c r="Z99" s="16" t="n">
        <f aca="false">Hedge_Far!G72</f>
        <v>23.9256161738461</v>
      </c>
      <c r="AA99" s="16" t="n">
        <f aca="false">IF(B99&gt;$C$21,-1*$H$21,(($C$21-B99)*$G$21)-$H$21)</f>
        <v>21.48</v>
      </c>
      <c r="AB99" s="16" t="n">
        <f aca="false">Hedge_Far!G101</f>
        <v>0</v>
      </c>
      <c r="AC99" s="16" t="n">
        <f aca="false">IF(B99&gt;$C$22,-1*$H$22,(($C$22-B99)*$G$22)-$H$22)</f>
        <v>0</v>
      </c>
      <c r="AD99" s="16" t="n">
        <f aca="false">Hedge_Far!G130</f>
        <v>3.5489509768711</v>
      </c>
      <c r="AE99" s="16" t="n">
        <f aca="false">IF(B99&gt;$C$23,-1*$H$23,(($C$23-B99)*$G$23)-$H$23)</f>
        <v>2.57</v>
      </c>
      <c r="AF99" s="16" t="n">
        <f aca="false">Hedge_Far!G160</f>
        <v>36.9390984430114</v>
      </c>
      <c r="AG99" s="16" t="n">
        <f aca="false">IF(B99&gt;$C$24,-1*$H$24,(($C$24-B99)*$G$24)-$H$24)</f>
        <v>36.33</v>
      </c>
      <c r="AH99" s="16" t="n">
        <f aca="false">Hedge_Far!G190</f>
        <v>0</v>
      </c>
      <c r="AI99" s="16" t="n">
        <f aca="false">IF(B99&gt;$C$25,-1*$H$25,(($C$25-B99)*$G$25)-$H$25)</f>
        <v>0</v>
      </c>
      <c r="AJ99" s="16" t="n">
        <f aca="false">Hedge_Far!G220</f>
        <v>0</v>
      </c>
      <c r="AK99" s="16" t="n">
        <f aca="false">IF(B99&gt;$C$26,-1*$H$26,(($C$26-B99)*$G$26)-$H$26)</f>
        <v>0</v>
      </c>
      <c r="AL99" s="16" t="n">
        <f aca="false">Hedge_Far!G250</f>
        <v>0</v>
      </c>
      <c r="AM99" s="16" t="n">
        <f aca="false">IF(B99&gt;$C$27,-1*$H$27,(($C$27-B99)*$G$27)-$H$27)</f>
        <v>0</v>
      </c>
      <c r="AN99" s="16" t="n">
        <f aca="false">Hedge_Far!G280</f>
        <v>0</v>
      </c>
      <c r="AO99" s="16" t="n">
        <f aca="false">IF(B99&gt;$C$28,-1*$H$28,(($C$28-B99)*$G$28)-$H$28)</f>
        <v>0</v>
      </c>
      <c r="AP99" s="16" t="n">
        <f aca="false">Hedge_Far!G310</f>
        <v>0</v>
      </c>
      <c r="AQ99" s="16" t="n">
        <f aca="false">IF(B99&gt;$C$29,-1*$H$29,(($C$29-B99)*$G$29)-$H$29)</f>
        <v>0</v>
      </c>
      <c r="AR99" s="2"/>
    </row>
    <row r="100" customFormat="false" ht="14.2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1:F71"/>
    <mergeCell ref="M71:T71"/>
    <mergeCell ref="X71:Y71"/>
    <mergeCell ref="Z71:AA71"/>
    <mergeCell ref="AB71:AC71"/>
    <mergeCell ref="AD71:AE71"/>
    <mergeCell ref="AF71:AG71"/>
    <mergeCell ref="AH71:AI71"/>
    <mergeCell ref="AJ71:AK71"/>
    <mergeCell ref="AL71:AM71"/>
    <mergeCell ref="AN71:AO71"/>
    <mergeCell ref="AP71:AQ7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40"/>
  <sheetViews>
    <sheetView showFormulas="false" showGridLines="true" showRowColHeaders="true" showZeros="true" rightToLeft="false" tabSelected="false" showOutlineSymbols="true" defaultGridColor="true" view="normal" topLeftCell="A250" colorId="64" zoomScale="100" zoomScaleNormal="100" zoomScalePageLayoutView="100" workbookViewId="0">
      <selection pane="topLeft" activeCell="P2" activeCellId="0" sqref="P2"/>
    </sheetView>
  </sheetViews>
  <sheetFormatPr defaultColWidth="11.53515625" defaultRowHeight="13.5" zeroHeight="false" outlineLevelRow="0" outlineLevelCol="0"/>
  <cols>
    <col collapsed="false" customWidth="true" hidden="false" outlineLevel="0" max="1" min="1" style="2" width="23.97"/>
    <col collapsed="false" customWidth="true" hidden="false" outlineLevel="0" max="13" min="13" style="2" width="19.73"/>
  </cols>
  <sheetData>
    <row r="1" customFormat="false" ht="15" hidden="false" customHeight="true" outlineLevel="0" collapsed="false">
      <c r="A1" s="19" t="s">
        <v>0</v>
      </c>
      <c r="B1" s="19" t="s">
        <v>12</v>
      </c>
      <c r="C1" s="19" t="s">
        <v>13</v>
      </c>
      <c r="D1" s="19" t="s">
        <v>14</v>
      </c>
      <c r="E1" s="19" t="s">
        <v>15</v>
      </c>
      <c r="F1" s="19" t="s">
        <v>16</v>
      </c>
      <c r="G1" s="19" t="s">
        <v>17</v>
      </c>
      <c r="H1" s="19" t="s">
        <v>18</v>
      </c>
      <c r="I1" s="19" t="s">
        <v>19</v>
      </c>
      <c r="J1" s="19" t="s">
        <v>20</v>
      </c>
      <c r="K1" s="19" t="s">
        <v>21</v>
      </c>
      <c r="L1" s="19" t="s">
        <v>22</v>
      </c>
      <c r="M1" s="19" t="s">
        <v>23</v>
      </c>
      <c r="N1" s="19" t="s">
        <v>151</v>
      </c>
      <c r="O1" s="19" t="s">
        <v>152</v>
      </c>
      <c r="P1" s="19" t="s">
        <v>153</v>
      </c>
      <c r="R1" s="2" t="s">
        <v>154</v>
      </c>
      <c r="S1" s="2" t="s">
        <v>155</v>
      </c>
    </row>
    <row r="2" customFormat="false" ht="13.5" hidden="false" customHeight="true" outlineLevel="0" collapsed="false">
      <c r="A2" s="2" t="str">
        <f aca="false">MID_laeyr!B23</f>
        <v>SOL-1MAY26-72-P-USDT</v>
      </c>
      <c r="B2" s="2" t="n">
        <f aca="false">VLOOKUP(A2,OptionBoard!$A$2:$M$86,2,FALSE())</f>
        <v>72</v>
      </c>
      <c r="C2" s="2" t="n">
        <f aca="false">VLOOKUP(A2,OptionBoard!$A$2:$M$86,3,0)</f>
        <v>-0.08120607</v>
      </c>
      <c r="D2" s="2" t="n">
        <f aca="false">VLOOKUP(A2,OptionBoard!$A$2:$M$86,4,0)</f>
        <v>0.01366986</v>
      </c>
      <c r="E2" s="2" t="n">
        <f aca="false">VLOOKUP(A2,OptionBoard!$A$2:$M$86,5,0)</f>
        <v>0.02311023</v>
      </c>
      <c r="F2" s="2" t="n">
        <f aca="false">VLOOKUP(A2,OptionBoard!$A$2:$M$86,6,0)</f>
        <v>-0.07005112</v>
      </c>
      <c r="G2" s="2" t="n">
        <f aca="false">VLOOKUP(A2,MID_laeyr!$B$9:$H$19,7,0)</f>
        <v>1.4</v>
      </c>
      <c r="H2" s="2" t="n">
        <f aca="false">VLOOKUP(A2,OptionBoard!$A$2:$M$86,8,0)</f>
        <v>0.7157</v>
      </c>
      <c r="I2" s="2" t="n">
        <f aca="false">VLOOKUP(A2,OptionBoard!$A$2:$M$86,9,0)</f>
        <v>11</v>
      </c>
      <c r="J2" s="2" t="n">
        <f aca="false">VLOOKUP(A2,OptionBoard!$A$2:$M$86,10,0)</f>
        <v>0.0301369863013699</v>
      </c>
      <c r="K2" s="2" t="str">
        <f aca="false">VLOOKUP(A2,OptionBoard!$A$2:$M$86,11,FALSE())</f>
        <v>PUT</v>
      </c>
      <c r="L2" s="2" t="n">
        <f aca="false">VLOOKUP(A2,OptionBoard!$A$2:$M$86,12,0)</f>
        <v>85.58</v>
      </c>
      <c r="M2" s="2" t="n">
        <f aca="false">VLOOKUP(A2,OptionBoard!$A$2:$M$86,13,0)</f>
        <v>0.0389082645454546</v>
      </c>
      <c r="N2" s="20" t="n">
        <f aca="false">G2*P2</f>
        <v>0</v>
      </c>
      <c r="O2" s="21" t="s">
        <v>156</v>
      </c>
      <c r="P2" s="21" t="n">
        <f aca="false">MID_laeyr!G23</f>
        <v>0</v>
      </c>
      <c r="R2" s="2" t="n">
        <f aca="false">G2</f>
        <v>1.4</v>
      </c>
      <c r="S2" s="2" t="n">
        <f aca="false">VLOOKUP(A2,OptionBoard!$A$2:$G$93,7,FALSE())</f>
        <v>0.42799091</v>
      </c>
      <c r="U2" s="2" t="n">
        <f aca="false">R2-S2</f>
        <v>0.97200909</v>
      </c>
    </row>
    <row r="3" customFormat="false" ht="13.5" hidden="false" customHeight="true" outlineLevel="0" collapsed="false">
      <c r="A3" s="2" t="str">
        <f aca="false">MID_laeyr!B24</f>
        <v>SOL-1MAY26-74-P-USDT</v>
      </c>
      <c r="B3" s="2" t="n">
        <f aca="false">VLOOKUP(A3,OptionBoard!$A$2:$M$86,2,FALSE())</f>
        <v>74</v>
      </c>
      <c r="C3" s="2" t="n">
        <f aca="false">VLOOKUP(A3,OptionBoard!$A$2:$M$86,3,0)</f>
        <v>-0.1081426</v>
      </c>
      <c r="D3" s="2" t="n">
        <f aca="false">VLOOKUP(A3,OptionBoard!$A$2:$M$86,4,0)</f>
        <v>0.01772316</v>
      </c>
      <c r="E3" s="2" t="n">
        <f aca="false">VLOOKUP(A3,OptionBoard!$A$2:$M$86,5,0)</f>
        <v>0.02855013</v>
      </c>
      <c r="F3" s="2" t="n">
        <f aca="false">VLOOKUP(A3,OptionBoard!$A$2:$M$86,6,0)</f>
        <v>-0.08246046</v>
      </c>
      <c r="G3" s="2" t="n">
        <f aca="false">VLOOKUP(A3,MID_laeyr!$B$9:$H$19,7,0)</f>
        <v>1.69</v>
      </c>
      <c r="H3" s="2" t="n">
        <f aca="false">VLOOKUP(A3,OptionBoard!$A$2:$M$86,8,0)</f>
        <v>0.6819</v>
      </c>
      <c r="I3" s="2" t="n">
        <f aca="false">VLOOKUP(A3,OptionBoard!$A$2:$M$86,9,0)</f>
        <v>11</v>
      </c>
      <c r="J3" s="2" t="n">
        <f aca="false">VLOOKUP(A3,OptionBoard!$A$2:$M$86,10,0)</f>
        <v>0.0301369863013699</v>
      </c>
      <c r="K3" s="2" t="str">
        <f aca="false">VLOOKUP(A3,OptionBoard!$A$2:$M$86,11,FALSE())</f>
        <v>PUT</v>
      </c>
      <c r="L3" s="2" t="n">
        <f aca="false">VLOOKUP(A3,OptionBoard!$A$2:$M$86,12,0)</f>
        <v>85.58</v>
      </c>
      <c r="M3" s="2" t="n">
        <f aca="false">VLOOKUP(A3,OptionBoard!$A$2:$M$86,13,0)</f>
        <v>0.0522596309090909</v>
      </c>
      <c r="N3" s="20" t="n">
        <f aca="false">G3*P3</f>
        <v>5.07</v>
      </c>
      <c r="O3" s="21" t="s">
        <v>156</v>
      </c>
      <c r="P3" s="21" t="n">
        <f aca="false">MID_laeyr!G24</f>
        <v>3</v>
      </c>
      <c r="R3" s="2" t="n">
        <f aca="false">G3</f>
        <v>1.69</v>
      </c>
      <c r="S3" s="2" t="n">
        <f aca="false">VLOOKUP(A3,OptionBoard!$A$2:$G$93,7,FALSE())</f>
        <v>0.57485594</v>
      </c>
      <c r="U3" s="2" t="n">
        <f aca="false">R3-S3</f>
        <v>1.11514406</v>
      </c>
    </row>
    <row r="4" customFormat="false" ht="13.5" hidden="false" customHeight="true" outlineLevel="0" collapsed="false">
      <c r="A4" s="2" t="str">
        <f aca="false">MID_laeyr!B25</f>
        <v>SOL-1MAY26-76-P-USDT</v>
      </c>
      <c r="B4" s="2" t="n">
        <f aca="false">VLOOKUP(A4,OptionBoard!$A$2:$M$86,2,FALSE())</f>
        <v>76</v>
      </c>
      <c r="C4" s="2" t="n">
        <f aca="false">VLOOKUP(A4,OptionBoard!$A$2:$M$86,3,0)</f>
        <v>-0.14416104</v>
      </c>
      <c r="D4" s="2" t="n">
        <f aca="false">VLOOKUP(A4,OptionBoard!$A$2:$M$86,4,0)</f>
        <v>0.02269415</v>
      </c>
      <c r="E4" s="2" t="n">
        <f aca="false">VLOOKUP(A4,OptionBoard!$A$2:$M$86,5,0)</f>
        <v>0.0348958</v>
      </c>
      <c r="F4" s="2" t="n">
        <f aca="false">VLOOKUP(A4,OptionBoard!$A$2:$M$86,6,0)</f>
        <v>-0.0962062</v>
      </c>
      <c r="G4" s="2" t="n">
        <f aca="false">VLOOKUP(A4,MID_laeyr!$B$9:$H$19,7,0)</f>
        <v>1.2</v>
      </c>
      <c r="H4" s="2" t="n">
        <f aca="false">VLOOKUP(A4,OptionBoard!$A$2:$M$86,8,0)</f>
        <v>0.6509</v>
      </c>
      <c r="I4" s="2" t="n">
        <f aca="false">VLOOKUP(A4,OptionBoard!$A$2:$M$86,9,0)</f>
        <v>11</v>
      </c>
      <c r="J4" s="2" t="n">
        <f aca="false">VLOOKUP(A4,OptionBoard!$A$2:$M$86,10,0)</f>
        <v>0.0301369863013699</v>
      </c>
      <c r="K4" s="2" t="str">
        <f aca="false">VLOOKUP(A4,OptionBoard!$A$2:$M$86,11,FALSE())</f>
        <v>PUT</v>
      </c>
      <c r="L4" s="2" t="n">
        <f aca="false">VLOOKUP(A4,OptionBoard!$A$2:$M$86,12,0)</f>
        <v>85.58</v>
      </c>
      <c r="M4" s="2" t="n">
        <f aca="false">VLOOKUP(A4,OptionBoard!$A$2:$M$86,13,0)</f>
        <v>0.0709278609090909</v>
      </c>
      <c r="N4" s="20" t="n">
        <f aca="false">G4*P4</f>
        <v>3.6</v>
      </c>
      <c r="O4" s="21" t="s">
        <v>156</v>
      </c>
      <c r="P4" s="21" t="n">
        <f aca="false">MID_laeyr!G25</f>
        <v>3</v>
      </c>
      <c r="R4" s="2" t="n">
        <v>1.4</v>
      </c>
      <c r="S4" s="2" t="n">
        <f aca="false">VLOOKUP(A4,OptionBoard!$A$2:$G$93,7,FALSE())</f>
        <v>0.78020647</v>
      </c>
      <c r="U4" s="2" t="n">
        <f aca="false">R4-S4</f>
        <v>0.61979353</v>
      </c>
    </row>
    <row r="5" customFormat="false" ht="13.5" hidden="false" customHeight="true" outlineLevel="0" collapsed="false">
      <c r="A5" s="2" t="str">
        <f aca="false">MID_laeyr!B26</f>
        <v>SOL-1MAY26-78-P-USDT</v>
      </c>
      <c r="B5" s="2" t="n">
        <f aca="false">VLOOKUP(A5,OptionBoard!$A$2:$M$86,2,FALSE())</f>
        <v>78</v>
      </c>
      <c r="C5" s="2" t="n">
        <f aca="false">VLOOKUP(A5,OptionBoard!$A$2:$M$86,3,0)</f>
        <v>-0.19163007</v>
      </c>
      <c r="D5" s="2" t="n">
        <f aca="false">VLOOKUP(A5,OptionBoard!$A$2:$M$86,4,0)</f>
        <v>0.02847182</v>
      </c>
      <c r="E5" s="2" t="n">
        <f aca="false">VLOOKUP(A5,OptionBoard!$A$2:$M$86,5,0)</f>
        <v>0.04192897</v>
      </c>
      <c r="F5" s="2" t="n">
        <f aca="false">VLOOKUP(A5,OptionBoard!$A$2:$M$86,6,0)</f>
        <v>-0.11070923</v>
      </c>
      <c r="G5" s="2" t="n">
        <f aca="false">VLOOKUP(A5,MID_laeyr!$B$9:$H$19,7,0)</f>
        <v>2.6</v>
      </c>
      <c r="H5" s="2" t="n">
        <f aca="false">VLOOKUP(A5,OptionBoard!$A$2:$M$86,8,0)</f>
        <v>0.6234</v>
      </c>
      <c r="I5" s="2" t="n">
        <f aca="false">VLOOKUP(A5,OptionBoard!$A$2:$M$86,9,0)</f>
        <v>11</v>
      </c>
      <c r="J5" s="2" t="n">
        <f aca="false">VLOOKUP(A5,OptionBoard!$A$2:$M$86,10,0)</f>
        <v>0.0301369863013699</v>
      </c>
      <c r="K5" s="2" t="str">
        <f aca="false">VLOOKUP(A5,OptionBoard!$A$2:$M$86,11,FALSE())</f>
        <v>PUT</v>
      </c>
      <c r="L5" s="2" t="n">
        <f aca="false">VLOOKUP(A5,OptionBoard!$A$2:$M$86,12,0)</f>
        <v>85.58</v>
      </c>
      <c r="M5" s="2" t="n">
        <f aca="false">VLOOKUP(A5,OptionBoard!$A$2:$M$86,13,0)</f>
        <v>0.0971660936363636</v>
      </c>
      <c r="N5" s="20" t="n">
        <f aca="false">G5*P5</f>
        <v>5.2</v>
      </c>
      <c r="O5" s="21" t="s">
        <v>156</v>
      </c>
      <c r="P5" s="21" t="n">
        <f aca="false">MID_laeyr!G26</f>
        <v>2</v>
      </c>
      <c r="R5" s="2" t="n">
        <f aca="false">G5</f>
        <v>2.6</v>
      </c>
      <c r="S5" s="2" t="n">
        <f aca="false">VLOOKUP(A5,OptionBoard!$A$2:$G$93,7,FALSE())</f>
        <v>1.06882703</v>
      </c>
      <c r="U5" s="2" t="n">
        <f aca="false">R5-S5</f>
        <v>1.53117297</v>
      </c>
    </row>
    <row r="6" customFormat="false" ht="13.5" hidden="false" customHeight="true" outlineLevel="0" collapsed="false">
      <c r="A6" s="2" t="str">
        <f aca="false">MID_laeyr!B27</f>
        <v>SOL-24APR26-75-P-USDT</v>
      </c>
      <c r="B6" s="2" t="n">
        <f aca="false">VLOOKUP(A6,OptionBoard!$A$2:$M$86,2,FALSE())</f>
        <v>75</v>
      </c>
      <c r="C6" s="2" t="n">
        <f aca="false">VLOOKUP(A6,OptionBoard!$A$2:$M$86,3,0)</f>
        <v>-0.06935478</v>
      </c>
      <c r="D6" s="2" t="n">
        <f aca="false">VLOOKUP(A6,OptionBoard!$A$2:$M$86,4,0)</f>
        <v>0.01702286</v>
      </c>
      <c r="E6" s="2" t="n">
        <f aca="false">VLOOKUP(A6,OptionBoard!$A$2:$M$86,5,0)</f>
        <v>0.01308139</v>
      </c>
      <c r="F6" s="2" t="n">
        <f aca="false">VLOOKUP(A6,OptionBoard!$A$2:$M$86,6,0)</f>
        <v>-0.10866239</v>
      </c>
      <c r="G6" s="2" t="n">
        <f aca="false">VLOOKUP(A6,MID_laeyr!$B$9:$H$19,7,0)</f>
        <v>1</v>
      </c>
      <c r="H6" s="2" t="n">
        <f aca="false">VLOOKUP(A6,OptionBoard!$A$2:$M$86,8,0)</f>
        <v>0.7982</v>
      </c>
      <c r="I6" s="2" t="n">
        <f aca="false">VLOOKUP(A6,OptionBoard!$A$2:$M$86,9,0)</f>
        <v>4</v>
      </c>
      <c r="J6" s="2" t="n">
        <f aca="false">VLOOKUP(A6,OptionBoard!$A$2:$M$86,10,0)</f>
        <v>0.010958904109589</v>
      </c>
      <c r="K6" s="2" t="str">
        <f aca="false">VLOOKUP(A6,OptionBoard!$A$2:$M$86,11,FALSE())</f>
        <v>PUT</v>
      </c>
      <c r="L6" s="2" t="n">
        <f aca="false">VLOOKUP(A6,OptionBoard!$A$2:$M$86,12,0)</f>
        <v>85.58</v>
      </c>
      <c r="M6" s="2" t="n">
        <f aca="false">VLOOKUP(A6,OptionBoard!$A$2:$M$86,13,0)</f>
        <v>0.062187265</v>
      </c>
      <c r="N6" s="20" t="n">
        <f aca="false">G6*P6</f>
        <v>0</v>
      </c>
      <c r="O6" s="21" t="s">
        <v>156</v>
      </c>
      <c r="P6" s="21" t="n">
        <f aca="false">MID_laeyr!G27</f>
        <v>0</v>
      </c>
      <c r="R6" s="2" t="n">
        <f aca="false">G6</f>
        <v>1</v>
      </c>
      <c r="S6" s="2" t="n">
        <f aca="false">VLOOKUP(A6,OptionBoard!$A$2:$G$93,7,FALSE())</f>
        <v>0.24874906</v>
      </c>
      <c r="U6" s="2" t="n">
        <f aca="false">R6-S6</f>
        <v>0.75125094</v>
      </c>
    </row>
    <row r="7" customFormat="false" ht="13.5" hidden="false" customHeight="true" outlineLevel="0" collapsed="false">
      <c r="A7" s="2" t="str">
        <f aca="false">MID_laeyr!B28</f>
        <v>SOL-24APR26-78-P-USDT</v>
      </c>
      <c r="B7" s="2" t="n">
        <f aca="false">VLOOKUP(A7,OptionBoard!$A$2:$M$86,2,FALSE())</f>
        <v>78</v>
      </c>
      <c r="C7" s="2" t="n">
        <f aca="false">VLOOKUP(A7,OptionBoard!$A$2:$M$86,3,0)</f>
        <v>-0.12393151</v>
      </c>
      <c r="D7" s="2" t="n">
        <f aca="false">VLOOKUP(A7,OptionBoard!$A$2:$M$86,4,0)</f>
        <v>0.02892419</v>
      </c>
      <c r="E7" s="2" t="n">
        <f aca="false">VLOOKUP(A7,OptionBoard!$A$2:$M$86,5,0)</f>
        <v>0.02007839</v>
      </c>
      <c r="F7" s="2" t="n">
        <f aca="false">VLOOKUP(A7,OptionBoard!$A$2:$M$86,6,0)</f>
        <v>-0.15066111</v>
      </c>
      <c r="G7" s="2" t="n">
        <f aca="false">VLOOKUP(A7,MID_laeyr!$B$9:$H$19,7,0)</f>
        <v>1.49</v>
      </c>
      <c r="H7" s="2" t="n">
        <f aca="false">VLOOKUP(A7,OptionBoard!$A$2:$M$86,8,0)</f>
        <v>0.721</v>
      </c>
      <c r="I7" s="2" t="n">
        <f aca="false">VLOOKUP(A7,OptionBoard!$A$2:$M$86,9,0)</f>
        <v>4</v>
      </c>
      <c r="J7" s="2" t="n">
        <f aca="false">VLOOKUP(A7,OptionBoard!$A$2:$M$86,10,0)</f>
        <v>0.010958904109589</v>
      </c>
      <c r="K7" s="2" t="str">
        <f aca="false">VLOOKUP(A7,OptionBoard!$A$2:$M$86,11,FALSE())</f>
        <v>PUT</v>
      </c>
      <c r="L7" s="2" t="n">
        <f aca="false">VLOOKUP(A7,OptionBoard!$A$2:$M$86,12,0)</f>
        <v>85.58</v>
      </c>
      <c r="M7" s="2" t="n">
        <f aca="false">VLOOKUP(A7,OptionBoard!$A$2:$M$86,13,0)</f>
        <v>0.11261539</v>
      </c>
      <c r="N7" s="20" t="n">
        <f aca="false">G7*P7</f>
        <v>0</v>
      </c>
      <c r="O7" s="21" t="s">
        <v>156</v>
      </c>
      <c r="P7" s="21" t="n">
        <f aca="false">MID_laeyr!G28</f>
        <v>0</v>
      </c>
      <c r="R7" s="2" t="n">
        <f aca="false">G7</f>
        <v>1.49</v>
      </c>
      <c r="S7" s="2" t="n">
        <f aca="false">VLOOKUP(A7,OptionBoard!$A$2:$G$93,7,FALSE())</f>
        <v>0.45046156</v>
      </c>
      <c r="U7" s="2" t="n">
        <f aca="false">R7-S7</f>
        <v>1.03953844</v>
      </c>
    </row>
    <row r="8" customFormat="false" ht="13.5" hidden="false" customHeight="true" outlineLevel="0" collapsed="false">
      <c r="A8" s="2" t="str">
        <f aca="false">MID_laeyr!B29</f>
        <v>SOL-24APR26-75-P-USDT</v>
      </c>
      <c r="B8" s="2" t="n">
        <f aca="false">VLOOKUP(A8,OptionBoard!$A$2:$M$86,2,FALSE())</f>
        <v>75</v>
      </c>
      <c r="C8" s="2" t="n">
        <f aca="false">VLOOKUP(A8,OptionBoard!$A$2:$M$86,3,0)</f>
        <v>-0.06935478</v>
      </c>
      <c r="D8" s="2" t="n">
        <f aca="false">VLOOKUP(A8,OptionBoard!$A$2:$M$86,4,0)</f>
        <v>0.01702286</v>
      </c>
      <c r="E8" s="2" t="n">
        <f aca="false">VLOOKUP(A8,OptionBoard!$A$2:$M$86,5,0)</f>
        <v>0.01308139</v>
      </c>
      <c r="F8" s="2" t="n">
        <f aca="false">VLOOKUP(A8,OptionBoard!$A$2:$M$86,6,0)</f>
        <v>-0.10866239</v>
      </c>
      <c r="G8" s="2" t="n">
        <f aca="false">VLOOKUP(A8,MID_laeyr!$B$9:$H$19,7,0)</f>
        <v>1</v>
      </c>
      <c r="H8" s="2" t="n">
        <f aca="false">VLOOKUP(A8,OptionBoard!$A$2:$M$86,8,0)</f>
        <v>0.7982</v>
      </c>
      <c r="I8" s="2" t="n">
        <f aca="false">VLOOKUP(A8,OptionBoard!$A$2:$M$86,9,0)</f>
        <v>4</v>
      </c>
      <c r="J8" s="2" t="n">
        <f aca="false">VLOOKUP(A8,OptionBoard!$A$2:$M$86,10,0)</f>
        <v>0.010958904109589</v>
      </c>
      <c r="K8" s="2" t="str">
        <f aca="false">VLOOKUP(A8,OptionBoard!$A$2:$M$86,11,FALSE())</f>
        <v>PUT</v>
      </c>
      <c r="L8" s="2" t="n">
        <f aca="false">VLOOKUP(A8,OptionBoard!$A$2:$M$86,12,0)</f>
        <v>85.58</v>
      </c>
      <c r="M8" s="2" t="n">
        <f aca="false">VLOOKUP(A8,OptionBoard!$A$2:$M$86,13,0)</f>
        <v>0.062187265</v>
      </c>
      <c r="N8" s="20" t="n">
        <f aca="false">G8*P8</f>
        <v>0</v>
      </c>
      <c r="O8" s="21" t="s">
        <v>156</v>
      </c>
      <c r="P8" s="21" t="n">
        <f aca="false">MID_laeyr!G29</f>
        <v>0</v>
      </c>
      <c r="R8" s="2"/>
      <c r="S8" s="2" t="n">
        <f aca="false">VLOOKUP(A8,OptionBoard!$A$2:$G$93,7,FALSE())</f>
        <v>0.24874906</v>
      </c>
      <c r="U8" s="2" t="n">
        <f aca="false">R8-S8</f>
        <v>-0.24874906</v>
      </c>
    </row>
    <row r="9" customFormat="false" ht="13.5" hidden="false" customHeight="true" outlineLevel="0" collapsed="false">
      <c r="A9" s="2" t="str">
        <f aca="false">MID_laeyr!B30</f>
        <v>SOL-24APR26-78-P-USDT</v>
      </c>
      <c r="B9" s="2" t="n">
        <f aca="false">VLOOKUP(A9,OptionBoard!$A$2:$M$86,2,FALSE())</f>
        <v>78</v>
      </c>
      <c r="C9" s="2" t="n">
        <f aca="false">VLOOKUP(A9,OptionBoard!$A$2:$M$86,3,0)</f>
        <v>-0.12393151</v>
      </c>
      <c r="D9" s="2" t="n">
        <f aca="false">VLOOKUP(A9,OptionBoard!$A$2:$M$86,4,0)</f>
        <v>0.02892419</v>
      </c>
      <c r="E9" s="2" t="n">
        <f aca="false">VLOOKUP(A9,OptionBoard!$A$2:$M$86,5,0)</f>
        <v>0.02007839</v>
      </c>
      <c r="F9" s="2" t="n">
        <f aca="false">VLOOKUP(A9,OptionBoard!$A$2:$M$86,6,0)</f>
        <v>-0.15066111</v>
      </c>
      <c r="G9" s="2" t="n">
        <f aca="false">VLOOKUP(A9,MID_laeyr!$B$9:$H$19,7,0)</f>
        <v>1.49</v>
      </c>
      <c r="H9" s="2" t="n">
        <f aca="false">VLOOKUP(A9,OptionBoard!$A$2:$M$86,8,0)</f>
        <v>0.721</v>
      </c>
      <c r="I9" s="2" t="n">
        <f aca="false">VLOOKUP(A9,OptionBoard!$A$2:$M$86,9,0)</f>
        <v>4</v>
      </c>
      <c r="J9" s="2" t="n">
        <f aca="false">VLOOKUP(A9,OptionBoard!$A$2:$M$86,10,0)</f>
        <v>0.010958904109589</v>
      </c>
      <c r="K9" s="2" t="str">
        <f aca="false">VLOOKUP(A9,OptionBoard!$A$2:$M$86,11,FALSE())</f>
        <v>PUT</v>
      </c>
      <c r="L9" s="2" t="n">
        <f aca="false">VLOOKUP(A9,OptionBoard!$A$2:$M$86,12,0)</f>
        <v>85.58</v>
      </c>
      <c r="M9" s="2" t="n">
        <f aca="false">VLOOKUP(A9,OptionBoard!$A$2:$M$86,13,0)</f>
        <v>0.11261539</v>
      </c>
      <c r="N9" s="20" t="n">
        <f aca="false">G9*P9</f>
        <v>0</v>
      </c>
      <c r="O9" s="21" t="s">
        <v>156</v>
      </c>
      <c r="P9" s="21" t="n">
        <f aca="false">MID_laeyr!G30</f>
        <v>0</v>
      </c>
      <c r="R9" s="2"/>
      <c r="S9" s="2" t="n">
        <f aca="false">VLOOKUP(A9,OptionBoard!$A$2:$G$93,7,FALSE())</f>
        <v>0.45046156</v>
      </c>
      <c r="U9" s="2" t="n">
        <f aca="false">R9-S9</f>
        <v>-0.45046156</v>
      </c>
    </row>
    <row r="10" customFormat="false" ht="13.5" hidden="false" customHeight="true" outlineLevel="0" collapsed="false">
      <c r="A10" s="2" t="str">
        <f aca="false">MID_laeyr!B31</f>
        <v>SOL-24APR26-75-P-USDT</v>
      </c>
      <c r="B10" s="2" t="n">
        <f aca="false">VLOOKUP(A10,OptionBoard!$A$2:$M$86,2,FALSE())</f>
        <v>75</v>
      </c>
      <c r="C10" s="2" t="n">
        <f aca="false">VLOOKUP(A10,OptionBoard!$A$2:$M$86,3,0)</f>
        <v>-0.06935478</v>
      </c>
      <c r="D10" s="2" t="n">
        <f aca="false">VLOOKUP(A10,OptionBoard!$A$2:$M$86,4,0)</f>
        <v>0.01702286</v>
      </c>
      <c r="E10" s="2" t="n">
        <f aca="false">VLOOKUP(A10,OptionBoard!$A$2:$M$86,5,0)</f>
        <v>0.01308139</v>
      </c>
      <c r="F10" s="2" t="n">
        <f aca="false">VLOOKUP(A10,OptionBoard!$A$2:$M$86,6,0)</f>
        <v>-0.10866239</v>
      </c>
      <c r="G10" s="2" t="n">
        <f aca="false">VLOOKUP(A10,MID_laeyr!$B$9:$H$19,7,0)</f>
        <v>1</v>
      </c>
      <c r="H10" s="2" t="n">
        <f aca="false">VLOOKUP(A10,OptionBoard!$A$2:$M$86,8,0)</f>
        <v>0.7982</v>
      </c>
      <c r="I10" s="2" t="n">
        <f aca="false">VLOOKUP(A10,OptionBoard!$A$2:$M$86,9,0)</f>
        <v>4</v>
      </c>
      <c r="J10" s="2" t="n">
        <f aca="false">VLOOKUP(A10,OptionBoard!$A$2:$M$86,10,0)</f>
        <v>0.010958904109589</v>
      </c>
      <c r="K10" s="2" t="str">
        <f aca="false">VLOOKUP(A10,OptionBoard!$A$2:$M$86,11,FALSE())</f>
        <v>PUT</v>
      </c>
      <c r="L10" s="2" t="n">
        <f aca="false">VLOOKUP(A10,OptionBoard!$A$2:$M$86,12,0)</f>
        <v>85.58</v>
      </c>
      <c r="M10" s="2" t="n">
        <f aca="false">VLOOKUP(A10,OptionBoard!$A$2:$M$86,13,0)</f>
        <v>0.062187265</v>
      </c>
      <c r="N10" s="20" t="n">
        <f aca="false">G10*P10</f>
        <v>0</v>
      </c>
      <c r="O10" s="21" t="s">
        <v>156</v>
      </c>
      <c r="P10" s="21" t="n">
        <f aca="false">MID_laeyr!G31</f>
        <v>0</v>
      </c>
      <c r="R10" s="2"/>
      <c r="S10" s="2" t="n">
        <f aca="false">VLOOKUP(A10,OptionBoard!$A$2:$G$93,7,FALSE())</f>
        <v>0.24874906</v>
      </c>
      <c r="U10" s="2" t="n">
        <f aca="false">R10-S10</f>
        <v>-0.24874906</v>
      </c>
    </row>
    <row r="11" customFormat="false" ht="13.5" hidden="false" customHeight="true" outlineLevel="0" collapsed="false">
      <c r="A11" s="2" t="str">
        <f aca="false">MID_laeyr!B32</f>
        <v>SOL-24APR26-78-P-USDT</v>
      </c>
      <c r="B11" s="2" t="n">
        <f aca="false">VLOOKUP(A11,OptionBoard!$A$2:$M$86,2,FALSE())</f>
        <v>78</v>
      </c>
      <c r="C11" s="2" t="n">
        <f aca="false">VLOOKUP(A11,OptionBoard!$A$2:$M$86,3,0)</f>
        <v>-0.12393151</v>
      </c>
      <c r="D11" s="2" t="n">
        <f aca="false">VLOOKUP(A11,OptionBoard!$A$2:$M$86,4,0)</f>
        <v>0.02892419</v>
      </c>
      <c r="E11" s="2" t="n">
        <f aca="false">VLOOKUP(A11,OptionBoard!$A$2:$M$86,5,0)</f>
        <v>0.02007839</v>
      </c>
      <c r="F11" s="2" t="n">
        <f aca="false">VLOOKUP(A11,OptionBoard!$A$2:$M$86,6,0)</f>
        <v>-0.15066111</v>
      </c>
      <c r="G11" s="2" t="n">
        <f aca="false">VLOOKUP(A11,MID_laeyr!$B$9:$H$19,7,0)</f>
        <v>1.49</v>
      </c>
      <c r="H11" s="2" t="n">
        <f aca="false">VLOOKUP(A11,OptionBoard!$A$2:$M$86,8,0)</f>
        <v>0.721</v>
      </c>
      <c r="I11" s="2" t="n">
        <f aca="false">VLOOKUP(A11,OptionBoard!$A$2:$M$86,9,0)</f>
        <v>4</v>
      </c>
      <c r="J11" s="2" t="n">
        <f aca="false">VLOOKUP(A11,OptionBoard!$A$2:$M$86,10,0)</f>
        <v>0.010958904109589</v>
      </c>
      <c r="K11" s="2" t="str">
        <f aca="false">VLOOKUP(A11,OptionBoard!$A$2:$M$86,11,FALSE())</f>
        <v>PUT</v>
      </c>
      <c r="L11" s="2" t="n">
        <f aca="false">VLOOKUP(A11,OptionBoard!$A$2:$M$86,12,0)</f>
        <v>85.58</v>
      </c>
      <c r="M11" s="2" t="n">
        <f aca="false">VLOOKUP(A11,OptionBoard!$A$2:$M$86,13,0)</f>
        <v>0.11261539</v>
      </c>
      <c r="N11" s="20" t="n">
        <f aca="false">G11*P11</f>
        <v>0</v>
      </c>
      <c r="O11" s="21" t="s">
        <v>156</v>
      </c>
      <c r="P11" s="21" t="n">
        <f aca="false">MID_laeyr!G32</f>
        <v>0</v>
      </c>
      <c r="R11" s="2"/>
      <c r="S11" s="2" t="n">
        <f aca="false">VLOOKUP(A11,OptionBoard!$A$2:$G$93,7,FALSE())</f>
        <v>0.45046156</v>
      </c>
      <c r="U11" s="2" t="n">
        <f aca="false">R11-S11</f>
        <v>-0.45046156</v>
      </c>
    </row>
    <row r="12" customFormat="false" ht="13.5" hidden="false" customHeight="true" outlineLevel="0" collapsed="false">
      <c r="N12" s="20"/>
      <c r="O12" s="21"/>
      <c r="P12" s="21"/>
    </row>
    <row r="13" customFormat="false" ht="13.5" hidden="false" customHeight="true" outlineLevel="0" collapsed="false">
      <c r="B13" s="3"/>
      <c r="C13" s="22"/>
      <c r="D13" s="22"/>
      <c r="E13" s="22"/>
      <c r="F13" s="22"/>
      <c r="G13" s="22"/>
      <c r="H13" s="3"/>
      <c r="I13" s="3"/>
      <c r="J13" s="22"/>
      <c r="K13" s="3"/>
      <c r="L13" s="3"/>
      <c r="M13" s="3"/>
      <c r="N13" s="3"/>
      <c r="O13" s="3"/>
      <c r="P13" s="3"/>
    </row>
    <row r="14" customFormat="false" ht="13.5" hidden="false" customHeight="true" outlineLevel="0" collapsed="false">
      <c r="A14" s="2" t="s">
        <v>157</v>
      </c>
      <c r="C14" s="2" t="n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>-1.14017106</v>
      </c>
      <c r="D14" s="2" t="n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>0.17819557</v>
      </c>
      <c r="E14" s="2" t="n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>0.27419573</v>
      </c>
      <c r="F14" s="2" t="n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>-0.75741844</v>
      </c>
      <c r="G14" s="2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>13.87</v>
      </c>
      <c r="H14" s="2"/>
      <c r="M14" s="2" t="n">
        <f aca="false">M2*P2+M3*P3+M5*P5+M4*P4+M6*P6+M7*P7+M8*P8+M9*P9+M10*P10</f>
        <v>0.563894662727273</v>
      </c>
      <c r="S14" s="2" t="n">
        <f aca="false">F14/C14</f>
        <v>0.664302460018587</v>
      </c>
    </row>
    <row r="16" customFormat="false" ht="17.25" hidden="false" customHeight="true" outlineLevel="0" collapsed="false">
      <c r="A16" s="2" t="str">
        <f aca="false">A2</f>
        <v>SOL-1MAY26-72-P-USDT</v>
      </c>
      <c r="B16" s="23"/>
      <c r="C16" s="19" t="s">
        <v>13</v>
      </c>
      <c r="D16" s="19" t="s">
        <v>14</v>
      </c>
      <c r="E16" s="19" t="s">
        <v>15</v>
      </c>
      <c r="F16" s="19" t="s">
        <v>16</v>
      </c>
      <c r="G16" s="19" t="s">
        <v>17</v>
      </c>
      <c r="I16" s="19" t="s">
        <v>158</v>
      </c>
      <c r="J16" s="19" t="s">
        <v>159</v>
      </c>
    </row>
    <row r="17" customFormat="false" ht="13.5" hidden="false" customHeight="true" outlineLevel="0" collapsed="false">
      <c r="B17" s="24" t="n">
        <f aca="false">Portfolio!B28</f>
        <v>83</v>
      </c>
      <c r="C17" s="25" t="n">
        <f aca="false">IF($O$2="sell",-1,1) *  IF($K$2="call",  NORMDIST(I17,0,1,1),  NORMDIST(I17,0,1,1)-1  ) * $P$2</f>
        <v>-0</v>
      </c>
      <c r="D17" s="25" t="n">
        <f aca="false">IF($O$2="sell",-1,1) * NORMDIST(I17,0,1,0)/(B17*$H$2*SQRT($J$2)) * $P$2</f>
        <v>0</v>
      </c>
      <c r="E17" s="25" t="n">
        <f aca="false">IF($O$2="sell",-1,1) * (B17*NORMDIST(I17,0,1,0)*SQRT($J$2)/365) * $P$2</f>
        <v>0</v>
      </c>
      <c r="F17" s="25" t="n">
        <f aca="false">IF($O$2="sell",-1,1) * (-(B17*NORMDIST(I17,0,1,0)*$H$2)/(2*SQRT($J$2))/365) *$P$2</f>
        <v>-0</v>
      </c>
      <c r="G17" s="25" t="n">
        <f aca="false">IF($O$2="buy",1,-1)*( IF($K$2="call",B17*NORMDIST(I17,0,1,1) - $B$2*NORMDIST(J17,0,1,1),$B$2*NORMDIST(-J17,0,1,1) - B17*NORMDIST(-I17,0,1,1) ) - $G$2) * $P$2</f>
        <v>-0</v>
      </c>
      <c r="I17" s="26" t="n">
        <f aca="false">(LN(B17/$B$2)+($H$2^2/2)*($J$2))/($H$2*SQRT($J$2))</f>
        <v>1.20642502626132</v>
      </c>
      <c r="J17" s="26" t="n">
        <f aca="false">I17 - $H$2*SQRT($J$2)</f>
        <v>1.08217945204506</v>
      </c>
    </row>
    <row r="18" customFormat="false" ht="13.5" hidden="false" customHeight="true" outlineLevel="0" collapsed="false">
      <c r="B18" s="24" t="n">
        <f aca="false">Portfolio!B29</f>
        <v>82</v>
      </c>
      <c r="C18" s="25" t="n">
        <f aca="false">IF($O$2="sell",-1,1) *  IF($K$2="call",  NORMDIST(I18,0,1,1),  NORMDIST(I18,0,1,1)-1  ) * $P$2</f>
        <v>-0</v>
      </c>
      <c r="D18" s="25" t="n">
        <f aca="false">IF($O$2="sell",-1,1) * NORMDIST(I18,0,1,0)/(B18*$H$2*SQRT($J$2)) * $P$2</f>
        <v>0</v>
      </c>
      <c r="E18" s="25" t="n">
        <f aca="false">IF($O$2="sell",-1,1) * (B18*NORMDIST(I18,0,1,0)*SQRT($J$2)/365) * $P$2</f>
        <v>0</v>
      </c>
      <c r="F18" s="25" t="n">
        <f aca="false">IF($O$2="sell",-1,1) * (-(B18*NORMDIST(I18,0,1,0)*$H$2)/(2*SQRT($J$2))/365) *$P$2</f>
        <v>-0</v>
      </c>
      <c r="G18" s="25" t="n">
        <f aca="false">IF($O$2="buy",1,-1)*( IF($K$2="call",B18*NORMDIST(I18,0,1,1) - $B$2*NORMDIST(J18,0,1,1),$B$2*NORMDIST(-J18,0,1,1) - B18*NORMDIST(-I18,0,1,1) ) - $G$2) * $P$2</f>
        <v>-0</v>
      </c>
      <c r="I18" s="26" t="n">
        <f aca="false">(LN(B18/$B$2)+($H$2^2/2)*($J$2))/($H$2*SQRT($J$2))</f>
        <v>1.10886532959763</v>
      </c>
      <c r="J18" s="26" t="n">
        <f aca="false">I18 - $H$2*SQRT($J$2)</f>
        <v>0.984619755381364</v>
      </c>
      <c r="L18" s="2"/>
    </row>
    <row r="19" customFormat="false" ht="13.5" hidden="false" customHeight="true" outlineLevel="0" collapsed="false">
      <c r="B19" s="24" t="n">
        <f aca="false">Portfolio!B30</f>
        <v>81</v>
      </c>
      <c r="C19" s="25" t="n">
        <f aca="false">IF($O$2="sell",-1,1) *  IF($K$2="call",  NORMDIST(I19,0,1,1),  NORMDIST(I19,0,1,1)-1  ) * $P$2</f>
        <v>-0</v>
      </c>
      <c r="D19" s="25" t="n">
        <f aca="false">IF($O$2="sell",-1,1) * NORMDIST(I19,0,1,0)/(B19*$H$2*SQRT($J$2)) * $P$2</f>
        <v>0</v>
      </c>
      <c r="E19" s="25" t="n">
        <f aca="false">IF($O$2="sell",-1,1) * (B19*NORMDIST(I19,0,1,0)*SQRT($J$2)/365) * $P$2</f>
        <v>0</v>
      </c>
      <c r="F19" s="25" t="n">
        <f aca="false">IF($O$2="sell",-1,1) * (-(B19*NORMDIST(I19,0,1,0)*$H$2)/(2*SQRT($J$2))/365) *$P$2</f>
        <v>-0</v>
      </c>
      <c r="G19" s="25" t="n">
        <f aca="false">IF($O$2="buy",1,-1)*( IF($K$2="call",B19*NORMDIST(I19,0,1,1) - $B$2*NORMDIST(J19,0,1,1),$B$2*NORMDIST(-J19,0,1,1) - B19*NORMDIST(-I19,0,1,1) ) - $G$2) * $P$2</f>
        <v>-0</v>
      </c>
      <c r="I19" s="26" t="n">
        <f aca="false">(LN(B19/$B$2)+($H$2^2/2)*($J$2))/($H$2*SQRT($J$2))</f>
        <v>1.0101085515859</v>
      </c>
      <c r="J19" s="26" t="n">
        <f aca="false">I19 - $H$2*SQRT($J$2)</f>
        <v>0.885862977369642</v>
      </c>
      <c r="L19" s="2"/>
      <c r="M19" s="27"/>
    </row>
    <row r="20" customFormat="false" ht="13.5" hidden="false" customHeight="true" outlineLevel="0" collapsed="false">
      <c r="B20" s="24" t="n">
        <f aca="false">Portfolio!B31</f>
        <v>80</v>
      </c>
      <c r="C20" s="25" t="n">
        <f aca="false">IF($O$2="sell",-1,1) *  IF($K$2="call",  NORMDIST(I20,0,1,1),  NORMDIST(I20,0,1,1)-1  ) * $P$2</f>
        <v>-0</v>
      </c>
      <c r="D20" s="25" t="n">
        <f aca="false">IF($O$2="sell",-1,1) * NORMDIST(I20,0,1,0)/(B20*$H$2*SQRT($J$2)) * $P$2</f>
        <v>0</v>
      </c>
      <c r="E20" s="25" t="n">
        <f aca="false">IF($O$2="sell",-1,1) * (B20*NORMDIST(I20,0,1,0)*SQRT($J$2)/365) * $P$2</f>
        <v>0</v>
      </c>
      <c r="F20" s="25" t="n">
        <f aca="false">IF($O$2="sell",-1,1) * (-(B20*NORMDIST(I20,0,1,0)*$H$2)/(2*SQRT($J$2))/365) *$P$2</f>
        <v>-0</v>
      </c>
      <c r="G20" s="25" t="n">
        <f aca="false">IF($O$2="buy",1,-1)*( IF($K$2="call",B20*NORMDIST(I20,0,1,1) - $B$2*NORMDIST(J20,0,1,1),$B$2*NORMDIST(-J20,0,1,1) - B20*NORMDIST(-I20,0,1,1) ) - $G$2) * $P$2</f>
        <v>-0</v>
      </c>
      <c r="I20" s="26" t="n">
        <f aca="false">(LN(B20/$B$2)+($H$2^2/2)*($J$2))/($H$2*SQRT($J$2))</f>
        <v>0.910124949941194</v>
      </c>
      <c r="J20" s="26" t="n">
        <f aca="false">I20 - $H$2*SQRT($J$2)</f>
        <v>0.785879375724932</v>
      </c>
      <c r="L20" s="2"/>
      <c r="M20" s="27"/>
      <c r="N20" s="27"/>
    </row>
    <row r="21" customFormat="false" ht="13.5" hidden="false" customHeight="true" outlineLevel="0" collapsed="false">
      <c r="B21" s="24" t="n">
        <f aca="false">Portfolio!B32</f>
        <v>79</v>
      </c>
      <c r="C21" s="25" t="n">
        <f aca="false">IF($O$2="sell",-1,1) *  IF($K$2="call",  NORMDIST(I21,0,1,1),  NORMDIST(I21,0,1,1)-1  ) * $P$2</f>
        <v>-0</v>
      </c>
      <c r="D21" s="25" t="n">
        <f aca="false">IF($O$2="sell",-1,1) * NORMDIST(I21,0,1,0)/(B21*$H$2*SQRT($J$2)) * $P$2</f>
        <v>0</v>
      </c>
      <c r="E21" s="25" t="n">
        <f aca="false">IF($O$2="sell",-1,1) * (B21*NORMDIST(I21,0,1,0)*SQRT($J$2)/365) * $P$2</f>
        <v>0</v>
      </c>
      <c r="F21" s="25" t="n">
        <f aca="false">IF($O$2="sell",-1,1) * (-(B21*NORMDIST(I21,0,1,0)*$H$2)/(2*SQRT($J$2))/365) *$P$2</f>
        <v>-0</v>
      </c>
      <c r="G21" s="25" t="n">
        <f aca="false">IF($O$2="buy",1,-1)*( IF($K$2="call",B21*NORMDIST(I21,0,1,1) - $B$2*NORMDIST(J21,0,1,1),$B$2*NORMDIST(-J21,0,1,1) - B21*NORMDIST(-I21,0,1,1) ) - $G$2) * $P$2</f>
        <v>-0</v>
      </c>
      <c r="I21" s="26" t="n">
        <f aca="false">(LN(B21/$B$2)+($H$2^2/2)*($J$2))/($H$2*SQRT($J$2))</f>
        <v>0.808883659970049</v>
      </c>
      <c r="J21" s="26" t="n">
        <f aca="false">I21 - $H$2*SQRT($J$2)</f>
        <v>0.684638085753787</v>
      </c>
      <c r="L21" s="2"/>
      <c r="M21" s="27"/>
      <c r="N21" s="27"/>
    </row>
    <row r="22" customFormat="false" ht="13.5" hidden="false" customHeight="true" outlineLevel="0" collapsed="false">
      <c r="B22" s="24" t="n">
        <f aca="false">Portfolio!B33</f>
        <v>78</v>
      </c>
      <c r="C22" s="25" t="n">
        <f aca="false">IF($O$2="sell",-1,1) *  IF($K$2="call",  NORMDIST(I22,0,1,1),  NORMDIST(I22,0,1,1)-1  ) * $P$2</f>
        <v>-0</v>
      </c>
      <c r="D22" s="25" t="n">
        <f aca="false">IF($O$2="sell",-1,1) * NORMDIST(I22,0,1,0)/(B22*$H$2*SQRT($J$2)) * $P$2</f>
        <v>0</v>
      </c>
      <c r="E22" s="25" t="n">
        <f aca="false">IF($O$2="sell",-1,1) * (B22*NORMDIST(I22,0,1,0)*SQRT($J$2)/365) * $P$2</f>
        <v>0</v>
      </c>
      <c r="F22" s="25" t="n">
        <f aca="false">IF($O$2="sell",-1,1) * (-(B22*NORMDIST(I22,0,1,0)*$H$2)/(2*SQRT($J$2))/365) *$P$2</f>
        <v>-0</v>
      </c>
      <c r="G22" s="25" t="n">
        <f aca="false">IF($O$2="buy",1,-1)*( IF($K$2="call",B22*NORMDIST(I22,0,1,1) - $B$2*NORMDIST(J22,0,1,1),$B$2*NORMDIST(-J22,0,1,1) - B22*NORMDIST(-I22,0,1,1) ) - $G$2) * $P$2</f>
        <v>0</v>
      </c>
      <c r="I22" s="26" t="n">
        <f aca="false">(LN(B22/$B$2)+($H$2^2/2)*($J$2))/($H$2*SQRT($J$2))</f>
        <v>0.706352637373974</v>
      </c>
      <c r="J22" s="26" t="n">
        <f aca="false">I22 - $H$2*SQRT($J$2)</f>
        <v>0.582107063157711</v>
      </c>
      <c r="L22" s="2"/>
      <c r="M22" s="27"/>
      <c r="N22" s="27"/>
    </row>
    <row r="23" customFormat="false" ht="13.5" hidden="false" customHeight="true" outlineLevel="0" collapsed="false">
      <c r="B23" s="24" t="n">
        <f aca="false">Portfolio!B34</f>
        <v>77</v>
      </c>
      <c r="C23" s="25" t="n">
        <f aca="false">IF($O$2="sell",-1,1) *  IF($K$2="call",  NORMDIST(I23,0,1,1),  NORMDIST(I23,0,1,1)-1  ) * $P$2</f>
        <v>-0</v>
      </c>
      <c r="D23" s="25" t="n">
        <f aca="false">IF($O$2="sell",-1,1) * NORMDIST(I23,0,1,0)/(B23*$H$2*SQRT($J$2)) * $P$2</f>
        <v>0</v>
      </c>
      <c r="E23" s="25" t="n">
        <f aca="false">IF($O$2="sell",-1,1) * (B23*NORMDIST(I23,0,1,0)*SQRT($J$2)/365) * $P$2</f>
        <v>0</v>
      </c>
      <c r="F23" s="25" t="n">
        <f aca="false">IF($O$2="sell",-1,1) * (-(B23*NORMDIST(I23,0,1,0)*$H$2)/(2*SQRT($J$2))/365) *$P$2</f>
        <v>-0</v>
      </c>
      <c r="G23" s="25" t="n">
        <f aca="false">IF($O$2="buy",1,-1)*( IF($K$2="call",B23*NORMDIST(I23,0,1,1) - $B$2*NORMDIST(J23,0,1,1),$B$2*NORMDIST(-J23,0,1,1) - B23*NORMDIST(-I23,0,1,1) ) - $G$2) * $P$2</f>
        <v>0</v>
      </c>
      <c r="I23" s="26" t="n">
        <f aca="false">(LN(B23/$B$2)+($H$2^2/2)*($J$2))/($H$2*SQRT($J$2))</f>
        <v>0.602498597362471</v>
      </c>
      <c r="J23" s="26" t="n">
        <f aca="false">I23 - $H$2*SQRT($J$2)</f>
        <v>0.478253023146209</v>
      </c>
      <c r="L23" s="2"/>
      <c r="M23" s="27"/>
      <c r="N23" s="27"/>
    </row>
    <row r="24" customFormat="false" ht="13.5" hidden="false" customHeight="true" outlineLevel="0" collapsed="false">
      <c r="B24" s="24" t="n">
        <f aca="false">Portfolio!B35</f>
        <v>76</v>
      </c>
      <c r="C24" s="25" t="n">
        <f aca="false">IF($O$2="sell",-1,1) *  IF($K$2="call",  NORMDIST(I24,0,1,1),  NORMDIST(I24,0,1,1)-1  ) * $P$2</f>
        <v>-0</v>
      </c>
      <c r="D24" s="25" t="n">
        <f aca="false">IF($O$2="sell",-1,1) * NORMDIST(I24,0,1,0)/(B24*$H$2*SQRT($J$2)) * $P$2</f>
        <v>0</v>
      </c>
      <c r="E24" s="25" t="n">
        <f aca="false">IF($O$2="sell",-1,1) * (B24*NORMDIST(I24,0,1,0)*SQRT($J$2)/365) * $P$2</f>
        <v>0</v>
      </c>
      <c r="F24" s="25" t="n">
        <f aca="false">IF($O$2="sell",-1,1) * (-(B24*NORMDIST(I24,0,1,0)*$H$2)/(2*SQRT($J$2))/365) *$P$2</f>
        <v>-0</v>
      </c>
      <c r="G24" s="25" t="n">
        <f aca="false">IF($O$2="buy",1,-1)*( IF($K$2="call",B24*NORMDIST(I24,0,1,1) - $B$2*NORMDIST(J24,0,1,1),$B$2*NORMDIST(-J24,0,1,1) - B24*NORMDIST(-I24,0,1,1) ) - $G$2) * $P$2</f>
        <v>0</v>
      </c>
      <c r="I24" s="26" t="n">
        <f aca="false">(LN(B24/$B$2)+($H$2^2/2)*($J$2))/($H$2*SQRT($J$2))</f>
        <v>0.497286949786201</v>
      </c>
      <c r="J24" s="26" t="n">
        <f aca="false">I24 - $H$2*SQRT($J$2)</f>
        <v>0.373041375569939</v>
      </c>
      <c r="L24" s="2"/>
      <c r="M24" s="27"/>
      <c r="N24" s="27"/>
    </row>
    <row r="25" customFormat="false" ht="13.5" hidden="false" customHeight="true" outlineLevel="0" collapsed="false">
      <c r="B25" s="24" t="n">
        <f aca="false">Portfolio!B36</f>
        <v>75</v>
      </c>
      <c r="C25" s="25" t="n">
        <f aca="false">IF($O$2="sell",-1,1) *  IF($K$2="call",  NORMDIST(I25,0,1,1),  NORMDIST(I25,0,1,1)-1  ) * $P$2</f>
        <v>-0</v>
      </c>
      <c r="D25" s="25" t="n">
        <f aca="false">IF($O$2="sell",-1,1) * NORMDIST(I25,0,1,0)/(B25*$H$2*SQRT($J$2)) * $P$2</f>
        <v>0</v>
      </c>
      <c r="E25" s="25" t="n">
        <f aca="false">IF($O$2="sell",-1,1) * (B25*NORMDIST(I25,0,1,0)*SQRT($J$2)/365) * $P$2</f>
        <v>0</v>
      </c>
      <c r="F25" s="25" t="n">
        <f aca="false">IF($O$2="sell",-1,1) * (-(B25*NORMDIST(I25,0,1,0)*$H$2)/(2*SQRT($J$2))/365) *$P$2</f>
        <v>-0</v>
      </c>
      <c r="G25" s="25" t="n">
        <f aca="false">IF($O$2="buy",1,-1)*( IF($K$2="call",B25*NORMDIST(I25,0,1,1) - $B$2*NORMDIST(J25,0,1,1),$B$2*NORMDIST(-J25,0,1,1) - B25*NORMDIST(-I25,0,1,1) ) - $G$2) * $P$2</f>
        <v>0</v>
      </c>
      <c r="I25" s="26" t="n">
        <f aca="false">(LN(B25/$B$2)+($H$2^2/2)*($J$2))/($H$2*SQRT($J$2))</f>
        <v>0.390681729973977</v>
      </c>
      <c r="J25" s="26" t="n">
        <f aca="false">I25 - $H$2*SQRT($J$2)</f>
        <v>0.266436155757715</v>
      </c>
      <c r="L25" s="2"/>
      <c r="M25" s="27"/>
      <c r="N25" s="27"/>
    </row>
    <row r="26" customFormat="false" ht="13.5" hidden="false" customHeight="true" outlineLevel="0" collapsed="false">
      <c r="B26" s="24" t="n">
        <f aca="false">Portfolio!B37</f>
        <v>74</v>
      </c>
      <c r="C26" s="25" t="n">
        <f aca="false">IF($O$2="sell",-1,1) *  IF($K$2="call",  NORMDIST(I26,0,1,1),  NORMDIST(I26,0,1,1)-1  ) * $P$2</f>
        <v>-0</v>
      </c>
      <c r="D26" s="25" t="n">
        <f aca="false">IF($O$2="sell",-1,1) * NORMDIST(I26,0,1,0)/(B26*$H$2*SQRT($J$2)) * $P$2</f>
        <v>0</v>
      </c>
      <c r="E26" s="25" t="n">
        <f aca="false">IF($O$2="sell",-1,1) * (B26*NORMDIST(I26,0,1,0)*SQRT($J$2)/365) * $P$2</f>
        <v>0</v>
      </c>
      <c r="F26" s="25" t="n">
        <f aca="false">IF($O$2="sell",-1,1) * (-(B26*NORMDIST(I26,0,1,0)*$H$2)/(2*SQRT($J$2))/365) *$P$2</f>
        <v>-0</v>
      </c>
      <c r="G26" s="25" t="n">
        <f aca="false">IF($O$2="buy",1,-1)*( IF($K$2="call",B26*NORMDIST(I26,0,1,1) - $B$2*NORMDIST(J26,0,1,1),$B$2*NORMDIST(-J26,0,1,1) - B26*NORMDIST(-I26,0,1,1) ) - $G$2) * $P$2</f>
        <v>0</v>
      </c>
      <c r="I26" s="26" t="n">
        <f aca="false">(LN(B26/$B$2)+($H$2^2/2)*($J$2))/($H$2*SQRT($J$2))</f>
        <v>0.282645524927537</v>
      </c>
      <c r="J26" s="26" t="n">
        <f aca="false">I26 - $H$2*SQRT($J$2)</f>
        <v>0.158399950711275</v>
      </c>
      <c r="L26" s="2"/>
      <c r="M26" s="27"/>
      <c r="N26" s="27"/>
    </row>
    <row r="27" customFormat="false" ht="13.5" hidden="false" customHeight="true" outlineLevel="0" collapsed="false">
      <c r="B27" s="24" t="n">
        <f aca="false">Portfolio!B38</f>
        <v>73</v>
      </c>
      <c r="C27" s="25" t="n">
        <f aca="false">IF($O$2="sell",-1,1) *  IF($K$2="call",  NORMDIST(I27,0,1,1),  NORMDIST(I27,0,1,1)-1  ) * $P$2</f>
        <v>-0</v>
      </c>
      <c r="D27" s="25" t="n">
        <f aca="false">IF($O$2="sell",-1,1) * NORMDIST(I27,0,1,0)/(B27*$H$2*SQRT($J$2)) * $P$2</f>
        <v>0</v>
      </c>
      <c r="E27" s="25" t="n">
        <f aca="false">IF($O$2="sell",-1,1) * (B27*NORMDIST(I27,0,1,0)*SQRT($J$2)/365) * $P$2</f>
        <v>0</v>
      </c>
      <c r="F27" s="25" t="n">
        <f aca="false">IF($O$2="sell",-1,1) * (-(B27*NORMDIST(I27,0,1,0)*$H$2)/(2*SQRT($J$2))/365) *$P$2</f>
        <v>-0</v>
      </c>
      <c r="G27" s="25" t="n">
        <f aca="false">IF($O$2="buy",1,-1)*( IF($K$2="call",B27*NORMDIST(I27,0,1,1) - $B$2*NORMDIST(J27,0,1,1),$B$2*NORMDIST(-J27,0,1,1) - B27*NORMDIST(-I27,0,1,1) ) - $G$2) * $P$2</f>
        <v>0</v>
      </c>
      <c r="I27" s="26" t="n">
        <f aca="false">(LN(B27/$B$2)+($H$2^2/2)*($J$2))/($H$2*SQRT($J$2))</f>
        <v>0.173139394495104</v>
      </c>
      <c r="J27" s="26" t="n">
        <f aca="false">I27 - $H$2*SQRT($J$2)</f>
        <v>0.0488938202788414</v>
      </c>
      <c r="L27" s="2"/>
      <c r="M27" s="27"/>
      <c r="N27" s="27"/>
    </row>
    <row r="28" customFormat="false" ht="13.5" hidden="false" customHeight="true" outlineLevel="0" collapsed="false">
      <c r="B28" s="24" t="n">
        <f aca="false">Portfolio!B39</f>
        <v>72</v>
      </c>
      <c r="C28" s="25" t="n">
        <f aca="false">IF($O$2="sell",-1,1) *  IF($K$2="call",  NORMDIST(I28,0,1,1),  NORMDIST(I28,0,1,1)-1  ) * $P$2</f>
        <v>-0</v>
      </c>
      <c r="D28" s="25" t="n">
        <f aca="false">IF($O$2="sell",-1,1) * NORMDIST(I28,0,1,0)/(B28*$H$2*SQRT($J$2)) * $P$2</f>
        <v>0</v>
      </c>
      <c r="E28" s="25" t="n">
        <f aca="false">IF($O$2="sell",-1,1) * (B28*NORMDIST(I28,0,1,0)*SQRT($J$2)/365) * $P$2</f>
        <v>0</v>
      </c>
      <c r="F28" s="25" t="n">
        <f aca="false">IF($O$2="sell",-1,1) * (-(B28*NORMDIST(I28,0,1,0)*$H$2)/(2*SQRT($J$2))/365) *$P$2</f>
        <v>-0</v>
      </c>
      <c r="G28" s="25" t="n">
        <f aca="false">IF($O$2="buy",1,-1)*( IF($K$2="call",B28*NORMDIST(I28,0,1,1) - $B$2*NORMDIST(J28,0,1,1),$B$2*NORMDIST(-J28,0,1,1) - B28*NORMDIST(-I28,0,1,1) ) - $G$2) * $P$2</f>
        <v>0</v>
      </c>
      <c r="I28" s="26" t="n">
        <f aca="false">(LN(B28/$B$2)+($H$2^2/2)*($J$2))/($H$2*SQRT($J$2))</f>
        <v>0.0621227871081312</v>
      </c>
      <c r="J28" s="26" t="n">
        <f aca="false">I28 - $H$2*SQRT($J$2)</f>
        <v>-0.0621227871081312</v>
      </c>
      <c r="L28" s="2"/>
      <c r="M28" s="27"/>
      <c r="N28" s="27"/>
    </row>
    <row r="29" customFormat="false" ht="13.5" hidden="false" customHeight="true" outlineLevel="0" collapsed="false">
      <c r="B29" s="24" t="n">
        <f aca="false">Portfolio!B40</f>
        <v>71</v>
      </c>
      <c r="C29" s="25" t="n">
        <f aca="false">IF($O$2="sell",-1,1) *  IF($K$2="call",  NORMDIST(I29,0,1,1),  NORMDIST(I29,0,1,1)-1  ) * $P$2</f>
        <v>-0</v>
      </c>
      <c r="D29" s="25" t="n">
        <f aca="false">IF($O$2="sell",-1,1) * NORMDIST(I29,0,1,0)/(B29*$H$2*SQRT($J$2)) * $P$2</f>
        <v>0</v>
      </c>
      <c r="E29" s="25" t="n">
        <f aca="false">IF($O$2="sell",-1,1) * (B29*NORMDIST(I29,0,1,0)*SQRT($J$2)/365) * $P$2</f>
        <v>0</v>
      </c>
      <c r="F29" s="25" t="n">
        <f aca="false">IF($O$2="sell",-1,1) * (-(B29*NORMDIST(I29,0,1,0)*$H$2)/(2*SQRT($J$2))/365) *$P$2</f>
        <v>-0</v>
      </c>
      <c r="G29" s="25" t="n">
        <f aca="false">IF($O$2="buy",1,-1)*( IF($K$2="call",B29*NORMDIST(I29,0,1,1) - $B$2*NORMDIST(J29,0,1,1),$B$2*NORMDIST(-J29,0,1,1) - B29*NORMDIST(-I29,0,1,1) ) - $G$2) * $P$2</f>
        <v>0</v>
      </c>
      <c r="I29" s="26" t="n">
        <f aca="false">(LN(B29/$B$2)+($H$2^2/2)*($J$2))/($H$2*SQRT($J$2))</f>
        <v>-0.050446550375032</v>
      </c>
      <c r="J29" s="26" t="n">
        <f aca="false">I29 - $H$2*SQRT($J$2)</f>
        <v>-0.174692124591294</v>
      </c>
      <c r="L29" s="2"/>
      <c r="M29" s="27"/>
      <c r="N29" s="27"/>
    </row>
    <row r="30" customFormat="false" ht="13.5" hidden="false" customHeight="true" outlineLevel="0" collapsed="false">
      <c r="B30" s="24" t="n">
        <f aca="false">Portfolio!B41</f>
        <v>70</v>
      </c>
      <c r="C30" s="25" t="n">
        <f aca="false">IF($O$2="sell",-1,1) *  IF($K$2="call",  NORMDIST(I30,0,1,1),  NORMDIST(I30,0,1,1)-1  ) * $P$2</f>
        <v>-0</v>
      </c>
      <c r="D30" s="25" t="n">
        <f aca="false">IF($O$2="sell",-1,1) * NORMDIST(I30,0,1,0)/(B30*$H$2*SQRT($J$2)) * $P$2</f>
        <v>0</v>
      </c>
      <c r="E30" s="25" t="n">
        <f aca="false">IF($O$2="sell",-1,1) * (B30*NORMDIST(I30,0,1,0)*SQRT($J$2)/365) * $P$2</f>
        <v>0</v>
      </c>
      <c r="F30" s="25" t="n">
        <f aca="false">IF($O$2="sell",-1,1) * (-(B30*NORMDIST(I30,0,1,0)*$H$2)/(2*SQRT($J$2))/365) *$P$2</f>
        <v>-0</v>
      </c>
      <c r="G30" s="25" t="n">
        <f aca="false">IF($O$2="buy",1,-1)*( IF($K$2="call",B30*NORMDIST(I30,0,1,1) - $B$2*NORMDIST(J30,0,1,1),$B$2*NORMDIST(-J30,0,1,1) - B30*NORMDIST(-I30,0,1,1) ) - $G$2) * $P$2</f>
        <v>0</v>
      </c>
      <c r="I30" s="26" t="n">
        <f aca="false">(LN(B30/$B$2)+($H$2^2/2)*($J$2))/($H$2*SQRT($J$2))</f>
        <v>-0.164612669220172</v>
      </c>
      <c r="J30" s="26" t="n">
        <f aca="false">I30 - $H$2*SQRT($J$2)</f>
        <v>-0.288858243436435</v>
      </c>
      <c r="L30" s="2"/>
      <c r="M30" s="27"/>
      <c r="N30" s="27"/>
    </row>
    <row r="31" customFormat="false" ht="13.5" hidden="false" customHeight="true" outlineLevel="0" collapsed="false">
      <c r="B31" s="24" t="n">
        <f aca="false">Portfolio!B42</f>
        <v>69</v>
      </c>
      <c r="C31" s="25" t="n">
        <f aca="false">IF($O$2="sell",-1,1) *  IF($K$2="call",  NORMDIST(I31,0,1,1),  NORMDIST(I31,0,1,1)-1  ) * $P$2</f>
        <v>-0</v>
      </c>
      <c r="D31" s="25" t="n">
        <f aca="false">IF($O$2="sell",-1,1) * NORMDIST(I31,0,1,0)/(B31*$H$2*SQRT($J$2)) * $P$2</f>
        <v>0</v>
      </c>
      <c r="E31" s="25" t="n">
        <f aca="false">IF($O$2="sell",-1,1) * (B31*NORMDIST(I31,0,1,0)*SQRT($J$2)/365) * $P$2</f>
        <v>0</v>
      </c>
      <c r="F31" s="25" t="n">
        <f aca="false">IF($O$2="sell",-1,1) * (-(B31*NORMDIST(I31,0,1,0)*$H$2)/(2*SQRT($J$2))/365) *$P$2</f>
        <v>-0</v>
      </c>
      <c r="G31" s="25" t="n">
        <f aca="false">IF($O$2="buy",1,-1)*( IF($K$2="call",B31*NORMDIST(I31,0,1,1) - $B$2*NORMDIST(J31,0,1,1),$B$2*NORMDIST(-J31,0,1,1) - B31*NORMDIST(-I31,0,1,1) ) - $G$2) * $P$2</f>
        <v>0</v>
      </c>
      <c r="I31" s="26" t="n">
        <f aca="false">(LN(B31/$B$2)+($H$2^2/2)*($J$2))/($H$2*SQRT($J$2))</f>
        <v>-0.280421522315047</v>
      </c>
      <c r="J31" s="26" t="n">
        <f aca="false">I31 - $H$2*SQRT($J$2)</f>
        <v>-0.40466709653131</v>
      </c>
      <c r="L31" s="2"/>
      <c r="M31" s="27"/>
      <c r="N31" s="27"/>
    </row>
    <row r="32" customFormat="false" ht="13.5" hidden="false" customHeight="true" outlineLevel="0" collapsed="false">
      <c r="B32" s="24" t="n">
        <f aca="false">Portfolio!B43</f>
        <v>68</v>
      </c>
      <c r="C32" s="25" t="n">
        <f aca="false">IF($O$2="sell",-1,1) *  IF($K$2="call",  NORMDIST(I32,0,1,1),  NORMDIST(I32,0,1,1)-1  ) * $P$2</f>
        <v>-0</v>
      </c>
      <c r="D32" s="25" t="n">
        <f aca="false">IF($O$2="sell",-1,1) * NORMDIST(I32,0,1,0)/(B32*$H$2*SQRT($J$2)) * $P$2</f>
        <v>0</v>
      </c>
      <c r="E32" s="25" t="n">
        <f aca="false">IF($O$2="sell",-1,1) * (B32*NORMDIST(I32,0,1,0)*SQRT($J$2)/365) * $P$2</f>
        <v>0</v>
      </c>
      <c r="F32" s="25" t="n">
        <f aca="false">IF($O$2="sell",-1,1) * (-(B32*NORMDIST(I32,0,1,0)*$H$2)/(2*SQRT($J$2))/365) *$P$2</f>
        <v>-0</v>
      </c>
      <c r="G32" s="25" t="n">
        <f aca="false">IF($O$2="buy",1,-1)*( IF($K$2="call",B32*NORMDIST(I32,0,1,1) - $B$2*NORMDIST(J32,0,1,1),$B$2*NORMDIST(-J32,0,1,1) - B32*NORMDIST(-I32,0,1,1) ) - $G$2) * $P$2</f>
        <v>0</v>
      </c>
      <c r="I32" s="26" t="n">
        <f aca="false">(LN(B32/$B$2)+($H$2^2/2)*($J$2))/($H$2*SQRT($J$2))</f>
        <v>-0.397921075222598</v>
      </c>
      <c r="J32" s="26" t="n">
        <f aca="false">I32 - $H$2*SQRT($J$2)</f>
        <v>-0.522166649438861</v>
      </c>
      <c r="L32" s="2"/>
      <c r="M32" s="27"/>
      <c r="N32" s="27"/>
    </row>
    <row r="33" customFormat="false" ht="13.5" hidden="false" customHeight="true" outlineLevel="0" collapsed="false">
      <c r="B33" s="24" t="n">
        <f aca="false">Portfolio!B44</f>
        <v>67</v>
      </c>
      <c r="C33" s="25" t="n">
        <f aca="false">IF($O$2="sell",-1,1) *  IF($K$2="call",  NORMDIST(I33,0,1,1),  NORMDIST(I33,0,1,1)-1  ) * $P$2</f>
        <v>-0</v>
      </c>
      <c r="D33" s="25" t="n">
        <f aca="false">IF($O$2="sell",-1,1) * NORMDIST(I33,0,1,0)/(B33*$H$2*SQRT($J$2)) * $P$2</f>
        <v>0</v>
      </c>
      <c r="E33" s="25" t="n">
        <f aca="false">IF($O$2="sell",-1,1) * (B33*NORMDIST(I33,0,1,0)*SQRT($J$2)/365) * $P$2</f>
        <v>0</v>
      </c>
      <c r="F33" s="25" t="n">
        <f aca="false">IF($O$2="sell",-1,1) * (-(B33*NORMDIST(I33,0,1,0)*$H$2)/(2*SQRT($J$2))/365) *$P$2</f>
        <v>-0</v>
      </c>
      <c r="G33" s="25" t="n">
        <f aca="false">IF($O$2="buy",1,-1)*( IF($K$2="call",B33*NORMDIST(I33,0,1,1) - $B$2*NORMDIST(J33,0,1,1),$B$2*NORMDIST(-J33,0,1,1) - B33*NORMDIST(-I33,0,1,1) ) - $G$2) * $P$2</f>
        <v>0</v>
      </c>
      <c r="I33" s="26" t="n">
        <f aca="false">(LN(B33/$B$2)+($H$2^2/2)*($J$2))/($H$2*SQRT($J$2))</f>
        <v>-0.517161425461178</v>
      </c>
      <c r="J33" s="26" t="n">
        <f aca="false">I33 - $H$2*SQRT($J$2)</f>
        <v>-0.64140699967744</v>
      </c>
      <c r="L33" s="2"/>
      <c r="M33" s="27"/>
      <c r="N33" s="27"/>
    </row>
    <row r="34" customFormat="false" ht="13.5" hidden="false" customHeight="true" outlineLevel="0" collapsed="false">
      <c r="B34" s="24" t="n">
        <f aca="false">Portfolio!B45</f>
        <v>66</v>
      </c>
      <c r="C34" s="25" t="n">
        <f aca="false">IF($O$2="sell",-1,1) *  IF($K$2="call",  NORMDIST(I34,0,1,1),  NORMDIST(I34,0,1,1)-1  ) * $P$2</f>
        <v>-0</v>
      </c>
      <c r="D34" s="25" t="n">
        <f aca="false">IF($O$2="sell",-1,1) * NORMDIST(I34,0,1,0)/(B34*$H$2*SQRT($J$2)) * $P$2</f>
        <v>0</v>
      </c>
      <c r="E34" s="25" t="n">
        <f aca="false">IF($O$2="sell",-1,1) * (B34*NORMDIST(I34,0,1,0)*SQRT($J$2)/365) * $P$2</f>
        <v>0</v>
      </c>
      <c r="F34" s="25" t="n">
        <f aca="false">IF($O$2="sell",-1,1) * (-(B34*NORMDIST(I34,0,1,0)*$H$2)/(2*SQRT($J$2))/365) *$P$2</f>
        <v>-0</v>
      </c>
      <c r="G34" s="25" t="n">
        <f aca="false">IF($O$2="buy",1,-1)*( IF($K$2="call",B34*NORMDIST(I34,0,1,1) - $B$2*NORMDIST(J34,0,1,1),$B$2*NORMDIST(-J34,0,1,1) - B34*NORMDIST(-I34,0,1,1) ) - $G$2) * $P$2</f>
        <v>0</v>
      </c>
      <c r="I34" s="26" t="n">
        <f aca="false">(LN(B34/$B$2)+($H$2^2/2)*($J$2))/($H$2*SQRT($J$2))</f>
        <v>-0.638194930754216</v>
      </c>
      <c r="J34" s="26" t="n">
        <f aca="false">I34 - $H$2*SQRT($J$2)</f>
        <v>-0.762440504970479</v>
      </c>
      <c r="L34" s="2"/>
      <c r="M34" s="27"/>
      <c r="N34" s="27"/>
    </row>
    <row r="35" customFormat="false" ht="13.5" hidden="false" customHeight="true" outlineLevel="0" collapsed="false">
      <c r="B35" s="24" t="n">
        <f aca="false">Portfolio!B46</f>
        <v>65</v>
      </c>
      <c r="C35" s="25" t="n">
        <f aca="false">IF($O$2="sell",-1,1) *  IF($K$2="call",  NORMDIST(I35,0,1,1),  NORMDIST(I35,0,1,1)-1  ) * $P$2</f>
        <v>-0</v>
      </c>
      <c r="D35" s="25" t="n">
        <f aca="false">IF($O$2="sell",-1,1) * NORMDIST(I35,0,1,0)/(B35*$H$2*SQRT($J$2)) * $P$2</f>
        <v>0</v>
      </c>
      <c r="E35" s="25" t="n">
        <f aca="false">IF($O$2="sell",-1,1) * (B35*NORMDIST(I35,0,1,0)*SQRT($J$2)/365) * $P$2</f>
        <v>0</v>
      </c>
      <c r="F35" s="25" t="n">
        <f aca="false">IF($O$2="sell",-1,1) * (-(B35*NORMDIST(I35,0,1,0)*$H$2)/(2*SQRT($J$2))/365) *$P$2</f>
        <v>-0</v>
      </c>
      <c r="G35" s="25" t="n">
        <f aca="false">IF($O$2="buy",1,-1)*( IF($K$2="call",B35*NORMDIST(I35,0,1,1) - $B$2*NORMDIST(J35,0,1,1),$B$2*NORMDIST(-J35,0,1,1) - B35*NORMDIST(-I35,0,1,1) ) - $G$2) * $P$2</f>
        <v>0</v>
      </c>
      <c r="I35" s="26" t="n">
        <f aca="false">(LN(B35/$B$2)+($H$2^2/2)*($J$2))/($H$2*SQRT($J$2))</f>
        <v>-0.761076347071016</v>
      </c>
      <c r="J35" s="26" t="n">
        <f aca="false">I35 - $H$2*SQRT($J$2)</f>
        <v>-0.885321921287278</v>
      </c>
      <c r="L35" s="2"/>
      <c r="M35" s="27"/>
      <c r="N35" s="27"/>
    </row>
    <row r="36" customFormat="false" ht="13.5" hidden="false" customHeight="true" outlineLevel="0" collapsed="false">
      <c r="B36" s="24" t="n">
        <f aca="false">Portfolio!B47</f>
        <v>64</v>
      </c>
      <c r="C36" s="25" t="n">
        <f aca="false">IF($O$2="sell",-1,1) *  IF($K$2="call",  NORMDIST(I36,0,1,1),  NORMDIST(I36,0,1,1)-1  ) * $P$2</f>
        <v>-0</v>
      </c>
      <c r="D36" s="25" t="n">
        <f aca="false">IF($O$2="sell",-1,1) * NORMDIST(I36,0,1,0)/(B36*$H$2*SQRT($J$2)) * $P$2</f>
        <v>0</v>
      </c>
      <c r="E36" s="25" t="n">
        <f aca="false">IF($O$2="sell",-1,1) * (B36*NORMDIST(I36,0,1,0)*SQRT($J$2)/365) * $P$2</f>
        <v>0</v>
      </c>
      <c r="F36" s="25" t="n">
        <f aca="false">IF($O$2="sell",-1,1) * (-(B36*NORMDIST(I36,0,1,0)*$H$2)/(2*SQRT($J$2))/365) *$P$2</f>
        <v>-0</v>
      </c>
      <c r="G36" s="25" t="n">
        <f aca="false">IF($O$2="buy",1,-1)*( IF($K$2="call",B36*NORMDIST(I36,0,1,1) - $B$2*NORMDIST(J36,0,1,1),$B$2*NORMDIST(-J36,0,1,1) - B36*NORMDIST(-I36,0,1,1) ) - $G$2) * $P$2</f>
        <v>0</v>
      </c>
      <c r="I36" s="26" t="n">
        <f aca="false">(LN(B36/$B$2)+($H$2^2/2)*($J$2))/($H$2*SQRT($J$2))</f>
        <v>-0.885862977369643</v>
      </c>
      <c r="J36" s="26" t="n">
        <f aca="false">I36 - $H$2*SQRT($J$2)</f>
        <v>-1.01010855158591</v>
      </c>
      <c r="L36" s="2"/>
      <c r="M36" s="27"/>
      <c r="N36" s="27"/>
    </row>
    <row r="37" customFormat="false" ht="13.5" hidden="false" customHeight="true" outlineLevel="0" collapsed="false">
      <c r="B37" s="24" t="n">
        <f aca="false">Portfolio!B48</f>
        <v>63</v>
      </c>
      <c r="C37" s="25" t="n">
        <f aca="false">IF($O$2="sell",-1,1) *  IF($K$2="call",  NORMDIST(I37,0,1,1),  NORMDIST(I37,0,1,1)-1  ) * $P$2</f>
        <v>-0</v>
      </c>
      <c r="D37" s="25" t="n">
        <f aca="false">IF($O$2="sell",-1,1) * NORMDIST(I37,0,1,0)/(B37*$H$2*SQRT($J$2)) * $P$2</f>
        <v>0</v>
      </c>
      <c r="E37" s="25" t="n">
        <f aca="false">IF($O$2="sell",-1,1) * (B37*NORMDIST(I37,0,1,0)*SQRT($J$2)/365) * $P$2</f>
        <v>0</v>
      </c>
      <c r="F37" s="25" t="n">
        <f aca="false">IF($O$2="sell",-1,1) * (-(B37*NORMDIST(I37,0,1,0)*$H$2)/(2*SQRT($J$2))/365) *$P$2</f>
        <v>-0</v>
      </c>
      <c r="G37" s="25" t="n">
        <f aca="false">IF($O$2="buy",1,-1)*( IF($K$2="call",B37*NORMDIST(I37,0,1,1) - $B$2*NORMDIST(J37,0,1,1),$B$2*NORMDIST(-J37,0,1,1) - B37*NORMDIST(-I37,0,1,1) ) - $G$2) * $P$2</f>
        <v>0</v>
      </c>
      <c r="I37" s="26" t="n">
        <f aca="false">(LN(B37/$B$2)+($H$2^2/2)*($J$2))/($H$2*SQRT($J$2))</f>
        <v>-1.01261483205323</v>
      </c>
      <c r="J37" s="26" t="n">
        <f aca="false">I37 - $H$2*SQRT($J$2)</f>
        <v>-1.1368604062695</v>
      </c>
      <c r="L37" s="2"/>
      <c r="M37" s="27"/>
      <c r="N37" s="27"/>
    </row>
    <row r="38" customFormat="false" ht="13.5" hidden="false" customHeight="true" outlineLevel="0" collapsed="false">
      <c r="B38" s="24" t="n">
        <f aca="false">Portfolio!B49</f>
        <v>62</v>
      </c>
      <c r="C38" s="25" t="n">
        <f aca="false">IF($O$2="sell",-1,1) *  IF($K$2="call",  NORMDIST(I38,0,1,1),  NORMDIST(I38,0,1,1)-1  ) * $P$2</f>
        <v>-0</v>
      </c>
      <c r="D38" s="25" t="n">
        <f aca="false">IF($O$2="sell",-1,1) * NORMDIST(I38,0,1,0)/(B38*$H$2*SQRT($J$2)) * $P$2</f>
        <v>0</v>
      </c>
      <c r="E38" s="25" t="n">
        <f aca="false">IF($O$2="sell",-1,1) * (B38*NORMDIST(I38,0,1,0)*SQRT($J$2)/365) * $P$2</f>
        <v>0</v>
      </c>
      <c r="F38" s="25" t="n">
        <f aca="false">IF($O$2="sell",-1,1) * (-(B38*NORMDIST(I38,0,1,0)*$H$2)/(2*SQRT($J$2))/365) *$P$2</f>
        <v>-0</v>
      </c>
      <c r="G38" s="25" t="n">
        <f aca="false">IF($O$2="buy",1,-1)*( IF($K$2="call",B38*NORMDIST(I38,0,1,1) - $B$2*NORMDIST(J38,0,1,1),$B$2*NORMDIST(-J38,0,1,1) - B38*NORMDIST(-I38,0,1,1) ) - $G$2) * $P$2</f>
        <v>0</v>
      </c>
      <c r="I38" s="26" t="n">
        <f aca="false">(LN(B38/$B$2)+($H$2^2/2)*($J$2))/($H$2*SQRT($J$2))</f>
        <v>-1.14139480226441</v>
      </c>
      <c r="J38" s="26" t="n">
        <f aca="false">I38 - $H$2*SQRT($J$2)</f>
        <v>-1.26564037648068</v>
      </c>
      <c r="L38" s="2"/>
      <c r="M38" s="27"/>
      <c r="N38" s="27"/>
    </row>
    <row r="39" customFormat="false" ht="13.5" hidden="false" customHeight="true" outlineLevel="0" collapsed="false">
      <c r="B39" s="24" t="n">
        <f aca="false">Portfolio!B50</f>
        <v>61</v>
      </c>
      <c r="C39" s="25" t="n">
        <f aca="false">IF($O$2="sell",-1,1) *  IF($K$2="call",  NORMDIST(I39,0,1,1),  NORMDIST(I39,0,1,1)-1  ) * $P$2</f>
        <v>-0</v>
      </c>
      <c r="D39" s="25" t="n">
        <f aca="false">IF($O$2="sell",-1,1) * NORMDIST(I39,0,1,0)/(B39*$H$2*SQRT($J$2)) * $P$2</f>
        <v>0</v>
      </c>
      <c r="E39" s="25" t="n">
        <f aca="false">IF($O$2="sell",-1,1) * (B39*NORMDIST(I39,0,1,0)*SQRT($J$2)/365) * $P$2</f>
        <v>0</v>
      </c>
      <c r="F39" s="25" t="n">
        <f aca="false">IF($O$2="sell",-1,1) * (-(B39*NORMDIST(I39,0,1,0)*$H$2)/(2*SQRT($J$2))/365) *$P$2</f>
        <v>-0</v>
      </c>
      <c r="G39" s="25" t="n">
        <f aca="false">IF($O$2="buy",1,-1)*( IF($K$2="call",B39*NORMDIST(I39,0,1,1) - $B$2*NORMDIST(J39,0,1,1),$B$2*NORMDIST(-J39,0,1,1) - B39*NORMDIST(-I39,0,1,1) ) - $G$2) * $P$2</f>
        <v>0</v>
      </c>
      <c r="I39" s="26" t="n">
        <f aca="false">(LN(B39/$B$2)+($H$2^2/2)*($J$2))/($H$2*SQRT($J$2))</f>
        <v>-1.27226884727045</v>
      </c>
      <c r="J39" s="26" t="n">
        <f aca="false">I39 - $H$2*SQRT($J$2)</f>
        <v>-1.39651442148672</v>
      </c>
      <c r="L39" s="2"/>
      <c r="M39" s="27"/>
      <c r="N39" s="27"/>
    </row>
    <row r="40" customFormat="false" ht="13.5" hidden="false" customHeight="true" outlineLevel="0" collapsed="false">
      <c r="B40" s="24" t="n">
        <f aca="false">Portfolio!B51</f>
        <v>60</v>
      </c>
      <c r="C40" s="25" t="n">
        <f aca="false">IF($O$2="sell",-1,1) *  IF($K$2="call",  NORMDIST(I40,0,1,1),  NORMDIST(I40,0,1,1)-1  ) * $P$2</f>
        <v>-0</v>
      </c>
      <c r="D40" s="25" t="n">
        <f aca="false">IF($O$2="sell",-1,1) * NORMDIST(I40,0,1,0)/(B40*$H$2*SQRT($J$2)) * $P$2</f>
        <v>0</v>
      </c>
      <c r="E40" s="25" t="n">
        <f aca="false">IF($O$2="sell",-1,1) * (B40*NORMDIST(I40,0,1,0)*SQRT($J$2)/365) * $P$2</f>
        <v>0</v>
      </c>
      <c r="F40" s="25" t="n">
        <f aca="false">IF($O$2="sell",-1,1) * (-(B40*NORMDIST(I40,0,1,0)*$H$2)/(2*SQRT($J$2))/365) *$P$2</f>
        <v>-0</v>
      </c>
      <c r="G40" s="25" t="n">
        <f aca="false">IF($O$2="buy",1,-1)*( IF($K$2="call",B40*NORMDIST(I40,0,1,1) - $B$2*NORMDIST(J40,0,1,1),$B$2*NORMDIST(-J40,0,1,1) - B40*NORMDIST(-I40,0,1,1) ) - $G$2) * $P$2</f>
        <v>0</v>
      </c>
      <c r="I40" s="26" t="n">
        <f aca="false">(LN(B40/$B$2)+($H$2^2/2)*($J$2))/($H$2*SQRT($J$2))</f>
        <v>-1.40530619733686</v>
      </c>
      <c r="J40" s="26" t="n">
        <f aca="false">I40 - $H$2*SQRT($J$2)</f>
        <v>-1.52955177155312</v>
      </c>
      <c r="L40" s="2"/>
      <c r="M40" s="27"/>
      <c r="N40" s="27"/>
    </row>
    <row r="41" customFormat="false" ht="13.5" hidden="false" customHeight="true" outlineLevel="0" collapsed="false">
      <c r="B41" s="24" t="n">
        <f aca="false">Portfolio!B52</f>
        <v>59</v>
      </c>
      <c r="C41" s="25" t="n">
        <f aca="false">IF($O$2="sell",-1,1) *  IF($K$2="call",  NORMDIST(I41,0,1,1),  NORMDIST(I41,0,1,1)-1  ) * $P$2</f>
        <v>-0</v>
      </c>
      <c r="D41" s="25" t="n">
        <f aca="false">IF($O$2="sell",-1,1) * NORMDIST(I41,0,1,0)/(B41*$H$2*SQRT($J$2)) * $P$2</f>
        <v>0</v>
      </c>
      <c r="E41" s="25" t="n">
        <f aca="false">IF($O$2="sell",-1,1) * (B41*NORMDIST(I41,0,1,0)*SQRT($J$2)/365) * $P$2</f>
        <v>0</v>
      </c>
      <c r="F41" s="25" t="n">
        <f aca="false">IF($O$2="sell",-1,1) * (-(B41*NORMDIST(I41,0,1,0)*$H$2)/(2*SQRT($J$2))/365) *$P$2</f>
        <v>-0</v>
      </c>
      <c r="G41" s="25" t="n">
        <f aca="false">IF($O$2="buy",1,-1)*( IF($K$2="call",B41*NORMDIST(I41,0,1,1) - $B$2*NORMDIST(J41,0,1,1),$B$2*NORMDIST(-J41,0,1,1) - B41*NORMDIST(-I41,0,1,1) ) - $G$2) * $P$2</f>
        <v>0</v>
      </c>
      <c r="I41" s="26" t="n">
        <f aca="false">(LN(B41/$B$2)+($H$2^2/2)*($J$2))/($H$2*SQRT($J$2))</f>
        <v>-1.54057957365147</v>
      </c>
      <c r="J41" s="26" t="n">
        <f aca="false">I41 - $H$2*SQRT($J$2)</f>
        <v>-1.66482514786773</v>
      </c>
      <c r="L41" s="2"/>
      <c r="M41" s="27"/>
      <c r="N41" s="27"/>
    </row>
    <row r="42" customFormat="false" ht="13.5" hidden="false" customHeight="true" outlineLevel="0" collapsed="false">
      <c r="B42" s="24" t="n">
        <f aca="false">Portfolio!B53</f>
        <v>58</v>
      </c>
      <c r="C42" s="25" t="n">
        <f aca="false">IF($O$2="sell",-1,1) *  IF($K$2="call",  NORMDIST(I42,0,1,1),  NORMDIST(I42,0,1,1)-1  ) * $P$2</f>
        <v>-0</v>
      </c>
      <c r="D42" s="25" t="n">
        <f aca="false">IF($O$2="sell",-1,1) * NORMDIST(I42,0,1,0)/(B42*$H$2*SQRT($J$2)) * $P$2</f>
        <v>0</v>
      </c>
      <c r="E42" s="25" t="n">
        <f aca="false">IF($O$2="sell",-1,1) * (B42*NORMDIST(I42,0,1,0)*SQRT($J$2)/365) * $P$2</f>
        <v>0</v>
      </c>
      <c r="F42" s="25" t="n">
        <f aca="false">IF($O$2="sell",-1,1) * (-(B42*NORMDIST(I42,0,1,0)*$H$2)/(2*SQRT($J$2))/365) *$P$2</f>
        <v>-0</v>
      </c>
      <c r="G42" s="25" t="n">
        <f aca="false">IF($O$2="buy",1,-1)*( IF($K$2="call",B42*NORMDIST(I42,0,1,1) - $B$2*NORMDIST(J42,0,1,1),$B$2*NORMDIST(-J42,0,1,1) - B42*NORMDIST(-I42,0,1,1) ) - $G$2) * $P$2</f>
        <v>0</v>
      </c>
      <c r="I42" s="26" t="n">
        <f aca="false">(LN(B42/$B$2)+($H$2^2/2)*($J$2))/($H$2*SQRT($J$2))</f>
        <v>-1.67816542704811</v>
      </c>
      <c r="J42" s="26" t="n">
        <f aca="false">I42 - $H$2*SQRT($J$2)</f>
        <v>-1.80241100126437</v>
      </c>
      <c r="L42" s="2"/>
      <c r="M42" s="27"/>
      <c r="N42" s="27"/>
    </row>
    <row r="43" customFormat="false" ht="13.5" hidden="false" customHeight="true" outlineLevel="0" collapsed="false">
      <c r="B43" s="24" t="n">
        <f aca="false">Portfolio!B54</f>
        <v>57</v>
      </c>
      <c r="C43" s="25" t="n">
        <f aca="false">IF($O$2="sell",-1,1) *  IF($K$2="call",  NORMDIST(I43,0,1,1),  NORMDIST(I43,0,1,1)-1  ) * $P$2</f>
        <v>-0</v>
      </c>
      <c r="D43" s="25" t="n">
        <f aca="false">IF($O$2="sell",-1,1) * NORMDIST(I43,0,1,0)/(B43*$H$2*SQRT($J$2)) * $P$2</f>
        <v>0</v>
      </c>
      <c r="E43" s="25" t="n">
        <f aca="false">IF($O$2="sell",-1,1) * (B43*NORMDIST(I43,0,1,0)*SQRT($J$2)/365) * $P$2</f>
        <v>0</v>
      </c>
      <c r="F43" s="25" t="n">
        <f aca="false">IF($O$2="sell",-1,1) * (-(B43*NORMDIST(I43,0,1,0)*$H$2)/(2*SQRT($J$2))/365) *$P$2</f>
        <v>-0</v>
      </c>
      <c r="G43" s="25" t="n">
        <f aca="false">IF($O$2="buy",1,-1)*( IF($K$2="call",B43*NORMDIST(I43,0,1,1) - $B$2*NORMDIST(J43,0,1,1),$B$2*NORMDIST(-J43,0,1,1) - B43*NORMDIST(-I43,0,1,1) ) - $G$2) * $P$2</f>
        <v>0</v>
      </c>
      <c r="I43" s="26" t="n">
        <f aca="false">(LN(B43/$B$2)+($H$2^2/2)*($J$2))/($H$2*SQRT($J$2))</f>
        <v>-1.81814419749185</v>
      </c>
      <c r="J43" s="26" t="n">
        <f aca="false">I43 - $H$2*SQRT($J$2)</f>
        <v>-1.94238977170812</v>
      </c>
      <c r="L43" s="2"/>
      <c r="M43" s="27"/>
      <c r="N43" s="27"/>
    </row>
    <row r="45" customFormat="false" ht="17.25" hidden="false" customHeight="true" outlineLevel="0" collapsed="false">
      <c r="A45" s="2" t="str">
        <f aca="false">A3</f>
        <v>SOL-1MAY26-74-P-USDT</v>
      </c>
      <c r="B45" s="23"/>
      <c r="C45" s="19" t="s">
        <v>13</v>
      </c>
      <c r="D45" s="19" t="s">
        <v>14</v>
      </c>
      <c r="E45" s="19" t="s">
        <v>15</v>
      </c>
      <c r="F45" s="19" t="s">
        <v>16</v>
      </c>
      <c r="G45" s="19" t="s">
        <v>17</v>
      </c>
      <c r="I45" s="19" t="s">
        <v>158</v>
      </c>
      <c r="J45" s="19" t="s">
        <v>159</v>
      </c>
    </row>
    <row r="46" customFormat="false" ht="13.5" hidden="false" customHeight="true" outlineLevel="0" collapsed="false">
      <c r="B46" s="24" t="n">
        <f aca="false">B17</f>
        <v>83</v>
      </c>
      <c r="C46" s="25" t="n">
        <f aca="false">IF($O$3="sell",-1,1) *  IF($K$3="call",  NORMDIST(I46,0,1,1),  NORMDIST(I46,0,1,1)-1  ) * $P$3</f>
        <v>-0.455390265237012</v>
      </c>
      <c r="D46" s="25" t="n">
        <f aca="false">IF($O$3="sell",-1,1) * NORMDIST(I46,0,1,0)/(B46*$H$3*SQRT($J$3)) * $P$3</f>
        <v>0.0717573608705477</v>
      </c>
      <c r="E46" s="25" t="n">
        <f aca="false">IF($O$3="sell",-1,1) * (B46*NORMDIST(I46,0,1,0)*SQRT($J$3)/365) * $P$3</f>
        <v>0.0278323763977644</v>
      </c>
      <c r="F46" s="25" t="n">
        <f aca="false">IF($O$3="sell",-1,1) * (-(B46*NORMDIST(I46,0,1,0)*$H$3)/(2*SQRT($J$3))/365) *$P$3</f>
        <v>-0.314877162498044</v>
      </c>
      <c r="G46" s="25" t="n">
        <f aca="false">IF($O$3="buy",1,-1)*( IF($K$3="call",B46*NORMDIST(I46,0,1,1) - $B$3*NORMDIST(J46,0,1,1),$B$3*NORMDIST(-J46,0,1,1) - B46*NORMDIST(-I46,0,1,1) ) - $G$3) * $P$3</f>
        <v>-2.61632786469828</v>
      </c>
      <c r="I46" s="73" t="n">
        <f aca="false">(LN(B46/$B$3)+($H$3^2/2)*($J$3))/($H$3*SQRT($J$3))</f>
        <v>1.02875778158768</v>
      </c>
      <c r="J46" s="26" t="n">
        <f aca="false">I46 - $H$3*SQRT($J$3)</f>
        <v>0.910379889931862</v>
      </c>
    </row>
    <row r="47" customFormat="false" ht="13.5" hidden="false" customHeight="true" outlineLevel="0" collapsed="false">
      <c r="B47" s="24" t="n">
        <f aca="false">B18</f>
        <v>82</v>
      </c>
      <c r="C47" s="25" t="n">
        <f aca="false">IF($O$3="sell",-1,1) *  IF($K$3="call",  NORMDIST(I47,0,1,1),  NORMDIST(I47,0,1,1)-1  ) * $P$3</f>
        <v>-0.531386589508601</v>
      </c>
      <c r="D47" s="25" t="n">
        <f aca="false">IF($O$3="sell",-1,1) * NORMDIST(I47,0,1,0)/(B47*$H$3*SQRT($J$3)) * $P$3</f>
        <v>0.080279117105196</v>
      </c>
      <c r="E47" s="25" t="n">
        <f aca="false">IF($O$3="sell",-1,1) * (B47*NORMDIST(I47,0,1,0)*SQRT($J$3)/365) * $P$3</f>
        <v>0.0303919061191226</v>
      </c>
      <c r="F47" s="25" t="n">
        <f aca="false">IF($O$3="sell",-1,1) * (-(B47*NORMDIST(I47,0,1,0)*$H$3)/(2*SQRT($J$3))/365) *$P$3</f>
        <v>-0.34383399480272</v>
      </c>
      <c r="G47" s="25" t="n">
        <f aca="false">IF($O$3="buy",1,-1)*( IF($K$3="call",B47*NORMDIST(I47,0,1,1) - $B$3*NORMDIST(J47,0,1,1),$B$3*NORMDIST(-J47,0,1,1) - B47*NORMDIST(-I47,0,1,1) ) - $G$3) * $P$3</f>
        <v>-2.12364979543761</v>
      </c>
      <c r="I47" s="73" t="n">
        <f aca="false">(LN(B47/$B$3)+($H$3^2/2)*($J$3))/($H$3*SQRT($J$3))</f>
        <v>0.926362305854867</v>
      </c>
      <c r="J47" s="26" t="n">
        <f aca="false">I47 - $H$3*SQRT($J$3)</f>
        <v>0.807984414199049</v>
      </c>
      <c r="L47" s="2"/>
    </row>
    <row r="48" customFormat="false" ht="13.5" hidden="false" customHeight="true" outlineLevel="0" collapsed="false">
      <c r="B48" s="24" t="n">
        <f aca="false">B19</f>
        <v>81</v>
      </c>
      <c r="C48" s="25" t="n">
        <f aca="false">IF($O$3="sell",-1,1) *  IF($K$3="call",  NORMDIST(I48,0,1,1),  NORMDIST(I48,0,1,1)-1  ) * $P$3</f>
        <v>-0.616009038873319</v>
      </c>
      <c r="D48" s="25" t="n">
        <f aca="false">IF($O$3="sell",-1,1) * NORMDIST(I48,0,1,0)/(B48*$H$3*SQRT($J$3)) * $P$3</f>
        <v>0.0889813652090509</v>
      </c>
      <c r="E48" s="25" t="n">
        <f aca="false">IF($O$3="sell",-1,1) * (B48*NORMDIST(I48,0,1,0)*SQRT($J$3)/365) * $P$3</f>
        <v>0.032869776352695</v>
      </c>
      <c r="F48" s="25" t="n">
        <f aca="false">IF($O$3="sell",-1,1) * (-(B48*NORMDIST(I48,0,1,0)*$H$3)/(2*SQRT($J$3))/365) *$P$3</f>
        <v>-0.371866985483614</v>
      </c>
      <c r="G48" s="25" t="n">
        <f aca="false">IF($O$3="buy",1,-1)*( IF($K$3="call",B48*NORMDIST(I48,0,1,1) - $B$3*NORMDIST(J48,0,1,1),$B$3*NORMDIST(-J48,0,1,1) - B48*NORMDIST(-I48,0,1,1) ) - $G$3) * $P$3</f>
        <v>-1.55067742724389</v>
      </c>
      <c r="I48" s="73" t="n">
        <f aca="false">(LN(B48/$B$3)+($H$3^2/2)*($J$3))/($H$3*SQRT($J$3))</f>
        <v>0.822710412581675</v>
      </c>
      <c r="J48" s="26" t="n">
        <f aca="false">I48 - $H$3*SQRT($J$3)</f>
        <v>0.704332520925856</v>
      </c>
      <c r="L48" s="2"/>
      <c r="M48" s="27"/>
    </row>
    <row r="49" customFormat="false" ht="13.5" hidden="false" customHeight="true" outlineLevel="0" collapsed="false">
      <c r="B49" s="24" t="n">
        <f aca="false">B20</f>
        <v>80</v>
      </c>
      <c r="C49" s="25" t="n">
        <f aca="false">IF($O$3="sell",-1,1) *  IF($K$3="call",  NORMDIST(I49,0,1,1),  NORMDIST(I49,0,1,1)-1  ) * $P$3</f>
        <v>-0.709347851958783</v>
      </c>
      <c r="D49" s="25" t="n">
        <f aca="false">IF($O$3="sell",-1,1) * NORMDIST(I49,0,1,0)/(B49*$H$3*SQRT($J$3)) * $P$3</f>
        <v>0.0976781780867699</v>
      </c>
      <c r="E49" s="25" t="n">
        <f aca="false">IF($O$3="sell",-1,1) * (B49*NORMDIST(I49,0,1,0)*SQRT($J$3)/365) * $P$3</f>
        <v>0.0351969613396189</v>
      </c>
      <c r="F49" s="25" t="n">
        <f aca="false">IF($O$3="sell",-1,1) * (-(B49*NORMDIST(I49,0,1,0)*$H$3)/(2*SQRT($J$3))/365) *$P$3</f>
        <v>-0.398195222599202</v>
      </c>
      <c r="G49" s="25" t="n">
        <f aca="false">IF($O$3="buy",1,-1)*( IF($K$3="call",B49*NORMDIST(I49,0,1,1) - $B$3*NORMDIST(J49,0,1,1),$B$3*NORMDIST(-J49,0,1,1) - B49*NORMDIST(-I49,0,1,1) ) - $G$3) * $P$3</f>
        <v>-0.88872401781828</v>
      </c>
      <c r="I49" s="73" t="n">
        <f aca="false">(LN(B49/$B$3)+($H$3^2/2)*($J$3))/($H$3*SQRT($J$3))</f>
        <v>0.717770885235849</v>
      </c>
      <c r="J49" s="26" t="n">
        <f aca="false">I49 - $H$3*SQRT($J$3)</f>
        <v>0.59939299358003</v>
      </c>
      <c r="L49" s="2"/>
      <c r="M49" s="27"/>
      <c r="N49" s="27"/>
    </row>
    <row r="50" customFormat="false" ht="13.5" hidden="false" customHeight="true" outlineLevel="0" collapsed="false">
      <c r="B50" s="24" t="n">
        <f aca="false">B21</f>
        <v>79</v>
      </c>
      <c r="C50" s="25" t="n">
        <f aca="false">IF($O$3="sell",-1,1) *  IF($K$3="call",  NORMDIST(I50,0,1,1),  NORMDIST(I50,0,1,1)-1  ) * $P$3</f>
        <v>-0.811291680640674</v>
      </c>
      <c r="D50" s="25" t="n">
        <f aca="false">IF($O$3="sell",-1,1) * NORMDIST(I50,0,1,0)/(B50*$H$3*SQRT($J$3)) * $P$3</f>
        <v>0.10615299780127</v>
      </c>
      <c r="E50" s="25" t="n">
        <f aca="false">IF($O$3="sell",-1,1) * (B50*NORMDIST(I50,0,1,0)*SQRT($J$3)/365) * $P$3</f>
        <v>0.037300451832286</v>
      </c>
      <c r="F50" s="25" t="n">
        <f aca="false">IF($O$3="sell",-1,1) * (-(B50*NORMDIST(I50,0,1,0)*$H$3)/(2*SQRT($J$3))/365) *$P$3</f>
        <v>-0.421992727641776</v>
      </c>
      <c r="G50" s="25" t="n">
        <f aca="false">IF($O$3="buy",1,-1)*( IF($K$3="call",B50*NORMDIST(I50,0,1,1) - $B$3*NORMDIST(J50,0,1,1),$B$3*NORMDIST(-J50,0,1,1) - B50*NORMDIST(-I50,0,1,1) ) - $G$3) * $P$3</f>
        <v>-0.129110823447277</v>
      </c>
      <c r="I50" s="73" t="n">
        <f aca="false">(LN(B50/$B$3)+($H$3^2/2)*($J$3))/($H$3*SQRT($J$3))</f>
        <v>0.611511329241789</v>
      </c>
      <c r="J50" s="26" t="n">
        <f aca="false">I50 - $H$3*SQRT($J$3)</f>
        <v>0.49313343758597</v>
      </c>
      <c r="L50" s="2"/>
      <c r="M50" s="27"/>
      <c r="N50" s="27"/>
    </row>
    <row r="51" customFormat="false" ht="13.5" hidden="false" customHeight="true" outlineLevel="0" collapsed="false">
      <c r="B51" s="24" t="n">
        <f aca="false">B22</f>
        <v>78</v>
      </c>
      <c r="C51" s="25" t="n">
        <f aca="false">IF($O$3="sell",-1,1) *  IF($K$3="call",  NORMDIST(I51,0,1,1),  NORMDIST(I51,0,1,1)-1  ) * $P$3</f>
        <v>-0.921499466110553</v>
      </c>
      <c r="D51" s="25" t="n">
        <f aca="false">IF($O$3="sell",-1,1) * NORMDIST(I51,0,1,0)/(B51*$H$3*SQRT($J$3)) * $P$3</f>
        <v>0.114164096228144</v>
      </c>
      <c r="E51" s="25" t="n">
        <f aca="false">IF($O$3="sell",-1,1) * (B51*NORMDIST(I51,0,1,0)*SQRT($J$3)/365) * $P$3</f>
        <v>0.0391062700530346</v>
      </c>
      <c r="F51" s="25" t="n">
        <f aca="false">IF($O$3="sell",-1,1) * (-(B51*NORMDIST(I51,0,1,0)*$H$3)/(2*SQRT($J$3))/365) *$P$3</f>
        <v>-0.442422564792953</v>
      </c>
      <c r="G51" s="25" t="n">
        <f aca="false">IF($O$3="buy",1,-1)*( IF($K$3="call",B51*NORMDIST(I51,0,1,1) - $B$3*NORMDIST(J51,0,1,1),$B$3*NORMDIST(-J51,0,1,1) - B51*NORMDIST(-I51,0,1,1) ) - $G$3) * $P$3</f>
        <v>0.736616797446214</v>
      </c>
      <c r="I51" s="73" t="n">
        <f aca="false">(LN(B51/$B$3)+($H$3^2/2)*($J$3))/($H$3*SQRT($J$3))</f>
        <v>0.503898111948915</v>
      </c>
      <c r="J51" s="26" t="n">
        <f aca="false">I51 - $H$3*SQRT($J$3)</f>
        <v>0.385520220293097</v>
      </c>
      <c r="L51" s="2"/>
      <c r="M51" s="27"/>
      <c r="N51" s="27"/>
    </row>
    <row r="52" customFormat="false" ht="13.5" hidden="false" customHeight="true" outlineLevel="0" collapsed="false">
      <c r="B52" s="24" t="n">
        <f aca="false">B23</f>
        <v>77</v>
      </c>
      <c r="C52" s="25" t="n">
        <f aca="false">IF($O$3="sell",-1,1) *  IF($K$3="call",  NORMDIST(I52,0,1,1),  NORMDIST(I52,0,1,1)-1  ) * $P$3</f>
        <v>-1.03937913249209</v>
      </c>
      <c r="D52" s="25" t="n">
        <f aca="false">IF($O$3="sell",-1,1) * NORMDIST(I52,0,1,0)/(B52*$H$3*SQRT($J$3)) * $P$3</f>
        <v>0.121452758600147</v>
      </c>
      <c r="E52" s="25" t="n">
        <f aca="false">IF($O$3="sell",-1,1) * (B52*NORMDIST(I52,0,1,0)*SQRT($J$3)/365) * $P$3</f>
        <v>0.0405430559363273</v>
      </c>
      <c r="F52" s="25" t="n">
        <f aca="false">IF($O$3="sell",-1,1) * (-(B52*NORMDIST(I52,0,1,0)*$H$3)/(2*SQRT($J$3))/365) *$P$3</f>
        <v>-0.458677413304013</v>
      </c>
      <c r="G52" s="25" t="n">
        <f aca="false">IF($O$3="buy",1,-1)*( IF($K$3="call",B52*NORMDIST(I52,0,1,1) - $B$3*NORMDIST(J52,0,1,1),$B$3*NORMDIST(-J52,0,1,1) - B52*NORMDIST(-I52,0,1,1) ) - $G$3) * $P$3</f>
        <v>1.71644833838286</v>
      </c>
      <c r="I52" s="73" t="n">
        <f aca="false">(LN(B52/$B$3)+($H$3^2/2)*($J$3))/($H$3*SQRT($J$3))</f>
        <v>0.394896298726695</v>
      </c>
      <c r="J52" s="26" t="n">
        <f aca="false">I52 - $H$3*SQRT($J$3)</f>
        <v>0.276518407070877</v>
      </c>
      <c r="L52" s="2"/>
      <c r="M52" s="27"/>
      <c r="N52" s="27"/>
    </row>
    <row r="53" customFormat="false" ht="13.5" hidden="false" customHeight="true" outlineLevel="0" collapsed="false">
      <c r="B53" s="24" t="n">
        <f aca="false">B24</f>
        <v>76</v>
      </c>
      <c r="C53" s="25" t="n">
        <f aca="false">IF($O$3="sell",-1,1) *  IF($K$3="call",  NORMDIST(I53,0,1,1),  NORMDIST(I53,0,1,1)-1  ) * $P$3</f>
        <v>-1.1640758090652</v>
      </c>
      <c r="D53" s="25" t="n">
        <f aca="false">IF($O$3="sell",-1,1) * NORMDIST(I53,0,1,0)/(B53*$H$3*SQRT($J$3)) * $P$3</f>
        <v>0.127754125441329</v>
      </c>
      <c r="E53" s="25" t="n">
        <f aca="false">IF($O$3="sell",-1,1) * (B53*NORMDIST(I53,0,1,0)*SQRT($J$3)/365) * $P$3</f>
        <v>0.0415460524013066</v>
      </c>
      <c r="F53" s="25" t="n">
        <f aca="false">IF($O$3="sell",-1,1) * (-(B53*NORMDIST(I53,0,1,0)*$H$3)/(2*SQRT($J$3))/365) *$P$3</f>
        <v>-0.470024654242936</v>
      </c>
      <c r="G53" s="25" t="n">
        <f aca="false">IF($O$3="buy",1,-1)*( IF($K$3="call",B53*NORMDIST(I53,0,1,1) - $B$3*NORMDIST(J53,0,1,1),$B$3*NORMDIST(-J53,0,1,1) - B53*NORMDIST(-I53,0,1,1) ) - $G$3) * $P$3</f>
        <v>2.81765033492048</v>
      </c>
      <c r="I53" s="73" t="n">
        <f aca="false">(LN(B53/$B$3)+($H$3^2/2)*($J$3))/($H$3*SQRT($J$3))</f>
        <v>0.284469584882528</v>
      </c>
      <c r="J53" s="26" t="n">
        <f aca="false">I53 - $H$3*SQRT($J$3)</f>
        <v>0.16609169322671</v>
      </c>
      <c r="L53" s="2"/>
      <c r="M53" s="27"/>
      <c r="N53" s="27"/>
    </row>
    <row r="54" customFormat="false" ht="13.5" hidden="false" customHeight="true" outlineLevel="0" collapsed="false">
      <c r="B54" s="24" t="n">
        <f aca="false">B25</f>
        <v>75</v>
      </c>
      <c r="C54" s="25" t="n">
        <f aca="false">IF($O$3="sell",-1,1) *  IF($K$3="call",  NORMDIST(I54,0,1,1),  NORMDIST(I54,0,1,1)-1  ) * $P$3</f>
        <v>-1.29447209749187</v>
      </c>
      <c r="D54" s="25" t="n">
        <f aca="false">IF($O$3="sell",-1,1) * NORMDIST(I54,0,1,0)/(B54*$H$3*SQRT($J$3)) * $P$3</f>
        <v>0.13281036106402</v>
      </c>
      <c r="E54" s="25" t="n">
        <f aca="false">IF($O$3="sell",-1,1) * (B54*NORMDIST(I54,0,1,0)*SQRT($J$3)/365) * $P$3</f>
        <v>0.0420612457109494</v>
      </c>
      <c r="F54" s="25" t="n">
        <f aca="false">IF($O$3="sell",-1,1) * (-(B54*NORMDIST(I54,0,1,0)*$H$3)/(2*SQRT($J$3))/365) *$P$3</f>
        <v>-0.475853211789008</v>
      </c>
      <c r="G54" s="25" t="n">
        <f aca="false">IF($O$3="buy",1,-1)*( IF($K$3="call",B54*NORMDIST(I54,0,1,1) - $B$3*NORMDIST(J54,0,1,1),$B$3*NORMDIST(-J54,0,1,1) - B54*NORMDIST(-I54,0,1,1) ) - $G$3) * $P$3</f>
        <v>4.04650260517445</v>
      </c>
      <c r="I54" s="73" t="n">
        <f aca="false">(LN(B54/$B$3)+($H$3^2/2)*($J$3))/($H$3*SQRT($J$3))</f>
        <v>0.172580223070521</v>
      </c>
      <c r="J54" s="26" t="n">
        <f aca="false">I54 - $H$3*SQRT($J$3)</f>
        <v>0.0542023314147024</v>
      </c>
      <c r="L54" s="2"/>
      <c r="M54" s="27"/>
      <c r="N54" s="27"/>
    </row>
    <row r="55" customFormat="false" ht="13.5" hidden="false" customHeight="true" outlineLevel="0" collapsed="false">
      <c r="B55" s="24" t="n">
        <f aca="false">B26</f>
        <v>74</v>
      </c>
      <c r="C55" s="25" t="n">
        <f aca="false">IF($O$3="sell",-1,1) *  IF($K$3="call",  NORMDIST(I55,0,1,1),  NORMDIST(I55,0,1,1)-1  ) * $P$3</f>
        <v>-1.42920242123773</v>
      </c>
      <c r="D55" s="25" t="n">
        <f aca="false">IF($O$3="sell",-1,1) * NORMDIST(I55,0,1,0)/(B55*$H$3*SQRT($J$3)) * $P$3</f>
        <v>0.136385519184209</v>
      </c>
      <c r="E55" s="25" t="n">
        <f aca="false">IF($O$3="sell",-1,1) * (B55*NORMDIST(I55,0,1,0)*SQRT($J$3)/365) * $P$3</f>
        <v>0.0420493558663029</v>
      </c>
      <c r="F55" s="25" t="n">
        <f aca="false">IF($O$3="sell",-1,1) * (-(B55*NORMDIST(I55,0,1,0)*$H$3)/(2*SQRT($J$3))/365) *$P$3</f>
        <v>-0.475718697923167</v>
      </c>
      <c r="G55" s="25" t="n">
        <f aca="false">IF($O$3="buy",1,-1)*( IF($K$3="call",B55*NORMDIST(I55,0,1,1) - $B$3*NORMDIST(J55,0,1,1),$B$3*NORMDIST(-J55,0,1,1) - B55*NORMDIST(-I55,0,1,1) ) - $G$3) * $P$3</f>
        <v>5.40804165681553</v>
      </c>
      <c r="I55" s="73" t="n">
        <f aca="false">(LN(B55/$B$3)+($H$3^2/2)*($J$3))/($H$3*SQRT($J$3))</f>
        <v>0.0591889458279093</v>
      </c>
      <c r="J55" s="26" t="n">
        <f aca="false">I55 - $H$3*SQRT($J$3)</f>
        <v>-0.0591889458279093</v>
      </c>
      <c r="L55" s="2"/>
      <c r="M55" s="27"/>
      <c r="N55" s="27"/>
    </row>
    <row r="56" customFormat="false" ht="13.5" hidden="false" customHeight="true" outlineLevel="0" collapsed="false">
      <c r="B56" s="24" t="n">
        <f aca="false">B27</f>
        <v>73</v>
      </c>
      <c r="C56" s="25" t="n">
        <f aca="false">IF($O$3="sell",-1,1) *  IF($K$3="call",  NORMDIST(I56,0,1,1),  NORMDIST(I56,0,1,1)-1  ) * $P$3</f>
        <v>-1.56668271440405</v>
      </c>
      <c r="D56" s="25" t="n">
        <f aca="false">IF($O$3="sell",-1,1) * NORMDIST(I56,0,1,0)/(B56*$H$3*SQRT($J$3)) * $P$3</f>
        <v>0.138281178018953</v>
      </c>
      <c r="E56" s="25" t="n">
        <f aca="false">IF($O$3="sell",-1,1) * (B56*NORMDIST(I56,0,1,0)*SQRT($J$3)/365) * $P$3</f>
        <v>0.0414893315280945</v>
      </c>
      <c r="F56" s="25" t="n">
        <f aca="false">IF($O$3="sell",-1,1) * (-(B56*NORMDIST(I56,0,1,0)*$H$3)/(2*SQRT($J$3))/365) *$P$3</f>
        <v>-0.469382951667627</v>
      </c>
      <c r="G56" s="25" t="n">
        <f aca="false">IF($O$3="buy",1,-1)*( IF($K$3="call",B56*NORMDIST(I56,0,1,1) - $B$3*NORMDIST(J56,0,1,1),$B$3*NORMDIST(-J56,0,1,1) - B56*NORMDIST(-I56,0,1,1) ) - $G$3) * $P$3</f>
        <v>6.9058260487023</v>
      </c>
      <c r="I56" s="73" t="n">
        <f aca="false">(LN(B56/$B$3)+($H$3^2/2)*($J$3))/($H$3*SQRT($J$3))</f>
        <v>-0.055745117158588</v>
      </c>
      <c r="J56" s="26" t="n">
        <f aca="false">I56 - $H$3*SQRT($J$3)</f>
        <v>-0.174123008814407</v>
      </c>
      <c r="L56" s="2"/>
      <c r="M56" s="27"/>
      <c r="N56" s="27"/>
    </row>
    <row r="57" customFormat="false" ht="13.5" hidden="false" customHeight="true" outlineLevel="0" collapsed="false">
      <c r="B57" s="24" t="n">
        <f aca="false">B28</f>
        <v>72</v>
      </c>
      <c r="C57" s="25" t="n">
        <f aca="false">IF($O$3="sell",-1,1) *  IF($K$3="call",  NORMDIST(I57,0,1,1),  NORMDIST(I57,0,1,1)-1  ) * $P$3</f>
        <v>-1.70515564441907</v>
      </c>
      <c r="D57" s="25" t="n">
        <f aca="false">IF($O$3="sell",-1,1) * NORMDIST(I57,0,1,0)/(B57*$H$3*SQRT($J$3)) * $P$3</f>
        <v>0.138351656796553</v>
      </c>
      <c r="E57" s="25" t="n">
        <f aca="false">IF($O$3="sell",-1,1) * (B57*NORMDIST(I57,0,1,0)*SQRT($J$3)/365) * $P$3</f>
        <v>0.0403809938805774</v>
      </c>
      <c r="F57" s="25" t="n">
        <f aca="false">IF($O$3="sell",-1,1) * (-(B57*NORMDIST(I57,0,1,0)*$H$3)/(2*SQRT($J$3))/365) *$P$3</f>
        <v>-0.456843950018886</v>
      </c>
      <c r="G57" s="25" t="n">
        <f aca="false">IF($O$3="buy",1,-1)*( IF($K$3="call",B57*NORMDIST(I57,0,1,1) - $B$3*NORMDIST(J57,0,1,1),$B$3*NORMDIST(-J57,0,1,1) - B57*NORMDIST(-I57,0,1,1) ) - $G$3) * $P$3</f>
        <v>8.54173924290243</v>
      </c>
      <c r="I57" s="73" t="n">
        <f aca="false">(LN(B57/$B$3)+($H$3^2/2)*($J$3))/($H$3*SQRT($J$3))</f>
        <v>-0.172264527492737</v>
      </c>
      <c r="J57" s="26" t="n">
        <f aca="false">I57 - $H$3*SQRT($J$3)</f>
        <v>-0.290642419148556</v>
      </c>
      <c r="L57" s="2"/>
      <c r="M57" s="27"/>
      <c r="N57" s="27"/>
    </row>
    <row r="58" customFormat="false" ht="13.5" hidden="false" customHeight="true" outlineLevel="0" collapsed="false">
      <c r="B58" s="24" t="n">
        <f aca="false">B29</f>
        <v>71</v>
      </c>
      <c r="C58" s="25" t="n">
        <f aca="false">IF($O$3="sell",-1,1) *  IF($K$3="call",  NORMDIST(I58,0,1,1),  NORMDIST(I58,0,1,1)-1  ) * $P$3</f>
        <v>-1.84275027671259</v>
      </c>
      <c r="D58" s="25" t="n">
        <f aca="false">IF($O$3="sell",-1,1) * NORMDIST(I58,0,1,0)/(B58*$H$3*SQRT($J$3)) * $P$3</f>
        <v>0.136517446306171</v>
      </c>
      <c r="E58" s="25" t="n">
        <f aca="false">IF($O$3="sell",-1,1) * (B58*NORMDIST(I58,0,1,0)*SQRT($J$3)/365) * $P$3</f>
        <v>0.0387465019119736</v>
      </c>
      <c r="F58" s="25" t="n">
        <f aca="false">IF($O$3="sell",-1,1) * (-(B58*NORMDIST(I58,0,1,0)*$H$3)/(2*SQRT($J$3))/365) *$P$3</f>
        <v>-0.438352385164901</v>
      </c>
      <c r="G58" s="25" t="n">
        <f aca="false">IF($O$3="buy",1,-1)*( IF($K$3="call",B58*NORMDIST(I58,0,1,1) - $B$3*NORMDIST(J58,0,1,1),$B$3*NORMDIST(-J58,0,1,1) - B58*NORMDIST(-I58,0,1,1) ) - $G$3) * $P$3</f>
        <v>10.3158450491444</v>
      </c>
      <c r="I58" s="73" t="n">
        <f aca="false">(LN(B58/$B$3)+($H$3^2/2)*($J$3))/($H$3*SQRT($J$3))</f>
        <v>-0.290413632693941</v>
      </c>
      <c r="J58" s="26" t="n">
        <f aca="false">I58 - $H$3*SQRT($J$3)</f>
        <v>-0.408791524349759</v>
      </c>
      <c r="L58" s="2"/>
      <c r="M58" s="27"/>
      <c r="N58" s="27"/>
    </row>
    <row r="59" customFormat="false" ht="13.5" hidden="false" customHeight="true" outlineLevel="0" collapsed="false">
      <c r="B59" s="24" t="n">
        <f aca="false">B30</f>
        <v>70</v>
      </c>
      <c r="C59" s="25" t="n">
        <f aca="false">IF($O$3="sell",-1,1) *  IF($K$3="call",  NORMDIST(I59,0,1,1),  NORMDIST(I59,0,1,1)-1  ) * $P$3</f>
        <v>-1.97755368245667</v>
      </c>
      <c r="D59" s="25" t="n">
        <f aca="false">IF($O$3="sell",-1,1) * NORMDIST(I59,0,1,0)/(B59*$H$3*SQRT($J$3)) * $P$3</f>
        <v>0.132775430691635</v>
      </c>
      <c r="E59" s="25" t="n">
        <f aca="false">IF($O$3="sell",-1,1) * (B59*NORMDIST(I59,0,1,0)*SQRT($J$3)/365) * $P$3</f>
        <v>0.0366303818169782</v>
      </c>
      <c r="F59" s="25" t="n">
        <f aca="false">IF($O$3="sell",-1,1) * (-(B59*NORMDIST(I59,0,1,0)*$H$3)/(2*SQRT($J$3))/365) *$P$3</f>
        <v>-0.41441199712564</v>
      </c>
      <c r="G59" s="25" t="n">
        <f aca="false">IF($O$3="buy",1,-1)*( IF($K$3="call",B59*NORMDIST(I59,0,1,1) - $B$3*NORMDIST(J59,0,1,1),$B$3*NORMDIST(-J59,0,1,1) - B59*NORMDIST(-I59,0,1,1) ) - $G$3) * $P$3</f>
        <v>12.2263089730134</v>
      </c>
      <c r="I59" s="73" t="n">
        <f aca="false">(LN(B59/$B$3)+($H$3^2/2)*($J$3))/($H$3*SQRT($J$3))</f>
        <v>-0.410238667534044</v>
      </c>
      <c r="J59" s="26" t="n">
        <f aca="false">I59 - $H$3*SQRT($J$3)</f>
        <v>-0.528616559189862</v>
      </c>
      <c r="L59" s="2"/>
      <c r="M59" s="27"/>
      <c r="N59" s="27"/>
    </row>
    <row r="60" customFormat="false" ht="13.5" hidden="false" customHeight="true" outlineLevel="0" collapsed="false">
      <c r="B60" s="24" t="n">
        <f aca="false">B31</f>
        <v>69</v>
      </c>
      <c r="C60" s="25" t="n">
        <f aca="false">IF($O$3="sell",-1,1) *  IF($K$3="call",  NORMDIST(I60,0,1,1),  NORMDIST(I60,0,1,1)-1  ) * $P$3</f>
        <v>-2.10769060498731</v>
      </c>
      <c r="D60" s="25" t="n">
        <f aca="false">IF($O$3="sell",-1,1) * NORMDIST(I60,0,1,0)/(B60*$H$3*SQRT($J$3)) * $P$3</f>
        <v>0.127204580980712</v>
      </c>
      <c r="E60" s="25" t="n">
        <f aca="false">IF($O$3="sell",-1,1) * (B60*NORMDIST(I60,0,1,0)*SQRT($J$3)/365) * $P$3</f>
        <v>0.0340979743612522</v>
      </c>
      <c r="F60" s="25" t="n">
        <f aca="false">IF($O$3="sell",-1,1) * (-(B60*NORMDIST(I60,0,1,0)*$H$3)/(2*SQRT($J$3))/365) *$P$3</f>
        <v>-0.385762008258287</v>
      </c>
      <c r="G60" s="25" t="n">
        <f aca="false">IF($O$3="buy",1,-1)*( IF($K$3="call",B60*NORMDIST(I60,0,1,1) - $B$3*NORMDIST(J60,0,1,1),$B$3*NORMDIST(-J60,0,1,1) - B60*NORMDIST(-I60,0,1,1) ) - $G$3) * $P$3</f>
        <v>14.2693955789752</v>
      </c>
      <c r="I60" s="73" t="n">
        <f aca="false">(LN(B60/$B$3)+($H$3^2/2)*($J$3))/($H$3*SQRT($J$3))</f>
        <v>-0.531787862665298</v>
      </c>
      <c r="J60" s="26" t="n">
        <f aca="false">I60 - $H$3*SQRT($J$3)</f>
        <v>-0.650165754321117</v>
      </c>
      <c r="L60" s="2"/>
      <c r="M60" s="27"/>
      <c r="N60" s="27"/>
    </row>
    <row r="61" customFormat="false" ht="13.5" hidden="false" customHeight="true" outlineLevel="0" collapsed="false">
      <c r="B61" s="24" t="n">
        <f aca="false">B32</f>
        <v>68</v>
      </c>
      <c r="C61" s="25" t="n">
        <f aca="false">IF($O$3="sell",-1,1) *  IF($K$3="call",  NORMDIST(I61,0,1,1),  NORMDIST(I61,0,1,1)-1  ) * $P$3</f>
        <v>-2.23140610642495</v>
      </c>
      <c r="D61" s="25" t="n">
        <f aca="false">IF($O$3="sell",-1,1) * NORMDIST(I61,0,1,0)/(B61*$H$3*SQRT($J$3)) * $P$3</f>
        <v>0.119966081699293</v>
      </c>
      <c r="E61" s="25" t="n">
        <f aca="false">IF($O$3="sell",-1,1) * (B61*NORMDIST(I61,0,1,0)*SQRT($J$3)/365) * $P$3</f>
        <v>0.031232298473838</v>
      </c>
      <c r="F61" s="25" t="n">
        <f aca="false">IF($O$3="sell",-1,1) * (-(B61*NORMDIST(I61,0,1,0)*$H$3)/(2*SQRT($J$3))/365) *$P$3</f>
        <v>-0.353341640009009</v>
      </c>
      <c r="G61" s="25" t="n">
        <f aca="false">IF($O$3="buy",1,-1)*( IF($K$3="call",B61*NORMDIST(I61,0,1,1) - $B$3*NORMDIST(J61,0,1,1),$B$3*NORMDIST(-J61,0,1,1) - B61*NORMDIST(-I61,0,1,1) ) - $G$3) * $P$3</f>
        <v>16.439547474465</v>
      </c>
      <c r="I61" s="73" t="n">
        <f aca="false">(LN(B61/$B$3)+($H$3^2/2)*($J$3))/($H$3*SQRT($J$3))</f>
        <v>-0.655111561178179</v>
      </c>
      <c r="J61" s="26" t="n">
        <f aca="false">I61 - $H$3*SQRT($J$3)</f>
        <v>-0.773489452833998</v>
      </c>
      <c r="L61" s="2"/>
      <c r="M61" s="27"/>
      <c r="N61" s="27"/>
    </row>
    <row r="62" customFormat="false" ht="13.5" hidden="false" customHeight="true" outlineLevel="0" collapsed="false">
      <c r="B62" s="24" t="n">
        <f aca="false">B33</f>
        <v>67</v>
      </c>
      <c r="C62" s="25" t="n">
        <f aca="false">IF($O$3="sell",-1,1) *  IF($K$3="call",  NORMDIST(I62,0,1,1),  NORMDIST(I62,0,1,1)-1  ) * $P$3</f>
        <v>-2.34714529083738</v>
      </c>
      <c r="D62" s="25" t="n">
        <f aca="false">IF($O$3="sell",-1,1) * NORMDIST(I62,0,1,0)/(B62*$H$3*SQRT($J$3)) * $P$3</f>
        <v>0.111297305910285</v>
      </c>
      <c r="E62" s="25" t="n">
        <f aca="false">IF($O$3="sell",-1,1) * (B62*NORMDIST(I62,0,1,0)*SQRT($J$3)/365) * $P$3</f>
        <v>0.0281294929553771</v>
      </c>
      <c r="F62" s="25" t="n">
        <f aca="false">IF($O$3="sell",-1,1) * (-(B62*NORMDIST(I62,0,1,0)*$H$3)/(2*SQRT($J$3))/365) *$P$3</f>
        <v>-0.318238543404052</v>
      </c>
      <c r="G62" s="25" t="n">
        <f aca="false">IF($O$3="buy",1,-1)*( IF($K$3="call",B62*NORMDIST(I62,0,1,1) - $B$3*NORMDIST(J62,0,1,1),$B$3*NORMDIST(-J62,0,1,1) - B62*NORMDIST(-I62,0,1,1) ) - $G$3) * $P$3</f>
        <v>18.7295459923352</v>
      </c>
      <c r="I62" s="73" t="n">
        <f aca="false">(LN(B62/$B$3)+($H$3^2/2)*($J$3))/($H$3*SQRT($J$3))</f>
        <v>-0.780262343794036</v>
      </c>
      <c r="J62" s="26" t="n">
        <f aca="false">I62 - $H$3*SQRT($J$3)</f>
        <v>-0.898640235449854</v>
      </c>
      <c r="L62" s="2"/>
      <c r="M62" s="27"/>
      <c r="N62" s="27"/>
    </row>
    <row r="63" customFormat="false" ht="13.5" hidden="false" customHeight="true" outlineLevel="0" collapsed="false">
      <c r="B63" s="24" t="n">
        <f aca="false">B34</f>
        <v>66</v>
      </c>
      <c r="C63" s="25" t="n">
        <f aca="false">IF($O$3="sell",-1,1) *  IF($K$3="call",  NORMDIST(I63,0,1,1),  NORMDIST(I63,0,1,1)-1  ) * $P$3</f>
        <v>-2.4536239033024</v>
      </c>
      <c r="D63" s="25" t="n">
        <f aca="false">IF($O$3="sell",-1,1) * NORMDIST(I63,0,1,0)/(B63*$H$3*SQRT($J$3)) * $P$3</f>
        <v>0.101499648501571</v>
      </c>
      <c r="E63" s="25" t="n">
        <f aca="false">IF($O$3="sell",-1,1) * (B63*NORMDIST(I63,0,1,0)*SQRT($J$3)/365) * $P$3</f>
        <v>0.0248931614619501</v>
      </c>
      <c r="F63" s="25" t="n">
        <f aca="false">IF($O$3="sell",-1,1) * (-(B63*NORMDIST(I63,0,1,0)*$H$3)/(2*SQRT($J$3))/365) *$P$3</f>
        <v>-0.281624821924085</v>
      </c>
      <c r="G63" s="25" t="n">
        <f aca="false">IF($O$3="buy",1,-1)*( IF($K$3="call",B63*NORMDIST(I63,0,1,1) - $B$3*NORMDIST(J63,0,1,1),$B$3*NORMDIST(-J63,0,1,1) - B63*NORMDIST(-I63,0,1,1) ) - $G$3) * $P$3</f>
        <v>21.1307475471761</v>
      </c>
      <c r="I63" s="73" t="n">
        <f aca="false">(LN(B63/$B$3)+($H$3^2/2)*($J$3))/($H$3*SQRT($J$3))</f>
        <v>-0.90729516347174</v>
      </c>
      <c r="J63" s="26" t="n">
        <f aca="false">I63 - $H$3*SQRT($J$3)</f>
        <v>-1.02567305512756</v>
      </c>
      <c r="L63" s="2"/>
      <c r="M63" s="27"/>
      <c r="N63" s="27"/>
    </row>
    <row r="64" customFormat="false" ht="13.5" hidden="false" customHeight="true" outlineLevel="0" collapsed="false">
      <c r="B64" s="24" t="n">
        <f aca="false">B35</f>
        <v>65</v>
      </c>
      <c r="C64" s="25" t="n">
        <f aca="false">IF($O$3="sell",-1,1) *  IF($K$3="call",  NORMDIST(I64,0,1,1),  NORMDIST(I64,0,1,1)-1  ) * $P$3</f>
        <v>-2.54988394745864</v>
      </c>
      <c r="D64" s="25" t="n">
        <f aca="false">IF($O$3="sell",-1,1) * NORMDIST(I64,0,1,0)/(B64*$H$3*SQRT($J$3)) * $P$3</f>
        <v>0.0909209009940575</v>
      </c>
      <c r="E64" s="25" t="n">
        <f aca="false">IF($O$3="sell",-1,1) * (B64*NORMDIST(I64,0,1,0)*SQRT($J$3)/365) * $P$3</f>
        <v>0.0216280861473089</v>
      </c>
      <c r="F64" s="25" t="n">
        <f aca="false">IF($O$3="sell",-1,1) * (-(B64*NORMDIST(I64,0,1,0)*$H$3)/(2*SQRT($J$3))/365) *$P$3</f>
        <v>-0.244685911795692</v>
      </c>
      <c r="G64" s="25" t="n">
        <f aca="false">IF($O$3="buy",1,-1)*( IF($K$3="call",B64*NORMDIST(I64,0,1,1) - $B$3*NORMDIST(J64,0,1,1),$B$3*NORMDIST(-J64,0,1,1) - B64*NORMDIST(-I64,0,1,1) ) - $G$3) * $P$3</f>
        <v>23.6333835557585</v>
      </c>
      <c r="I64" s="73" t="n">
        <f aca="false">(LN(B64/$B$3)+($H$3^2/2)*($J$3))/($H$3*SQRT($J$3))</f>
        <v>-1.03626749029082</v>
      </c>
      <c r="J64" s="26" t="n">
        <f aca="false">I64 - $H$3*SQRT($J$3)</f>
        <v>-1.15464538194664</v>
      </c>
      <c r="L64" s="2"/>
      <c r="M64" s="27"/>
      <c r="N64" s="27"/>
    </row>
    <row r="65" customFormat="false" ht="13.5" hidden="false" customHeight="true" outlineLevel="0" collapsed="false">
      <c r="B65" s="24" t="n">
        <f aca="false">B36</f>
        <v>64</v>
      </c>
      <c r="C65" s="25" t="n">
        <f aca="false">IF($O$3="sell",-1,1) *  IF($K$3="call",  NORMDIST(I65,0,1,1),  NORMDIST(I65,0,1,1)-1  ) * $P$3</f>
        <v>-2.63532948538776</v>
      </c>
      <c r="D65" s="25" t="n">
        <f aca="false">IF($O$3="sell",-1,1) * NORMDIST(I65,0,1,0)/(B65*$H$3*SQRT($J$3)) * $P$3</f>
        <v>0.0799335179543648</v>
      </c>
      <c r="E65" s="25" t="n">
        <f aca="false">IF($O$3="sell",-1,1) * (B65*NORMDIST(I65,0,1,0)*SQRT($J$3)/365) * $P$3</f>
        <v>0.0184338700580122</v>
      </c>
      <c r="F65" s="25" t="n">
        <f aca="false">IF($O$3="sell",-1,1) * (-(B65*NORMDIST(I65,0,1,0)*$H$3)/(2*SQRT($J$3))/365) *$P$3</f>
        <v>-0.208548656240175</v>
      </c>
      <c r="G65" s="25" t="n">
        <f aca="false">IF($O$3="buy",1,-1)*( IF($K$3="call",B65*NORMDIST(I65,0,1,1) - $B$3*NORMDIST(J65,0,1,1),$B$3*NORMDIST(-J65,0,1,1) - B65*NORMDIST(-I65,0,1,1) ) - $G$3) * $P$3</f>
        <v>26.2269064093528</v>
      </c>
      <c r="I65" s="73" t="n">
        <f aca="false">(LN(B65/$B$3)+($H$3^2/2)*($J$3))/($H$3*SQRT($J$3))</f>
        <v>-1.16723946756715</v>
      </c>
      <c r="J65" s="26" t="n">
        <f aca="false">I65 - $H$3*SQRT($J$3)</f>
        <v>-1.28561735922297</v>
      </c>
      <c r="L65" s="2"/>
      <c r="M65" s="27"/>
      <c r="N65" s="27"/>
    </row>
    <row r="66" customFormat="false" ht="13.5" hidden="false" customHeight="true" outlineLevel="0" collapsed="false">
      <c r="B66" s="24" t="n">
        <f aca="false">B37</f>
        <v>63</v>
      </c>
      <c r="C66" s="25" t="n">
        <f aca="false">IF($O$3="sell",-1,1) *  IF($K$3="call",  NORMDIST(I66,0,1,1),  NORMDIST(I66,0,1,1)-1  ) * $P$3</f>
        <v>-2.70973942738778</v>
      </c>
      <c r="D66" s="25" t="n">
        <f aca="false">IF($O$3="sell",-1,1) * NORMDIST(I66,0,1,0)/(B66*$H$3*SQRT($J$3)) * $P$3</f>
        <v>0.0689106863905075</v>
      </c>
      <c r="E66" s="25" t="n">
        <f aca="false">IF($O$3="sell",-1,1) * (B66*NORMDIST(I66,0,1,0)*SQRT($J$3)/365) * $P$3</f>
        <v>0.0153990993656768</v>
      </c>
      <c r="F66" s="25" t="n">
        <f aca="false">IF($O$3="sell",-1,1) * (-(B66*NORMDIST(I66,0,1,0)*$H$3)/(2*SQRT($J$3))/365) *$P$3</f>
        <v>-0.174215260816867</v>
      </c>
      <c r="G66" s="25" t="n">
        <f aca="false">IF($O$3="buy",1,-1)*( IF($K$3="call",B66*NORMDIST(I66,0,1,1) - $B$3*NORMDIST(J66,0,1,1),$B$3*NORMDIST(-J66,0,1,1) - B66*NORMDIST(-I66,0,1,1) ) - $G$3) * $P$3</f>
        <v>28.900359924472</v>
      </c>
      <c r="I66" s="73" t="n">
        <f aca="false">(LN(B66/$B$3)+($H$3^2/2)*($J$3))/($H$3*SQRT($J$3))</f>
        <v>-1.30027408026263</v>
      </c>
      <c r="J66" s="26" t="n">
        <f aca="false">I66 - $H$3*SQRT($J$3)</f>
        <v>-1.41865197191845</v>
      </c>
      <c r="L66" s="2"/>
      <c r="M66" s="27"/>
      <c r="N66" s="27"/>
    </row>
    <row r="67" customFormat="false" ht="13.5" hidden="false" customHeight="true" outlineLevel="0" collapsed="false">
      <c r="B67" s="24" t="n">
        <f aca="false">B38</f>
        <v>62</v>
      </c>
      <c r="C67" s="25" t="n">
        <f aca="false">IF($O$3="sell",-1,1) *  IF($K$3="call",  NORMDIST(I67,0,1,1),  NORMDIST(I67,0,1,1)-1  ) * $P$3</f>
        <v>-2.77325623071</v>
      </c>
      <c r="D67" s="25" t="n">
        <f aca="false">IF($O$3="sell",-1,1) * NORMDIST(I67,0,1,0)/(B67*$H$3*SQRT($J$3)) * $P$3</f>
        <v>0.058202468923799</v>
      </c>
      <c r="E67" s="25" t="n">
        <f aca="false">IF($O$3="sell",-1,1) * (B67*NORMDIST(I67,0,1,0)*SQRT($J$3)/365) * $P$3</f>
        <v>0.0125965737386723</v>
      </c>
      <c r="F67" s="25" t="n">
        <f aca="false">IF($O$3="sell",-1,1) * (-(B67*NORMDIST(I67,0,1,0)*$H$3)/(2*SQRT($J$3))/365) *$P$3</f>
        <v>-0.142509332992101</v>
      </c>
      <c r="G67" s="25" t="n">
        <f aca="false">IF($O$3="buy",1,-1)*( IF($K$3="call",B67*NORMDIST(I67,0,1,1) - $B$3*NORMDIST(J67,0,1,1),$B$3*NORMDIST(-J67,0,1,1) - B67*NORMDIST(-I67,0,1,1) ) - $G$3) * $P$3</f>
        <v>31.6427505318411</v>
      </c>
      <c r="I67" s="73" t="n">
        <f aca="false">(LN(B67/$B$3)+($H$3^2/2)*($J$3))/($H$3*SQRT($J$3))</f>
        <v>-1.43543733686938</v>
      </c>
      <c r="J67" s="26" t="n">
        <f aca="false">I67 - $H$3*SQRT($J$3)</f>
        <v>-1.5538152285252</v>
      </c>
      <c r="L67" s="2"/>
      <c r="M67" s="27"/>
      <c r="N67" s="27"/>
    </row>
    <row r="68" customFormat="false" ht="13.5" hidden="false" customHeight="true" outlineLevel="0" collapsed="false">
      <c r="B68" s="24" t="n">
        <f aca="false">B39</f>
        <v>61</v>
      </c>
      <c r="C68" s="25" t="n">
        <f aca="false">IF($O$3="sell",-1,1) *  IF($K$3="call",  NORMDIST(I68,0,1,1),  NORMDIST(I68,0,1,1)-1  ) * $P$3</f>
        <v>-2.82635176356573</v>
      </c>
      <c r="D68" s="25" t="n">
        <f aca="false">IF($O$3="sell",-1,1) * NORMDIST(I68,0,1,0)/(B68*$H$3*SQRT($J$3)) * $P$3</f>
        <v>0.0481143737322518</v>
      </c>
      <c r="E68" s="25" t="n">
        <f aca="false">IF($O$3="sell",-1,1) * (B68*NORMDIST(I68,0,1,0)*SQRT($J$3)/365) * $P$3</f>
        <v>0.0100800376442786</v>
      </c>
      <c r="F68" s="25" t="n">
        <f aca="false">IF($O$3="sell",-1,1) * (-(B68*NORMDIST(I68,0,1,0)*$H$3)/(2*SQRT($J$3))/365) *$P$3</f>
        <v>-0.114038902246193</v>
      </c>
      <c r="G68" s="25" t="n">
        <f aca="false">IF($O$3="buy",1,-1)*( IF($K$3="call",B68*NORMDIST(I68,0,1,1) - $B$3*NORMDIST(J68,0,1,1),$B$3*NORMDIST(-J68,0,1,1) - B68*NORMDIST(-I68,0,1,1) ) - $G$3) * $P$3</f>
        <v>34.443395544184</v>
      </c>
      <c r="I68" s="73" t="n">
        <f aca="false">(LN(B68/$B$3)+($H$3^2/2)*($J$3))/($H$3*SQRT($J$3))</f>
        <v>-1.57279846608308</v>
      </c>
      <c r="J68" s="26" t="n">
        <f aca="false">I68 - $H$3*SQRT($J$3)</f>
        <v>-1.6911763577389</v>
      </c>
      <c r="L68" s="2"/>
      <c r="M68" s="27"/>
      <c r="N68" s="27"/>
    </row>
    <row r="69" customFormat="false" ht="13.5" hidden="false" customHeight="true" outlineLevel="0" collapsed="false">
      <c r="B69" s="24" t="n">
        <f aca="false">B40</f>
        <v>60</v>
      </c>
      <c r="C69" s="25" t="n">
        <f aca="false">IF($O$3="sell",-1,1) *  IF($K$3="call",  NORMDIST(I69,0,1,1),  NORMDIST(I69,0,1,1)-1  ) * $P$3</f>
        <v>-2.86977385422992</v>
      </c>
      <c r="D69" s="25" t="n">
        <f aca="false">IF($O$3="sell",-1,1) * NORMDIST(I69,0,1,0)/(B69*$H$3*SQRT($J$3)) * $P$3</f>
        <v>0.0388904724889765</v>
      </c>
      <c r="E69" s="25" t="n">
        <f aca="false">IF($O$3="sell",-1,1) * (B69*NORMDIST(I69,0,1,0)*SQRT($J$3)/365) * $P$3</f>
        <v>0.00788267038718881</v>
      </c>
      <c r="F69" s="25" t="n">
        <f aca="false">IF($O$3="sell",-1,1) * (-(B69*NORMDIST(I69,0,1,0)*$H$3)/(2*SQRT($J$3))/365) *$P$3</f>
        <v>-0.0891793373642627</v>
      </c>
      <c r="G69" s="25" t="n">
        <f aca="false">IF($O$3="buy",1,-1)*( IF($K$3="call",B69*NORMDIST(I69,0,1,1) - $B$3*NORMDIST(J69,0,1,1),$B$3*NORMDIST(-J69,0,1,1) - B69*NORMDIST(-I69,0,1,1) ) - $G$3) * $P$3</f>
        <v>37.2922272508171</v>
      </c>
      <c r="I69" s="73" t="n">
        <f aca="false">(LN(B69/$B$3)+($H$3^2/2)*($J$3))/($H$3*SQRT($J$3))</f>
        <v>-1.71243012973248</v>
      </c>
      <c r="J69" s="26" t="n">
        <f aca="false">I69 - $H$3*SQRT($J$3)</f>
        <v>-1.8308080213883</v>
      </c>
      <c r="L69" s="2"/>
      <c r="M69" s="27"/>
      <c r="N69" s="27"/>
    </row>
    <row r="70" customFormat="false" ht="13.5" hidden="false" customHeight="true" outlineLevel="0" collapsed="false">
      <c r="B70" s="24" t="n">
        <f aca="false">B41</f>
        <v>59</v>
      </c>
      <c r="C70" s="25" t="n">
        <f aca="false">IF($O$3="sell",-1,1) *  IF($K$3="call",  NORMDIST(I70,0,1,1),  NORMDIST(I70,0,1,1)-1  ) * $P$3</f>
        <v>-2.90447892343693</v>
      </c>
      <c r="D70" s="25" t="n">
        <f aca="false">IF($O$3="sell",-1,1) * NORMDIST(I70,0,1,0)/(B70*$H$3*SQRT($J$3)) * $P$3</f>
        <v>0.0307026559262143</v>
      </c>
      <c r="E70" s="25" t="n">
        <f aca="false">IF($O$3="sell",-1,1) * (B70*NORMDIST(I70,0,1,0)*SQRT($J$3)/365) * $P$3</f>
        <v>0.00601738245782993</v>
      </c>
      <c r="F70" s="25" t="n">
        <f aca="false">IF($O$3="sell",-1,1) * (-(B70*NORMDIST(I70,0,1,0)*$H$3)/(2*SQRT($J$3))/365) *$P$3</f>
        <v>-0.0680766991258133</v>
      </c>
      <c r="G70" s="25" t="n">
        <f aca="false">IF($O$3="buy",1,-1)*( IF($K$3="call",B70*NORMDIST(I70,0,1,1) - $B$3*NORMDIST(J70,0,1,1),$B$3*NORMDIST(-J70,0,1,1) - B70*NORMDIST(-I70,0,1,1) ) - $G$3) * $P$3</f>
        <v>40.1800360904467</v>
      </c>
      <c r="I70" s="73" t="n">
        <f aca="false">(LN(B70/$B$3)+($H$3^2/2)*($J$3))/($H$3*SQRT($J$3))</f>
        <v>-1.85440865360455</v>
      </c>
      <c r="J70" s="26" t="n">
        <f aca="false">I70 - $H$3*SQRT($J$3)</f>
        <v>-1.97278654526037</v>
      </c>
      <c r="L70" s="2"/>
      <c r="M70" s="27"/>
      <c r="N70" s="27"/>
    </row>
    <row r="71" customFormat="false" ht="13.5" hidden="false" customHeight="true" outlineLevel="0" collapsed="false">
      <c r="B71" s="24" t="n">
        <f aca="false">B42</f>
        <v>58</v>
      </c>
      <c r="C71" s="25" t="n">
        <f aca="false">IF($O$3="sell",-1,1) *  IF($K$3="call",  NORMDIST(I71,0,1,1),  NORMDIST(I71,0,1,1)-1  ) * $P$3</f>
        <v>-2.93155732146657</v>
      </c>
      <c r="D71" s="25" t="n">
        <f aca="false">IF($O$3="sell",-1,1) * NORMDIST(I71,0,1,0)/(B71*$H$3*SQRT($J$3)) * $P$3</f>
        <v>0.0236468535729982</v>
      </c>
      <c r="E71" s="25" t="n">
        <f aca="false">IF($O$3="sell",-1,1) * (B71*NORMDIST(I71,0,1,0)*SQRT($J$3)/365) * $P$3</f>
        <v>0.00447875180229404</v>
      </c>
      <c r="F71" s="25" t="n">
        <f aca="false">IF($O$3="sell",-1,1) * (-(B71*NORMDIST(I71,0,1,0)*$H$3)/(2*SQRT($J$3))/365) *$P$3</f>
        <v>-0.0506696459865578</v>
      </c>
      <c r="G71" s="25" t="n">
        <f aca="false">IF($O$3="buy",1,-1)*( IF($K$3="call",B71*NORMDIST(I71,0,1,1) - $B$3*NORMDIST(J71,0,1,1),$B$3*NORMDIST(-J71,0,1,1) - B71*NORMDIST(-I71,0,1,1) ) - $G$3) * $P$3</f>
        <v>43.0986422271146</v>
      </c>
      <c r="I71" s="73" t="n">
        <f aca="false">(LN(B71/$B$3)+($H$3^2/2)*($J$3))/($H$3*SQRT($J$3))</f>
        <v>-1.99881427800106</v>
      </c>
      <c r="J71" s="26" t="n">
        <f aca="false">I71 - $H$3*SQRT($J$3)</f>
        <v>-2.11719216965687</v>
      </c>
      <c r="L71" s="2"/>
      <c r="M71" s="27"/>
      <c r="N71" s="27"/>
    </row>
    <row r="72" customFormat="false" ht="13.5" hidden="false" customHeight="true" outlineLevel="0" collapsed="false">
      <c r="B72" s="24" t="n">
        <f aca="false">B43</f>
        <v>57</v>
      </c>
      <c r="C72" s="25" t="n">
        <f aca="false">IF($O$3="sell",-1,1) *  IF($K$3="call",  NORMDIST(I72,0,1,1),  NORMDIST(I72,0,1,1)-1  ) * $P$3</f>
        <v>-2.95215838186804</v>
      </c>
      <c r="D72" s="25" t="n">
        <f aca="false">IF($O$3="sell",-1,1) * NORMDIST(I72,0,1,0)/(B72*$H$3*SQRT($J$3)) * $P$3</f>
        <v>0.0177461640273279</v>
      </c>
      <c r="E72" s="25" t="n">
        <f aca="false">IF($O$3="sell",-1,1) * (B72*NORMDIST(I72,0,1,0)*SQRT($J$3)/365) * $P$3</f>
        <v>0.00324624915364342</v>
      </c>
      <c r="F72" s="25" t="n">
        <f aca="false">IF($O$3="sell",-1,1) * (-(B72*NORMDIST(I72,0,1,0)*$H$3)/(2*SQRT($J$3))/365) *$P$3</f>
        <v>-0.0367259233510158</v>
      </c>
      <c r="G72" s="25" t="n">
        <f aca="false">IF($O$3="buy",1,-1)*( IF($K$3="call",B72*NORMDIST(I72,0,1,1) - $B$3*NORMDIST(J72,0,1,1),$B$3*NORMDIST(-J72,0,1,1) - B72*NORMDIST(-I72,0,1,1) ) - $G$3) * $P$3</f>
        <v>46.0409917444613</v>
      </c>
      <c r="I72" s="73" t="n">
        <f aca="false">(LN(B72/$B$3)+($H$3^2/2)*($J$3))/($H$3*SQRT($J$3))</f>
        <v>-2.1457314300858</v>
      </c>
      <c r="J72" s="26" t="n">
        <f aca="false">I72 - $H$3*SQRT($J$3)</f>
        <v>-2.26410932174162</v>
      </c>
      <c r="L72" s="2"/>
      <c r="M72" s="27"/>
      <c r="N72" s="27"/>
    </row>
    <row r="74" customFormat="false" ht="17.25" hidden="false" customHeight="true" outlineLevel="0" collapsed="false">
      <c r="B74" s="23"/>
      <c r="C74" s="19" t="s">
        <v>13</v>
      </c>
      <c r="D74" s="19" t="s">
        <v>14</v>
      </c>
      <c r="E74" s="19" t="s">
        <v>15</v>
      </c>
      <c r="F74" s="19" t="s">
        <v>16</v>
      </c>
      <c r="G74" s="19" t="s">
        <v>17</v>
      </c>
      <c r="I74" s="19" t="s">
        <v>158</v>
      </c>
      <c r="J74" s="19" t="s">
        <v>159</v>
      </c>
    </row>
    <row r="75" customFormat="false" ht="13.5" hidden="false" customHeight="true" outlineLevel="0" collapsed="false">
      <c r="A75" s="2" t="str">
        <f aca="false">A4</f>
        <v>SOL-1MAY26-76-P-USDT</v>
      </c>
      <c r="B75" s="29" t="n">
        <f aca="false">B46</f>
        <v>83</v>
      </c>
      <c r="C75" s="25" t="n">
        <f aca="false">IF($O$4="sell",-1,1) *  IF($K$4="call",  NORMDIST(I75,0,1,1),  NORMDIST(I75,0,1,1)-1  ) * $P$4</f>
        <v>-0.60453484294618</v>
      </c>
      <c r="D75" s="25" t="n">
        <f aca="false">IF($O$4="sell",-1,1) * NORMDIST(I75,0,1,0)/(B75*$H$4*SQRT($J$4)) * $P$4</f>
        <v>0.0899581899124712</v>
      </c>
      <c r="E75" s="25" t="n">
        <f aca="false">IF($O$4="sell",-1,1) * (B75*NORMDIST(I75,0,1,0)*SQRT($J$4)/365) * $P$4</f>
        <v>0.0333056658675263</v>
      </c>
      <c r="F75" s="25" t="n">
        <f aca="false">IF($O$4="sell",-1,1) * (-(B75*NORMDIST(I75,0,1,0)*$H$4)/(2*SQRT($J$4))/365) *$P$4</f>
        <v>-0.359668642650368</v>
      </c>
      <c r="G75" s="25" t="n">
        <f aca="false">IF($O$4="buy",1,-1)*( IF($K$4="call",B75*NORMDIST(I75,0,1,1) - $B$4*NORMDIST(J75,0,1,1),$B$4*NORMDIST(-J75,0,1,1) - B75*NORMDIST(-I75,0,1,1) ) - $G$4) * $P$4</f>
        <v>-0.249538304941835</v>
      </c>
      <c r="I75" s="26" t="n">
        <f aca="false">(LN(B75/$B$4)+($H$4^2/2)*($J$4))/($H$4*SQRT($J$4))</f>
        <v>0.836234081561472</v>
      </c>
      <c r="J75" s="26" t="n">
        <f aca="false">I75 - $H$4*SQRT($J$4)</f>
        <v>0.723237792253989</v>
      </c>
    </row>
    <row r="76" customFormat="false" ht="13.5" hidden="false" customHeight="true" outlineLevel="0" collapsed="false">
      <c r="B76" s="29" t="n">
        <f aca="false">B47</f>
        <v>82</v>
      </c>
      <c r="C76" s="25" t="n">
        <f aca="false">IF($O$4="sell",-1,1) *  IF($K$4="call",  NORMDIST(I76,0,1,1),  NORMDIST(I76,0,1,1)-1  ) * $P$4</f>
        <v>-0.699037469723972</v>
      </c>
      <c r="D76" s="25" t="n">
        <f aca="false">IF($O$4="sell",-1,1) * NORMDIST(I76,0,1,0)/(B76*$H$4*SQRT($J$4)) * $P$4</f>
        <v>0.0990294591958757</v>
      </c>
      <c r="E76" s="25" t="n">
        <f aca="false">IF($O$4="sell",-1,1) * (B76*NORMDIST(I76,0,1,0)*SQRT($J$4)/365) * $P$4</f>
        <v>0.035786015022739</v>
      </c>
      <c r="F76" s="25" t="n">
        <f aca="false">IF($O$4="sell",-1,1) * (-(B76*NORMDIST(I76,0,1,0)*$H$4)/(2*SQRT($J$4))/365) *$P$4</f>
        <v>-0.386453989549082</v>
      </c>
      <c r="G76" s="25" t="n">
        <f aca="false">IF($O$4="buy",1,-1)*( IF($K$4="call",B76*NORMDIST(I76,0,1,1) - $B$4*NORMDIST(J76,0,1,1),$B$4*NORMDIST(-J76,0,1,1) - B76*NORMDIST(-I76,0,1,1) ) - $G$4) * $P$4</f>
        <v>0.401491586344035</v>
      </c>
      <c r="I76" s="26" t="n">
        <f aca="false">(LN(B76/$B$4)+($H$4^2/2)*($J$4))/($H$4*SQRT($J$4))</f>
        <v>0.728961881680992</v>
      </c>
      <c r="J76" s="26" t="n">
        <f aca="false">I76 - $H$4*SQRT($J$4)</f>
        <v>0.61596559237351</v>
      </c>
    </row>
    <row r="77" customFormat="false" ht="13.5" hidden="false" customHeight="true" outlineLevel="0" collapsed="false">
      <c r="B77" s="29" t="n">
        <f aca="false">B48</f>
        <v>81</v>
      </c>
      <c r="C77" s="25" t="n">
        <f aca="false">IF($O$4="sell",-1,1) *  IF($K$4="call",  NORMDIST(I77,0,1,1),  NORMDIST(I77,0,1,1)-1  ) * $P$4</f>
        <v>-0.802517945887528</v>
      </c>
      <c r="D77" s="25" t="n">
        <f aca="false">IF($O$4="sell",-1,1) * NORMDIST(I77,0,1,0)/(B77*$H$4*SQRT($J$4)) * $P$4</f>
        <v>0.107872350140541</v>
      </c>
      <c r="E77" s="25" t="n">
        <f aca="false">IF($O$4="sell",-1,1) * (B77*NORMDIST(I77,0,1,0)*SQRT($J$4)/365) * $P$4</f>
        <v>0.0380365751783766</v>
      </c>
      <c r="F77" s="25" t="n">
        <f aca="false">IF($O$4="sell",-1,1) * (-(B77*NORMDIST(I77,0,1,0)*$H$4)/(2*SQRT($J$4))/365) *$P$4</f>
        <v>-0.410757839818906</v>
      </c>
      <c r="G77" s="25" t="n">
        <f aca="false">IF($O$4="buy",1,-1)*( IF($K$4="call",B77*NORMDIST(I77,0,1,1) - $B$4*NORMDIST(J77,0,1,1),$B$4*NORMDIST(-J77,0,1,1) - B77*NORMDIST(-I77,0,1,1) ) - $G$4) * $P$4</f>
        <v>1.15153202184831</v>
      </c>
      <c r="I77" s="26" t="n">
        <f aca="false">(LN(B77/$B$4)+($H$4^2/2)*($J$4))/($H$4*SQRT($J$4))</f>
        <v>0.620373425661651</v>
      </c>
      <c r="J77" s="26" t="n">
        <f aca="false">I77 - $H$4*SQRT($J$4)</f>
        <v>0.507377136354169</v>
      </c>
    </row>
    <row r="78" customFormat="false" ht="13.5" hidden="false" customHeight="true" outlineLevel="0" collapsed="false">
      <c r="B78" s="29" t="n">
        <f aca="false">B49</f>
        <v>80</v>
      </c>
      <c r="C78" s="25" t="n">
        <f aca="false">IF($O$4="sell",-1,1) *  IF($K$4="call",  NORMDIST(I78,0,1,1),  NORMDIST(I78,0,1,1)-1  ) * $P$4</f>
        <v>-0.914619051106835</v>
      </c>
      <c r="D78" s="25" t="n">
        <f aca="false">IF($O$4="sell",-1,1) * NORMDIST(I78,0,1,0)/(B78*$H$4*SQRT($J$4)) * $P$4</f>
        <v>0.116225263914195</v>
      </c>
      <c r="E78" s="25" t="n">
        <f aca="false">IF($O$4="sell",-1,1) * (B78*NORMDIST(I78,0,1,0)*SQRT($J$4)/365) * $P$4</f>
        <v>0.0399762215007331</v>
      </c>
      <c r="F78" s="25" t="n">
        <f aca="false">IF($O$4="sell",-1,1) * (-(B78*NORMDIST(I78,0,1,0)*$H$4)/(2*SQRT($J$4))/365) *$P$4</f>
        <v>-0.431704124536905</v>
      </c>
      <c r="G78" s="25" t="n">
        <f aca="false">IF($O$4="buy",1,-1)*( IF($K$4="call",B78*NORMDIST(I78,0,1,1) - $B$4*NORMDIST(J78,0,1,1),$B$4*NORMDIST(-J78,0,1,1) - B78*NORMDIST(-I78,0,1,1) ) - $G$4) * $P$4</f>
        <v>2.00940405367255</v>
      </c>
      <c r="I78" s="26" t="n">
        <f aca="false">(LN(B78/$B$4)+($H$4^2/2)*($J$4))/($H$4*SQRT($J$4))</f>
        <v>0.510436010241279</v>
      </c>
      <c r="J78" s="26" t="n">
        <f aca="false">I78 - $H$4*SQRT($J$4)</f>
        <v>0.397439720933796</v>
      </c>
    </row>
    <row r="79" customFormat="false" ht="13.5" hidden="false" customHeight="true" outlineLevel="0" collapsed="false">
      <c r="B79" s="29" t="n">
        <f aca="false">B50</f>
        <v>79</v>
      </c>
      <c r="C79" s="25" t="n">
        <f aca="false">IF($O$4="sell",-1,1) *  IF($K$4="call",  NORMDIST(I79,0,1,1),  NORMDIST(I79,0,1,1)-1  ) * $P$4</f>
        <v>-1.03471193390768</v>
      </c>
      <c r="D79" s="25" t="n">
        <f aca="false">IF($O$4="sell",-1,1) * NORMDIST(I79,0,1,0)/(B79*$H$4*SQRT($J$4)) * $P$4</f>
        <v>0.123808350631923</v>
      </c>
      <c r="E79" s="25" t="n">
        <f aca="false">IF($O$4="sell",-1,1) * (B79*NORMDIST(I79,0,1,0)*SQRT($J$4)/365) * $P$4</f>
        <v>0.0415265018718125</v>
      </c>
      <c r="F79" s="25" t="n">
        <f aca="false">IF($O$4="sell",-1,1) * (-(B79*NORMDIST(I79,0,1,0)*$H$4)/(2*SQRT($J$4))/365) *$P$4</f>
        <v>-0.448445637497837</v>
      </c>
      <c r="G79" s="25" t="n">
        <f aca="false">IF($O$4="buy",1,-1)*( IF($K$4="call",B79*NORMDIST(I79,0,1,1) - $B$4*NORMDIST(J79,0,1,1),$B$4*NORMDIST(-J79,0,1,1) - B79*NORMDIST(-I79,0,1,1) ) - $G$4) * $P$4</f>
        <v>2.98343722315412</v>
      </c>
      <c r="I79" s="26" t="n">
        <f aca="false">(LN(B79/$B$4)+($H$4^2/2)*($J$4))/($H$4*SQRT($J$4))</f>
        <v>0.39911569800845</v>
      </c>
      <c r="J79" s="26" t="n">
        <f aca="false">I79 - $H$4*SQRT($J$4)</f>
        <v>0.286119408700967</v>
      </c>
    </row>
    <row r="80" customFormat="false" ht="13.5" hidden="false" customHeight="true" outlineLevel="0" collapsed="false">
      <c r="B80" s="29" t="n">
        <f aca="false">B51</f>
        <v>78</v>
      </c>
      <c r="C80" s="25" t="n">
        <f aca="false">IF($O$4="sell",-1,1) *  IF($K$4="call",  NORMDIST(I80,0,1,1),  NORMDIST(I80,0,1,1)-1  ) * $P$4</f>
        <v>-1.161883790673</v>
      </c>
      <c r="D80" s="25" t="n">
        <f aca="false">IF($O$4="sell",-1,1) * NORMDIST(I80,0,1,0)/(B80*$H$4*SQRT($J$4)) * $P$4</f>
        <v>0.130335844787511</v>
      </c>
      <c r="E80" s="25" t="n">
        <f aca="false">IF($O$4="sell",-1,1) * (B80*NORMDIST(I80,0,1,0)*SQRT($J$4)/365) * $P$4</f>
        <v>0.0426161590259524</v>
      </c>
      <c r="F80" s="25" t="n">
        <f aca="false">IF($O$4="sell",-1,1) * (-(B80*NORMDIST(I80,0,1,0)*$H$4)/(2*SQRT($J$4))/365) *$P$4</f>
        <v>-0.460212869870329</v>
      </c>
      <c r="G80" s="25" t="n">
        <f aca="false">IF($O$4="buy",1,-1)*( IF($K$4="call",B80*NORMDIST(I80,0,1,1) - $B$4*NORMDIST(J80,0,1,1),$B$4*NORMDIST(-J80,0,1,1) - B80*NORMDIST(-I80,0,1,1) ) - $G$4) * $P$4</f>
        <v>4.08119074068545</v>
      </c>
      <c r="I80" s="26" t="n">
        <f aca="false">(LN(B80/$B$4)+($H$4^2/2)*($J$4))/($H$4*SQRT($J$4))</f>
        <v>0.286377254511738</v>
      </c>
      <c r="J80" s="26" t="n">
        <f aca="false">I80 - $H$4*SQRT($J$4)</f>
        <v>0.173380965204255</v>
      </c>
    </row>
    <row r="81" customFormat="false" ht="13.5" hidden="false" customHeight="true" outlineLevel="0" collapsed="false">
      <c r="B81" s="29" t="n">
        <f aca="false">B52</f>
        <v>77</v>
      </c>
      <c r="C81" s="25" t="n">
        <f aca="false">IF($O$4="sell",-1,1) *  IF($K$4="call",  NORMDIST(I81,0,1,1),  NORMDIST(I81,0,1,1)-1  ) * $P$4</f>
        <v>-1.29493921837344</v>
      </c>
      <c r="D81" s="25" t="n">
        <f aca="false">IF($O$4="sell",-1,1) * NORMDIST(I81,0,1,0)/(B81*$H$4*SQRT($J$4)) * $P$4</f>
        <v>0.135530977775405</v>
      </c>
      <c r="E81" s="25" t="n">
        <f aca="false">IF($O$4="sell",-1,1) * (B81*NORMDIST(I81,0,1,0)*SQRT($J$4)/365) * $P$4</f>
        <v>0.043185827893059</v>
      </c>
      <c r="F81" s="25" t="n">
        <f aca="false">IF($O$4="sell",-1,1) * (-(B81*NORMDIST(I81,0,1,0)*$H$4)/(2*SQRT($J$4))/365) *$P$4</f>
        <v>-0.466364736913233</v>
      </c>
      <c r="G81" s="25" t="n">
        <f aca="false">IF($O$4="buy",1,-1)*( IF($K$4="call",B81*NORMDIST(I81,0,1,1) - $B$4*NORMDIST(J81,0,1,1),$B$4*NORMDIST(-J81,0,1,1) - B81*NORMDIST(-I81,0,1,1) ) - $G$4) * $P$4</f>
        <v>5.30916896614939</v>
      </c>
      <c r="I81" s="26" t="n">
        <f aca="false">(LN(B81/$B$4)+($H$4^2/2)*($J$4))/($H$4*SQRT($J$4))</f>
        <v>0.172184081311195</v>
      </c>
      <c r="J81" s="26" t="n">
        <f aca="false">I81 - $H$4*SQRT($J$4)</f>
        <v>0.0591877920037122</v>
      </c>
    </row>
    <row r="82" customFormat="false" ht="13.5" hidden="false" customHeight="true" outlineLevel="0" collapsed="false">
      <c r="B82" s="29" t="n">
        <f aca="false">B53</f>
        <v>76</v>
      </c>
      <c r="C82" s="25" t="n">
        <f aca="false">IF($O$4="sell",-1,1) *  IF($K$4="call",  NORMDIST(I82,0,1,1),  NORMDIST(I82,0,1,1)-1  ) * $P$4</f>
        <v>-1.43241746027697</v>
      </c>
      <c r="D82" s="25" t="n">
        <f aca="false">IF($O$4="sell",-1,1) * NORMDIST(I82,0,1,0)/(B82*$H$4*SQRT($J$4)) * $P$4</f>
        <v>0.139142692702982</v>
      </c>
      <c r="E82" s="25" t="n">
        <f aca="false">IF($O$4="sell",-1,1) * (B82*NORMDIST(I82,0,1,0)*SQRT($J$4)/365) * $P$4</f>
        <v>0.0431925471453261</v>
      </c>
      <c r="F82" s="25" t="n">
        <f aca="false">IF($O$4="sell",-1,1) * (-(B82*NORMDIST(I82,0,1,0)*$H$4)/(2*SQRT($J$4))/365) *$P$4</f>
        <v>-0.466437298271175</v>
      </c>
      <c r="G82" s="25" t="n">
        <f aca="false">IF($O$4="buy",1,-1)*( IF($K$4="call",B82*NORMDIST(I82,0,1,1) - $B$4*NORMDIST(J82,0,1,1),$B$4*NORMDIST(-J82,0,1,1) - B82*NORMDIST(-I82,0,1,1) ) - $G$4) * $P$4</f>
        <v>6.67254603789989</v>
      </c>
      <c r="I82" s="26" t="n">
        <f aca="false">(LN(B82/$B$4)+($H$4^2/2)*($J$4))/($H$4*SQRT($J$4))</f>
        <v>0.0564981446537412</v>
      </c>
      <c r="J82" s="26" t="n">
        <f aca="false">I82 - $H$4*SQRT($J$4)</f>
        <v>-0.0564981446537412</v>
      </c>
    </row>
    <row r="83" customFormat="false" ht="13.5" hidden="false" customHeight="true" outlineLevel="0" collapsed="false">
      <c r="B83" s="29" t="n">
        <f aca="false">B54</f>
        <v>75</v>
      </c>
      <c r="C83" s="25" t="n">
        <f aca="false">IF($O$4="sell",-1,1) *  IF($K$4="call",  NORMDIST(I83,0,1,1),  NORMDIST(I83,0,1,1)-1  ) * $P$4</f>
        <v>-1.57262681509149</v>
      </c>
      <c r="D83" s="25" t="n">
        <f aca="false">IF($O$4="sell",-1,1) * NORMDIST(I83,0,1,0)/(B83*$H$4*SQRT($J$4)) * $P$4</f>
        <v>0.140963043670825</v>
      </c>
      <c r="E83" s="25" t="n">
        <f aca="false">IF($O$4="sell",-1,1) * (B83*NORMDIST(I83,0,1,0)*SQRT($J$4)/365) * $P$4</f>
        <v>0.0426136783046006</v>
      </c>
      <c r="F83" s="25" t="n">
        <f aca="false">IF($O$4="sell",-1,1) * (-(B83*NORMDIST(I83,0,1,0)*$H$4)/(2*SQRT($J$4))/365) *$P$4</f>
        <v>-0.460186080504071</v>
      </c>
      <c r="G83" s="25" t="n">
        <f aca="false">IF($O$4="buy",1,-1)*( IF($K$4="call",B83*NORMDIST(I83,0,1,1) - $B$4*NORMDIST(J83,0,1,1),$B$4*NORMDIST(-J83,0,1,1) - B83*NORMDIST(-I83,0,1,1) ) - $G$4) * $P$4</f>
        <v>8.17491627172241</v>
      </c>
      <c r="I83" s="26" t="n">
        <f aca="false">(LN(B83/$B$4)+($H$4^2/2)*($J$4))/($H$4*SQRT($J$4))</f>
        <v>-0.0607201005753399</v>
      </c>
      <c r="J83" s="26" t="n">
        <f aca="false">I83 - $H$4*SQRT($J$4)</f>
        <v>-0.173716389882822</v>
      </c>
    </row>
    <row r="84" customFormat="false" ht="13.5" hidden="false" customHeight="true" outlineLevel="0" collapsed="false">
      <c r="B84" s="29" t="n">
        <f aca="false">B55</f>
        <v>74</v>
      </c>
      <c r="C84" s="25" t="n">
        <f aca="false">IF($O$4="sell",-1,1) *  IF($K$4="call",  NORMDIST(I84,0,1,1),  NORMDIST(I84,0,1,1)-1  ) * $P$4</f>
        <v>-1.71369621143921</v>
      </c>
      <c r="D84" s="25" t="n">
        <f aca="false">IF($O$4="sell",-1,1) * NORMDIST(I84,0,1,0)/(B84*$H$4*SQRT($J$4)) * $P$4</f>
        <v>0.140843873718876</v>
      </c>
      <c r="E84" s="25" t="n">
        <f aca="false">IF($O$4="sell",-1,1) * (B84*NORMDIST(I84,0,1,0)*SQRT($J$4)/365) * $P$4</f>
        <v>0.0414498180497972</v>
      </c>
      <c r="F84" s="25" t="n">
        <f aca="false">IF($O$4="sell",-1,1) * (-(B84*NORMDIST(I84,0,1,0)*$H$4)/(2*SQRT($J$4))/365) *$P$4</f>
        <v>-0.44761752716108</v>
      </c>
      <c r="G84" s="25" t="n">
        <f aca="false">IF($O$4="buy",1,-1)*( IF($K$4="call",B84*NORMDIST(I84,0,1,1) - $B$4*NORMDIST(J84,0,1,1),$B$4*NORMDIST(-J84,0,1,1) - B84*NORMDIST(-I84,0,1,1) ) - $G$4) * $P$4</f>
        <v>9.81808761145472</v>
      </c>
      <c r="I84" s="26" t="n">
        <f aca="false">(LN(B84/$B$4)+($H$4^2/2)*($J$4))/($H$4*SQRT($J$4))</f>
        <v>-0.179511792005262</v>
      </c>
      <c r="J84" s="26" t="n">
        <f aca="false">I84 - $H$4*SQRT($J$4)</f>
        <v>-0.292508081312744</v>
      </c>
    </row>
    <row r="85" customFormat="false" ht="13.5" hidden="false" customHeight="true" outlineLevel="0" collapsed="false">
      <c r="B85" s="29" t="n">
        <f aca="false">B56</f>
        <v>73</v>
      </c>
      <c r="C85" s="25" t="n">
        <f aca="false">IF($O$4="sell",-1,1) *  IF($K$4="call",  NORMDIST(I85,0,1,1),  NORMDIST(I85,0,1,1)-1  ) * $P$4</f>
        <v>-1.85364244228747</v>
      </c>
      <c r="D85" s="25" t="n">
        <f aca="false">IF($O$4="sell",-1,1) * NORMDIST(I85,0,1,0)/(B85*$H$4*SQRT($J$4)) * $P$4</f>
        <v>0.13871118488827</v>
      </c>
      <c r="E85" s="25" t="n">
        <f aca="false">IF($O$4="sell",-1,1) * (B85*NORMDIST(I85,0,1,0)*SQRT($J$4)/365) * $P$4</f>
        <v>0.039726328507261</v>
      </c>
      <c r="F85" s="25" t="n">
        <f aca="false">IF($O$4="sell",-1,1) * (-(B85*NORMDIST(I85,0,1,0)*$H$4)/(2*SQRT($J$4))/365) *$P$4</f>
        <v>-0.429005524421014</v>
      </c>
      <c r="G85" s="25" t="n">
        <f aca="false">IF($O$4="buy",1,-1)*( IF($K$4="call",B85*NORMDIST(I85,0,1,1) - $B$4*NORMDIST(J85,0,1,1),$B$4*NORMDIST(-J85,0,1,1) - B85*NORMDIST(-I85,0,1,1) ) - $G$4) * $P$4</f>
        <v>11.6019346763452</v>
      </c>
      <c r="I85" s="26" t="n">
        <f aca="false">(LN(B85/$B$4)+($H$4^2/2)*($J$4))/($H$4*SQRT($J$4))</f>
        <v>-0.299919746453707</v>
      </c>
      <c r="J85" s="26" t="n">
        <f aca="false">I85 - $H$4*SQRT($J$4)</f>
        <v>-0.412916035761189</v>
      </c>
    </row>
    <row r="86" customFormat="false" ht="13.5" hidden="false" customHeight="true" outlineLevel="0" collapsed="false">
      <c r="B86" s="29" t="n">
        <f aca="false">B57</f>
        <v>72</v>
      </c>
      <c r="C86" s="25" t="n">
        <f aca="false">IF($O$4="sell",-1,1) *  IF($K$4="call",  NORMDIST(I86,0,1,1),  NORMDIST(I86,0,1,1)-1  ) * $P$4</f>
        <v>-1.99044994040695</v>
      </c>
      <c r="D86" s="25" t="n">
        <f aca="false">IF($O$4="sell",-1,1) * NORMDIST(I86,0,1,0)/(B86*$H$4*SQRT($J$4)) * $P$4</f>
        <v>0.134575589510383</v>
      </c>
      <c r="E86" s="25" t="n">
        <f aca="false">IF($O$4="sell",-1,1) * (B86*NORMDIST(I86,0,1,0)*SQRT($J$4)/365) * $P$4</f>
        <v>0.0374932002636944</v>
      </c>
      <c r="F86" s="25" t="n">
        <f aca="false">IF($O$4="sell",-1,1) * (-(B86*NORMDIST(I86,0,1,0)*$H$4)/(2*SQRT($J$4))/365) *$P$4</f>
        <v>-0.404889921765823</v>
      </c>
      <c r="G86" s="25" t="n">
        <f aca="false">IF($O$4="buy",1,-1)*( IF($K$4="call",B86*NORMDIST(I86,0,1,1) - $B$4*NORMDIST(J86,0,1,1),$B$4*NORMDIST(-J86,0,1,1) - B86*NORMDIST(-I86,0,1,1) ) - $G$4) * $P$4</f>
        <v>13.5243256401518</v>
      </c>
      <c r="I86" s="26" t="n">
        <f aca="false">(LN(B86/$B$4)+($H$4^2/2)*($J$4))/($H$4*SQRT($J$4))</f>
        <v>-0.421988552578852</v>
      </c>
      <c r="J86" s="26" t="n">
        <f aca="false">I86 - $H$4*SQRT($J$4)</f>
        <v>-0.534984841886334</v>
      </c>
    </row>
    <row r="87" customFormat="false" ht="13.5" hidden="false" customHeight="true" outlineLevel="0" collapsed="false">
      <c r="B87" s="29" t="n">
        <f aca="false">B58</f>
        <v>71</v>
      </c>
      <c r="C87" s="25" t="n">
        <f aca="false">IF($O$4="sell",-1,1) *  IF($K$4="call",  NORMDIST(I87,0,1,1),  NORMDIST(I87,0,1,1)-1  ) * $P$4</f>
        <v>-2.12215843238066</v>
      </c>
      <c r="D87" s="25" t="n">
        <f aca="false">IF($O$4="sell",-1,1) * NORMDIST(I87,0,1,0)/(B87*$H$4*SQRT($J$4)) * $P$4</f>
        <v>0.128537400785618</v>
      </c>
      <c r="E87" s="25" t="n">
        <f aca="false">IF($O$4="sell",-1,1) * (B87*NORMDIST(I87,0,1,0)*SQRT($J$4)/365) * $P$4</f>
        <v>0.0348231007077953</v>
      </c>
      <c r="F87" s="25" t="n">
        <f aca="false">IF($O$4="sell",-1,1) * (-(B87*NORMDIST(I87,0,1,0)*$H$4)/(2*SQRT($J$4))/365) *$P$4</f>
        <v>-0.376055455977589</v>
      </c>
      <c r="G87" s="25" t="n">
        <f aca="false">IF($O$4="buy",1,-1)*( IF($K$4="call",B87*NORMDIST(I87,0,1,1) - $B$4*NORMDIST(J87,0,1,1),$B$4*NORMDIST(-J87,0,1,1) - B87*NORMDIST(-I87,0,1,1) ) - $G$4) * $P$4</f>
        <v>15.5811332722266</v>
      </c>
      <c r="I87" s="26" t="n">
        <f aca="false">(LN(B87/$B$4)+($H$4^2/2)*($J$4))/($H$4*SQRT($J$4))</f>
        <v>-0.545764670011176</v>
      </c>
      <c r="J87" s="26" t="n">
        <f aca="false">I87 - $H$4*SQRT($J$4)</f>
        <v>-0.658760959318658</v>
      </c>
    </row>
    <row r="88" customFormat="false" ht="13.5" hidden="false" customHeight="true" outlineLevel="0" collapsed="false">
      <c r="B88" s="29" t="n">
        <f aca="false">B59</f>
        <v>70</v>
      </c>
      <c r="C88" s="25" t="n">
        <f aca="false">IF($O$4="sell",-1,1) *  IF($K$4="call",  NORMDIST(I88,0,1,1),  NORMDIST(I88,0,1,1)-1  ) * $P$4</f>
        <v>-2.24695253810679</v>
      </c>
      <c r="D88" s="25" t="n">
        <f aca="false">IF($O$4="sell",-1,1) * NORMDIST(I88,0,1,0)/(B88*$H$4*SQRT($J$4)) * $P$4</f>
        <v>0.120785297891025</v>
      </c>
      <c r="E88" s="25" t="n">
        <f aca="false">IF($O$4="sell",-1,1) * (B88*NORMDIST(I88,0,1,0)*SQRT($J$4)/365) * $P$4</f>
        <v>0.0318076352517377</v>
      </c>
      <c r="F88" s="25" t="n">
        <f aca="false">IF($O$4="sell",-1,1) * (-(B88*NORMDIST(I88,0,1,0)*$H$4)/(2*SQRT($J$4))/365) *$P$4</f>
        <v>-0.343491375984317</v>
      </c>
      <c r="G88" s="25" t="n">
        <f aca="false">IF($O$4="buy",1,-1)*( IF($K$4="call",B88*NORMDIST(I88,0,1,1) - $B$4*NORMDIST(J88,0,1,1),$B$4*NORMDIST(-J88,0,1,1) - B88*NORMDIST(-I88,0,1,1) ) - $G$4) * $P$4</f>
        <v>17.7663351416121</v>
      </c>
      <c r="I88" s="26" t="n">
        <f aca="false">(LN(B88/$B$4)+($H$4^2/2)*($J$4))/($H$4*SQRT($J$4))</f>
        <v>-0.671296535516578</v>
      </c>
      <c r="J88" s="26" t="n">
        <f aca="false">I88 - $H$4*SQRT($J$4)</f>
        <v>-0.784292824824061</v>
      </c>
    </row>
    <row r="89" customFormat="false" ht="13.5" hidden="false" customHeight="true" outlineLevel="0" collapsed="false">
      <c r="B89" s="29" t="n">
        <f aca="false">B60</f>
        <v>69</v>
      </c>
      <c r="C89" s="25" t="n">
        <f aca="false">IF($O$4="sell",-1,1) *  IF($K$4="call",  NORMDIST(I89,0,1,1),  NORMDIST(I89,0,1,1)-1  ) * $P$4</f>
        <v>-2.36324658856802</v>
      </c>
      <c r="D89" s="25" t="n">
        <f aca="false">IF($O$4="sell",-1,1) * NORMDIST(I89,0,1,0)/(B89*$H$4*SQRT($J$4)) * $P$4</f>
        <v>0.111588071178446</v>
      </c>
      <c r="E89" s="25" t="n">
        <f aca="false">IF($O$4="sell",-1,1) * (B89*NORMDIST(I89,0,1,0)*SQRT($J$4)/365) * $P$4</f>
        <v>0.0285520424108409</v>
      </c>
      <c r="F89" s="25" t="n">
        <f aca="false">IF($O$4="sell",-1,1) * (-(B89*NORMDIST(I89,0,1,0)*$H$4)/(2*SQRT($J$4))/365) *$P$4</f>
        <v>-0.308334154904725</v>
      </c>
      <c r="G89" s="25" t="n">
        <f aca="false">IF($O$4="buy",1,-1)*( IF($K$4="call",B89*NORMDIST(I89,0,1,1) - $B$4*NORMDIST(J89,0,1,1),$B$4*NORMDIST(-J89,0,1,1) - B89*NORMDIST(-I89,0,1,1) ) - $G$4) * $P$4</f>
        <v>20.072201607436</v>
      </c>
      <c r="I89" s="26" t="n">
        <f aca="false">(LN(B89/$B$4)+($H$4^2/2)*($J$4))/($H$4*SQRT($J$4))</f>
        <v>-0.798634676797884</v>
      </c>
      <c r="J89" s="26" t="n">
        <f aca="false">I89 - $H$4*SQRT($J$4)</f>
        <v>-0.911630966105367</v>
      </c>
    </row>
    <row r="90" customFormat="false" ht="13.5" hidden="false" customHeight="true" outlineLevel="0" collapsed="false">
      <c r="B90" s="29" t="n">
        <f aca="false">B61</f>
        <v>68</v>
      </c>
      <c r="C90" s="25" t="n">
        <f aca="false">IF($O$4="sell",-1,1) *  IF($K$4="call",  NORMDIST(I90,0,1,1),  NORMDIST(I90,0,1,1)-1  ) * $P$4</f>
        <v>-2.46975778822424</v>
      </c>
      <c r="D90" s="25" t="n">
        <f aca="false">IF($O$4="sell",-1,1) * NORMDIST(I90,0,1,0)/(B90*$H$4*SQRT($J$4)) * $P$4</f>
        <v>0.101279667094933</v>
      </c>
      <c r="E90" s="25" t="n">
        <f aca="false">IF($O$4="sell",-1,1) * (B90*NORMDIST(I90,0,1,0)*SQRT($J$4)/365) * $P$4</f>
        <v>0.0251687309567592</v>
      </c>
      <c r="F90" s="25" t="n">
        <f aca="false">IF($O$4="sell",-1,1) * (-(B90*NORMDIST(I90,0,1,0)*$H$4)/(2*SQRT($J$4))/365) *$P$4</f>
        <v>-0.271797697618656</v>
      </c>
      <c r="G90" s="25" t="n">
        <f aca="false">IF($O$4="buy",1,-1)*( IF($K$4="call",B90*NORMDIST(I90,0,1,1) - $B$4*NORMDIST(J90,0,1,1),$B$4*NORMDIST(-J90,0,1,1) - B90*NORMDIST(-I90,0,1,1) ) - $G$4) * $P$4</f>
        <v>22.4895633588378</v>
      </c>
      <c r="I90" s="26" t="n">
        <f aca="false">(LN(B90/$B$4)+($H$4^2/2)*($J$4))/($H$4*SQRT($J$4))</f>
        <v>-0.927831834603898</v>
      </c>
      <c r="J90" s="26" t="n">
        <f aca="false">I90 - $H$4*SQRT($J$4)</f>
        <v>-1.04082812391138</v>
      </c>
    </row>
    <row r="91" customFormat="false" ht="13.5" hidden="false" customHeight="true" outlineLevel="0" collapsed="false">
      <c r="B91" s="29" t="n">
        <f aca="false">B62</f>
        <v>67</v>
      </c>
      <c r="C91" s="25" t="n">
        <f aca="false">IF($O$4="sell",-1,1) *  IF($K$4="call",  NORMDIST(I91,0,1,1),  NORMDIST(I91,0,1,1)-1  ) * $P$4</f>
        <v>-2.56556145484368</v>
      </c>
      <c r="D91" s="25" t="n">
        <f aca="false">IF($O$4="sell",-1,1) * NORMDIST(I91,0,1,0)/(B91*$H$4*SQRT($J$4)) * $P$4</f>
        <v>0.0902385280223471</v>
      </c>
      <c r="E91" s="25" t="n">
        <f aca="false">IF($O$4="sell",-1,1) * (B91*NORMDIST(I91,0,1,0)*SQRT($J$4)/365) * $P$4</f>
        <v>0.0217702208920079</v>
      </c>
      <c r="F91" s="25" t="n">
        <f aca="false">IF($O$4="sell",-1,1) * (-(B91*NORMDIST(I91,0,1,0)*$H$4)/(2*SQRT($J$4))/365) *$P$4</f>
        <v>-0.235097110190541</v>
      </c>
      <c r="G91" s="25" t="n">
        <f aca="false">IF($O$4="buy",1,-1)*( IF($K$4="call",B91*NORMDIST(I91,0,1,1) - $B$4*NORMDIST(J91,0,1,1),$B$4*NORMDIST(-J91,0,1,1) - B91*NORMDIST(-I91,0,1,1) ) - $G$4) * $P$4</f>
        <v>25.0081436324622</v>
      </c>
      <c r="I91" s="26" t="n">
        <f aca="false">(LN(B91/$B$4)+($H$4^2/2)*($J$4))/($H$4*SQRT($J$4))</f>
        <v>-1.05894309388451</v>
      </c>
      <c r="J91" s="26" t="n">
        <f aca="false">I91 - $H$4*SQRT($J$4)</f>
        <v>-1.17193938319199</v>
      </c>
    </row>
    <row r="92" customFormat="false" ht="13.5" hidden="false" customHeight="true" outlineLevel="0" collapsed="false">
      <c r="B92" s="29" t="n">
        <f aca="false">B63</f>
        <v>66</v>
      </c>
      <c r="C92" s="25" t="n">
        <f aca="false">IF($O$4="sell",-1,1) *  IF($K$4="call",  NORMDIST(I92,0,1,1),  NORMDIST(I92,0,1,1)-1  ) * $P$4</f>
        <v>-2.6501234385787</v>
      </c>
      <c r="D92" s="25" t="n">
        <f aca="false">IF($O$4="sell",-1,1) * NORMDIST(I92,0,1,0)/(B92*$H$4*SQRT($J$4)) * $P$4</f>
        <v>0.0788629526411396</v>
      </c>
      <c r="E92" s="25" t="n">
        <f aca="false">IF($O$4="sell",-1,1) * (B92*NORMDIST(I92,0,1,0)*SQRT($J$4)/365) * $P$4</f>
        <v>0.0184621439122104</v>
      </c>
      <c r="F92" s="25" t="n">
        <f aca="false">IF($O$4="sell",-1,1) * (-(B92*NORMDIST(I92,0,1,0)*$H$4)/(2*SQRT($J$4))/365) *$P$4</f>
        <v>-0.19937311170214</v>
      </c>
      <c r="G92" s="25" t="n">
        <f aca="false">IF($O$4="buy",1,-1)*( IF($K$4="call",B92*NORMDIST(I92,0,1,1) - $B$4*NORMDIST(J92,0,1,1),$B$4*NORMDIST(-J92,0,1,1) - B92*NORMDIST(-I92,0,1,1) ) - $G$4) * $P$4</f>
        <v>27.6169345918365</v>
      </c>
      <c r="I92" s="26" t="n">
        <f aca="false">(LN(B92/$B$4)+($H$4^2/2)*($J$4))/($H$4*SQRT($J$4))</f>
        <v>-1.1920260248082</v>
      </c>
      <c r="J92" s="26" t="n">
        <f aca="false">I92 - $H$4*SQRT($J$4)</f>
        <v>-1.30502231411568</v>
      </c>
    </row>
    <row r="93" customFormat="false" ht="13.5" hidden="false" customHeight="true" outlineLevel="0" collapsed="false">
      <c r="B93" s="29" t="n">
        <f aca="false">B64</f>
        <v>65</v>
      </c>
      <c r="C93" s="25" t="n">
        <f aca="false">IF($O$4="sell",-1,1) *  IF($K$4="call",  NORMDIST(I93,0,1,1),  NORMDIST(I93,0,1,1)-1  ) * $P$4</f>
        <v>-2.72330685055771</v>
      </c>
      <c r="D93" s="25" t="n">
        <f aca="false">IF($O$4="sell",-1,1) * NORMDIST(I93,0,1,0)/(B93*$H$4*SQRT($J$4)) * $P$4</f>
        <v>0.0675447719390992</v>
      </c>
      <c r="E93" s="25" t="n">
        <f aca="false">IF($O$4="sell",-1,1) * (B93*NORMDIST(I93,0,1,0)*SQRT($J$4)/365) * $P$4</f>
        <v>0.015336973978334</v>
      </c>
      <c r="F93" s="25" t="n">
        <f aca="false">IF($O$4="sell",-1,1) * (-(B93*NORMDIST(I93,0,1,0)*$H$4)/(2*SQRT($J$4))/365) *$P$4</f>
        <v>-0.165624330559619</v>
      </c>
      <c r="G93" s="25" t="n">
        <f aca="false">IF($O$4="buy",1,-1)*( IF($K$4="call",B93*NORMDIST(I93,0,1,1) - $B$4*NORMDIST(J93,0,1,1),$B$4*NORMDIST(-J93,0,1,1) - B93*NORMDIST(-I93,0,1,1) ) - $G$4) * $P$4</f>
        <v>30.3045934213779</v>
      </c>
      <c r="I93" s="26" t="n">
        <f aca="false">(LN(B93/$B$4)+($H$4^2/2)*($J$4))/($H$4*SQRT($J$4))</f>
        <v>-1.32714083454538</v>
      </c>
      <c r="J93" s="26" t="n">
        <f aca="false">I93 - $H$4*SQRT($J$4)</f>
        <v>-1.44013712385287</v>
      </c>
    </row>
    <row r="94" customFormat="false" ht="13.5" hidden="false" customHeight="true" outlineLevel="0" collapsed="false">
      <c r="B94" s="29" t="n">
        <f aca="false">B65</f>
        <v>64</v>
      </c>
      <c r="C94" s="25" t="n">
        <f aca="false">IF($O$4="sell",-1,1) *  IF($K$4="call",  NORMDIST(I94,0,1,1),  NORMDIST(I94,0,1,1)-1  ) * $P$4</f>
        <v>-2.78535270421094</v>
      </c>
      <c r="D94" s="25" t="n">
        <f aca="false">IF($O$4="sell",-1,1) * NORMDIST(I94,0,1,0)/(B94*$H$4*SQRT($J$4)) * $P$4</f>
        <v>0.0566439401253686</v>
      </c>
      <c r="E94" s="25" t="n">
        <f aca="false">IF($O$4="sell",-1,1) * (B94*NORMDIST(I94,0,1,0)*SQRT($J$4)/365) * $P$4</f>
        <v>0.0124690863014994</v>
      </c>
      <c r="F94" s="25" t="n">
        <f aca="false">IF($O$4="sell",-1,1) * (-(B94*NORMDIST(I94,0,1,0)*$H$4)/(2*SQRT($J$4))/365) *$P$4</f>
        <v>-0.134653946358217</v>
      </c>
      <c r="G94" s="25" t="n">
        <f aca="false">IF($O$4="buy",1,-1)*( IF($K$4="call",B94*NORMDIST(I94,0,1,1) - $B$4*NORMDIST(J94,0,1,1),$B$4*NORMDIST(-J94,0,1,1) - B94*NORMDIST(-I94,0,1,1) ) - $G$4) * $P$4</f>
        <v>33.0598320290753</v>
      </c>
      <c r="I94" s="26" t="n">
        <f aca="false">(LN(B94/$B$4)+($H$4^2/2)*($J$4))/($H$4*SQRT($J$4))</f>
        <v>-1.46435053081935</v>
      </c>
      <c r="J94" s="26" t="n">
        <f aca="false">I94 - $H$4*SQRT($J$4)</f>
        <v>-1.57734682012684</v>
      </c>
    </row>
    <row r="95" customFormat="false" ht="13.5" hidden="false" customHeight="true" outlineLevel="0" collapsed="false">
      <c r="B95" s="29" t="n">
        <f aca="false">B66</f>
        <v>63</v>
      </c>
      <c r="C95" s="25" t="n">
        <f aca="false">IF($O$4="sell",-1,1) *  IF($K$4="call",  NORMDIST(I95,0,1,1),  NORMDIST(I95,0,1,1)-1  ) * $P$4</f>
        <v>-2.83683668526509</v>
      </c>
      <c r="D95" s="25" t="n">
        <f aca="false">IF($O$4="sell",-1,1) * NORMDIST(I95,0,1,0)/(B95*$H$4*SQRT($J$4)) * $P$4</f>
        <v>0.0464666070298253</v>
      </c>
      <c r="E95" s="25" t="n">
        <f aca="false">IF($O$4="sell",-1,1) * (B95*NORMDIST(I95,0,1,0)*SQRT($J$4)/365) * $P$4</f>
        <v>0.00991158907593564</v>
      </c>
      <c r="F95" s="25" t="n">
        <f aca="false">IF($O$4="sell",-1,1) * (-(B95*NORMDIST(I95,0,1,0)*$H$4)/(2*SQRT($J$4))/365) *$P$4</f>
        <v>-0.107035475694417</v>
      </c>
      <c r="G95" s="25" t="n">
        <f aca="false">IF($O$4="buy",1,-1)*( IF($K$4="call",B95*NORMDIST(I95,0,1,1) - $B$4*NORMDIST(J95,0,1,1),$B$4*NORMDIST(-J95,0,1,1) - B95*NORMDIST(-I95,0,1,1) ) - $G$4) * $P$4</f>
        <v>35.8717751641608</v>
      </c>
      <c r="I95" s="26" t="n">
        <f aca="false">(LN(B95/$B$4)+($H$4^2/2)*($J$4))/($H$4*SQRT($J$4))</f>
        <v>-1.60372109833671</v>
      </c>
      <c r="J95" s="26" t="n">
        <f aca="false">I95 - $H$4*SQRT($J$4)</f>
        <v>-1.71671738764419</v>
      </c>
    </row>
    <row r="96" customFormat="false" ht="13.5" hidden="false" customHeight="true" outlineLevel="0" collapsed="false">
      <c r="B96" s="29" t="n">
        <f aca="false">B67</f>
        <v>62</v>
      </c>
      <c r="C96" s="25" t="n">
        <f aca="false">IF($O$4="sell",-1,1) *  IF($K$4="call",  NORMDIST(I96,0,1,1),  NORMDIST(I96,0,1,1)-1  ) * $P$4</f>
        <v>-2.87860666716467</v>
      </c>
      <c r="D96" s="25" t="n">
        <f aca="false">IF($O$4="sell",-1,1) * NORMDIST(I96,0,1,0)/(B96*$H$4*SQRT($J$4)) * $P$4</f>
        <v>0.0372488491321279</v>
      </c>
      <c r="E96" s="25" t="n">
        <f aca="false">IF($O$4="sell",-1,1) * (B96*NORMDIST(I96,0,1,0)*SQRT($J$4)/365) * $P$4</f>
        <v>0.00769515666098642</v>
      </c>
      <c r="F96" s="25" t="n">
        <f aca="false">IF($O$4="sell",-1,1) * (-(B96*NORMDIST(I96,0,1,0)*$H$4)/(2*SQRT($J$4))/365) *$P$4</f>
        <v>-0.0831001716719165</v>
      </c>
      <c r="G96" s="25" t="n">
        <f aca="false">IF($O$4="buy",1,-1)*( IF($K$4="call",B96*NORMDIST(I96,0,1,1) - $B$4*NORMDIST(J96,0,1,1),$B$4*NORMDIST(-J96,0,1,1) - B96*NORMDIST(-I96,0,1,1) ) - $G$4) * $P$4</f>
        <v>38.7302652049421</v>
      </c>
      <c r="I96" s="26" t="n">
        <f aca="false">(LN(B96/$B$4)+($H$4^2/2)*($J$4))/($H$4*SQRT($J$4))</f>
        <v>-1.74532168933401</v>
      </c>
      <c r="J96" s="26" t="n">
        <f aca="false">I96 - $H$4*SQRT($J$4)</f>
        <v>-1.85831797864149</v>
      </c>
    </row>
    <row r="97" customFormat="false" ht="13.5" hidden="false" customHeight="true" outlineLevel="0" collapsed="false">
      <c r="B97" s="29" t="n">
        <f aca="false">B68</f>
        <v>61</v>
      </c>
      <c r="C97" s="25" t="n">
        <f aca="false">IF($O$4="sell",-1,1) *  IF($K$4="call",  NORMDIST(I97,0,1,1),  NORMDIST(I97,0,1,1)-1  ) * $P$4</f>
        <v>-2.91170743645579</v>
      </c>
      <c r="D97" s="25" t="n">
        <f aca="false">IF($O$4="sell",-1,1) * NORMDIST(I97,0,1,0)/(B97*$H$4*SQRT($J$4)) * $P$4</f>
        <v>0.0291475319112926</v>
      </c>
      <c r="E97" s="25" t="n">
        <f aca="false">IF($O$4="sell",-1,1) * (B97*NORMDIST(I97,0,1,0)*SQRT($J$4)/365) * $P$4</f>
        <v>0.00582884738221446</v>
      </c>
      <c r="F97" s="25" t="n">
        <f aca="false">IF($O$4="sell",-1,1) * (-(B97*NORMDIST(I97,0,1,0)*$H$4)/(2*SQRT($J$4))/365) *$P$4</f>
        <v>-0.0629458553543381</v>
      </c>
      <c r="G97" s="25" t="n">
        <f aca="false">IF($O$4="buy",1,-1)*( IF($K$4="call",B97*NORMDIST(I97,0,1,1) - $B$4*NORMDIST(J97,0,1,1),$B$4*NORMDIST(-J97,0,1,1) - B97*NORMDIST(-I97,0,1,1) ) - $G$4) * $P$4</f>
        <v>41.6260974714647</v>
      </c>
      <c r="I97" s="26" t="n">
        <f aca="false">(LN(B97/$B$4)+($H$4^2/2)*($J$4))/($H$4*SQRT($J$4))</f>
        <v>-1.88922482961795</v>
      </c>
      <c r="J97" s="26" t="n">
        <f aca="false">I97 - $H$4*SQRT($J$4)</f>
        <v>-2.00222111892544</v>
      </c>
    </row>
    <row r="98" customFormat="false" ht="13.5" hidden="false" customHeight="true" outlineLevel="0" collapsed="false">
      <c r="B98" s="29" t="n">
        <f aca="false">B69</f>
        <v>60</v>
      </c>
      <c r="C98" s="25" t="n">
        <f aca="false">IF($O$4="sell",-1,1) *  IF($K$4="call",  NORMDIST(I98,0,1,1),  NORMDIST(I98,0,1,1)-1  ) * $P$4</f>
        <v>-2.93730011857133</v>
      </c>
      <c r="D98" s="25" t="n">
        <f aca="false">IF($O$4="sell",-1,1) * NORMDIST(I98,0,1,0)/(B98*$H$4*SQRT($J$4)) * $P$4</f>
        <v>0.0222388581735551</v>
      </c>
      <c r="E98" s="25" t="n">
        <f aca="false">IF($O$4="sell",-1,1) * (B98*NORMDIST(I98,0,1,0)*SQRT($J$4)/365) * $P$4</f>
        <v>0.00430265192188113</v>
      </c>
      <c r="F98" s="25" t="n">
        <f aca="false">IF($O$4="sell",-1,1) * (-(B98*NORMDIST(I98,0,1,0)*$H$4)/(2*SQRT($J$4))/365) *$P$4</f>
        <v>-0.046464435891938</v>
      </c>
      <c r="G98" s="25" t="n">
        <f aca="false">IF($O$4="buy",1,-1)*( IF($K$4="call",B98*NORMDIST(I98,0,1,1) - $B$4*NORMDIST(J98,0,1,1),$B$4*NORMDIST(-J98,0,1,1) - B98*NORMDIST(-I98,0,1,1) ) - $G$4) * $P$4</f>
        <v>44.5511769718647</v>
      </c>
      <c r="I98" s="26" t="n">
        <f aca="false">(LN(B98/$B$4)+($H$4^2/2)*($J$4))/($H$4*SQRT($J$4))</f>
        <v>-2.03550664163597</v>
      </c>
      <c r="J98" s="26" t="n">
        <f aca="false">I98 - $H$4*SQRT($J$4)</f>
        <v>-2.14850293094345</v>
      </c>
    </row>
    <row r="99" customFormat="false" ht="13.5" hidden="false" customHeight="true" outlineLevel="0" collapsed="false">
      <c r="B99" s="29" t="n">
        <f aca="false">B70</f>
        <v>59</v>
      </c>
      <c r="C99" s="25" t="n">
        <f aca="false">IF($O$4="sell",-1,1) *  IF($K$4="call",  NORMDIST(I99,0,1,1),  NORMDIST(I99,0,1,1)-1  ) * $P$4</f>
        <v>-2.95658385503078</v>
      </c>
      <c r="D99" s="25" t="n">
        <f aca="false">IF($O$4="sell",-1,1) * NORMDIST(I99,0,1,0)/(B99*$H$4*SQRT($J$4)) * $P$4</f>
        <v>0.0165241710706808</v>
      </c>
      <c r="E99" s="25" t="n">
        <f aca="false">IF($O$4="sell",-1,1) * (B99*NORMDIST(I99,0,1,0)*SQRT($J$4)/365) * $P$4</f>
        <v>0.00309132690362061</v>
      </c>
      <c r="F99" s="25" t="n">
        <f aca="false">IF($O$4="sell",-1,1) * (-(B99*NORMDIST(I99,0,1,0)*$H$4)/(2*SQRT($J$4))/365) *$P$4</f>
        <v>-0.0333833094896286</v>
      </c>
      <c r="G99" s="25" t="n">
        <f aca="false">IF($O$4="buy",1,-1)*( IF($K$4="call",B99*NORMDIST(I99,0,1,1) - $B$4*NORMDIST(J99,0,1,1),$B$4*NORMDIST(-J99,0,1,1) - B99*NORMDIST(-I99,0,1,1) ) - $G$4) * $P$4</f>
        <v>47.4985950943971</v>
      </c>
      <c r="I99" s="26" t="n">
        <f aca="false">(LN(B99/$B$4)+($H$4^2/2)*($J$4))/($H$4*SQRT($J$4))</f>
        <v>-2.1842470862947</v>
      </c>
      <c r="J99" s="26" t="n">
        <f aca="false">I99 - $H$4*SQRT($J$4)</f>
        <v>-2.29724337560218</v>
      </c>
    </row>
    <row r="100" customFormat="false" ht="13.5" hidden="false" customHeight="true" outlineLevel="0" collapsed="false">
      <c r="B100" s="29" t="n">
        <f aca="false">B71</f>
        <v>58</v>
      </c>
      <c r="C100" s="25" t="n">
        <f aca="false">IF($O$4="sell",-1,1) *  IF($K$4="call",  NORMDIST(I100,0,1,1),  NORMDIST(I100,0,1,1)-1  ) * $P$4</f>
        <v>-2.97072639177108</v>
      </c>
      <c r="D100" s="25" t="n">
        <f aca="false">IF($O$4="sell",-1,1) * NORMDIST(I100,0,1,0)/(B100*$H$4*SQRT($J$4)) * $P$4</f>
        <v>0.011941689602503</v>
      </c>
      <c r="E100" s="25" t="n">
        <f aca="false">IF($O$4="sell",-1,1) * (B100*NORMDIST(I100,0,1,0)*SQRT($J$4)/365) * $P$4</f>
        <v>0.00215895203292933</v>
      </c>
      <c r="F100" s="25" t="n">
        <f aca="false">IF($O$4="sell",-1,1) * (-(B100*NORMDIST(I100,0,1,0)*$H$4)/(2*SQRT($J$4))/365) *$P$4</f>
        <v>-0.0233145720706955</v>
      </c>
      <c r="G100" s="25" t="n">
        <f aca="false">IF($O$4="buy",1,-1)*( IF($K$4="call",B100*NORMDIST(I100,0,1,1) - $B$4*NORMDIST(J100,0,1,1),$B$4*NORMDIST(-J100,0,1,1) - B100*NORMDIST(-I100,0,1,1) ) - $G$4) * $P$4</f>
        <v>50.46263193694</v>
      </c>
      <c r="I100" s="26" t="n">
        <f aca="false">(LN(B100/$B$4)+($H$4^2/2)*($J$4))/($H$4*SQRT($J$4))</f>
        <v>-2.33553022544968</v>
      </c>
      <c r="J100" s="26" t="n">
        <f aca="false">I100 - $H$4*SQRT($J$4)</f>
        <v>-2.44852651475716</v>
      </c>
    </row>
    <row r="101" customFormat="false" ht="13.5" hidden="false" customHeight="true" outlineLevel="0" collapsed="false">
      <c r="B101" s="29" t="n">
        <f aca="false">B72</f>
        <v>57</v>
      </c>
      <c r="C101" s="25" t="n">
        <f aca="false">IF($O$4="sell",-1,1) *  IF($K$4="call",  NORMDIST(I101,0,1,1),  NORMDIST(I101,0,1,1)-1  ) * $P$4</f>
        <v>-2.98080856648149</v>
      </c>
      <c r="D101" s="25" t="n">
        <f aca="false">IF($O$4="sell",-1,1) * NORMDIST(I101,0,1,0)/(B101*$H$4*SQRT($J$4)) * $P$4</f>
        <v>0.00838220568533158</v>
      </c>
      <c r="E101" s="25" t="n">
        <f aca="false">IF($O$4="sell",-1,1) * (B101*NORMDIST(I101,0,1,0)*SQRT($J$4)/365) * $P$4</f>
        <v>0.0014636230912091</v>
      </c>
      <c r="F101" s="25" t="n">
        <f aca="false">IF($O$4="sell",-1,1) * (-(B101*NORMDIST(I101,0,1,0)*$H$4)/(2*SQRT($J$4))/365) *$P$4</f>
        <v>-0.0158056990261282</v>
      </c>
      <c r="G101" s="25" t="n">
        <f aca="false">IF($O$4="buy",1,-1)*( IF($K$4="call",B101*NORMDIST(I101,0,1,1) - $B$4*NORMDIST(J101,0,1,1),$B$4*NORMDIST(-J101,0,1,1) - B101*NORMDIST(-I101,0,1,1) ) - $G$4) * $P$4</f>
        <v>53.4386958437693</v>
      </c>
      <c r="I101" s="26" t="n">
        <f aca="false">(LN(B101/$B$4)+($H$4^2/2)*($J$4))/($H$4*SQRT($J$4))</f>
        <v>-2.48944450722351</v>
      </c>
      <c r="J101" s="26" t="n">
        <f aca="false">I101 - $H$4*SQRT($J$4)</f>
        <v>-2.60244079653099</v>
      </c>
    </row>
    <row r="102" customFormat="false" ht="13.5" hidden="false" customHeight="true" outlineLevel="0" collapsed="false">
      <c r="B102" s="30"/>
      <c r="C102" s="22"/>
      <c r="D102" s="22"/>
      <c r="E102" s="22"/>
      <c r="F102" s="22"/>
      <c r="G102" s="22"/>
      <c r="I102" s="31"/>
      <c r="J102" s="31"/>
    </row>
    <row r="103" customFormat="false" ht="17.25" hidden="false" customHeight="true" outlineLevel="0" collapsed="false">
      <c r="B103" s="23"/>
      <c r="C103" s="19" t="s">
        <v>13</v>
      </c>
      <c r="D103" s="19" t="s">
        <v>14</v>
      </c>
      <c r="E103" s="19" t="s">
        <v>15</v>
      </c>
      <c r="F103" s="19" t="s">
        <v>16</v>
      </c>
      <c r="G103" s="19" t="s">
        <v>17</v>
      </c>
      <c r="I103" s="19" t="s">
        <v>158</v>
      </c>
      <c r="J103" s="19" t="s">
        <v>159</v>
      </c>
    </row>
    <row r="104" customFormat="false" ht="13.5" hidden="false" customHeight="true" outlineLevel="0" collapsed="false">
      <c r="A104" s="2" t="str">
        <f aca="false">A5</f>
        <v>SOL-1MAY26-78-P-USDT</v>
      </c>
      <c r="B104" s="29" t="n">
        <f aca="false">B75</f>
        <v>83</v>
      </c>
      <c r="C104" s="25" t="n">
        <f aca="false">IF($O$5="sell",-1,1) *  IF($K$5="call",  NORMDIST(I104,0,1,1),  NORMDIST(I104,0,1,1)-1  ) * $P$5</f>
        <v>-0.529857363595773</v>
      </c>
      <c r="D104" s="25" t="n">
        <f aca="false">IF($O$5="sell",-1,1) * NORMDIST(I104,0,1,0)/(B104*$H$5*SQRT($J$5)) * $P$5</f>
        <v>0.0729196916043371</v>
      </c>
      <c r="E104" s="25" t="n">
        <f aca="false">IF($O$5="sell",-1,1) * (B104*NORMDIST(I104,0,1,0)*SQRT($J$5)/365) * $P$5</f>
        <v>0.025856799164624</v>
      </c>
      <c r="F104" s="25" t="n">
        <f aca="false">IF($O$5="sell",-1,1) * (-(B104*NORMDIST(I104,0,1,0)*$H$5)/(2*SQRT($J$5))/365) *$P$5</f>
        <v>-0.267430997214441</v>
      </c>
      <c r="G104" s="25" t="n">
        <f aca="false">IF($O$5="buy",1,-1)*( IF($K$5="call",B104*NORMDIST(I104,0,1,1) - $B$5*NORMDIST(J104,0,1,1),$B$5*NORMDIST(-J104,0,1,1) - B104*NORMDIST(-I104,0,1,1) ) - $G$5) * $P$5</f>
        <v>-2.13928270838756</v>
      </c>
      <c r="I104" s="26" t="n">
        <f aca="false">(LN(B104/$B$5)+($H$5^2/2)*($J$5))/($H$5*SQRT($J$5))</f>
        <v>0.628223765887842</v>
      </c>
      <c r="J104" s="26" t="n">
        <f aca="false">I104 - $H$5*SQRT($J$5)</f>
        <v>0.520001478663561</v>
      </c>
    </row>
    <row r="105" customFormat="false" ht="13.5" hidden="false" customHeight="true" outlineLevel="0" collapsed="false">
      <c r="B105" s="29" t="n">
        <f aca="false">B76</f>
        <v>82</v>
      </c>
      <c r="C105" s="25" t="n">
        <f aca="false">IF($O$5="sell",-1,1) *  IF($K$5="call",  NORMDIST(I105,0,1,1),  NORMDIST(I105,0,1,1)-1  ) * $P$5</f>
        <v>-0.605701129785421</v>
      </c>
      <c r="D105" s="25" t="n">
        <f aca="false">IF($O$5="sell",-1,1) * NORMDIST(I105,0,1,0)/(B105*$H$5*SQRT($J$5)) * $P$5</f>
        <v>0.0786943497376424</v>
      </c>
      <c r="E105" s="25" t="n">
        <f aca="false">IF($O$5="sell",-1,1) * (B105*NORMDIST(I105,0,1,0)*SQRT($J$5)/365) * $P$5</f>
        <v>0.0272361056429534</v>
      </c>
      <c r="F105" s="25" t="n">
        <f aca="false">IF($O$5="sell",-1,1) * (-(B105*NORMDIST(I105,0,1,0)*$H$5)/(2*SQRT($J$5))/365) *$P$5</f>
        <v>-0.281696850641058</v>
      </c>
      <c r="G105" s="25" t="n">
        <f aca="false">IF($O$5="buy",1,-1)*( IF($K$5="call",B105*NORMDIST(I105,0,1,1) - $B$5*NORMDIST(J105,0,1,1),$B$5*NORMDIST(-J105,0,1,1) - B105*NORMDIST(-I105,0,1,1) ) - $G$5) * $P$5</f>
        <v>-1.57198496201738</v>
      </c>
      <c r="I105" s="26" t="n">
        <f aca="false">(LN(B105/$B$5)+($H$5^2/2)*($J$5))/($H$5*SQRT($J$5))</f>
        <v>0.516219475059796</v>
      </c>
      <c r="J105" s="26" t="n">
        <f aca="false">I105 - $H$5*SQRT($J$5)</f>
        <v>0.407997187835515</v>
      </c>
    </row>
    <row r="106" customFormat="false" ht="13.5" hidden="false" customHeight="true" outlineLevel="0" collapsed="false">
      <c r="B106" s="29" t="n">
        <f aca="false">B77</f>
        <v>81</v>
      </c>
      <c r="C106" s="25" t="n">
        <f aca="false">IF($O$5="sell",-1,1) *  IF($K$5="call",  NORMDIST(I106,0,1,1),  NORMDIST(I106,0,1,1)-1  ) * $P$5</f>
        <v>-0.687065297092585</v>
      </c>
      <c r="D106" s="25" t="n">
        <f aca="false">IF($O$5="sell",-1,1) * NORMDIST(I106,0,1,0)/(B106*$H$5*SQRT($J$5)) * $P$5</f>
        <v>0.083926577797574</v>
      </c>
      <c r="E106" s="25" t="n">
        <f aca="false">IF($O$5="sell",-1,1) * (B106*NORMDIST(I106,0,1,0)*SQRT($J$5)/365) * $P$5</f>
        <v>0.028342836178037</v>
      </c>
      <c r="F106" s="25" t="n">
        <f aca="false">IF($O$5="sell",-1,1) * (-(B106*NORMDIST(I106,0,1,0)*$H$5)/(2*SQRT($J$5))/365) *$P$5</f>
        <v>-0.29314351303576</v>
      </c>
      <c r="G106" s="25" t="n">
        <f aca="false">IF($O$5="buy",1,-1)*( IF($K$5="call",B106*NORMDIST(I106,0,1,1) - $B$5*NORMDIST(J106,0,1,1),$B$5*NORMDIST(-J106,0,1,1) - B106*NORMDIST(-I106,0,1,1) ) - $G$5) * $P$5</f>
        <v>-0.926038051866454</v>
      </c>
      <c r="I106" s="26" t="n">
        <f aca="false">(LN(B106/$B$5)+($H$5^2/2)*($J$5))/($H$5*SQRT($J$5))</f>
        <v>0.402840864179159</v>
      </c>
      <c r="J106" s="26" t="n">
        <f aca="false">I106 - $H$5*SQRT($J$5)</f>
        <v>0.294618576954878</v>
      </c>
    </row>
    <row r="107" customFormat="false" ht="13.5" hidden="false" customHeight="true" outlineLevel="0" collapsed="false">
      <c r="B107" s="29" t="n">
        <f aca="false">B78</f>
        <v>80</v>
      </c>
      <c r="C107" s="25" t="n">
        <f aca="false">IF($O$5="sell",-1,1) *  IF($K$5="call",  NORMDIST(I107,0,1,1),  NORMDIST(I107,0,1,1)-1  ) * $P$5</f>
        <v>-0.773305566307151</v>
      </c>
      <c r="D107" s="25" t="n">
        <f aca="false">IF($O$5="sell",-1,1) * NORMDIST(I107,0,1,0)/(B107*$H$5*SQRT($J$5)) * $P$5</f>
        <v>0.0884128880556816</v>
      </c>
      <c r="E107" s="25" t="n">
        <f aca="false">IF($O$5="sell",-1,1) * (B107*NORMDIST(I107,0,1,0)*SQRT($J$5)/365) * $P$5</f>
        <v>0.0291252260967491</v>
      </c>
      <c r="F107" s="25" t="n">
        <f aca="false">IF($O$5="sell",-1,1) * (-(B107*NORMDIST(I107,0,1,0)*$H$5)/(2*SQRT($J$5))/365) *$P$5</f>
        <v>-0.301235594149108</v>
      </c>
      <c r="G107" s="25" t="n">
        <f aca="false">IF($O$5="buy",1,-1)*( IF($K$5="call",B107*NORMDIST(I107,0,1,1) - $B$5*NORMDIST(J107,0,1,1),$B$5*NORMDIST(-J107,0,1,1) - B107*NORMDIST(-I107,0,1,1) ) - $G$5) * $P$5</f>
        <v>-0.196226753640357</v>
      </c>
      <c r="I107" s="26" t="n">
        <f aca="false">(LN(B107/$B$5)+($H$5^2/2)*($J$5))/($H$5*SQRT($J$5))</f>
        <v>0.288053787347075</v>
      </c>
      <c r="J107" s="26" t="n">
        <f aca="false">I107 - $H$5*SQRT($J$5)</f>
        <v>0.179831500122794</v>
      </c>
    </row>
    <row r="108" customFormat="false" ht="13.5" hidden="false" customHeight="true" outlineLevel="0" collapsed="false">
      <c r="B108" s="29" t="n">
        <f aca="false">B79</f>
        <v>79</v>
      </c>
      <c r="C108" s="25" t="n">
        <f aca="false">IF($O$5="sell",-1,1) *  IF($K$5="call",  NORMDIST(I108,0,1,1),  NORMDIST(I108,0,1,1)-1  ) * $P$5</f>
        <v>-0.863576832367787</v>
      </c>
      <c r="D108" s="25" t="n">
        <f aca="false">IF($O$5="sell",-1,1) * NORMDIST(I108,0,1,0)/(B108*$H$5*SQRT($J$5)) * $P$5</f>
        <v>0.0919571296959907</v>
      </c>
      <c r="E108" s="25" t="n">
        <f aca="false">IF($O$5="sell",-1,1) * (B108*NORMDIST(I108,0,1,0)*SQRT($J$5)/365) * $P$5</f>
        <v>0.0295401940399133</v>
      </c>
      <c r="F108" s="25" t="n">
        <f aca="false">IF($O$5="sell",-1,1) * (-(B108*NORMDIST(I108,0,1,0)*$H$5)/(2*SQRT($J$5))/365) *$P$5</f>
        <v>-0.305527513274359</v>
      </c>
      <c r="G108" s="25" t="n">
        <f aca="false">IF($O$5="buy",1,-1)*( IF($K$5="call",B108*NORMDIST(I108,0,1,1) - $B$5*NORMDIST(J108,0,1,1),$B$5*NORMDIST(-J108,0,1,1) - B108*NORMDIST(-I108,0,1,1) ) - $G$5) * $P$5</f>
        <v>0.621918845194005</v>
      </c>
      <c r="I108" s="26" t="n">
        <f aca="false">(LN(B108/$B$5)+($H$5^2/2)*($J$5))/($H$5*SQRT($J$5))</f>
        <v>0.171822810073497</v>
      </c>
      <c r="J108" s="26" t="n">
        <f aca="false">I108 - $H$5*SQRT($J$5)</f>
        <v>0.0636005228492161</v>
      </c>
    </row>
    <row r="109" customFormat="false" ht="13.5" hidden="false" customHeight="true" outlineLevel="0" collapsed="false">
      <c r="B109" s="29" t="n">
        <f aca="false">B80</f>
        <v>78</v>
      </c>
      <c r="C109" s="25" t="n">
        <f aca="false">IF($O$5="sell",-1,1) *  IF($K$5="call",  NORMDIST(I109,0,1,1),  NORMDIST(I109,0,1,1)-1  ) * $P$5</f>
        <v>-0.95684661393787</v>
      </c>
      <c r="D109" s="25" t="n">
        <f aca="false">IF($O$5="sell",-1,1) * NORMDIST(I109,0,1,0)/(B109*$H$5*SQRT($J$5)) * $P$5</f>
        <v>0.0943828179890521</v>
      </c>
      <c r="E109" s="25" t="n">
        <f aca="false">IF($O$5="sell",-1,1) * (B109*NORMDIST(I109,0,1,0)*SQRT($J$5)/365) * $P$5</f>
        <v>0.0295566970035603</v>
      </c>
      <c r="F109" s="25" t="n">
        <f aca="false">IF($O$5="sell",-1,1) * (-(B109*NORMDIST(I109,0,1,0)*$H$5)/(2*SQRT($J$5))/365) *$P$5</f>
        <v>-0.305698199676687</v>
      </c>
      <c r="G109" s="25" t="n">
        <f aca="false">IF($O$5="buy",1,-1)*( IF($K$5="call",B109*NORMDIST(I109,0,1,1) - $B$5*NORMDIST(J109,0,1,1),$B$5*NORMDIST(-J109,0,1,1) - B109*NORMDIST(-I109,0,1,1) ) - $G$5) * $P$5</f>
        <v>1.53192822569223</v>
      </c>
      <c r="I109" s="26" t="n">
        <f aca="false">(LN(B109/$B$5)+($H$5^2/2)*($J$5))/($H$5*SQRT($J$5))</f>
        <v>0.0541111436121405</v>
      </c>
      <c r="J109" s="26" t="n">
        <f aca="false">I109 - $H$5*SQRT($J$5)</f>
        <v>-0.0541111436121406</v>
      </c>
    </row>
    <row r="110" customFormat="false" ht="13.5" hidden="false" customHeight="true" outlineLevel="0" collapsed="false">
      <c r="B110" s="29" t="n">
        <f aca="false">B81</f>
        <v>77</v>
      </c>
      <c r="C110" s="25" t="n">
        <f aca="false">IF($O$5="sell",-1,1) *  IF($K$5="call",  NORMDIST(I110,0,1,1),  NORMDIST(I110,0,1,1)-1  ) * $P$5</f>
        <v>-1.05192108560933</v>
      </c>
      <c r="D110" s="25" t="n">
        <f aca="false">IF($O$5="sell",-1,1) * NORMDIST(I110,0,1,0)/(B110*$H$5*SQRT($J$5)) * $P$5</f>
        <v>0.0955458452023571</v>
      </c>
      <c r="E110" s="25" t="n">
        <f aca="false">IF($O$5="sell",-1,1) * (B110*NORMDIST(I110,0,1,0)*SQRT($J$5)/365) * $P$5</f>
        <v>0.0291586230192729</v>
      </c>
      <c r="F110" s="25" t="n">
        <f aca="false">IF($O$5="sell",-1,1) * (-(B110*NORMDIST(I110,0,1,0)*$H$5)/(2*SQRT($J$5))/365) *$P$5</f>
        <v>-0.301581010928562</v>
      </c>
      <c r="G110" s="25" t="n">
        <f aca="false">IF($O$5="buy",1,-1)*( IF($K$5="call",B110*NORMDIST(I110,0,1,1) - $B$5*NORMDIST(J110,0,1,1),$B$5*NORMDIST(-J110,0,1,1) - B110*NORMDIST(-I110,0,1,1) ) - $G$5) * $P$5</f>
        <v>2.53621501650021</v>
      </c>
      <c r="I110" s="26" t="n">
        <f aca="false">(LN(B110/$B$5)+($H$5^2/2)*($J$5))/($H$5*SQRT($J$5))</f>
        <v>-0.0651194249413283</v>
      </c>
      <c r="J110" s="26" t="n">
        <f aca="false">I110 - $H$5*SQRT($J$5)</f>
        <v>-0.173341712165609</v>
      </c>
    </row>
    <row r="111" customFormat="false" ht="13.5" hidden="false" customHeight="true" outlineLevel="0" collapsed="false">
      <c r="B111" s="29" t="n">
        <f aca="false">B82</f>
        <v>76</v>
      </c>
      <c r="C111" s="25" t="n">
        <f aca="false">IF($O$5="sell",-1,1) *  IF($K$5="call",  NORMDIST(I111,0,1,1),  NORMDIST(I111,0,1,1)-1  ) * $P$5</f>
        <v>-1.14748356763446</v>
      </c>
      <c r="D111" s="25" t="n">
        <f aca="false">IF($O$5="sell",-1,1) * NORMDIST(I111,0,1,0)/(B111*$H$5*SQRT($J$5)) * $P$5</f>
        <v>0.0953464912746571</v>
      </c>
      <c r="E111" s="25" t="n">
        <f aca="false">IF($O$5="sell",-1,1) * (B111*NORMDIST(I111,0,1,0)*SQRT($J$5)/365) * $P$5</f>
        <v>0.0283469054084836</v>
      </c>
      <c r="F111" s="25" t="n">
        <f aca="false">IF($O$5="sell",-1,1) * (-(B111*NORMDIST(I111,0,1,0)*$H$5)/(2*SQRT($J$5))/365) *$P$5</f>
        <v>-0.293185600161444</v>
      </c>
      <c r="G111" s="25" t="n">
        <f aca="false">IF($O$5="buy",1,-1)*( IF($K$5="call",B111*NORMDIST(I111,0,1,1) - $B$5*NORMDIST(J111,0,1,1),$B$5*NORMDIST(-J111,0,1,1) - B111*NORMDIST(-I111,0,1,1) ) - $G$5) * $P$5</f>
        <v>3.63593389207421</v>
      </c>
      <c r="I111" s="26" t="n">
        <f aca="false">(LN(B111/$B$5)+($H$5^2/2)*($J$5))/($H$5*SQRT($J$5))</f>
        <v>-0.185908607120246</v>
      </c>
      <c r="J111" s="26" t="n">
        <f aca="false">I111 - $H$5*SQRT($J$5)</f>
        <v>-0.294130894344527</v>
      </c>
    </row>
    <row r="112" customFormat="false" ht="13.5" hidden="false" customHeight="true" outlineLevel="0" collapsed="false">
      <c r="B112" s="29" t="n">
        <f aca="false">B83</f>
        <v>75</v>
      </c>
      <c r="C112" s="25" t="n">
        <f aca="false">IF($O$5="sell",-1,1) *  IF($K$5="call",  NORMDIST(I112,0,1,1),  NORMDIST(I112,0,1,1)-1  ) * $P$5</f>
        <v>-1.24214417828098</v>
      </c>
      <c r="D112" s="25" t="n">
        <f aca="false">IF($O$5="sell",-1,1) * NORMDIST(I112,0,1,0)/(B112*$H$5*SQRT($J$5)) * $P$5</f>
        <v>0.0937395349335899</v>
      </c>
      <c r="E112" s="25" t="n">
        <f aca="false">IF($O$5="sell",-1,1) * (B112*NORMDIST(I112,0,1,0)*SQRT($J$5)/365) * $P$5</f>
        <v>0.0271405769454044</v>
      </c>
      <c r="F112" s="25" t="n">
        <f aca="false">IF($O$5="sell",-1,1) * (-(B112*NORMDIST(I112,0,1,0)*$H$5)/(2*SQRT($J$5))/365) *$P$5</f>
        <v>-0.280708819033375</v>
      </c>
      <c r="G112" s="25" t="n">
        <f aca="false">IF($O$5="buy",1,-1)*( IF($K$5="call",B112*NORMDIST(I112,0,1,1) - $B$5*NORMDIST(J112,0,1,1),$B$5*NORMDIST(-J112,0,1,1) - B112*NORMDIST(-I112,0,1,1) ) - $G$5) * $P$5</f>
        <v>4.83088170025004</v>
      </c>
      <c r="I112" s="26" t="n">
        <f aca="false">(LN(B112/$B$5)+($H$5^2/2)*($J$5))/($H$5*SQRT($J$5))</f>
        <v>-0.308297692490166</v>
      </c>
      <c r="J112" s="26" t="n">
        <f aca="false">I112 - $H$5*SQRT($J$5)</f>
        <v>-0.416519979714447</v>
      </c>
    </row>
    <row r="113" customFormat="false" ht="13.5" hidden="false" customHeight="true" outlineLevel="0" collapsed="false">
      <c r="B113" s="29" t="n">
        <f aca="false">B84</f>
        <v>74</v>
      </c>
      <c r="C113" s="25" t="n">
        <f aca="false">IF($O$5="sell",-1,1) *  IF($K$5="call",  NORMDIST(I113,0,1,1),  NORMDIST(I113,0,1,1)-1  ) * $P$5</f>
        <v>-1.33449814745463</v>
      </c>
      <c r="D113" s="25" t="n">
        <f aca="false">IF($O$5="sell",-1,1) * NORMDIST(I113,0,1,0)/(B113*$H$5*SQRT($J$5)) * $P$5</f>
        <v>0.0907412753586133</v>
      </c>
      <c r="E113" s="25" t="n">
        <f aca="false">IF($O$5="sell",-1,1) * (B113*NORMDIST(I113,0,1,0)*SQRT($J$5)/365) * $P$5</f>
        <v>0.0255765564850696</v>
      </c>
      <c r="F113" s="25" t="n">
        <f aca="false">IF($O$5="sell",-1,1) * (-(B113*NORMDIST(I113,0,1,0)*$H$5)/(2*SQRT($J$5))/365) *$P$5</f>
        <v>-0.264532510871328</v>
      </c>
      <c r="G113" s="25" t="n">
        <f aca="false">IF($O$5="buy",1,-1)*( IF($K$5="call",B113*NORMDIST(I113,0,1,1) - $B$5*NORMDIST(J113,0,1,1),$B$5*NORMDIST(-J113,0,1,1) - B113*NORMDIST(-I113,0,1,1) ) - $G$5) * $P$5</f>
        <v>6.11945283047843</v>
      </c>
      <c r="I113" s="26" t="n">
        <f aca="false">(LN(B113/$B$5)+($H$5^2/2)*($J$5))/($H$5*SQRT($J$5))</f>
        <v>-0.432329633381627</v>
      </c>
      <c r="J113" s="26" t="n">
        <f aca="false">I113 - $H$5*SQRT($J$5)</f>
        <v>-0.540551920605909</v>
      </c>
    </row>
    <row r="114" customFormat="false" ht="13.5" hidden="false" customHeight="true" outlineLevel="0" collapsed="false">
      <c r="B114" s="29" t="n">
        <f aca="false">B85</f>
        <v>73</v>
      </c>
      <c r="C114" s="25" t="n">
        <f aca="false">IF($O$5="sell",-1,1) *  IF($K$5="call",  NORMDIST(I114,0,1,1),  NORMDIST(I114,0,1,1)-1  ) * $P$5</f>
        <v>-1.42318916769435</v>
      </c>
      <c r="D114" s="25" t="n">
        <f aca="false">IF($O$5="sell",-1,1) * NORMDIST(I114,0,1,0)/(B114*$H$5*SQRT($J$5)) * $P$5</f>
        <v>0.0864324356932609</v>
      </c>
      <c r="E114" s="25" t="n">
        <f aca="false">IF($O$5="sell",-1,1) * (B114*NORMDIST(I114,0,1,0)*SQRT($J$5)/365) * $P$5</f>
        <v>0.0237080713809187</v>
      </c>
      <c r="F114" s="25" t="n">
        <f aca="false">IF($O$5="sell",-1,1) * (-(B114*NORMDIST(I114,0,1,0)*$H$5)/(2*SQRT($J$5))/365) *$P$5</f>
        <v>-0.245207194094801</v>
      </c>
      <c r="G114" s="25" t="n">
        <f aca="false">IF($O$5="buy",1,-1)*( IF($K$5="call",B114*NORMDIST(I114,0,1,1) - $B$5*NORMDIST(J114,0,1,1),$B$5*NORMDIST(-J114,0,1,1) - B114*NORMDIST(-I114,0,1,1) ) - $G$5) * $P$5</f>
        <v>7.49865575799423</v>
      </c>
      <c r="I114" s="26" t="n">
        <f aca="false">(LN(B114/$B$5)+($H$5^2/2)*($J$5))/($H$5*SQRT($J$5))</f>
        <v>-0.55804913538755</v>
      </c>
      <c r="J114" s="26" t="n">
        <f aca="false">I114 - $H$5*SQRT($J$5)</f>
        <v>-0.666271422611832</v>
      </c>
    </row>
    <row r="115" customFormat="false" ht="13.5" hidden="false" customHeight="true" outlineLevel="0" collapsed="false">
      <c r="B115" s="29" t="n">
        <f aca="false">B86</f>
        <v>72</v>
      </c>
      <c r="C115" s="25" t="n">
        <f aca="false">IF($O$5="sell",-1,1) *  IF($K$5="call",  NORMDIST(I115,0,1,1),  NORMDIST(I115,0,1,1)-1  ) * $P$5</f>
        <v>-1.50697327668504</v>
      </c>
      <c r="D115" s="25" t="n">
        <f aca="false">IF($O$5="sell",-1,1) * NORMDIST(I115,0,1,0)/(B115*$H$5*SQRT($J$5)) * $P$5</f>
        <v>0.0809562387571917</v>
      </c>
      <c r="E115" s="25" t="n">
        <f aca="false">IF($O$5="sell",-1,1) * (B115*NORMDIST(I115,0,1,0)*SQRT($J$5)/365) * $P$5</f>
        <v>0.0216017566643805</v>
      </c>
      <c r="F115" s="25" t="n">
        <f aca="false">IF($O$5="sell",-1,1) * (-(B115*NORMDIST(I115,0,1,0)*$H$5)/(2*SQRT($J$5))/365) *$P$5</f>
        <v>-0.223422059689536</v>
      </c>
      <c r="G115" s="25" t="n">
        <f aca="false">IF($O$5="buy",1,-1)*( IF($K$5="call",B115*NORMDIST(I115,0,1,1) - $B$5*NORMDIST(J115,0,1,1),$B$5*NORMDIST(-J115,0,1,1) - B115*NORMDIST(-I115,0,1,1) ) - $G$5) * $P$5</f>
        <v>8.96419360769992</v>
      </c>
      <c r="I115" s="26" t="n">
        <f aca="false">(LN(B115/$B$5)+($H$5^2/2)*($J$5))/($H$5*SQRT($J$5))</f>
        <v>-0.68550275410243</v>
      </c>
      <c r="J115" s="26" t="n">
        <f aca="false">I115 - $H$5*SQRT($J$5)</f>
        <v>-0.793725041326712</v>
      </c>
    </row>
    <row r="116" customFormat="false" ht="13.5" hidden="false" customHeight="true" outlineLevel="0" collapsed="false">
      <c r="B116" s="29" t="n">
        <f aca="false">B87</f>
        <v>71</v>
      </c>
      <c r="C116" s="25" t="n">
        <f aca="false">IF($O$5="sell",-1,1) *  IF($K$5="call",  NORMDIST(I116,0,1,1),  NORMDIST(I116,0,1,1)-1  ) * $P$5</f>
        <v>-1.58477827484341</v>
      </c>
      <c r="D116" s="25" t="n">
        <f aca="false">IF($O$5="sell",-1,1) * NORMDIST(I116,0,1,0)/(B116*$H$5*SQRT($J$5)) * $P$5</f>
        <v>0.0745114036944039</v>
      </c>
      <c r="E116" s="25" t="n">
        <f aca="false">IF($O$5="sell",-1,1) * (B116*NORMDIST(I116,0,1,0)*SQRT($J$5)/365) * $P$5</f>
        <v>0.0193336208140926</v>
      </c>
      <c r="F116" s="25" t="n">
        <f aca="false">IF($O$5="sell",-1,1) * (-(B116*NORMDIST(I116,0,1,0)*$H$5)/(2*SQRT($J$5))/365) *$P$5</f>
        <v>-0.199963246075429</v>
      </c>
      <c r="G116" s="25" t="n">
        <f aca="false">IF($O$5="buy",1,-1)*( IF($K$5="call",B116*NORMDIST(I116,0,1,1) - $B$5*NORMDIST(J116,0,1,1),$B$5*NORMDIST(-J116,0,1,1) - B116*NORMDIST(-I116,0,1,1) ) - $G$5) * $P$5</f>
        <v>10.5106067921313</v>
      </c>
      <c r="I116" s="26" t="n">
        <f aca="false">(LN(B116/$B$5)+($H$5^2/2)*($J$5))/($H$5*SQRT($J$5))</f>
        <v>-0.814738998627135</v>
      </c>
      <c r="J116" s="26" t="n">
        <f aca="false">I116 - $H$5*SQRT($J$5)</f>
        <v>-0.922961285851416</v>
      </c>
    </row>
    <row r="117" customFormat="false" ht="13.5" hidden="false" customHeight="true" outlineLevel="0" collapsed="false">
      <c r="B117" s="29" t="n">
        <f aca="false">B88</f>
        <v>70</v>
      </c>
      <c r="C117" s="25" t="n">
        <f aca="false">IF($O$5="sell",-1,1) *  IF($K$5="call",  NORMDIST(I117,0,1,1),  NORMDIST(I117,0,1,1)-1  ) * $P$5</f>
        <v>-1.65575370125106</v>
      </c>
      <c r="D117" s="25" t="n">
        <f aca="false">IF($O$5="sell",-1,1) * NORMDIST(I117,0,1,0)/(B117*$H$5*SQRT($J$5)) * $P$5</f>
        <v>0.0673403648305339</v>
      </c>
      <c r="E117" s="25" t="n">
        <f aca="false">IF($O$5="sell",-1,1) * (B117*NORMDIST(I117,0,1,0)*SQRT($J$5)/365) * $P$5</f>
        <v>0.01698420797272</v>
      </c>
      <c r="F117" s="25" t="n">
        <f aca="false">IF($O$5="sell",-1,1) * (-(B117*NORMDIST(I117,0,1,0)*$H$5)/(2*SQRT($J$5))/365) *$P$5</f>
        <v>-0.175663803014577</v>
      </c>
      <c r="G117" s="25" t="n">
        <f aca="false">IF($O$5="buy",1,-1)*( IF($K$5="call",B117*NORMDIST(I117,0,1,1) - $B$5*NORMDIST(J117,0,1,1),$B$5*NORMDIST(-J117,0,1,1) - B117*NORMDIST(-I117,0,1,1) ) - $G$5) * $P$5</f>
        <v>12.1314707451476</v>
      </c>
      <c r="I117" s="26" t="n">
        <f aca="false">(LN(B117/$B$5)+($H$5^2/2)*($J$5))/($H$5*SQRT($J$5))</f>
        <v>-0.945808442415178</v>
      </c>
      <c r="J117" s="26" t="n">
        <f aca="false">I117 - $H$5*SQRT($J$5)</f>
        <v>-1.05403072963946</v>
      </c>
    </row>
    <row r="118" customFormat="false" ht="13.5" hidden="false" customHeight="true" outlineLevel="0" collapsed="false">
      <c r="B118" s="29" t="n">
        <f aca="false">B89</f>
        <v>69</v>
      </c>
      <c r="C118" s="25" t="n">
        <f aca="false">IF($O$5="sell",-1,1) *  IF($K$5="call",  NORMDIST(I118,0,1,1),  NORMDIST(I118,0,1,1)-1  ) * $P$5</f>
        <v>-1.71930698258134</v>
      </c>
      <c r="D118" s="25" t="n">
        <f aca="false">IF($O$5="sell",-1,1) * NORMDIST(I118,0,1,0)/(B118*$H$5*SQRT($J$5)) * $P$5</f>
        <v>0.0597135916476262</v>
      </c>
      <c r="E118" s="25" t="n">
        <f aca="false">IF($O$5="sell",-1,1) * (B118*NORMDIST(I118,0,1,0)*SQRT($J$5)/365) * $P$5</f>
        <v>0.0146333961403495</v>
      </c>
      <c r="F118" s="25" t="n">
        <f aca="false">IF($O$5="sell",-1,1) * (-(B118*NORMDIST(I118,0,1,0)*$H$5)/(2*SQRT($J$5))/365) *$P$5</f>
        <v>-0.151349890507785</v>
      </c>
      <c r="G118" s="25" t="n">
        <f aca="false">IF($O$5="buy",1,-1)*( IF($K$5="call",B118*NORMDIST(I118,0,1,1) - $B$5*NORMDIST(J118,0,1,1),$B$5*NORMDIST(-J118,0,1,1) - B118*NORMDIST(-I118,0,1,1) ) - $G$5) * $P$5</f>
        <v>13.8196370436905</v>
      </c>
      <c r="I118" s="26" t="n">
        <f aca="false">(LN(B118/$B$5)+($H$5^2/2)*($J$5))/($H$5*SQRT($J$5))</f>
        <v>-1.07876384209436</v>
      </c>
      <c r="J118" s="26" t="n">
        <f aca="false">I118 - $H$5*SQRT($J$5)</f>
        <v>-1.18698612931864</v>
      </c>
    </row>
    <row r="119" customFormat="false" ht="13.5" hidden="false" customHeight="true" outlineLevel="0" collapsed="false">
      <c r="B119" s="29" t="n">
        <f aca="false">B90</f>
        <v>68</v>
      </c>
      <c r="C119" s="25" t="n">
        <f aca="false">IF($O$5="sell",-1,1) *  IF($K$5="call",  NORMDIST(I119,0,1,1),  NORMDIST(I119,0,1,1)-1  ) * $P$5</f>
        <v>-1.77512251632747</v>
      </c>
      <c r="D119" s="25" t="n">
        <f aca="false">IF($O$5="sell",-1,1) * NORMDIST(I119,0,1,0)/(B119*$H$5*SQRT($J$5)) * $P$5</f>
        <v>0.0519114069871275</v>
      </c>
      <c r="E119" s="25" t="n">
        <f aca="false">IF($O$5="sell",-1,1) * (B119*NORMDIST(I119,0,1,0)*SQRT($J$5)/365) * $P$5</f>
        <v>0.0123553308555661</v>
      </c>
      <c r="F119" s="25" t="n">
        <f aca="false">IF($O$5="sell",-1,1) * (-(B119*NORMDIST(I119,0,1,0)*$H$5)/(2*SQRT($J$5))/365) *$P$5</f>
        <v>-0.12778837900938</v>
      </c>
      <c r="G119" s="25" t="n">
        <f aca="false">IF($O$5="buy",1,-1)*( IF($K$5="call",B119*NORMDIST(I119,0,1,1) - $B$5*NORMDIST(J119,0,1,1),$B$5*NORMDIST(-J119,0,1,1) - B119*NORMDIST(-I119,0,1,1) ) - $G$5) * $P$5</f>
        <v>15.5675023546305</v>
      </c>
      <c r="I119" s="26" t="n">
        <f aca="false">(LN(B119/$B$5)+($H$5^2/2)*($J$5))/($H$5*SQRT($J$5))</f>
        <v>-1.2136602649624</v>
      </c>
      <c r="J119" s="26" t="n">
        <f aca="false">I119 - $H$5*SQRT($J$5)</f>
        <v>-1.32188255218668</v>
      </c>
    </row>
    <row r="120" customFormat="false" ht="13.5" hidden="false" customHeight="true" outlineLevel="0" collapsed="false">
      <c r="B120" s="29" t="n">
        <f aca="false">B91</f>
        <v>67</v>
      </c>
      <c r="C120" s="25" t="n">
        <f aca="false">IF($O$5="sell",-1,1) *  IF($K$5="call",  NORMDIST(I120,0,1,1),  NORMDIST(I120,0,1,1)-1  ) * $P$5</f>
        <v>-1.82316204834903</v>
      </c>
      <c r="D120" s="25" t="n">
        <f aca="false">IF($O$5="sell",-1,1) * NORMDIST(I120,0,1,0)/(B120*$H$5*SQRT($J$5)) * $P$5</f>
        <v>0.0442050727168147</v>
      </c>
      <c r="E120" s="25" t="n">
        <f aca="false">IF($O$5="sell",-1,1) * (B120*NORMDIST(I120,0,1,0)*SQRT($J$5)/365) * $P$5</f>
        <v>0.010213990954364</v>
      </c>
      <c r="F120" s="25" t="n">
        <f aca="false">IF($O$5="sell",-1,1) * (-(B120*NORMDIST(I120,0,1,0)*$H$5)/(2*SQRT($J$5))/365) *$P$5</f>
        <v>-0.105640987079407</v>
      </c>
      <c r="G120" s="25" t="n">
        <f aca="false">IF($O$5="buy",1,-1)*( IF($K$5="call",B120*NORMDIST(I120,0,1,1) - $B$5*NORMDIST(J120,0,1,1),$B$5*NORMDIST(-J120,0,1,1) - B120*NORMDIST(-I120,0,1,1) ) - $G$5) * $P$5</f>
        <v>17.367287173265</v>
      </c>
      <c r="I120" s="26" t="n">
        <f aca="false">(LN(B120/$B$5)+($H$5^2/2)*($J$5))/($H$5*SQRT($J$5))</f>
        <v>-1.35055522592767</v>
      </c>
      <c r="J120" s="26" t="n">
        <f aca="false">I120 - $H$5*SQRT($J$5)</f>
        <v>-1.45877751315195</v>
      </c>
    </row>
    <row r="121" customFormat="false" ht="13.5" hidden="false" customHeight="true" outlineLevel="0" collapsed="false">
      <c r="B121" s="29" t="n">
        <f aca="false">B92</f>
        <v>66</v>
      </c>
      <c r="C121" s="25" t="n">
        <f aca="false">IF($O$5="sell",-1,1) *  IF($K$5="call",  NORMDIST(I121,0,1,1),  NORMDIST(I121,0,1,1)-1  ) * $P$5</f>
        <v>-1.86364657135442</v>
      </c>
      <c r="D121" s="25" t="n">
        <f aca="false">IF($O$5="sell",-1,1) * NORMDIST(I121,0,1,0)/(B121*$H$5*SQRT($J$5)) * $P$5</f>
        <v>0.0368390657704277</v>
      </c>
      <c r="E121" s="25" t="n">
        <f aca="false">IF($O$5="sell",-1,1) * (B121*NORMDIST(I121,0,1,0)*SQRT($J$5)/365) * $P$5</f>
        <v>0.00825981334643763</v>
      </c>
      <c r="F121" s="25" t="n">
        <f aca="false">IF($O$5="sell",-1,1) * (-(B121*NORMDIST(I121,0,1,0)*$H$5)/(2*SQRT($J$5))/365) *$P$5</f>
        <v>-0.0854293722118984</v>
      </c>
      <c r="G121" s="25" t="n">
        <f aca="false">IF($O$5="buy",1,-1)*( IF($K$5="call",B121*NORMDIST(I121,0,1,1) - $B$5*NORMDIST(J121,0,1,1),$B$5*NORMDIST(-J121,0,1,1) - B121*NORMDIST(-I121,0,1,1) ) - $G$5) * $P$5</f>
        <v>19.2113056004845</v>
      </c>
      <c r="I121" s="26" t="n">
        <f aca="false">(LN(B121/$B$5)+($H$5^2/2)*($J$5))/($H$5*SQRT($J$5))</f>
        <v>-1.48950883474741</v>
      </c>
      <c r="J121" s="26" t="n">
        <f aca="false">I121 - $H$5*SQRT($J$5)</f>
        <v>-1.59773112197169</v>
      </c>
    </row>
    <row r="122" customFormat="false" ht="13.5" hidden="false" customHeight="true" outlineLevel="0" collapsed="false">
      <c r="B122" s="29" t="n">
        <f aca="false">B93</f>
        <v>65</v>
      </c>
      <c r="C122" s="25" t="n">
        <f aca="false">IF($O$5="sell",-1,1) *  IF($K$5="call",  NORMDIST(I122,0,1,1),  NORMDIST(I122,0,1,1)-1  ) * $P$5</f>
        <v>-1.89702186288114</v>
      </c>
      <c r="D122" s="25" t="n">
        <f aca="false">IF($O$5="sell",-1,1) * NORMDIST(I122,0,1,0)/(B122*$H$5*SQRT($J$5)) * $P$5</f>
        <v>0.0300163607738245</v>
      </c>
      <c r="E122" s="25" t="n">
        <f aca="false">IF($O$5="sell",-1,1) * (B122*NORMDIST(I122,0,1,0)*SQRT($J$5)/365) * $P$5</f>
        <v>0.0065276747064368</v>
      </c>
      <c r="F122" s="25" t="n">
        <f aca="false">IF($O$5="sell",-1,1) * (-(B122*NORMDIST(I122,0,1,0)*$H$5)/(2*SQRT($J$5))/365) *$P$5</f>
        <v>-0.0675142559262425</v>
      </c>
      <c r="G122" s="25" t="n">
        <f aca="false">IF($O$5="buy",1,-1)*( IF($K$5="call",B122*NORMDIST(I122,0,1,1) - $B$5*NORMDIST(J122,0,1,1),$B$5*NORMDIST(-J122,0,1,1) - B122*NORMDIST(-I122,0,1,1) ) - $G$5) * $P$5</f>
        <v>21.0922085871056</v>
      </c>
      <c r="I122" s="26" t="n">
        <f aca="false">(LN(B122/$B$5)+($H$5^2/2)*($J$5))/($H$5*SQRT($J$5))</f>
        <v>-1.63058395450669</v>
      </c>
      <c r="J122" s="26" t="n">
        <f aca="false">I122 - $H$5*SQRT($J$5)</f>
        <v>-1.73880624173097</v>
      </c>
    </row>
    <row r="123" customFormat="false" ht="13.5" hidden="false" customHeight="true" outlineLevel="0" collapsed="false">
      <c r="B123" s="29" t="n">
        <f aca="false">B94</f>
        <v>64</v>
      </c>
      <c r="C123" s="25" t="n">
        <f aca="false">IF($O$5="sell",-1,1) *  IF($K$5="call",  NORMDIST(I123,0,1,1),  NORMDIST(I123,0,1,1)-1  ) * $P$5</f>
        <v>-1.92391143471569</v>
      </c>
      <c r="D123" s="25" t="n">
        <f aca="false">IF($O$5="sell",-1,1) * NORMDIST(I123,0,1,0)/(B123*$H$5*SQRT($J$5)) * $P$5</f>
        <v>0.0238881690753688</v>
      </c>
      <c r="E123" s="25" t="n">
        <f aca="false">IF($O$5="sell",-1,1) * (B123*NORMDIST(I123,0,1,0)*SQRT($J$5)/365) * $P$5</f>
        <v>0.00503635768518678</v>
      </c>
      <c r="F123" s="25" t="n">
        <f aca="false">IF($O$5="sell",-1,1) * (-(B123*NORMDIST(I123,0,1,0)*$H$5)/(2*SQRT($J$5))/365) *$P$5</f>
        <v>-0.0520899029111402</v>
      </c>
      <c r="G123" s="25" t="n">
        <f aca="false">IF($O$5="buy",1,-1)*( IF($K$5="call",B123*NORMDIST(I123,0,1,1) - $B$5*NORMDIST(J123,0,1,1),$B$5*NORMDIST(-J123,0,1,1) - B123*NORMDIST(-I123,0,1,1) ) - $G$5) * $P$5</f>
        <v>23.0031860497201</v>
      </c>
      <c r="I123" s="26" t="n">
        <f aca="false">(LN(B123/$B$5)+($H$5^2/2)*($J$5))/($H$5*SQRT($J$5))</f>
        <v>-1.77384637238402</v>
      </c>
      <c r="J123" s="26" t="n">
        <f aca="false">I123 - $H$5*SQRT($J$5)</f>
        <v>-1.8820686596083</v>
      </c>
    </row>
    <row r="124" customFormat="false" ht="13.5" hidden="false" customHeight="true" outlineLevel="0" collapsed="false">
      <c r="B124" s="29" t="n">
        <f aca="false">B95</f>
        <v>63</v>
      </c>
      <c r="C124" s="25" t="n">
        <f aca="false">IF($O$5="sell",-1,1) *  IF($K$5="call",  NORMDIST(I124,0,1,1),  NORMDIST(I124,0,1,1)-1  ) * $P$5</f>
        <v>-1.94506184080893</v>
      </c>
      <c r="D124" s="25" t="n">
        <f aca="false">IF($O$5="sell",-1,1) * NORMDIST(I124,0,1,0)/(B124*$H$5*SQRT($J$5)) * $P$5</f>
        <v>0.0185490056036418</v>
      </c>
      <c r="E124" s="25" t="n">
        <f aca="false">IF($O$5="sell",-1,1) * (B124*NORMDIST(I124,0,1,0)*SQRT($J$5)/365) * $P$5</f>
        <v>0.00378944393037218</v>
      </c>
      <c r="F124" s="25" t="n">
        <f aca="false">IF($O$5="sell",-1,1) * (-(B124*NORMDIST(I124,0,1,0)*$H$5)/(2*SQRT($J$5))/365) *$P$5</f>
        <v>-0.0391933573345825</v>
      </c>
      <c r="G124" s="25" t="n">
        <f aca="false">IF($O$5="buy",1,-1)*( IF($K$5="call",B124*NORMDIST(I124,0,1,1) - $B$5*NORMDIST(J124,0,1,1),$B$5*NORMDIST(-J124,0,1,1) - B124*NORMDIST(-I124,0,1,1) ) - $G$5) * $P$5</f>
        <v>24.9381176702345</v>
      </c>
      <c r="I124" s="26" t="n">
        <f aca="false">(LN(B124/$B$5)+($H$5^2/2)*($J$5))/($H$5*SQRT($J$5))</f>
        <v>-1.91936498386469</v>
      </c>
      <c r="J124" s="26" t="n">
        <f aca="false">I124 - $H$5*SQRT($J$5)</f>
        <v>-2.02758727108897</v>
      </c>
    </row>
    <row r="125" customFormat="false" ht="13.5" hidden="false" customHeight="true" outlineLevel="0" collapsed="false">
      <c r="B125" s="29" t="n">
        <f aca="false">B96</f>
        <v>62</v>
      </c>
      <c r="C125" s="25" t="n">
        <f aca="false">IF($O$5="sell",-1,1) *  IF($K$5="call",  NORMDIST(I125,0,1,1),  NORMDIST(I125,0,1,1)-1  ) * $P$5</f>
        <v>-1.96128581726064</v>
      </c>
      <c r="D125" s="25" t="n">
        <f aca="false">IF($O$5="sell",-1,1) * NORMDIST(I125,0,1,0)/(B125*$H$5*SQRT($J$5)) * $P$5</f>
        <v>0.0140372538401252</v>
      </c>
      <c r="E125" s="25" t="n">
        <f aca="false">IF($O$5="sell",-1,1) * (B125*NORMDIST(I125,0,1,0)*SQRT($J$5)/365) * $P$5</f>
        <v>0.002777405470998</v>
      </c>
      <c r="F125" s="25" t="n">
        <f aca="false">IF($O$5="sell",-1,1) * (-(B125*NORMDIST(I125,0,1,0)*$H$5)/(2*SQRT($J$5))/365) *$P$5</f>
        <v>-0.0287260735580161</v>
      </c>
      <c r="G125" s="25" t="n">
        <f aca="false">IF($O$5="buy",1,-1)*( IF($K$5="call",B125*NORMDIST(I125,0,1,1) - $B$5*NORMDIST(J125,0,1,1),$B$5*NORMDIST(-J125,0,1,1) - B125*NORMDIST(-I125,0,1,1) ) - $G$5) * $P$5</f>
        <v>26.8916674601809</v>
      </c>
      <c r="I125" s="26" t="n">
        <f aca="false">(LN(B125/$B$5)+($H$5^2/2)*($J$5))/($H$5*SQRT($J$5))</f>
        <v>-2.06721199169295</v>
      </c>
      <c r="J125" s="26" t="n">
        <f aca="false">I125 - $H$5*SQRT($J$5)</f>
        <v>-2.17543427891723</v>
      </c>
    </row>
    <row r="126" customFormat="false" ht="13.5" hidden="false" customHeight="true" outlineLevel="0" collapsed="false">
      <c r="B126" s="29" t="n">
        <f aca="false">B97</f>
        <v>61</v>
      </c>
      <c r="C126" s="25" t="n">
        <f aca="false">IF($O$5="sell",-1,1) *  IF($K$5="call",  NORMDIST(I126,0,1,1),  NORMDIST(I126,0,1,1)-1  ) * $P$5</f>
        <v>-1.97340853951627</v>
      </c>
      <c r="D126" s="25" t="n">
        <f aca="false">IF($O$5="sell",-1,1) * NORMDIST(I126,0,1,0)/(B126*$H$5*SQRT($J$5)) * $P$5</f>
        <v>0.0103406907208453</v>
      </c>
      <c r="E126" s="25" t="n">
        <f aca="false">IF($O$5="sell",-1,1) * (B126*NORMDIST(I126,0,1,0)*SQRT($J$5)/365) * $P$5</f>
        <v>0.00198053705937544</v>
      </c>
      <c r="F126" s="25" t="n">
        <f aca="false">IF($O$5="sell",-1,1) * (-(B126*NORMDIST(I126,0,1,0)*$H$5)/(2*SQRT($J$5))/365) *$P$5</f>
        <v>-0.0204842446830613</v>
      </c>
      <c r="G126" s="25" t="n">
        <f aca="false">IF($O$5="buy",1,-1)*( IF($K$5="call",B126*NORMDIST(I126,0,1,1) - $B$5*NORMDIST(J126,0,1,1),$B$5*NORMDIST(-J126,0,1,1) - B126*NORMDIST(-I126,0,1,1) ) - $G$5) * $P$5</f>
        <v>28.8593226094476</v>
      </c>
      <c r="I126" s="26" t="n">
        <f aca="false">(LN(B126/$B$5)+($H$5^2/2)*($J$5))/($H$5*SQRT($J$5))</f>
        <v>-2.2174631210013</v>
      </c>
      <c r="J126" s="26" t="n">
        <f aca="false">I126 - $H$5*SQRT($J$5)</f>
        <v>-2.32568540822558</v>
      </c>
    </row>
    <row r="127" customFormat="false" ht="13.5" hidden="false" customHeight="true" outlineLevel="0" collapsed="false">
      <c r="B127" s="29" t="n">
        <f aca="false">B98</f>
        <v>60</v>
      </c>
      <c r="C127" s="25" t="n">
        <f aca="false">IF($O$5="sell",-1,1) *  IF($K$5="call",  NORMDIST(I127,0,1,1),  NORMDIST(I127,0,1,1)-1  ) * $P$5</f>
        <v>-1.98222143140545</v>
      </c>
      <c r="D127" s="25" t="n">
        <f aca="false">IF($O$5="sell",-1,1) * NORMDIST(I127,0,1,0)/(B127*$H$5*SQRT($J$5)) * $P$5</f>
        <v>0.00740583636125885</v>
      </c>
      <c r="E127" s="25" t="n">
        <f aca="false">IF($O$5="sell",-1,1) * (B127*NORMDIST(I127,0,1,0)*SQRT($J$5)/365) * $P$5</f>
        <v>0.00137230411821585</v>
      </c>
      <c r="F127" s="25" t="n">
        <f aca="false">IF($O$5="sell",-1,1) * (-(B127*NORMDIST(I127,0,1,0)*$H$5)/(2*SQRT($J$5))/365) *$P$5</f>
        <v>-0.014193429607407</v>
      </c>
      <c r="G127" s="25" t="n">
        <f aca="false">IF($O$5="buy",1,-1)*( IF($K$5="call",B127*NORMDIST(I127,0,1,1) - $B$5*NORMDIST(J127,0,1,1),$B$5*NORMDIST(-J127,0,1,1) - B127*NORMDIST(-I127,0,1,1) ) - $G$5) * $P$5</f>
        <v>30.8373820488442</v>
      </c>
      <c r="I127" s="26" t="n">
        <f aca="false">(LN(B127/$B$5)+($H$5^2/2)*($J$5))/($H$5*SQRT($J$5))</f>
        <v>-2.37019785222126</v>
      </c>
      <c r="J127" s="26" t="n">
        <f aca="false">I127 - $H$5*SQRT($J$5)</f>
        <v>-2.47842013944554</v>
      </c>
    </row>
    <row r="128" customFormat="false" ht="13.5" hidden="false" customHeight="true" outlineLevel="0" collapsed="false">
      <c r="B128" s="29" t="n">
        <f aca="false">B99</f>
        <v>59</v>
      </c>
      <c r="C128" s="25" t="n">
        <f aca="false">IF($O$5="sell",-1,1) *  IF($K$5="call",  NORMDIST(I128,0,1,1),  NORMDIST(I128,0,1,1)-1  ) * $P$5</f>
        <v>-1.98844661111915</v>
      </c>
      <c r="D128" s="25" t="n">
        <f aca="false">IF($O$5="sell",-1,1) * NORMDIST(I128,0,1,0)/(B128*$H$5*SQRT($J$5)) * $P$5</f>
        <v>0.00514960562396909</v>
      </c>
      <c r="E128" s="25" t="n">
        <f aca="false">IF($O$5="sell",-1,1) * (B128*NORMDIST(I128,0,1,0)*SQRT($J$5)/365) * $P$5</f>
        <v>0.00092268136170996</v>
      </c>
      <c r="F128" s="25" t="n">
        <f aca="false">IF($O$5="sell",-1,1) * (-(B128*NORMDIST(I128,0,1,0)*$H$5)/(2*SQRT($J$5))/365) *$P$5</f>
        <v>-0.00954308362385663</v>
      </c>
      <c r="G128" s="25" t="n">
        <f aca="false">IF($O$5="buy",1,-1)*( IF($K$5="call",B128*NORMDIST(I128,0,1,1) - $B$5*NORMDIST(J128,0,1,1),$B$5*NORMDIST(-J128,0,1,1) - B128*NORMDIST(-I128,0,1,1) ) - $G$5) * $P$5</f>
        <v>32.8229039481824</v>
      </c>
      <c r="I128" s="26" t="n">
        <f aca="false">(LN(B128/$B$5)+($H$5^2/2)*($J$5))/($H$5*SQRT($J$5))</f>
        <v>-2.5254996735693</v>
      </c>
      <c r="J128" s="26" t="n">
        <f aca="false">I128 - $H$5*SQRT($J$5)</f>
        <v>-2.63372196079358</v>
      </c>
    </row>
    <row r="129" customFormat="false" ht="13.5" hidden="false" customHeight="true" outlineLevel="0" collapsed="false">
      <c r="B129" s="29" t="n">
        <f aca="false">B100</f>
        <v>58</v>
      </c>
      <c r="C129" s="25" t="n">
        <f aca="false">IF($O$5="sell",-1,1) *  IF($K$5="call",  NORMDIST(I129,0,1,1),  NORMDIST(I129,0,1,1)-1  ) * $P$5</f>
        <v>-1.99271345147077</v>
      </c>
      <c r="D129" s="25" t="n">
        <f aca="false">IF($O$5="sell",-1,1) * NORMDIST(I129,0,1,0)/(B129*$H$5*SQRT($J$5)) * $P$5</f>
        <v>0.00347161485896165</v>
      </c>
      <c r="E129" s="25" t="n">
        <f aca="false">IF($O$5="sell",-1,1) * (B129*NORMDIST(I129,0,1,0)*SQRT($J$5)/365) * $P$5</f>
        <v>0.000601120141359728</v>
      </c>
      <c r="F129" s="25" t="n">
        <f aca="false">IF($O$5="sell",-1,1) * (-(B129*NORMDIST(I129,0,1,0)*$H$5)/(2*SQRT($J$5))/365) *$P$5</f>
        <v>-0.00621724900386973</v>
      </c>
      <c r="G129" s="25" t="n">
        <f aca="false">IF($O$5="buy",1,-1)*( IF($K$5="call",B129*NORMDIST(I129,0,1,1) - $B$5*NORMDIST(J129,0,1,1),$B$5*NORMDIST(-J129,0,1,1) - B129*NORMDIST(-I129,0,1,1) ) - $G$5) * $P$5</f>
        <v>34.8136236630842</v>
      </c>
      <c r="I129" s="26" t="n">
        <f aca="false">(LN(B129/$B$5)+($H$5^2/2)*($J$5))/($H$5*SQRT($J$5))</f>
        <v>-2.68345635511562</v>
      </c>
      <c r="J129" s="26" t="n">
        <f aca="false">I129 - $H$5*SQRT($J$5)</f>
        <v>-2.7916786423399</v>
      </c>
    </row>
    <row r="130" customFormat="false" ht="13.5" hidden="false" customHeight="true" outlineLevel="0" collapsed="false">
      <c r="B130" s="29" t="n">
        <f aca="false">B101</f>
        <v>57</v>
      </c>
      <c r="C130" s="25" t="n">
        <f aca="false">IF($O$5="sell",-1,1) *  IF($K$5="call",  NORMDIST(I130,0,1,1),  NORMDIST(I130,0,1,1)-1  ) * $P$5</f>
        <v>-1.9955471353237</v>
      </c>
      <c r="D130" s="25" t="n">
        <f aca="false">IF($O$5="sell",-1,1) * NORMDIST(I130,0,1,0)/(B130*$H$5*SQRT($J$5)) * $P$5</f>
        <v>0.00226563904026001</v>
      </c>
      <c r="E130" s="25" t="n">
        <f aca="false">IF($O$5="sell",-1,1) * (B130*NORMDIST(I130,0,1,0)*SQRT($J$5)/365) * $P$5</f>
        <v>0.000378890909060252</v>
      </c>
      <c r="F130" s="25" t="n">
        <f aca="false">IF($O$5="sell",-1,1) * (-(B130*NORMDIST(I130,0,1,0)*$H$5)/(2*SQRT($J$5))/365) *$P$5</f>
        <v>-0.00391878256083995</v>
      </c>
      <c r="G130" s="25" t="n">
        <f aca="false">IF($O$5="buy",1,-1)*( IF($K$5="call",B130*NORMDIST(I130,0,1,1) - $B$5*NORMDIST(J130,0,1,1),$B$5*NORMDIST(-J130,0,1,1) - B130*NORMDIST(-I130,0,1,1) ) - $G$5) * $P$5</f>
        <v>36.807854310942</v>
      </c>
      <c r="I130" s="26" t="n">
        <f aca="false">(LN(B130/$B$5)+($H$5^2/2)*($J$5))/($H$5*SQRT($J$5))</f>
        <v>-2.84416024668859</v>
      </c>
      <c r="J130" s="26" t="n">
        <f aca="false">I130 - $H$5*SQRT($J$5)</f>
        <v>-2.95238253391287</v>
      </c>
    </row>
    <row r="131" customFormat="false" ht="13.5" hidden="false" customHeight="true" outlineLevel="0" collapsed="false">
      <c r="B131" s="30"/>
      <c r="C131" s="22"/>
      <c r="D131" s="22"/>
      <c r="E131" s="22"/>
      <c r="F131" s="22"/>
      <c r="G131" s="22"/>
      <c r="I131" s="31"/>
      <c r="J131" s="31"/>
    </row>
    <row r="132" customFormat="false" ht="13.5" hidden="false" customHeight="true" outlineLevel="0" collapsed="false">
      <c r="B132" s="30"/>
      <c r="C132" s="22"/>
      <c r="D132" s="22"/>
      <c r="E132" s="22"/>
      <c r="F132" s="22"/>
      <c r="G132" s="22"/>
      <c r="I132" s="31"/>
      <c r="J132" s="31"/>
    </row>
    <row r="133" customFormat="false" ht="13.5" hidden="false" customHeight="true" outlineLevel="0" collapsed="false">
      <c r="B133" s="23"/>
      <c r="C133" s="19" t="s">
        <v>13</v>
      </c>
      <c r="D133" s="19" t="s">
        <v>14</v>
      </c>
      <c r="E133" s="19" t="s">
        <v>15</v>
      </c>
      <c r="F133" s="19" t="s">
        <v>16</v>
      </c>
      <c r="G133" s="19" t="s">
        <v>17</v>
      </c>
      <c r="I133" s="19" t="s">
        <v>158</v>
      </c>
      <c r="J133" s="19" t="s">
        <v>159</v>
      </c>
    </row>
    <row r="134" customFormat="false" ht="13.5" hidden="false" customHeight="true" outlineLevel="0" collapsed="false">
      <c r="A134" s="2" t="str">
        <f aca="false">A6</f>
        <v>SOL-24APR26-75-P-USDT</v>
      </c>
      <c r="B134" s="29" t="n">
        <f aca="false">B104</f>
        <v>83</v>
      </c>
      <c r="C134" s="25" t="n">
        <f aca="false">IF($O$6="sell",-1,1) *  IF($K$6="call",  NORMDIST(I134,0,1,1),  NORMDIST(I134,0,1,1)-1  ) * $P$6</f>
        <v>-0</v>
      </c>
      <c r="D134" s="25" t="n">
        <f aca="false">IF($O$6="sell",-1,1) * NORMDIST(I134,0,1,0)/(B134*$H$6*SQRT($J$6)) * $P$6</f>
        <v>0</v>
      </c>
      <c r="E134" s="25" t="n">
        <f aca="false">IF($O$6="sell",-1,1) * (B134*NORMDIST(I134,0,1,0)*SQRT($J$6)/365) * $P$6</f>
        <v>0</v>
      </c>
      <c r="F134" s="25" t="n">
        <f aca="false">IF($O$6="sell",-1,1) * (-(B134*NORMDIST(I134,0,1,0)*$H$6)/(2*SQRT($J$6))/365) *$P$6</f>
        <v>-0</v>
      </c>
      <c r="G134" s="25" t="n">
        <f aca="false">IF($O$6="buy",1,-1)*( IF($K$6="call",B134*NORMDIST(I134,0,1,1) - $B$6*NORMDIST(J134,0,1,1),$B$6*NORMDIST(-J134,0,1,1) - B134*NORMDIST(-I134,0,1,1) ) - $G$6) * $P$6</f>
        <v>-0</v>
      </c>
      <c r="I134" s="26" t="n">
        <f aca="false">(LN(B134/$B$6)+($H$6^2/2)*($J$6))/($H$6*SQRT($J$6))</f>
        <v>1.25471923897935</v>
      </c>
      <c r="J134" s="26" t="n">
        <f aca="false">I134 - $H$6*SQRT($J$6)</f>
        <v>1.17115984397705</v>
      </c>
    </row>
    <row r="135" customFormat="false" ht="13.5" hidden="false" customHeight="true" outlineLevel="0" collapsed="false">
      <c r="B135" s="29" t="n">
        <f aca="false">B105</f>
        <v>82</v>
      </c>
      <c r="C135" s="25" t="n">
        <f aca="false">IF($O$6="sell",-1,1) *  IF($K$6="call",  NORMDIST(I135,0,1,1),  NORMDIST(I135,0,1,1)-1  ) * $P$6</f>
        <v>-0</v>
      </c>
      <c r="D135" s="25" t="n">
        <f aca="false">IF($O$6="sell",-1,1) * NORMDIST(I135,0,1,0)/(B135*$H$6*SQRT($J$6)) * $P$6</f>
        <v>0</v>
      </c>
      <c r="E135" s="25" t="n">
        <f aca="false">IF($O$6="sell",-1,1) * (B135*NORMDIST(I135,0,1,0)*SQRT($J$6)/365) * $P$6</f>
        <v>0</v>
      </c>
      <c r="F135" s="25" t="n">
        <f aca="false">IF($O$6="sell",-1,1) * (-(B135*NORMDIST(I135,0,1,0)*$H$6)/(2*SQRT($J$6))/365) *$P$6</f>
        <v>-0</v>
      </c>
      <c r="G135" s="25" t="n">
        <f aca="false">IF($O$6="buy",1,-1)*( IF($K$6="call",B135*NORMDIST(I135,0,1,1) - $B$6*NORMDIST(J135,0,1,1),$B$6*NORMDIST(-J135,0,1,1) - B135*NORMDIST(-I135,0,1,1) ) - $G$6) * $P$6</f>
        <v>-0</v>
      </c>
      <c r="I135" s="26" t="n">
        <f aca="false">(LN(B135/$B$6)+($H$6^2/2)*($J$6))/($H$6*SQRT($J$6))</f>
        <v>1.10965643027889</v>
      </c>
      <c r="J135" s="26" t="n">
        <f aca="false">I135 - $H$6*SQRT($J$6)</f>
        <v>1.02609703527659</v>
      </c>
    </row>
    <row r="136" customFormat="false" ht="13.5" hidden="false" customHeight="true" outlineLevel="0" collapsed="false">
      <c r="B136" s="29" t="n">
        <f aca="false">B106</f>
        <v>81</v>
      </c>
      <c r="C136" s="25" t="n">
        <f aca="false">IF($O$6="sell",-1,1) *  IF($K$6="call",  NORMDIST(I136,0,1,1),  NORMDIST(I136,0,1,1)-1  ) * $P$6</f>
        <v>-0</v>
      </c>
      <c r="D136" s="25" t="n">
        <f aca="false">IF($O$6="sell",-1,1) * NORMDIST(I136,0,1,0)/(B136*$H$6*SQRT($J$6)) * $P$6</f>
        <v>0</v>
      </c>
      <c r="E136" s="25" t="n">
        <f aca="false">IF($O$6="sell",-1,1) * (B136*NORMDIST(I136,0,1,0)*SQRT($J$6)/365) * $P$6</f>
        <v>0</v>
      </c>
      <c r="F136" s="25" t="n">
        <f aca="false">IF($O$6="sell",-1,1) * (-(B136*NORMDIST(I136,0,1,0)*$H$6)/(2*SQRT($J$6))/365) *$P$6</f>
        <v>-0</v>
      </c>
      <c r="G136" s="25" t="n">
        <f aca="false">IF($O$6="buy",1,-1)*( IF($K$6="call",B136*NORMDIST(I136,0,1,1) - $B$6*NORMDIST(J136,0,1,1),$B$6*NORMDIST(-J136,0,1,1) - B136*NORMDIST(-I136,0,1,1) ) - $G$6) * $P$6</f>
        <v>-0</v>
      </c>
      <c r="I136" s="26" t="n">
        <f aca="false">(LN(B136/$B$6)+($H$6^2/2)*($J$6))/($H$6*SQRT($J$6))</f>
        <v>0.962813665423112</v>
      </c>
      <c r="J136" s="26" t="n">
        <f aca="false">I136 - $H$6*SQRT($J$6)</f>
        <v>0.87925427042081</v>
      </c>
    </row>
    <row r="137" customFormat="false" ht="13.5" hidden="false" customHeight="true" outlineLevel="0" collapsed="false">
      <c r="B137" s="29" t="n">
        <f aca="false">B107</f>
        <v>80</v>
      </c>
      <c r="C137" s="25" t="n">
        <f aca="false">IF($O$6="sell",-1,1) *  IF($K$6="call",  NORMDIST(I137,0,1,1),  NORMDIST(I137,0,1,1)-1  ) * $P$6</f>
        <v>-0</v>
      </c>
      <c r="D137" s="25" t="n">
        <f aca="false">IF($O$6="sell",-1,1) * NORMDIST(I137,0,1,0)/(B137*$H$6*SQRT($J$6)) * $P$6</f>
        <v>0</v>
      </c>
      <c r="E137" s="25" t="n">
        <f aca="false">IF($O$6="sell",-1,1) * (B137*NORMDIST(I137,0,1,0)*SQRT($J$6)/365) * $P$6</f>
        <v>0</v>
      </c>
      <c r="F137" s="25" t="n">
        <f aca="false">IF($O$6="sell",-1,1) * (-(B137*NORMDIST(I137,0,1,0)*$H$6)/(2*SQRT($J$6))/365) *$P$6</f>
        <v>-0</v>
      </c>
      <c r="G137" s="25" t="n">
        <f aca="false">IF($O$6="buy",1,-1)*( IF($K$6="call",B137*NORMDIST(I137,0,1,1) - $B$6*NORMDIST(J137,0,1,1),$B$6*NORMDIST(-J137,0,1,1) - B137*NORMDIST(-I137,0,1,1) ) - $G$6) * $P$6</f>
        <v>-0</v>
      </c>
      <c r="I137" s="26" t="n">
        <f aca="false">(LN(B137/$B$6)+($H$6^2/2)*($J$6))/($H$6*SQRT($J$6))</f>
        <v>0.814146720213479</v>
      </c>
      <c r="J137" s="26" t="n">
        <f aca="false">I137 - $H$6*SQRT($J$6)</f>
        <v>0.730587325211177</v>
      </c>
    </row>
    <row r="138" customFormat="false" ht="13.5" hidden="false" customHeight="true" outlineLevel="0" collapsed="false">
      <c r="B138" s="29" t="n">
        <f aca="false">B108</f>
        <v>79</v>
      </c>
      <c r="C138" s="25" t="n">
        <f aca="false">IF($O$6="sell",-1,1) *  IF($K$6="call",  NORMDIST(I138,0,1,1),  NORMDIST(I138,0,1,1)-1  ) * $P$6</f>
        <v>-0</v>
      </c>
      <c r="D138" s="25" t="n">
        <f aca="false">IF($O$6="sell",-1,1) * NORMDIST(I138,0,1,0)/(B138*$H$6*SQRT($J$6)) * $P$6</f>
        <v>0</v>
      </c>
      <c r="E138" s="25" t="n">
        <f aca="false">IF($O$6="sell",-1,1) * (B138*NORMDIST(I138,0,1,0)*SQRT($J$6)/365) * $P$6</f>
        <v>0</v>
      </c>
      <c r="F138" s="25" t="n">
        <f aca="false">IF($O$6="sell",-1,1) * (-(B138*NORMDIST(I138,0,1,0)*$H$6)/(2*SQRT($J$6))/365) *$P$6</f>
        <v>-0</v>
      </c>
      <c r="G138" s="25" t="n">
        <f aca="false">IF($O$6="buy",1,-1)*( IF($K$6="call",B138*NORMDIST(I138,0,1,1) - $B$6*NORMDIST(J138,0,1,1),$B$6*NORMDIST(-J138,0,1,1) - B138*NORMDIST(-I138,0,1,1) ) - $G$6) * $P$6</f>
        <v>0</v>
      </c>
      <c r="I138" s="26" t="n">
        <f aca="false">(LN(B138/$B$6)+($H$6^2/2)*($J$6))/($H$6*SQRT($J$6))</f>
        <v>0.663609701527385</v>
      </c>
      <c r="J138" s="26" t="n">
        <f aca="false">I138 - $H$6*SQRT($J$6)</f>
        <v>0.580050306525083</v>
      </c>
    </row>
    <row r="139" customFormat="false" ht="13.5" hidden="false" customHeight="true" outlineLevel="0" collapsed="false">
      <c r="B139" s="29" t="n">
        <f aca="false">B109</f>
        <v>78</v>
      </c>
      <c r="C139" s="25" t="n">
        <f aca="false">IF($O$6="sell",-1,1) *  IF($K$6="call",  NORMDIST(I139,0,1,1),  NORMDIST(I139,0,1,1)-1  ) * $P$6</f>
        <v>-0</v>
      </c>
      <c r="D139" s="25" t="n">
        <f aca="false">IF($O$6="sell",-1,1) * NORMDIST(I139,0,1,0)/(B139*$H$6*SQRT($J$6)) * $P$6</f>
        <v>0</v>
      </c>
      <c r="E139" s="25" t="n">
        <f aca="false">IF($O$6="sell",-1,1) * (B139*NORMDIST(I139,0,1,0)*SQRT($J$6)/365) * $P$6</f>
        <v>0</v>
      </c>
      <c r="F139" s="25" t="n">
        <f aca="false">IF($O$6="sell",-1,1) * (-(B139*NORMDIST(I139,0,1,0)*$H$6)/(2*SQRT($J$6))/365) *$P$6</f>
        <v>-0</v>
      </c>
      <c r="G139" s="25" t="n">
        <f aca="false">IF($O$6="buy",1,-1)*( IF($K$6="call",B139*NORMDIST(I139,0,1,1) - $B$6*NORMDIST(J139,0,1,1),$B$6*NORMDIST(-J139,0,1,1) - B139*NORMDIST(-I139,0,1,1) ) - $G$6) * $P$6</f>
        <v>0</v>
      </c>
      <c r="I139" s="26" t="n">
        <f aca="false">(LN(B139/$B$6)+($H$6^2/2)*($J$6))/($H$6*SQRT($J$6))</f>
        <v>0.511154962271809</v>
      </c>
      <c r="J139" s="26" t="n">
        <f aca="false">I139 - $H$6*SQRT($J$6)</f>
        <v>0.427595567269507</v>
      </c>
    </row>
    <row r="140" customFormat="false" ht="13.5" hidden="false" customHeight="true" outlineLevel="0" collapsed="false">
      <c r="B140" s="29" t="n">
        <f aca="false">B110</f>
        <v>77</v>
      </c>
      <c r="C140" s="25" t="n">
        <f aca="false">IF($O$6="sell",-1,1) *  IF($K$6="call",  NORMDIST(I140,0,1,1),  NORMDIST(I140,0,1,1)-1  ) * $P$6</f>
        <v>-0</v>
      </c>
      <c r="D140" s="25" t="n">
        <f aca="false">IF($O$6="sell",-1,1) * NORMDIST(I140,0,1,0)/(B140*$H$6*SQRT($J$6)) * $P$6</f>
        <v>0</v>
      </c>
      <c r="E140" s="25" t="n">
        <f aca="false">IF($O$6="sell",-1,1) * (B140*NORMDIST(I140,0,1,0)*SQRT($J$6)/365) * $P$6</f>
        <v>0</v>
      </c>
      <c r="F140" s="25" t="n">
        <f aca="false">IF($O$6="sell",-1,1) * (-(B140*NORMDIST(I140,0,1,0)*$H$6)/(2*SQRT($J$6))/365) *$P$6</f>
        <v>-0</v>
      </c>
      <c r="G140" s="25" t="n">
        <f aca="false">IF($O$6="buy",1,-1)*( IF($K$6="call",B140*NORMDIST(I140,0,1,1) - $B$6*NORMDIST(J140,0,1,1),$B$6*NORMDIST(-J140,0,1,1) - B140*NORMDIST(-I140,0,1,1) ) - $G$6) * $P$6</f>
        <v>0</v>
      </c>
      <c r="I140" s="26" t="n">
        <f aca="false">(LN(B140/$B$6)+($H$6^2/2)*($J$6))/($H$6*SQRT($J$6))</f>
        <v>0.356733010849679</v>
      </c>
      <c r="J140" s="26" t="n">
        <f aca="false">I140 - $H$6*SQRT($J$6)</f>
        <v>0.273173615847377</v>
      </c>
    </row>
    <row r="141" customFormat="false" ht="13.5" hidden="false" customHeight="true" outlineLevel="0" collapsed="false">
      <c r="B141" s="29" t="n">
        <f aca="false">B111</f>
        <v>76</v>
      </c>
      <c r="C141" s="25" t="n">
        <f aca="false">IF($O$6="sell",-1,1) *  IF($K$6="call",  NORMDIST(I141,0,1,1),  NORMDIST(I141,0,1,1)-1  ) * $P$6</f>
        <v>-0</v>
      </c>
      <c r="D141" s="25" t="n">
        <f aca="false">IF($O$6="sell",-1,1) * NORMDIST(I141,0,1,0)/(B141*$H$6*SQRT($J$6)) * $P$6</f>
        <v>0</v>
      </c>
      <c r="E141" s="25" t="n">
        <f aca="false">IF($O$6="sell",-1,1) * (B141*NORMDIST(I141,0,1,0)*SQRT($J$6)/365) * $P$6</f>
        <v>0</v>
      </c>
      <c r="F141" s="25" t="n">
        <f aca="false">IF($O$6="sell",-1,1) * (-(B141*NORMDIST(I141,0,1,0)*$H$6)/(2*SQRT($J$6))/365) *$P$6</f>
        <v>-0</v>
      </c>
      <c r="G141" s="25" t="n">
        <f aca="false">IF($O$6="buy",1,-1)*( IF($K$6="call",B141*NORMDIST(I141,0,1,1) - $B$6*NORMDIST(J141,0,1,1),$B$6*NORMDIST(-J141,0,1,1) - B141*NORMDIST(-I141,0,1,1) ) - $G$6) * $P$6</f>
        <v>0</v>
      </c>
      <c r="I141" s="26" t="n">
        <f aca="false">(LN(B141/$B$6)+($H$6^2/2)*($J$6))/($H$6*SQRT($J$6))</f>
        <v>0.200292414708544</v>
      </c>
      <c r="J141" s="26" t="n">
        <f aca="false">I141 - $H$6*SQRT($J$6)</f>
        <v>0.116733019706242</v>
      </c>
    </row>
    <row r="142" customFormat="false" ht="13.5" hidden="false" customHeight="true" outlineLevel="0" collapsed="false">
      <c r="B142" s="29" t="n">
        <f aca="false">B112</f>
        <v>75</v>
      </c>
      <c r="C142" s="25" t="n">
        <f aca="false">IF($O$6="sell",-1,1) *  IF($K$6="call",  NORMDIST(I142,0,1,1),  NORMDIST(I142,0,1,1)-1  ) * $P$6</f>
        <v>-0</v>
      </c>
      <c r="D142" s="25" t="n">
        <f aca="false">IF($O$6="sell",-1,1) * NORMDIST(I142,0,1,0)/(B142*$H$6*SQRT($J$6)) * $P$6</f>
        <v>0</v>
      </c>
      <c r="E142" s="25" t="n">
        <f aca="false">IF($O$6="sell",-1,1) * (B142*NORMDIST(I142,0,1,0)*SQRT($J$6)/365) * $P$6</f>
        <v>0</v>
      </c>
      <c r="F142" s="25" t="n">
        <f aca="false">IF($O$6="sell",-1,1) * (-(B142*NORMDIST(I142,0,1,0)*$H$6)/(2*SQRT($J$6))/365) *$P$6</f>
        <v>-0</v>
      </c>
      <c r="G142" s="25" t="n">
        <f aca="false">IF($O$6="buy",1,-1)*( IF($K$6="call",B142*NORMDIST(I142,0,1,1) - $B$6*NORMDIST(J142,0,1,1),$B$6*NORMDIST(-J142,0,1,1) - B142*NORMDIST(-I142,0,1,1) ) - $G$6) * $P$6</f>
        <v>0</v>
      </c>
      <c r="I142" s="26" t="n">
        <f aca="false">(LN(B142/$B$6)+($H$6^2/2)*($J$6))/($H$6*SQRT($J$6))</f>
        <v>0.0417796975011509</v>
      </c>
      <c r="J142" s="26" t="n">
        <f aca="false">I142 - $H$6*SQRT($J$6)</f>
        <v>-0.0417796975011509</v>
      </c>
    </row>
    <row r="143" customFormat="false" ht="13.5" hidden="false" customHeight="true" outlineLevel="0" collapsed="false">
      <c r="B143" s="29" t="n">
        <f aca="false">B113</f>
        <v>74</v>
      </c>
      <c r="C143" s="25" t="n">
        <f aca="false">IF($O$6="sell",-1,1) *  IF($K$6="call",  NORMDIST(I143,0,1,1),  NORMDIST(I143,0,1,1)-1  ) * $P$6</f>
        <v>-0</v>
      </c>
      <c r="D143" s="25" t="n">
        <f aca="false">IF($O$6="sell",-1,1) * NORMDIST(I143,0,1,0)/(B143*$H$6*SQRT($J$6)) * $P$6</f>
        <v>0</v>
      </c>
      <c r="E143" s="25" t="n">
        <f aca="false">IF($O$6="sell",-1,1) * (B143*NORMDIST(I143,0,1,0)*SQRT($J$6)/365) * $P$6</f>
        <v>0</v>
      </c>
      <c r="F143" s="25" t="n">
        <f aca="false">IF($O$6="sell",-1,1) * (-(B143*NORMDIST(I143,0,1,0)*$H$6)/(2*SQRT($J$6))/365) *$P$6</f>
        <v>-0</v>
      </c>
      <c r="G143" s="25" t="n">
        <f aca="false">IF($O$6="buy",1,-1)*( IF($K$6="call",B143*NORMDIST(I143,0,1,1) - $B$6*NORMDIST(J143,0,1,1),$B$6*NORMDIST(-J143,0,1,1) - B143*NORMDIST(-I143,0,1,1) ) - $G$6) * $P$6</f>
        <v>0</v>
      </c>
      <c r="I143" s="26" t="n">
        <f aca="false">(LN(B143/$B$6)+($H$6^2/2)*($J$6))/($H$6*SQRT($J$6))</f>
        <v>-0.11886077065651</v>
      </c>
      <c r="J143" s="26" t="n">
        <f aca="false">I143 - $H$6*SQRT($J$6)</f>
        <v>-0.202420165658812</v>
      </c>
    </row>
    <row r="144" customFormat="false" ht="13.5" hidden="false" customHeight="true" outlineLevel="0" collapsed="false">
      <c r="B144" s="29" t="n">
        <f aca="false">B114</f>
        <v>73</v>
      </c>
      <c r="C144" s="25" t="n">
        <f aca="false">IF($O$6="sell",-1,1) *  IF($K$6="call",  NORMDIST(I144,0,1,1),  NORMDIST(I144,0,1,1)-1  ) * $P$6</f>
        <v>-0</v>
      </c>
      <c r="D144" s="25" t="n">
        <f aca="false">IF($O$6="sell",-1,1) * NORMDIST(I144,0,1,0)/(B144*$H$6*SQRT($J$6)) * $P$6</f>
        <v>0</v>
      </c>
      <c r="E144" s="25" t="n">
        <f aca="false">IF($O$6="sell",-1,1) * (B144*NORMDIST(I144,0,1,0)*SQRT($J$6)/365) * $P$6</f>
        <v>0</v>
      </c>
      <c r="F144" s="25" t="n">
        <f aca="false">IF($O$6="sell",-1,1) * (-(B144*NORMDIST(I144,0,1,0)*$H$6)/(2*SQRT($J$6))/365) *$P$6</f>
        <v>-0</v>
      </c>
      <c r="G144" s="25" t="n">
        <f aca="false">IF($O$6="buy",1,-1)*( IF($K$6="call",B144*NORMDIST(I144,0,1,1) - $B$6*NORMDIST(J144,0,1,1),$B$6*NORMDIST(-J144,0,1,1) - B144*NORMDIST(-I144,0,1,1) ) - $G$6) * $P$6</f>
        <v>0</v>
      </c>
      <c r="I144" s="26" t="n">
        <f aca="false">(LN(B144/$B$6)+($H$6^2/2)*($J$6))/($H$6*SQRT($J$6))</f>
        <v>-0.281686890393301</v>
      </c>
      <c r="J144" s="26" t="n">
        <f aca="false">I144 - $H$6*SQRT($J$6)</f>
        <v>-0.365246285395603</v>
      </c>
    </row>
    <row r="145" customFormat="false" ht="13.5" hidden="false" customHeight="true" outlineLevel="0" collapsed="false">
      <c r="B145" s="29" t="n">
        <f aca="false">B115</f>
        <v>72</v>
      </c>
      <c r="C145" s="25" t="n">
        <f aca="false">IF($O$6="sell",-1,1) *  IF($K$6="call",  NORMDIST(I145,0,1,1),  NORMDIST(I145,0,1,1)-1  ) * $P$6</f>
        <v>-0</v>
      </c>
      <c r="D145" s="25" t="n">
        <f aca="false">IF($O$6="sell",-1,1) * NORMDIST(I145,0,1,0)/(B145*$H$6*SQRT($J$6)) * $P$6</f>
        <v>0</v>
      </c>
      <c r="E145" s="25" t="n">
        <f aca="false">IF($O$6="sell",-1,1) * (B145*NORMDIST(I145,0,1,0)*SQRT($J$6)/365) * $P$6</f>
        <v>0</v>
      </c>
      <c r="F145" s="25" t="n">
        <f aca="false">IF($O$6="sell",-1,1) * (-(B145*NORMDIST(I145,0,1,0)*$H$6)/(2*SQRT($J$6))/365) *$P$6</f>
        <v>-0</v>
      </c>
      <c r="G145" s="25" t="n">
        <f aca="false">IF($O$6="buy",1,-1)*( IF($K$6="call",B145*NORMDIST(I145,0,1,1) - $B$6*NORMDIST(J145,0,1,1),$B$6*NORMDIST(-J145,0,1,1) - B145*NORMDIST(-I145,0,1,1) ) - $G$6) * $P$6</f>
        <v>0</v>
      </c>
      <c r="I145" s="26" t="n">
        <f aca="false">(LN(B145/$B$6)+($H$6^2/2)*($J$6))/($H$6*SQRT($J$6))</f>
        <v>-0.446758958375076</v>
      </c>
      <c r="J145" s="26" t="n">
        <f aca="false">I145 - $H$6*SQRT($J$6)</f>
        <v>-0.530318353377378</v>
      </c>
    </row>
    <row r="146" customFormat="false" ht="13.5" hidden="false" customHeight="true" outlineLevel="0" collapsed="false">
      <c r="B146" s="29" t="n">
        <f aca="false">B116</f>
        <v>71</v>
      </c>
      <c r="C146" s="25" t="n">
        <f aca="false">IF($O$6="sell",-1,1) *  IF($K$6="call",  NORMDIST(I146,0,1,1),  NORMDIST(I146,0,1,1)-1  ) * $P$6</f>
        <v>-0</v>
      </c>
      <c r="D146" s="25" t="n">
        <f aca="false">IF($O$6="sell",-1,1) * NORMDIST(I146,0,1,0)/(B146*$H$6*SQRT($J$6)) * $P$6</f>
        <v>0</v>
      </c>
      <c r="E146" s="25" t="n">
        <f aca="false">IF($O$6="sell",-1,1) * (B146*NORMDIST(I146,0,1,0)*SQRT($J$6)/365) * $P$6</f>
        <v>0</v>
      </c>
      <c r="F146" s="25" t="n">
        <f aca="false">IF($O$6="sell",-1,1) * (-(B146*NORMDIST(I146,0,1,0)*$H$6)/(2*SQRT($J$6))/365) *$P$6</f>
        <v>-0</v>
      </c>
      <c r="G146" s="25" t="n">
        <f aca="false">IF($O$6="buy",1,-1)*( IF($K$6="call",B146*NORMDIST(I146,0,1,1) - $B$6*NORMDIST(J146,0,1,1),$B$6*NORMDIST(-J146,0,1,1) - B146*NORMDIST(-I146,0,1,1) ) - $G$6) * $P$6</f>
        <v>0</v>
      </c>
      <c r="I146" s="26" t="n">
        <f aca="false">(LN(B146/$B$6)+($H$6^2/2)*($J$6))/($H$6*SQRT($J$6))</f>
        <v>-0.614139801359334</v>
      </c>
      <c r="J146" s="26" t="n">
        <f aca="false">I146 - $H$6*SQRT($J$6)</f>
        <v>-0.697699196361636</v>
      </c>
    </row>
    <row r="147" customFormat="false" ht="13.5" hidden="false" customHeight="true" outlineLevel="0" collapsed="false">
      <c r="B147" s="29" t="n">
        <f aca="false">B117</f>
        <v>70</v>
      </c>
      <c r="C147" s="25" t="n">
        <f aca="false">IF($O$6="sell",-1,1) *  IF($K$6="call",  NORMDIST(I147,0,1,1),  NORMDIST(I147,0,1,1)-1  ) * $P$6</f>
        <v>-0</v>
      </c>
      <c r="D147" s="25" t="n">
        <f aca="false">IF($O$6="sell",-1,1) * NORMDIST(I147,0,1,0)/(B147*$H$6*SQRT($J$6)) * $P$6</f>
        <v>0</v>
      </c>
      <c r="E147" s="25" t="n">
        <f aca="false">IF($O$6="sell",-1,1) * (B147*NORMDIST(I147,0,1,0)*SQRT($J$6)/365) * $P$6</f>
        <v>0</v>
      </c>
      <c r="F147" s="25" t="n">
        <f aca="false">IF($O$6="sell",-1,1) * (-(B147*NORMDIST(I147,0,1,0)*$H$6)/(2*SQRT($J$6))/365) *$P$6</f>
        <v>-0</v>
      </c>
      <c r="G147" s="25" t="n">
        <f aca="false">IF($O$6="buy",1,-1)*( IF($K$6="call",B147*NORMDIST(I147,0,1,1) - $B$6*NORMDIST(J147,0,1,1),$B$6*NORMDIST(-J147,0,1,1) - B147*NORMDIST(-I147,0,1,1) ) - $G$6) * $P$6</f>
        <v>0</v>
      </c>
      <c r="I147" s="26" t="n">
        <f aca="false">(LN(B147/$B$6)+($H$6^2/2)*($J$6))/($H$6*SQRT($J$6))</f>
        <v>-0.783894919758237</v>
      </c>
      <c r="J147" s="26" t="n">
        <f aca="false">I147 - $H$6*SQRT($J$6)</f>
        <v>-0.867454314760538</v>
      </c>
    </row>
    <row r="148" customFormat="false" ht="13.5" hidden="false" customHeight="true" outlineLevel="0" collapsed="false">
      <c r="B148" s="29" t="n">
        <f aca="false">B118</f>
        <v>69</v>
      </c>
      <c r="C148" s="25" t="n">
        <f aca="false">IF($O$6="sell",-1,1) *  IF($K$6="call",  NORMDIST(I148,0,1,1),  NORMDIST(I148,0,1,1)-1  ) * $P$6</f>
        <v>-0</v>
      </c>
      <c r="D148" s="25" t="n">
        <f aca="false">IF($O$6="sell",-1,1) * NORMDIST(I148,0,1,0)/(B148*$H$6*SQRT($J$6)) * $P$6</f>
        <v>0</v>
      </c>
      <c r="E148" s="25" t="n">
        <f aca="false">IF($O$6="sell",-1,1) * (B148*NORMDIST(I148,0,1,0)*SQRT($J$6)/365) * $P$6</f>
        <v>0</v>
      </c>
      <c r="F148" s="25" t="n">
        <f aca="false">IF($O$6="sell",-1,1) * (-(B148*NORMDIST(I148,0,1,0)*$H$6)/(2*SQRT($J$6))/365) *$P$6</f>
        <v>-0</v>
      </c>
      <c r="G148" s="25" t="n">
        <f aca="false">IF($O$6="buy",1,-1)*( IF($K$6="call",B148*NORMDIST(I148,0,1,1) - $B$6*NORMDIST(J148,0,1,1),$B$6*NORMDIST(-J148,0,1,1) - B148*NORMDIST(-I148,0,1,1) ) - $G$6) * $P$6</f>
        <v>0</v>
      </c>
      <c r="I148" s="26" t="n">
        <f aca="false">(LN(B148/$B$6)+($H$6^2/2)*($J$6))/($H$6*SQRT($J$6))</f>
        <v>-0.956092641530914</v>
      </c>
      <c r="J148" s="26" t="n">
        <f aca="false">I148 - $H$6*SQRT($J$6)</f>
        <v>-1.03965203653322</v>
      </c>
    </row>
    <row r="149" customFormat="false" ht="13.5" hidden="false" customHeight="true" outlineLevel="0" collapsed="false">
      <c r="B149" s="29" t="n">
        <f aca="false">B119</f>
        <v>68</v>
      </c>
      <c r="C149" s="25" t="n">
        <f aca="false">IF($O$6="sell",-1,1) *  IF($K$6="call",  NORMDIST(I149,0,1,1),  NORMDIST(I149,0,1,1)-1  ) * $P$6</f>
        <v>-0</v>
      </c>
      <c r="D149" s="25" t="n">
        <f aca="false">IF($O$6="sell",-1,1) * NORMDIST(I149,0,1,0)/(B149*$H$6*SQRT($J$6)) * $P$6</f>
        <v>0</v>
      </c>
      <c r="E149" s="25" t="n">
        <f aca="false">IF($O$6="sell",-1,1) * (B149*NORMDIST(I149,0,1,0)*SQRT($J$6)/365) * $P$6</f>
        <v>0</v>
      </c>
      <c r="F149" s="25" t="n">
        <f aca="false">IF($O$6="sell",-1,1) * (-(B149*NORMDIST(I149,0,1,0)*$H$6)/(2*SQRT($J$6))/365) *$P$6</f>
        <v>-0</v>
      </c>
      <c r="G149" s="25" t="n">
        <f aca="false">IF($O$6="buy",1,-1)*( IF($K$6="call",B149*NORMDIST(I149,0,1,1) - $B$6*NORMDIST(J149,0,1,1),$B$6*NORMDIST(-J149,0,1,1) - B149*NORMDIST(-I149,0,1,1) ) - $G$6) * $P$6</f>
        <v>0</v>
      </c>
      <c r="I149" s="26" t="n">
        <f aca="false">(LN(B149/$B$6)+($H$6^2/2)*($J$6))/($H$6*SQRT($J$6))</f>
        <v>-1.13080428730995</v>
      </c>
      <c r="J149" s="26" t="n">
        <f aca="false">I149 - $H$6*SQRT($J$6)</f>
        <v>-1.21436368231225</v>
      </c>
    </row>
    <row r="150" customFormat="false" ht="13.5" hidden="false" customHeight="true" outlineLevel="0" collapsed="false">
      <c r="B150" s="29" t="n">
        <f aca="false">B120</f>
        <v>67</v>
      </c>
      <c r="C150" s="25" t="n">
        <f aca="false">IF($O$6="sell",-1,1) *  IF($K$6="call",  NORMDIST(I150,0,1,1),  NORMDIST(I150,0,1,1)-1  ) * $P$6</f>
        <v>-0</v>
      </c>
      <c r="D150" s="25" t="n">
        <f aca="false">IF($O$6="sell",-1,1) * NORMDIST(I150,0,1,0)/(B150*$H$6*SQRT($J$6)) * $P$6</f>
        <v>0</v>
      </c>
      <c r="E150" s="25" t="n">
        <f aca="false">IF($O$6="sell",-1,1) * (B150*NORMDIST(I150,0,1,0)*SQRT($J$6)/365) * $P$6</f>
        <v>0</v>
      </c>
      <c r="F150" s="25" t="n">
        <f aca="false">IF($O$6="sell",-1,1) * (-(B150*NORMDIST(I150,0,1,0)*$H$6)/(2*SQRT($J$6))/365) *$P$6</f>
        <v>-0</v>
      </c>
      <c r="G150" s="25" t="n">
        <f aca="false">IF($O$6="buy",1,-1)*( IF($K$6="call",B150*NORMDIST(I150,0,1,1) - $B$6*NORMDIST(J150,0,1,1),$B$6*NORMDIST(-J150,0,1,1) - B150*NORMDIST(-I150,0,1,1) ) - $G$6) * $P$6</f>
        <v>0</v>
      </c>
      <c r="I150" s="26" t="n">
        <f aca="false">(LN(B150/$B$6)+($H$6^2/2)*($J$6))/($H$6*SQRT($J$6))</f>
        <v>-1.30810434776075</v>
      </c>
      <c r="J150" s="26" t="n">
        <f aca="false">I150 - $H$6*SQRT($J$6)</f>
        <v>-1.39166374276306</v>
      </c>
    </row>
    <row r="151" customFormat="false" ht="13.5" hidden="false" customHeight="true" outlineLevel="0" collapsed="false">
      <c r="B151" s="29" t="n">
        <f aca="false">B121</f>
        <v>66</v>
      </c>
      <c r="C151" s="25" t="n">
        <f aca="false">IF($O$6="sell",-1,1) *  IF($K$6="call",  NORMDIST(I151,0,1,1),  NORMDIST(I151,0,1,1)-1  ) * $P$6</f>
        <v>-0</v>
      </c>
      <c r="D151" s="25" t="n">
        <f aca="false">IF($O$6="sell",-1,1) * NORMDIST(I151,0,1,0)/(B151*$H$6*SQRT($J$6)) * $P$6</f>
        <v>0</v>
      </c>
      <c r="E151" s="25" t="n">
        <f aca="false">IF($O$6="sell",-1,1) * (B151*NORMDIST(I151,0,1,0)*SQRT($J$6)/365) * $P$6</f>
        <v>0</v>
      </c>
      <c r="F151" s="25" t="n">
        <f aca="false">IF($O$6="sell",-1,1) * (-(B151*NORMDIST(I151,0,1,0)*$H$6)/(2*SQRT($J$6))/365) *$P$6</f>
        <v>-0</v>
      </c>
      <c r="G151" s="25" t="n">
        <f aca="false">IF($O$6="buy",1,-1)*( IF($K$6="call",B151*NORMDIST(I151,0,1,1) - $B$6*NORMDIST(J151,0,1,1),$B$6*NORMDIST(-J151,0,1,1) - B151*NORMDIST(-I151,0,1,1) ) - $G$6) * $P$6</f>
        <v>0</v>
      </c>
      <c r="I151" s="26" t="n">
        <f aca="false">(LN(B151/$B$6)+($H$6^2/2)*($J$6))/($H$6*SQRT($J$6))</f>
        <v>-1.48807067427767</v>
      </c>
      <c r="J151" s="26" t="n">
        <f aca="false">I151 - $H$6*SQRT($J$6)</f>
        <v>-1.57163006927998</v>
      </c>
    </row>
    <row r="152" customFormat="false" ht="13.5" hidden="false" customHeight="true" outlineLevel="0" collapsed="false">
      <c r="B152" s="29" t="n">
        <f aca="false">B122</f>
        <v>65</v>
      </c>
      <c r="C152" s="25" t="n">
        <f aca="false">IF($O$6="sell",-1,1) *  IF($K$6="call",  NORMDIST(I152,0,1,1),  NORMDIST(I152,0,1,1)-1  ) * $P$6</f>
        <v>-0</v>
      </c>
      <c r="D152" s="25" t="n">
        <f aca="false">IF($O$6="sell",-1,1) * NORMDIST(I152,0,1,0)/(B152*$H$6*SQRT($J$6)) * $P$6</f>
        <v>0</v>
      </c>
      <c r="E152" s="25" t="n">
        <f aca="false">IF($O$6="sell",-1,1) * (B152*NORMDIST(I152,0,1,0)*SQRT($J$6)/365) * $P$6</f>
        <v>0</v>
      </c>
      <c r="F152" s="25" t="n">
        <f aca="false">IF($O$6="sell",-1,1) * (-(B152*NORMDIST(I152,0,1,0)*$H$6)/(2*SQRT($J$6))/365) *$P$6</f>
        <v>-0</v>
      </c>
      <c r="G152" s="25" t="n">
        <f aca="false">IF($O$6="buy",1,-1)*( IF($K$6="call",B152*NORMDIST(I152,0,1,1) - $B$6*NORMDIST(J152,0,1,1),$B$6*NORMDIST(-J152,0,1,1) - B152*NORMDIST(-I152,0,1,1) ) - $G$6) * $P$6</f>
        <v>0</v>
      </c>
      <c r="I152" s="26" t="n">
        <f aca="false">(LN(B152/$B$6)+($H$6^2/2)*($J$6))/($H$6*SQRT($J$6))</f>
        <v>-1.67078468423871</v>
      </c>
      <c r="J152" s="26" t="n">
        <f aca="false">I152 - $H$6*SQRT($J$6)</f>
        <v>-1.75434407924101</v>
      </c>
    </row>
    <row r="153" customFormat="false" ht="13.5" hidden="false" customHeight="true" outlineLevel="0" collapsed="false">
      <c r="B153" s="29" t="n">
        <f aca="false">B123</f>
        <v>64</v>
      </c>
      <c r="C153" s="25" t="n">
        <f aca="false">IF($O$6="sell",-1,1) *  IF($K$6="call",  NORMDIST(I153,0,1,1),  NORMDIST(I153,0,1,1)-1  ) * $P$6</f>
        <v>-0</v>
      </c>
      <c r="D153" s="25" t="n">
        <f aca="false">IF($O$6="sell",-1,1) * NORMDIST(I153,0,1,0)/(B153*$H$6*SQRT($J$6)) * $P$6</f>
        <v>0</v>
      </c>
      <c r="E153" s="25" t="n">
        <f aca="false">IF($O$6="sell",-1,1) * (B153*NORMDIST(I153,0,1,0)*SQRT($J$6)/365) * $P$6</f>
        <v>0</v>
      </c>
      <c r="F153" s="25" t="n">
        <f aca="false">IF($O$6="sell",-1,1) * (-(B153*NORMDIST(I153,0,1,0)*$H$6)/(2*SQRT($J$6))/365) *$P$6</f>
        <v>-0</v>
      </c>
      <c r="G153" s="25" t="n">
        <f aca="false">IF($O$6="buy",1,-1)*( IF($K$6="call",B153*NORMDIST(I153,0,1,1) - $B$6*NORMDIST(J153,0,1,1),$B$6*NORMDIST(-J153,0,1,1) - B153*NORMDIST(-I153,0,1,1) ) - $G$6) * $P$6</f>
        <v>0</v>
      </c>
      <c r="I153" s="26" t="n">
        <f aca="false">(LN(B153/$B$6)+($H$6^2/2)*($J$6))/($H$6*SQRT($J$6))</f>
        <v>-1.85633158217326</v>
      </c>
      <c r="J153" s="26" t="n">
        <f aca="false">I153 - $H$6*SQRT($J$6)</f>
        <v>-1.93989097717556</v>
      </c>
    </row>
    <row r="154" customFormat="false" ht="13.5" hidden="false" customHeight="true" outlineLevel="0" collapsed="false">
      <c r="B154" s="29" t="n">
        <f aca="false">B124</f>
        <v>63</v>
      </c>
      <c r="C154" s="25" t="n">
        <f aca="false">IF($O$6="sell",-1,1) *  IF($K$6="call",  NORMDIST(I154,0,1,1),  NORMDIST(I154,0,1,1)-1  ) * $P$6</f>
        <v>-0</v>
      </c>
      <c r="D154" s="25" t="n">
        <f aca="false">IF($O$6="sell",-1,1) * NORMDIST(I154,0,1,0)/(B154*$H$6*SQRT($J$6)) * $P$6</f>
        <v>0</v>
      </c>
      <c r="E154" s="25" t="n">
        <f aca="false">IF($O$6="sell",-1,1) * (B154*NORMDIST(I154,0,1,0)*SQRT($J$6)/365) * $P$6</f>
        <v>0</v>
      </c>
      <c r="F154" s="25" t="n">
        <f aca="false">IF($O$6="sell",-1,1) * (-(B154*NORMDIST(I154,0,1,0)*$H$6)/(2*SQRT($J$6))/365) *$P$6</f>
        <v>-0</v>
      </c>
      <c r="G154" s="25" t="n">
        <f aca="false">IF($O$6="buy",1,-1)*( IF($K$6="call",B154*NORMDIST(I154,0,1,1) - $B$6*NORMDIST(J154,0,1,1),$B$6*NORMDIST(-J154,0,1,1) - B154*NORMDIST(-I154,0,1,1) ) - $G$6) * $P$6</f>
        <v>0</v>
      </c>
      <c r="I154" s="26" t="n">
        <f aca="false">(LN(B154/$B$6)+($H$6^2/2)*($J$6))/($H$6*SQRT($J$6))</f>
        <v>-2.04480059834679</v>
      </c>
      <c r="J154" s="26" t="n">
        <f aca="false">I154 - $H$6*SQRT($J$6)</f>
        <v>-2.12835999334909</v>
      </c>
    </row>
    <row r="155" customFormat="false" ht="13.5" hidden="false" customHeight="true" outlineLevel="0" collapsed="false">
      <c r="B155" s="29" t="n">
        <f aca="false">B125</f>
        <v>62</v>
      </c>
      <c r="C155" s="25" t="n">
        <f aca="false">IF($O$6="sell",-1,1) *  IF($K$6="call",  NORMDIST(I155,0,1,1),  NORMDIST(I155,0,1,1)-1  ) * $P$6</f>
        <v>-0</v>
      </c>
      <c r="D155" s="25" t="n">
        <f aca="false">IF($O$6="sell",-1,1) * NORMDIST(I155,0,1,0)/(B155*$H$6*SQRT($J$6)) * $P$6</f>
        <v>0</v>
      </c>
      <c r="E155" s="25" t="n">
        <f aca="false">IF($O$6="sell",-1,1) * (B155*NORMDIST(I155,0,1,0)*SQRT($J$6)/365) * $P$6</f>
        <v>0</v>
      </c>
      <c r="F155" s="25" t="n">
        <f aca="false">IF($O$6="sell",-1,1) * (-(B155*NORMDIST(I155,0,1,0)*$H$6)/(2*SQRT($J$6))/365) *$P$6</f>
        <v>-0</v>
      </c>
      <c r="G155" s="25" t="n">
        <f aca="false">IF($O$6="buy",1,-1)*( IF($K$6="call",B155*NORMDIST(I155,0,1,1) - $B$6*NORMDIST(J155,0,1,1),$B$6*NORMDIST(-J155,0,1,1) - B155*NORMDIST(-I155,0,1,1) ) - $G$6) * $P$6</f>
        <v>0</v>
      </c>
      <c r="I155" s="26" t="n">
        <f aca="false">(LN(B155/$B$6)+($H$6^2/2)*($J$6))/($H$6*SQRT($J$6))</f>
        <v>-2.23628524643454</v>
      </c>
      <c r="J155" s="26" t="n">
        <f aca="false">I155 - $H$6*SQRT($J$6)</f>
        <v>-2.31984464143684</v>
      </c>
    </row>
    <row r="156" customFormat="false" ht="13.5" hidden="false" customHeight="true" outlineLevel="0" collapsed="false">
      <c r="B156" s="29" t="n">
        <f aca="false">B126</f>
        <v>61</v>
      </c>
      <c r="C156" s="25" t="n">
        <f aca="false">IF($O$6="sell",-1,1) *  IF($K$6="call",  NORMDIST(I156,0,1,1),  NORMDIST(I156,0,1,1)-1  ) * $P$6</f>
        <v>-0</v>
      </c>
      <c r="D156" s="25" t="n">
        <f aca="false">IF($O$6="sell",-1,1) * NORMDIST(I156,0,1,0)/(B156*$H$6*SQRT($J$6)) * $P$6</f>
        <v>0</v>
      </c>
      <c r="E156" s="25" t="n">
        <f aca="false">IF($O$6="sell",-1,1) * (B156*NORMDIST(I156,0,1,0)*SQRT($J$6)/365) * $P$6</f>
        <v>0</v>
      </c>
      <c r="F156" s="25" t="n">
        <f aca="false">IF($O$6="sell",-1,1) * (-(B156*NORMDIST(I156,0,1,0)*$H$6)/(2*SQRT($J$6))/365) *$P$6</f>
        <v>-0</v>
      </c>
      <c r="G156" s="25" t="n">
        <f aca="false">IF($O$6="buy",1,-1)*( IF($K$6="call",B156*NORMDIST(I156,0,1,1) - $B$6*NORMDIST(J156,0,1,1),$B$6*NORMDIST(-J156,0,1,1) - B156*NORMDIST(-I156,0,1,1) ) - $G$6) * $P$6</f>
        <v>0</v>
      </c>
      <c r="I156" s="26" t="n">
        <f aca="false">(LN(B156/$B$6)+($H$6^2/2)*($J$6))/($H$6*SQRT($J$6))</f>
        <v>-2.43088360214706</v>
      </c>
      <c r="J156" s="26" t="n">
        <f aca="false">I156 - $H$6*SQRT($J$6)</f>
        <v>-2.51444299714936</v>
      </c>
    </row>
    <row r="157" customFormat="false" ht="13.5" hidden="false" customHeight="true" outlineLevel="0" collapsed="false">
      <c r="B157" s="29" t="n">
        <f aca="false">B127</f>
        <v>60</v>
      </c>
      <c r="C157" s="25" t="n">
        <f aca="false">IF($O$6="sell",-1,1) *  IF($K$6="call",  NORMDIST(I157,0,1,1),  NORMDIST(I157,0,1,1)-1  ) * $P$6</f>
        <v>-0</v>
      </c>
      <c r="D157" s="25" t="n">
        <f aca="false">IF($O$6="sell",-1,1) * NORMDIST(I157,0,1,0)/(B157*$H$6*SQRT($J$6)) * $P$6</f>
        <v>0</v>
      </c>
      <c r="E157" s="25" t="n">
        <f aca="false">IF($O$6="sell",-1,1) * (B157*NORMDIST(I157,0,1,0)*SQRT($J$6)/365) * $P$6</f>
        <v>0</v>
      </c>
      <c r="F157" s="25" t="n">
        <f aca="false">IF($O$6="sell",-1,1) * (-(B157*NORMDIST(I157,0,1,0)*$H$6)/(2*SQRT($J$6))/365) *$P$6</f>
        <v>-0</v>
      </c>
      <c r="G157" s="25" t="n">
        <f aca="false">IF($O$6="buy",1,-1)*( IF($K$6="call",B157*NORMDIST(I157,0,1,1) - $B$6*NORMDIST(J157,0,1,1),$B$6*NORMDIST(-J157,0,1,1) - B157*NORMDIST(-I157,0,1,1) ) - $G$6) * $P$6</f>
        <v>0</v>
      </c>
      <c r="I157" s="26" t="n">
        <f aca="false">(LN(B157/$B$6)+($H$6^2/2)*($J$6))/($H$6*SQRT($J$6))</f>
        <v>-2.62869860488559</v>
      </c>
      <c r="J157" s="26" t="n">
        <f aca="false">I157 - $H$6*SQRT($J$6)</f>
        <v>-2.71225799988789</v>
      </c>
    </row>
    <row r="158" customFormat="false" ht="13.5" hidden="false" customHeight="true" outlineLevel="0" collapsed="false">
      <c r="B158" s="29" t="n">
        <f aca="false">B128</f>
        <v>59</v>
      </c>
      <c r="C158" s="25" t="n">
        <f aca="false">IF($O$6="sell",-1,1) *  IF($K$6="call",  NORMDIST(I158,0,1,1),  NORMDIST(I158,0,1,1)-1  ) * $P$6</f>
        <v>-0</v>
      </c>
      <c r="D158" s="25" t="n">
        <f aca="false">IF($O$6="sell",-1,1) * NORMDIST(I158,0,1,0)/(B158*$H$6*SQRT($J$6)) * $P$6</f>
        <v>0</v>
      </c>
      <c r="E158" s="25" t="n">
        <f aca="false">IF($O$6="sell",-1,1) * (B158*NORMDIST(I158,0,1,0)*SQRT($J$6)/365) * $P$6</f>
        <v>0</v>
      </c>
      <c r="F158" s="25" t="n">
        <f aca="false">IF($O$6="sell",-1,1) * (-(B158*NORMDIST(I158,0,1,0)*$H$6)/(2*SQRT($J$6))/365) *$P$6</f>
        <v>-0</v>
      </c>
      <c r="G158" s="25" t="n">
        <f aca="false">IF($O$6="buy",1,-1)*( IF($K$6="call",B158*NORMDIST(I158,0,1,1) - $B$6*NORMDIST(J158,0,1,1),$B$6*NORMDIST(-J158,0,1,1) - B158*NORMDIST(-I158,0,1,1) ) - $G$6) * $P$6</f>
        <v>0</v>
      </c>
      <c r="I158" s="26" t="n">
        <f aca="false">(LN(B158/$B$6)+($H$6^2/2)*($J$6))/($H$6*SQRT($J$6))</f>
        <v>-2.82983838475018</v>
      </c>
      <c r="J158" s="26" t="n">
        <f aca="false">I158 - $H$6*SQRT($J$6)</f>
        <v>-2.91339777975248</v>
      </c>
    </row>
    <row r="159" customFormat="false" ht="13.5" hidden="false" customHeight="true" outlineLevel="0" collapsed="false">
      <c r="B159" s="29" t="n">
        <f aca="false">B129</f>
        <v>58</v>
      </c>
      <c r="C159" s="25" t="n">
        <f aca="false">IF($O$6="sell",-1,1) *  IF($K$6="call",  NORMDIST(I159,0,1,1),  NORMDIST(I159,0,1,1)-1  ) * $P$6</f>
        <v>-0</v>
      </c>
      <c r="D159" s="25" t="n">
        <f aca="false">IF($O$6="sell",-1,1) * NORMDIST(I159,0,1,0)/(B159*$H$6*SQRT($J$6)) * $P$6</f>
        <v>0</v>
      </c>
      <c r="E159" s="25" t="n">
        <f aca="false">IF($O$6="sell",-1,1) * (B159*NORMDIST(I159,0,1,0)*SQRT($J$6)/365) * $P$6</f>
        <v>0</v>
      </c>
      <c r="F159" s="25" t="n">
        <f aca="false">IF($O$6="sell",-1,1) * (-(B159*NORMDIST(I159,0,1,0)*$H$6)/(2*SQRT($J$6))/365) *$P$6</f>
        <v>-0</v>
      </c>
      <c r="G159" s="25" t="n">
        <f aca="false">IF($O$6="buy",1,-1)*( IF($K$6="call",B159*NORMDIST(I159,0,1,1) - $B$6*NORMDIST(J159,0,1,1),$B$6*NORMDIST(-J159,0,1,1) - B159*NORMDIST(-I159,0,1,1) ) - $G$6) * $P$6</f>
        <v>0</v>
      </c>
      <c r="I159" s="26" t="n">
        <f aca="false">(LN(B159/$B$6)+($H$6^2/2)*($J$6))/($H$6*SQRT($J$6))</f>
        <v>-3.03441661750102</v>
      </c>
      <c r="J159" s="26" t="n">
        <f aca="false">I159 - $H$6*SQRT($J$6)</f>
        <v>-3.11797601250332</v>
      </c>
    </row>
    <row r="160" customFormat="false" ht="13.5" hidden="false" customHeight="true" outlineLevel="0" collapsed="false">
      <c r="B160" s="29" t="n">
        <f aca="false">B130</f>
        <v>57</v>
      </c>
      <c r="C160" s="25" t="n">
        <f aca="false">IF($O$6="sell",-1,1) *  IF($K$6="call",  NORMDIST(I160,0,1,1),  NORMDIST(I160,0,1,1)-1  ) * $P$6</f>
        <v>-0</v>
      </c>
      <c r="D160" s="25" t="n">
        <f aca="false">IF($O$6="sell",-1,1) * NORMDIST(I160,0,1,0)/(B160*$H$6*SQRT($J$6)) * $P$6</f>
        <v>0</v>
      </c>
      <c r="E160" s="25" t="n">
        <f aca="false">IF($O$6="sell",-1,1) * (B160*NORMDIST(I160,0,1,0)*SQRT($J$6)/365) * $P$6</f>
        <v>0</v>
      </c>
      <c r="F160" s="25" t="n">
        <f aca="false">IF($O$6="sell",-1,1) * (-(B160*NORMDIST(I160,0,1,0)*$H$6)/(2*SQRT($J$6))/365) *$P$6</f>
        <v>-0</v>
      </c>
      <c r="G160" s="25" t="n">
        <f aca="false">IF($O$6="buy",1,-1)*( IF($K$6="call",B160*NORMDIST(I160,0,1,1) - $B$6*NORMDIST(J160,0,1,1),$B$6*NORMDIST(-J160,0,1,1) - B160*NORMDIST(-I160,0,1,1) ) - $G$6) * $P$6</f>
        <v>0</v>
      </c>
      <c r="I160" s="26" t="n">
        <f aca="false">(LN(B160/$B$6)+($H$6^2/2)*($J$6))/($H$6*SQRT($J$6))</f>
        <v>-3.24255291039053</v>
      </c>
      <c r="J160" s="26" t="n">
        <f aca="false">I160 - $H$6*SQRT($J$6)</f>
        <v>-3.32611230539283</v>
      </c>
    </row>
    <row r="161" customFormat="false" ht="13.5" hidden="false" customHeight="true" outlineLevel="0" collapsed="false">
      <c r="B161" s="30"/>
      <c r="C161" s="22"/>
      <c r="D161" s="22"/>
      <c r="E161" s="22"/>
      <c r="F161" s="22"/>
      <c r="G161" s="22"/>
      <c r="I161" s="31"/>
      <c r="J161" s="31"/>
    </row>
    <row r="162" customFormat="false" ht="13.5" hidden="false" customHeight="true" outlineLevel="0" collapsed="false">
      <c r="B162" s="30"/>
      <c r="C162" s="22"/>
      <c r="D162" s="22"/>
      <c r="E162" s="22"/>
      <c r="F162" s="22"/>
      <c r="G162" s="22"/>
      <c r="I162" s="31"/>
      <c r="J162" s="31"/>
    </row>
    <row r="163" customFormat="false" ht="13.5" hidden="false" customHeight="true" outlineLevel="0" collapsed="false">
      <c r="B163" s="23"/>
      <c r="C163" s="19" t="s">
        <v>13</v>
      </c>
      <c r="D163" s="19" t="s">
        <v>14</v>
      </c>
      <c r="E163" s="19" t="s">
        <v>15</v>
      </c>
      <c r="F163" s="19" t="s">
        <v>16</v>
      </c>
      <c r="G163" s="19" t="s">
        <v>17</v>
      </c>
      <c r="I163" s="19" t="s">
        <v>158</v>
      </c>
      <c r="J163" s="19" t="s">
        <v>159</v>
      </c>
    </row>
    <row r="164" customFormat="false" ht="13.5" hidden="false" customHeight="true" outlineLevel="0" collapsed="false">
      <c r="A164" s="2" t="str">
        <f aca="false">A7</f>
        <v>SOL-24APR26-78-P-USDT</v>
      </c>
      <c r="B164" s="29" t="n">
        <f aca="false">B134</f>
        <v>83</v>
      </c>
      <c r="C164" s="25" t="n">
        <f aca="false">IF($O$7="sell",-1,1) *  IF($K$7="call",  NORMDIST(I164,0,1,1),  NORMDIST(I164,0,1,1)-1  ) * $P$7</f>
        <v>-0</v>
      </c>
      <c r="D164" s="25" t="n">
        <f aca="false">IF($O$7="sell",-1,1) * NORMDIST(I164,0,1,0)/(B164*$H$7*SQRT($J$7)) * $P$7</f>
        <v>0</v>
      </c>
      <c r="E164" s="25" t="n">
        <f aca="false">IF($O$7="sell",-1,1) * (B164*NORMDIST(I164,0,1,0)*SQRT($J$7)/365) * $P$7</f>
        <v>0</v>
      </c>
      <c r="F164" s="25" t="n">
        <f aca="false">IF($O$7="sell",-1,1) * (-(B164*NORMDIST(I164,0,1,0)*$H$7)/(2*SQRT($J$7))/365) *$P$7</f>
        <v>-0</v>
      </c>
      <c r="G164" s="25" t="n">
        <f aca="false">IF($O$7="buy",1,-1)*( IF($K$7="call",B164*NORMDIST(I164,0,1,1) - $B$7*NORMDIST(J164,0,1,1),$B$7*NORMDIST(-J164,0,1,1) - B164*NORMDIST(-I164,0,1,1) ) - $G$7) * $P$7</f>
        <v>-0</v>
      </c>
      <c r="I164" s="26" t="n">
        <f aca="false">(LN(B164/$B$7)+($H$7^2/2)*($J$7))/($H$7*SQRT($J$7))</f>
        <v>0.860919177811763</v>
      </c>
      <c r="J164" s="26" t="n">
        <f aca="false">I164 - $H$7*SQRT($J$7)</f>
        <v>0.785441448174254</v>
      </c>
    </row>
    <row r="165" customFormat="false" ht="13.5" hidden="false" customHeight="true" outlineLevel="0" collapsed="false">
      <c r="B165" s="29" t="n">
        <f aca="false">B135</f>
        <v>82</v>
      </c>
      <c r="C165" s="25" t="n">
        <f aca="false">IF($O$7="sell",-1,1) *  IF($K$7="call",  NORMDIST(I165,0,1,1),  NORMDIST(I165,0,1,1)-1  ) * $P$7</f>
        <v>-0</v>
      </c>
      <c r="D165" s="25" t="n">
        <f aca="false">IF($O$7="sell",-1,1) * NORMDIST(I165,0,1,0)/(B165*$H$7*SQRT($J$7)) * $P$7</f>
        <v>0</v>
      </c>
      <c r="E165" s="25" t="n">
        <f aca="false">IF($O$7="sell",-1,1) * (B165*NORMDIST(I165,0,1,0)*SQRT($J$7)/365) * $P$7</f>
        <v>0</v>
      </c>
      <c r="F165" s="25" t="n">
        <f aca="false">IF($O$7="sell",-1,1) * (-(B165*NORMDIST(I165,0,1,0)*$H$7)/(2*SQRT($J$7))/365) *$P$7</f>
        <v>-0</v>
      </c>
      <c r="G165" s="25" t="n">
        <f aca="false">IF($O$7="buy",1,-1)*( IF($K$7="call",B165*NORMDIST(I165,0,1,1) - $B$7*NORMDIST(J165,0,1,1),$B$7*NORMDIST(-J165,0,1,1) - B165*NORMDIST(-I165,0,1,1) ) - $G$7) * $P$7</f>
        <v>-0</v>
      </c>
      <c r="I165" s="26" t="n">
        <f aca="false">(LN(B165/$B$7)+($H$7^2/2)*($J$7))/($H$7*SQRT($J$7))</f>
        <v>0.70032398515614</v>
      </c>
      <c r="J165" s="26" t="n">
        <f aca="false">I165 - $H$7*SQRT($J$7)</f>
        <v>0.624846255518631</v>
      </c>
    </row>
    <row r="166" customFormat="false" ht="13.5" hidden="false" customHeight="true" outlineLevel="0" collapsed="false">
      <c r="B166" s="29" t="n">
        <f aca="false">B136</f>
        <v>81</v>
      </c>
      <c r="C166" s="25" t="n">
        <f aca="false">IF($O$7="sell",-1,1) *  IF($K$7="call",  NORMDIST(I166,0,1,1),  NORMDIST(I166,0,1,1)-1  ) * $P$7</f>
        <v>-0</v>
      </c>
      <c r="D166" s="25" t="n">
        <f aca="false">IF($O$7="sell",-1,1) * NORMDIST(I166,0,1,0)/(B166*$H$7*SQRT($J$7)) * $P$7</f>
        <v>0</v>
      </c>
      <c r="E166" s="25" t="n">
        <f aca="false">IF($O$7="sell",-1,1) * (B166*NORMDIST(I166,0,1,0)*SQRT($J$7)/365) * $P$7</f>
        <v>0</v>
      </c>
      <c r="F166" s="25" t="n">
        <f aca="false">IF($O$7="sell",-1,1) * (-(B166*NORMDIST(I166,0,1,0)*$H$7)/(2*SQRT($J$7))/365) *$P$7</f>
        <v>-0</v>
      </c>
      <c r="G166" s="25" t="n">
        <f aca="false">IF($O$7="buy",1,-1)*( IF($K$7="call",B166*NORMDIST(I166,0,1,1) - $B$7*NORMDIST(J166,0,1,1),$B$7*NORMDIST(-J166,0,1,1) - B166*NORMDIST(-I166,0,1,1) ) - $G$7) * $P$7</f>
        <v>-0</v>
      </c>
      <c r="I166" s="26" t="n">
        <f aca="false">(LN(B166/$B$7)+($H$7^2/2)*($J$7))/($H$7*SQRT($J$7))</f>
        <v>0.537758250193748</v>
      </c>
      <c r="J166" s="26" t="n">
        <f aca="false">I166 - $H$7*SQRT($J$7)</f>
        <v>0.462280520556239</v>
      </c>
    </row>
    <row r="167" customFormat="false" ht="13.5" hidden="false" customHeight="true" outlineLevel="0" collapsed="false">
      <c r="B167" s="29" t="n">
        <f aca="false">B137</f>
        <v>80</v>
      </c>
      <c r="C167" s="25" t="n">
        <f aca="false">IF($O$7="sell",-1,1) *  IF($K$7="call",  NORMDIST(I167,0,1,1),  NORMDIST(I167,0,1,1)-1  ) * $P$7</f>
        <v>-0</v>
      </c>
      <c r="D167" s="25" t="n">
        <f aca="false">IF($O$7="sell",-1,1) * NORMDIST(I167,0,1,0)/(B167*$H$7*SQRT($J$7)) * $P$7</f>
        <v>0</v>
      </c>
      <c r="E167" s="25" t="n">
        <f aca="false">IF($O$7="sell",-1,1) * (B167*NORMDIST(I167,0,1,0)*SQRT($J$7)/365) * $P$7</f>
        <v>0</v>
      </c>
      <c r="F167" s="25" t="n">
        <f aca="false">IF($O$7="sell",-1,1) * (-(B167*NORMDIST(I167,0,1,0)*$H$7)/(2*SQRT($J$7))/365) *$P$7</f>
        <v>-0</v>
      </c>
      <c r="G167" s="25" t="n">
        <f aca="false">IF($O$7="buy",1,-1)*( IF($K$7="call",B167*NORMDIST(I167,0,1,1) - $B$7*NORMDIST(J167,0,1,1),$B$7*NORMDIST(-J167,0,1,1) - B167*NORMDIST(-I167,0,1,1) ) - $G$7) * $P$7</f>
        <v>0</v>
      </c>
      <c r="I167" s="26" t="n">
        <f aca="false">(LN(B167/$B$7)+($H$7^2/2)*($J$7))/($H$7*SQRT($J$7))</f>
        <v>0.37317301348594</v>
      </c>
      <c r="J167" s="26" t="n">
        <f aca="false">I167 - $H$7*SQRT($J$7)</f>
        <v>0.297695283848431</v>
      </c>
    </row>
    <row r="168" customFormat="false" ht="13.5" hidden="false" customHeight="true" outlineLevel="0" collapsed="false">
      <c r="B168" s="29" t="n">
        <f aca="false">B138</f>
        <v>79</v>
      </c>
      <c r="C168" s="25" t="n">
        <f aca="false">IF($O$7="sell",-1,1) *  IF($K$7="call",  NORMDIST(I168,0,1,1),  NORMDIST(I168,0,1,1)-1  ) * $P$7</f>
        <v>-0</v>
      </c>
      <c r="D168" s="25" t="n">
        <f aca="false">IF($O$7="sell",-1,1) * NORMDIST(I168,0,1,0)/(B168*$H$7*SQRT($J$7)) * $P$7</f>
        <v>0</v>
      </c>
      <c r="E168" s="25" t="n">
        <f aca="false">IF($O$7="sell",-1,1) * (B168*NORMDIST(I168,0,1,0)*SQRT($J$7)/365) * $P$7</f>
        <v>0</v>
      </c>
      <c r="F168" s="25" t="n">
        <f aca="false">IF($O$7="sell",-1,1) * (-(B168*NORMDIST(I168,0,1,0)*$H$7)/(2*SQRT($J$7))/365) *$P$7</f>
        <v>-0</v>
      </c>
      <c r="G168" s="25" t="n">
        <f aca="false">IF($O$7="buy",1,-1)*( IF($K$7="call",B168*NORMDIST(I168,0,1,1) - $B$7*NORMDIST(J168,0,1,1),$B$7*NORMDIST(-J168,0,1,1) - B168*NORMDIST(-I168,0,1,1) ) - $G$7) * $P$7</f>
        <v>0</v>
      </c>
      <c r="I168" s="26" t="n">
        <f aca="false">(LN(B168/$B$7)+($H$7^2/2)*($J$7))/($H$7*SQRT($J$7))</f>
        <v>0.206517467972433</v>
      </c>
      <c r="J168" s="26" t="n">
        <f aca="false">I168 - $H$7*SQRT($J$7)</f>
        <v>0.131039738334924</v>
      </c>
    </row>
    <row r="169" customFormat="false" ht="13.5" hidden="false" customHeight="true" outlineLevel="0" collapsed="false">
      <c r="B169" s="29" t="n">
        <f aca="false">B139</f>
        <v>78</v>
      </c>
      <c r="C169" s="25" t="n">
        <f aca="false">IF($O$7="sell",-1,1) *  IF($K$7="call",  NORMDIST(I169,0,1,1),  NORMDIST(I169,0,1,1)-1  ) * $P$7</f>
        <v>-0</v>
      </c>
      <c r="D169" s="25" t="n">
        <f aca="false">IF($O$7="sell",-1,1) * NORMDIST(I169,0,1,0)/(B169*$H$7*SQRT($J$7)) * $P$7</f>
        <v>0</v>
      </c>
      <c r="E169" s="25" t="n">
        <f aca="false">IF($O$7="sell",-1,1) * (B169*NORMDIST(I169,0,1,0)*SQRT($J$7)/365) * $P$7</f>
        <v>0</v>
      </c>
      <c r="F169" s="25" t="n">
        <f aca="false">IF($O$7="sell",-1,1) * (-(B169*NORMDIST(I169,0,1,0)*$H$7)/(2*SQRT($J$7))/365) *$P$7</f>
        <v>-0</v>
      </c>
      <c r="G169" s="25" t="n">
        <f aca="false">IF($O$7="buy",1,-1)*( IF($K$7="call",B169*NORMDIST(I169,0,1,1) - $B$7*NORMDIST(J169,0,1,1),$B$7*NORMDIST(-J169,0,1,1) - B169*NORMDIST(-I169,0,1,1) ) - $G$7) * $P$7</f>
        <v>0</v>
      </c>
      <c r="I169" s="26" t="n">
        <f aca="false">(LN(B169/$B$7)+($H$7^2/2)*($J$7))/($H$7*SQRT($J$7))</f>
        <v>0.0377388648187544</v>
      </c>
      <c r="J169" s="26" t="n">
        <f aca="false">I169 - $H$7*SQRT($J$7)</f>
        <v>-0.0377388648187544</v>
      </c>
    </row>
    <row r="170" customFormat="false" ht="13.5" hidden="false" customHeight="true" outlineLevel="0" collapsed="false">
      <c r="B170" s="29" t="n">
        <f aca="false">B140</f>
        <v>77</v>
      </c>
      <c r="C170" s="25" t="n">
        <f aca="false">IF($O$7="sell",-1,1) *  IF($K$7="call",  NORMDIST(I170,0,1,1),  NORMDIST(I170,0,1,1)-1  ) * $P$7</f>
        <v>-0</v>
      </c>
      <c r="D170" s="25" t="n">
        <f aca="false">IF($O$7="sell",-1,1) * NORMDIST(I170,0,1,0)/(B170*$H$7*SQRT($J$7)) * $P$7</f>
        <v>0</v>
      </c>
      <c r="E170" s="25" t="n">
        <f aca="false">IF($O$7="sell",-1,1) * (B170*NORMDIST(I170,0,1,0)*SQRT($J$7)/365) * $P$7</f>
        <v>0</v>
      </c>
      <c r="F170" s="25" t="n">
        <f aca="false">IF($O$7="sell",-1,1) * (-(B170*NORMDIST(I170,0,1,0)*$H$7)/(2*SQRT($J$7))/365) *$P$7</f>
        <v>-0</v>
      </c>
      <c r="G170" s="25" t="n">
        <f aca="false">IF($O$7="buy",1,-1)*( IF($K$7="call",B170*NORMDIST(I170,0,1,1) - $B$7*NORMDIST(J170,0,1,1),$B$7*NORMDIST(-J170,0,1,1) - B170*NORMDIST(-I170,0,1,1) ) - $G$7) * $P$7</f>
        <v>0</v>
      </c>
      <c r="I170" s="26" t="n">
        <f aca="false">(LN(B170/$B$7)+($H$7^2/2)*($J$7))/($H$7*SQRT($J$7))</f>
        <v>-0.133217586811124</v>
      </c>
      <c r="J170" s="26" t="n">
        <f aca="false">I170 - $H$7*SQRT($J$7)</f>
        <v>-0.208695316448633</v>
      </c>
    </row>
    <row r="171" customFormat="false" ht="13.5" hidden="false" customHeight="true" outlineLevel="0" collapsed="false">
      <c r="B171" s="29" t="n">
        <f aca="false">B141</f>
        <v>76</v>
      </c>
      <c r="C171" s="25" t="n">
        <f aca="false">IF($O$7="sell",-1,1) *  IF($K$7="call",  NORMDIST(I171,0,1,1),  NORMDIST(I171,0,1,1)-1  ) * $P$7</f>
        <v>-0</v>
      </c>
      <c r="D171" s="25" t="n">
        <f aca="false">IF($O$7="sell",-1,1) * NORMDIST(I171,0,1,0)/(B171*$H$7*SQRT($J$7)) * $P$7</f>
        <v>0</v>
      </c>
      <c r="E171" s="25" t="n">
        <f aca="false">IF($O$7="sell",-1,1) * (B171*NORMDIST(I171,0,1,0)*SQRT($J$7)/365) * $P$7</f>
        <v>0</v>
      </c>
      <c r="F171" s="25" t="n">
        <f aca="false">IF($O$7="sell",-1,1) * (-(B171*NORMDIST(I171,0,1,0)*$H$7)/(2*SQRT($J$7))/365) *$P$7</f>
        <v>-0</v>
      </c>
      <c r="G171" s="25" t="n">
        <f aca="false">IF($O$7="buy",1,-1)*( IF($K$7="call",B171*NORMDIST(I171,0,1,1) - $B$7*NORMDIST(J171,0,1,1),$B$7*NORMDIST(-J171,0,1,1) - B171*NORMDIST(-I171,0,1,1) ) - $G$7) * $P$7</f>
        <v>0</v>
      </c>
      <c r="I171" s="26" t="n">
        <f aca="false">(LN(B171/$B$7)+($H$7^2/2)*($J$7))/($H$7*SQRT($J$7))</f>
        <v>-0.306408826533532</v>
      </c>
      <c r="J171" s="26" t="n">
        <f aca="false">I171 - $H$7*SQRT($J$7)</f>
        <v>-0.38188655617104</v>
      </c>
    </row>
    <row r="172" customFormat="false" ht="13.5" hidden="false" customHeight="true" outlineLevel="0" collapsed="false">
      <c r="B172" s="29" t="n">
        <f aca="false">B142</f>
        <v>75</v>
      </c>
      <c r="C172" s="25" t="n">
        <f aca="false">IF($O$7="sell",-1,1) *  IF($K$7="call",  NORMDIST(I172,0,1,1),  NORMDIST(I172,0,1,1)-1  ) * $P$7</f>
        <v>-0</v>
      </c>
      <c r="D172" s="25" t="n">
        <f aca="false">IF($O$7="sell",-1,1) * NORMDIST(I172,0,1,0)/(B172*$H$7*SQRT($J$7)) * $P$7</f>
        <v>0</v>
      </c>
      <c r="E172" s="25" t="n">
        <f aca="false">IF($O$7="sell",-1,1) * (B172*NORMDIST(I172,0,1,0)*SQRT($J$7)/365) * $P$7</f>
        <v>0</v>
      </c>
      <c r="F172" s="25" t="n">
        <f aca="false">IF($O$7="sell",-1,1) * (-(B172*NORMDIST(I172,0,1,0)*$H$7)/(2*SQRT($J$7))/365) *$P$7</f>
        <v>-0</v>
      </c>
      <c r="G172" s="25" t="n">
        <f aca="false">IF($O$7="buy",1,-1)*( IF($K$7="call",B172*NORMDIST(I172,0,1,1) - $B$7*NORMDIST(J172,0,1,1),$B$7*NORMDIST(-J172,0,1,1) - B172*NORMDIST(-I172,0,1,1) ) - $G$7) * $P$7</f>
        <v>0</v>
      </c>
      <c r="I172" s="26" t="n">
        <f aca="false">(LN(B172/$B$7)+($H$7^2/2)*($J$7))/($H$7*SQRT($J$7))</f>
        <v>-0.481894056595862</v>
      </c>
      <c r="J172" s="26" t="n">
        <f aca="false">I172 - $H$7*SQRT($J$7)</f>
        <v>-0.557371786233371</v>
      </c>
    </row>
    <row r="173" customFormat="false" ht="13.5" hidden="false" customHeight="true" outlineLevel="0" collapsed="false">
      <c r="B173" s="29" t="n">
        <f aca="false">B143</f>
        <v>74</v>
      </c>
      <c r="C173" s="25" t="n">
        <f aca="false">IF($O$7="sell",-1,1) *  IF($K$7="call",  NORMDIST(I173,0,1,1),  NORMDIST(I173,0,1,1)-1  ) * $P$7</f>
        <v>-0</v>
      </c>
      <c r="D173" s="25" t="n">
        <f aca="false">IF($O$7="sell",-1,1) * NORMDIST(I173,0,1,0)/(B173*$H$7*SQRT($J$7)) * $P$7</f>
        <v>0</v>
      </c>
      <c r="E173" s="25" t="n">
        <f aca="false">IF($O$7="sell",-1,1) * (B173*NORMDIST(I173,0,1,0)*SQRT($J$7)/365) * $P$7</f>
        <v>0</v>
      </c>
      <c r="F173" s="25" t="n">
        <f aca="false">IF($O$7="sell",-1,1) * (-(B173*NORMDIST(I173,0,1,0)*$H$7)/(2*SQRT($J$7))/365) *$P$7</f>
        <v>-0</v>
      </c>
      <c r="G173" s="25" t="n">
        <f aca="false">IF($O$7="buy",1,-1)*( IF($K$7="call",B173*NORMDIST(I173,0,1,1) - $B$7*NORMDIST(J173,0,1,1),$B$7*NORMDIST(-J173,0,1,1) - B173*NORMDIST(-I173,0,1,1) ) - $G$7) * $P$7</f>
        <v>0</v>
      </c>
      <c r="I173" s="26" t="n">
        <f aca="false">(LN(B173/$B$7)+($H$7^2/2)*($J$7))/($H$7*SQRT($J$7))</f>
        <v>-0.659734863369018</v>
      </c>
      <c r="J173" s="26" t="n">
        <f aca="false">I173 - $H$7*SQRT($J$7)</f>
        <v>-0.735212593006527</v>
      </c>
    </row>
    <row r="174" customFormat="false" ht="13.5" hidden="false" customHeight="true" outlineLevel="0" collapsed="false">
      <c r="B174" s="29" t="n">
        <f aca="false">B144</f>
        <v>73</v>
      </c>
      <c r="C174" s="25" t="n">
        <f aca="false">IF($O$7="sell",-1,1) *  IF($K$7="call",  NORMDIST(I174,0,1,1),  NORMDIST(I174,0,1,1)-1  ) * $P$7</f>
        <v>-0</v>
      </c>
      <c r="D174" s="25" t="n">
        <f aca="false">IF($O$7="sell",-1,1) * NORMDIST(I174,0,1,0)/(B174*$H$7*SQRT($J$7)) * $P$7</f>
        <v>0</v>
      </c>
      <c r="E174" s="25" t="n">
        <f aca="false">IF($O$7="sell",-1,1) * (B174*NORMDIST(I174,0,1,0)*SQRT($J$7)/365) * $P$7</f>
        <v>0</v>
      </c>
      <c r="F174" s="25" t="n">
        <f aca="false">IF($O$7="sell",-1,1) * (-(B174*NORMDIST(I174,0,1,0)*$H$7)/(2*SQRT($J$7))/365) *$P$7</f>
        <v>-0</v>
      </c>
      <c r="G174" s="25" t="n">
        <f aca="false">IF($O$7="buy",1,-1)*( IF($K$7="call",B174*NORMDIST(I174,0,1,1) - $B$7*NORMDIST(J174,0,1,1),$B$7*NORMDIST(-J174,0,1,1) - B174*NORMDIST(-I174,0,1,1) ) - $G$7) * $P$7</f>
        <v>0</v>
      </c>
      <c r="I174" s="26" t="n">
        <f aca="false">(LN(B174/$B$7)+($H$7^2/2)*($J$7))/($H$7*SQRT($J$7))</f>
        <v>-0.839995347105366</v>
      </c>
      <c r="J174" s="26" t="n">
        <f aca="false">I174 - $H$7*SQRT($J$7)</f>
        <v>-0.915473076742875</v>
      </c>
    </row>
    <row r="175" customFormat="false" ht="13.5" hidden="false" customHeight="true" outlineLevel="0" collapsed="false">
      <c r="B175" s="29" t="n">
        <f aca="false">B145</f>
        <v>72</v>
      </c>
      <c r="C175" s="25" t="n">
        <f aca="false">IF($O$7="sell",-1,1) *  IF($K$7="call",  NORMDIST(I175,0,1,1),  NORMDIST(I175,0,1,1)-1  ) * $P$7</f>
        <v>-0</v>
      </c>
      <c r="D175" s="25" t="n">
        <f aca="false">IF($O$7="sell",-1,1) * NORMDIST(I175,0,1,0)/(B175*$H$7*SQRT($J$7)) * $P$7</f>
        <v>0</v>
      </c>
      <c r="E175" s="25" t="n">
        <f aca="false">IF($O$7="sell",-1,1) * (B175*NORMDIST(I175,0,1,0)*SQRT($J$7)/365) * $P$7</f>
        <v>0</v>
      </c>
      <c r="F175" s="25" t="n">
        <f aca="false">IF($O$7="sell",-1,1) * (-(B175*NORMDIST(I175,0,1,0)*$H$7)/(2*SQRT($J$7))/365) *$P$7</f>
        <v>-0</v>
      </c>
      <c r="G175" s="25" t="n">
        <f aca="false">IF($O$7="buy",1,-1)*( IF($K$7="call",B175*NORMDIST(I175,0,1,1) - $B$7*NORMDIST(J175,0,1,1),$B$7*NORMDIST(-J175,0,1,1) - B175*NORMDIST(-I175,0,1,1) ) - $G$7) * $P$7</f>
        <v>0</v>
      </c>
      <c r="I175" s="26" t="n">
        <f aca="false">(LN(B175/$B$7)+($H$7^2/2)*($J$7))/($H$7*SQRT($J$7))</f>
        <v>-1.02274226064635</v>
      </c>
      <c r="J175" s="26" t="n">
        <f aca="false">I175 - $H$7*SQRT($J$7)</f>
        <v>-1.09821999028386</v>
      </c>
    </row>
    <row r="176" customFormat="false" ht="13.5" hidden="false" customHeight="true" outlineLevel="0" collapsed="false">
      <c r="B176" s="29" t="n">
        <f aca="false">B146</f>
        <v>71</v>
      </c>
      <c r="C176" s="25" t="n">
        <f aca="false">IF($O$7="sell",-1,1) *  IF($K$7="call",  NORMDIST(I176,0,1,1),  NORMDIST(I176,0,1,1)-1  ) * $P$7</f>
        <v>-0</v>
      </c>
      <c r="D176" s="25" t="n">
        <f aca="false">IF($O$7="sell",-1,1) * NORMDIST(I176,0,1,0)/(B176*$H$7*SQRT($J$7)) * $P$7</f>
        <v>0</v>
      </c>
      <c r="E176" s="25" t="n">
        <f aca="false">IF($O$7="sell",-1,1) * (B176*NORMDIST(I176,0,1,0)*SQRT($J$7)/365) * $P$7</f>
        <v>0</v>
      </c>
      <c r="F176" s="25" t="n">
        <f aca="false">IF($O$7="sell",-1,1) * (-(B176*NORMDIST(I176,0,1,0)*$H$7)/(2*SQRT($J$7))/365) *$P$7</f>
        <v>-0</v>
      </c>
      <c r="G176" s="25" t="n">
        <f aca="false">IF($O$7="buy",1,-1)*( IF($K$7="call",B176*NORMDIST(I176,0,1,1) - $B$7*NORMDIST(J176,0,1,1),$B$7*NORMDIST(-J176,0,1,1) - B176*NORMDIST(-I176,0,1,1) ) - $G$7) * $P$7</f>
        <v>0</v>
      </c>
      <c r="I176" s="26" t="n">
        <f aca="false">(LN(B176/$B$7)+($H$7^2/2)*($J$7))/($H$7*SQRT($J$7))</f>
        <v>-1.20804515783087</v>
      </c>
      <c r="J176" s="26" t="n">
        <f aca="false">I176 - $H$7*SQRT($J$7)</f>
        <v>-1.28352288746838</v>
      </c>
    </row>
    <row r="177" customFormat="false" ht="13.5" hidden="false" customHeight="true" outlineLevel="0" collapsed="false">
      <c r="B177" s="29" t="n">
        <f aca="false">B147</f>
        <v>70</v>
      </c>
      <c r="C177" s="25" t="n">
        <f aca="false">IF($O$7="sell",-1,1) *  IF($K$7="call",  NORMDIST(I177,0,1,1),  NORMDIST(I177,0,1,1)-1  ) * $P$7</f>
        <v>-0</v>
      </c>
      <c r="D177" s="25" t="n">
        <f aca="false">IF($O$7="sell",-1,1) * NORMDIST(I177,0,1,0)/(B177*$H$7*SQRT($J$7)) * $P$7</f>
        <v>0</v>
      </c>
      <c r="E177" s="25" t="n">
        <f aca="false">IF($O$7="sell",-1,1) * (B177*NORMDIST(I177,0,1,0)*SQRT($J$7)/365) * $P$7</f>
        <v>0</v>
      </c>
      <c r="F177" s="25" t="n">
        <f aca="false">IF($O$7="sell",-1,1) * (-(B177*NORMDIST(I177,0,1,0)*$H$7)/(2*SQRT($J$7))/365) *$P$7</f>
        <v>-0</v>
      </c>
      <c r="G177" s="25" t="n">
        <f aca="false">IF($O$7="buy",1,-1)*( IF($K$7="call",B177*NORMDIST(I177,0,1,1) - $B$7*NORMDIST(J177,0,1,1),$B$7*NORMDIST(-J177,0,1,1) - B177*NORMDIST(-I177,0,1,1) ) - $G$7) * $P$7</f>
        <v>0</v>
      </c>
      <c r="I177" s="26" t="n">
        <f aca="false">(LN(B177/$B$7)+($H$7^2/2)*($J$7))/($H$7*SQRT($J$7))</f>
        <v>-1.39597655243004</v>
      </c>
      <c r="J177" s="26" t="n">
        <f aca="false">I177 - $H$7*SQRT($J$7)</f>
        <v>-1.47145428206755</v>
      </c>
    </row>
    <row r="178" customFormat="false" ht="13.5" hidden="false" customHeight="true" outlineLevel="0" collapsed="false">
      <c r="B178" s="29" t="n">
        <f aca="false">B148</f>
        <v>69</v>
      </c>
      <c r="C178" s="25" t="n">
        <f aca="false">IF($O$7="sell",-1,1) *  IF($K$7="call",  NORMDIST(I178,0,1,1),  NORMDIST(I178,0,1,1)-1  ) * $P$7</f>
        <v>-0</v>
      </c>
      <c r="D178" s="25" t="n">
        <f aca="false">IF($O$7="sell",-1,1) * NORMDIST(I178,0,1,0)/(B178*$H$7*SQRT($J$7)) * $P$7</f>
        <v>0</v>
      </c>
      <c r="E178" s="25" t="n">
        <f aca="false">IF($O$7="sell",-1,1) * (B178*NORMDIST(I178,0,1,0)*SQRT($J$7)/365) * $P$7</f>
        <v>0</v>
      </c>
      <c r="F178" s="25" t="n">
        <f aca="false">IF($O$7="sell",-1,1) * (-(B178*NORMDIST(I178,0,1,0)*$H$7)/(2*SQRT($J$7))/365) *$P$7</f>
        <v>-0</v>
      </c>
      <c r="G178" s="25" t="n">
        <f aca="false">IF($O$7="buy",1,-1)*( IF($K$7="call",B178*NORMDIST(I178,0,1,1) - $B$7*NORMDIST(J178,0,1,1),$B$7*NORMDIST(-J178,0,1,1) - B178*NORMDIST(-I178,0,1,1) ) - $G$7) * $P$7</f>
        <v>0</v>
      </c>
      <c r="I178" s="26" t="n">
        <f aca="false">(LN(B178/$B$7)+($H$7^2/2)*($J$7))/($H$7*SQRT($J$7))</f>
        <v>-1.58661208851735</v>
      </c>
      <c r="J178" s="26" t="n">
        <f aca="false">I178 - $H$7*SQRT($J$7)</f>
        <v>-1.66208981815486</v>
      </c>
    </row>
    <row r="179" customFormat="false" ht="13.5" hidden="false" customHeight="true" outlineLevel="0" collapsed="false">
      <c r="B179" s="29" t="n">
        <f aca="false">B149</f>
        <v>68</v>
      </c>
      <c r="C179" s="25" t="n">
        <f aca="false">IF($O$7="sell",-1,1) *  IF($K$7="call",  NORMDIST(I179,0,1,1),  NORMDIST(I179,0,1,1)-1  ) * $P$7</f>
        <v>-0</v>
      </c>
      <c r="D179" s="25" t="n">
        <f aca="false">IF($O$7="sell",-1,1) * NORMDIST(I179,0,1,0)/(B179*$H$7*SQRT($J$7)) * $P$7</f>
        <v>0</v>
      </c>
      <c r="E179" s="25" t="n">
        <f aca="false">IF($O$7="sell",-1,1) * (B179*NORMDIST(I179,0,1,0)*SQRT($J$7)/365) * $P$7</f>
        <v>0</v>
      </c>
      <c r="F179" s="25" t="n">
        <f aca="false">IF($O$7="sell",-1,1) * (-(B179*NORMDIST(I179,0,1,0)*$H$7)/(2*SQRT($J$7))/365) *$P$7</f>
        <v>-0</v>
      </c>
      <c r="G179" s="25" t="n">
        <f aca="false">IF($O$7="buy",1,-1)*( IF($K$7="call",B179*NORMDIST(I179,0,1,1) - $B$7*NORMDIST(J179,0,1,1),$B$7*NORMDIST(-J179,0,1,1) - B179*NORMDIST(-I179,0,1,1) ) - $G$7) * $P$7</f>
        <v>0</v>
      </c>
      <c r="I179" s="26" t="n">
        <f aca="false">(LN(B179/$B$7)+($H$7^2/2)*($J$7))/($H$7*SQRT($J$7))</f>
        <v>-1.78003072327578</v>
      </c>
      <c r="J179" s="26" t="n">
        <f aca="false">I179 - $H$7*SQRT($J$7)</f>
        <v>-1.85550845291329</v>
      </c>
    </row>
    <row r="180" customFormat="false" ht="13.5" hidden="false" customHeight="true" outlineLevel="0" collapsed="false">
      <c r="B180" s="29" t="n">
        <f aca="false">B150</f>
        <v>67</v>
      </c>
      <c r="C180" s="25" t="n">
        <f aca="false">IF($O$7="sell",-1,1) *  IF($K$7="call",  NORMDIST(I180,0,1,1),  NORMDIST(I180,0,1,1)-1  ) * $P$7</f>
        <v>-0</v>
      </c>
      <c r="D180" s="25" t="n">
        <f aca="false">IF($O$7="sell",-1,1) * NORMDIST(I180,0,1,0)/(B180*$H$7*SQRT($J$7)) * $P$7</f>
        <v>0</v>
      </c>
      <c r="E180" s="25" t="n">
        <f aca="false">IF($O$7="sell",-1,1) * (B180*NORMDIST(I180,0,1,0)*SQRT($J$7)/365) * $P$7</f>
        <v>0</v>
      </c>
      <c r="F180" s="25" t="n">
        <f aca="false">IF($O$7="sell",-1,1) * (-(B180*NORMDIST(I180,0,1,0)*$H$7)/(2*SQRT($J$7))/365) *$P$7</f>
        <v>-0</v>
      </c>
      <c r="G180" s="25" t="n">
        <f aca="false">IF($O$7="buy",1,-1)*( IF($K$7="call",B180*NORMDIST(I180,0,1,1) - $B$7*NORMDIST(J180,0,1,1),$B$7*NORMDIST(-J180,0,1,1) - B180*NORMDIST(-I180,0,1,1) ) - $G$7) * $P$7</f>
        <v>0</v>
      </c>
      <c r="I180" s="26" t="n">
        <f aca="false">(LN(B180/$B$7)+($H$7^2/2)*($J$7))/($H$7*SQRT($J$7))</f>
        <v>-1.97631492334767</v>
      </c>
      <c r="J180" s="26" t="n">
        <f aca="false">I180 - $H$7*SQRT($J$7)</f>
        <v>-2.05179265298518</v>
      </c>
    </row>
    <row r="181" customFormat="false" ht="13.5" hidden="false" customHeight="true" outlineLevel="0" collapsed="false">
      <c r="B181" s="29" t="n">
        <f aca="false">B151</f>
        <v>66</v>
      </c>
      <c r="C181" s="25" t="n">
        <f aca="false">IF($O$7="sell",-1,1) *  IF($K$7="call",  NORMDIST(I181,0,1,1),  NORMDIST(I181,0,1,1)-1  ) * $P$7</f>
        <v>-0</v>
      </c>
      <c r="D181" s="25" t="n">
        <f aca="false">IF($O$7="sell",-1,1) * NORMDIST(I181,0,1,0)/(B181*$H$7*SQRT($J$7)) * $P$7</f>
        <v>0</v>
      </c>
      <c r="E181" s="25" t="n">
        <f aca="false">IF($O$7="sell",-1,1) * (B181*NORMDIST(I181,0,1,0)*SQRT($J$7)/365) * $P$7</f>
        <v>0</v>
      </c>
      <c r="F181" s="25" t="n">
        <f aca="false">IF($O$7="sell",-1,1) * (-(B181*NORMDIST(I181,0,1,0)*$H$7)/(2*SQRT($J$7))/365) *$P$7</f>
        <v>-0</v>
      </c>
      <c r="G181" s="25" t="n">
        <f aca="false">IF($O$7="buy",1,-1)*( IF($K$7="call",B181*NORMDIST(I181,0,1,1) - $B$7*NORMDIST(J181,0,1,1),$B$7*NORMDIST(-J181,0,1,1) - B181*NORMDIST(-I181,0,1,1) ) - $G$7) * $P$7</f>
        <v>0</v>
      </c>
      <c r="I181" s="26" t="n">
        <f aca="false">(LN(B181/$B$7)+($H$7^2/2)*($J$7))/($H$7*SQRT($J$7))</f>
        <v>-2.17555087594934</v>
      </c>
      <c r="J181" s="26" t="n">
        <f aca="false">I181 - $H$7*SQRT($J$7)</f>
        <v>-2.25102860558685</v>
      </c>
    </row>
    <row r="182" customFormat="false" ht="13.5" hidden="false" customHeight="true" outlineLevel="0" collapsed="false">
      <c r="B182" s="29" t="n">
        <f aca="false">B152</f>
        <v>65</v>
      </c>
      <c r="C182" s="25" t="n">
        <f aca="false">IF($O$7="sell",-1,1) *  IF($K$7="call",  NORMDIST(I182,0,1,1),  NORMDIST(I182,0,1,1)-1  ) * $P$7</f>
        <v>-0</v>
      </c>
      <c r="D182" s="25" t="n">
        <f aca="false">IF($O$7="sell",-1,1) * NORMDIST(I182,0,1,0)/(B182*$H$7*SQRT($J$7)) * $P$7</f>
        <v>0</v>
      </c>
      <c r="E182" s="25" t="n">
        <f aca="false">IF($O$7="sell",-1,1) * (B182*NORMDIST(I182,0,1,0)*SQRT($J$7)/365) * $P$7</f>
        <v>0</v>
      </c>
      <c r="F182" s="25" t="n">
        <f aca="false">IF($O$7="sell",-1,1) * (-(B182*NORMDIST(I182,0,1,0)*$H$7)/(2*SQRT($J$7))/365) *$P$7</f>
        <v>-0</v>
      </c>
      <c r="G182" s="25" t="n">
        <f aca="false">IF($O$7="buy",1,-1)*( IF($K$7="call",B182*NORMDIST(I182,0,1,1) - $B$7*NORMDIST(J182,0,1,1),$B$7*NORMDIST(-J182,0,1,1) - B182*NORMDIST(-I182,0,1,1) ) - $G$7) * $P$7</f>
        <v>0</v>
      </c>
      <c r="I182" s="26" t="n">
        <f aca="false">(LN(B182/$B$7)+($H$7^2/2)*($J$7))/($H$7*SQRT($J$7))</f>
        <v>-2.37782871610315</v>
      </c>
      <c r="J182" s="26" t="n">
        <f aca="false">I182 - $H$7*SQRT($J$7)</f>
        <v>-2.45330644574066</v>
      </c>
    </row>
    <row r="183" customFormat="false" ht="13.5" hidden="false" customHeight="true" outlineLevel="0" collapsed="false">
      <c r="B183" s="29" t="n">
        <f aca="false">B153</f>
        <v>64</v>
      </c>
      <c r="C183" s="25" t="n">
        <f aca="false">IF($O$7="sell",-1,1) *  IF($K$7="call",  NORMDIST(I183,0,1,1),  NORMDIST(I183,0,1,1)-1  ) * $P$7</f>
        <v>-0</v>
      </c>
      <c r="D183" s="25" t="n">
        <f aca="false">IF($O$7="sell",-1,1) * NORMDIST(I183,0,1,0)/(B183*$H$7*SQRT($J$7)) * $P$7</f>
        <v>0</v>
      </c>
      <c r="E183" s="25" t="n">
        <f aca="false">IF($O$7="sell",-1,1) * (B183*NORMDIST(I183,0,1,0)*SQRT($J$7)/365) * $P$7</f>
        <v>0</v>
      </c>
      <c r="F183" s="25" t="n">
        <f aca="false">IF($O$7="sell",-1,1) * (-(B183*NORMDIST(I183,0,1,0)*$H$7)/(2*SQRT($J$7))/365) *$P$7</f>
        <v>-0</v>
      </c>
      <c r="G183" s="25" t="n">
        <f aca="false">IF($O$7="buy",1,-1)*( IF($K$7="call",B183*NORMDIST(I183,0,1,1) - $B$7*NORMDIST(J183,0,1,1),$B$7*NORMDIST(-J183,0,1,1) - B183*NORMDIST(-I183,0,1,1) ) - $G$7) * $P$7</f>
        <v>0</v>
      </c>
      <c r="I183" s="26" t="n">
        <f aca="false">(LN(B183/$B$7)+($H$7^2/2)*($J$7))/($H$7*SQRT($J$7))</f>
        <v>-2.58324277148645</v>
      </c>
      <c r="J183" s="26" t="n">
        <f aca="false">I183 - $H$7*SQRT($J$7)</f>
        <v>-2.65872050112396</v>
      </c>
    </row>
    <row r="184" customFormat="false" ht="13.5" hidden="false" customHeight="true" outlineLevel="0" collapsed="false">
      <c r="B184" s="29" t="n">
        <f aca="false">B154</f>
        <v>63</v>
      </c>
      <c r="C184" s="25" t="n">
        <f aca="false">IF($O$7="sell",-1,1) *  IF($K$7="call",  NORMDIST(I184,0,1,1),  NORMDIST(I184,0,1,1)-1  ) * $P$7</f>
        <v>-0</v>
      </c>
      <c r="D184" s="25" t="n">
        <f aca="false">IF($O$7="sell",-1,1) * NORMDIST(I184,0,1,0)/(B184*$H$7*SQRT($J$7)) * $P$7</f>
        <v>0</v>
      </c>
      <c r="E184" s="25" t="n">
        <f aca="false">IF($O$7="sell",-1,1) * (B184*NORMDIST(I184,0,1,0)*SQRT($J$7)/365) * $P$7</f>
        <v>0</v>
      </c>
      <c r="F184" s="25" t="n">
        <f aca="false">IF($O$7="sell",-1,1) * (-(B184*NORMDIST(I184,0,1,0)*$H$7)/(2*SQRT($J$7))/365) *$P$7</f>
        <v>-0</v>
      </c>
      <c r="G184" s="25" t="n">
        <f aca="false">IF($O$7="buy",1,-1)*( IF($K$7="call",B184*NORMDIST(I184,0,1,1) - $B$7*NORMDIST(J184,0,1,1),$B$7*NORMDIST(-J184,0,1,1) - B184*NORMDIST(-I184,0,1,1) ) - $G$7) * $P$7</f>
        <v>0</v>
      </c>
      <c r="I184" s="26" t="n">
        <f aca="false">(LN(B184/$B$7)+($H$7^2/2)*($J$7))/($H$7*SQRT($J$7))</f>
        <v>-2.79189182656234</v>
      </c>
      <c r="J184" s="26" t="n">
        <f aca="false">I184 - $H$7*SQRT($J$7)</f>
        <v>-2.86736955619984</v>
      </c>
    </row>
    <row r="185" customFormat="false" ht="13.5" hidden="false" customHeight="true" outlineLevel="0" collapsed="false">
      <c r="B185" s="29" t="n">
        <f aca="false">B155</f>
        <v>62</v>
      </c>
      <c r="C185" s="25" t="n">
        <f aca="false">IF($O$7="sell",-1,1) *  IF($K$7="call",  NORMDIST(I185,0,1,1),  NORMDIST(I185,0,1,1)-1  ) * $P$7</f>
        <v>-0</v>
      </c>
      <c r="D185" s="25" t="n">
        <f aca="false">IF($O$7="sell",-1,1) * NORMDIST(I185,0,1,0)/(B185*$H$7*SQRT($J$7)) * $P$7</f>
        <v>0</v>
      </c>
      <c r="E185" s="25" t="n">
        <f aca="false">IF($O$7="sell",-1,1) * (B185*NORMDIST(I185,0,1,0)*SQRT($J$7)/365) * $P$7</f>
        <v>0</v>
      </c>
      <c r="F185" s="25" t="n">
        <f aca="false">IF($O$7="sell",-1,1) * (-(B185*NORMDIST(I185,0,1,0)*$H$7)/(2*SQRT($J$7))/365) *$P$7</f>
        <v>-0</v>
      </c>
      <c r="G185" s="25" t="n">
        <f aca="false">IF($O$7="buy",1,-1)*( IF($K$7="call",B185*NORMDIST(I185,0,1,1) - $B$7*NORMDIST(J185,0,1,1),$B$7*NORMDIST(-J185,0,1,1) - B185*NORMDIST(-I185,0,1,1) ) - $G$7) * $P$7</f>
        <v>0</v>
      </c>
      <c r="I185" s="26" t="n">
        <f aca="false">(LN(B185/$B$7)+($H$7^2/2)*($J$7))/($H$7*SQRT($J$7))</f>
        <v>-3.00387940784339</v>
      </c>
      <c r="J185" s="26" t="n">
        <f aca="false">I185 - $H$7*SQRT($J$7)</f>
        <v>-3.0793571374809</v>
      </c>
    </row>
    <row r="186" customFormat="false" ht="13.5" hidden="false" customHeight="true" outlineLevel="0" collapsed="false">
      <c r="B186" s="29" t="n">
        <f aca="false">B156</f>
        <v>61</v>
      </c>
      <c r="C186" s="25" t="n">
        <f aca="false">IF($O$7="sell",-1,1) *  IF($K$7="call",  NORMDIST(I186,0,1,1),  NORMDIST(I186,0,1,1)-1  ) * $P$7</f>
        <v>-0</v>
      </c>
      <c r="D186" s="25" t="n">
        <f aca="false">IF($O$7="sell",-1,1) * NORMDIST(I186,0,1,0)/(B186*$H$7*SQRT($J$7)) * $P$7</f>
        <v>0</v>
      </c>
      <c r="E186" s="25" t="n">
        <f aca="false">IF($O$7="sell",-1,1) * (B186*NORMDIST(I186,0,1,0)*SQRT($J$7)/365) * $P$7</f>
        <v>0</v>
      </c>
      <c r="F186" s="25" t="n">
        <f aca="false">IF($O$7="sell",-1,1) * (-(B186*NORMDIST(I186,0,1,0)*$H$7)/(2*SQRT($J$7))/365) *$P$7</f>
        <v>-0</v>
      </c>
      <c r="G186" s="25" t="n">
        <f aca="false">IF($O$7="buy",1,-1)*( IF($K$7="call",B186*NORMDIST(I186,0,1,1) - $B$7*NORMDIST(J186,0,1,1),$B$7*NORMDIST(-J186,0,1,1) - B186*NORMDIST(-I186,0,1,1) ) - $G$7) * $P$7</f>
        <v>0</v>
      </c>
      <c r="I186" s="26" t="n">
        <f aca="false">(LN(B186/$B$7)+($H$7^2/2)*($J$7))/($H$7*SQRT($J$7))</f>
        <v>-3.21931409235064</v>
      </c>
      <c r="J186" s="26" t="n">
        <f aca="false">I186 - $H$7*SQRT($J$7)</f>
        <v>-3.29479182198815</v>
      </c>
    </row>
    <row r="187" customFormat="false" ht="13.5" hidden="false" customHeight="true" outlineLevel="0" collapsed="false">
      <c r="B187" s="29" t="n">
        <f aca="false">B157</f>
        <v>60</v>
      </c>
      <c r="C187" s="25" t="n">
        <f aca="false">IF($O$7="sell",-1,1) *  IF($K$7="call",  NORMDIST(I187,0,1,1),  NORMDIST(I187,0,1,1)-1  ) * $P$7</f>
        <v>-0</v>
      </c>
      <c r="D187" s="25" t="n">
        <f aca="false">IF($O$7="sell",-1,1) * NORMDIST(I187,0,1,0)/(B187*$H$7*SQRT($J$7)) * $P$7</f>
        <v>0</v>
      </c>
      <c r="E187" s="25" t="n">
        <f aca="false">IF($O$7="sell",-1,1) * (B187*NORMDIST(I187,0,1,0)*SQRT($J$7)/365) * $P$7</f>
        <v>0</v>
      </c>
      <c r="F187" s="25" t="n">
        <f aca="false">IF($O$7="sell",-1,1) * (-(B187*NORMDIST(I187,0,1,0)*$H$7)/(2*SQRT($J$7))/365) *$P$7</f>
        <v>-0</v>
      </c>
      <c r="G187" s="25" t="n">
        <f aca="false">IF($O$7="buy",1,-1)*( IF($K$7="call",B187*NORMDIST(I187,0,1,1) - $B$7*NORMDIST(J187,0,1,1),$B$7*NORMDIST(-J187,0,1,1) - B187*NORMDIST(-I187,0,1,1) ) - $G$7) * $P$7</f>
        <v>0</v>
      </c>
      <c r="I187" s="26" t="n">
        <f aca="false">(LN(B187/$B$7)+($H$7^2/2)*($J$7))/($H$7*SQRT($J$7))</f>
        <v>-3.43830984156826</v>
      </c>
      <c r="J187" s="26" t="n">
        <f aca="false">I187 - $H$7*SQRT($J$7)</f>
        <v>-3.51378757120576</v>
      </c>
    </row>
    <row r="188" customFormat="false" ht="13.5" hidden="false" customHeight="true" outlineLevel="0" collapsed="false">
      <c r="B188" s="29" t="n">
        <f aca="false">B158</f>
        <v>59</v>
      </c>
      <c r="C188" s="25" t="n">
        <f aca="false">IF($O$7="sell",-1,1) *  IF($K$7="call",  NORMDIST(I188,0,1,1),  NORMDIST(I188,0,1,1)-1  ) * $P$7</f>
        <v>-0</v>
      </c>
      <c r="D188" s="25" t="n">
        <f aca="false">IF($O$7="sell",-1,1) * NORMDIST(I188,0,1,0)/(B188*$H$7*SQRT($J$7)) * $P$7</f>
        <v>0</v>
      </c>
      <c r="E188" s="25" t="n">
        <f aca="false">IF($O$7="sell",-1,1) * (B188*NORMDIST(I188,0,1,0)*SQRT($J$7)/365) * $P$7</f>
        <v>0</v>
      </c>
      <c r="F188" s="25" t="n">
        <f aca="false">IF($O$7="sell",-1,1) * (-(B188*NORMDIST(I188,0,1,0)*$H$7)/(2*SQRT($J$7))/365) *$P$7</f>
        <v>-0</v>
      </c>
      <c r="G188" s="25" t="n">
        <f aca="false">IF($O$7="buy",1,-1)*( IF($K$7="call",B188*NORMDIST(I188,0,1,1) - $B$7*NORMDIST(J188,0,1,1),$B$7*NORMDIST(-J188,0,1,1) - B188*NORMDIST(-I188,0,1,1) ) - $G$7) * $P$7</f>
        <v>0</v>
      </c>
      <c r="I188" s="26" t="n">
        <f aca="false">(LN(B188/$B$7)+($H$7^2/2)*($J$7))/($H$7*SQRT($J$7))</f>
        <v>-3.6609863634655</v>
      </c>
      <c r="J188" s="26" t="n">
        <f aca="false">I188 - $H$7*SQRT($J$7)</f>
        <v>-3.73646409310301</v>
      </c>
    </row>
    <row r="189" customFormat="false" ht="13.5" hidden="false" customHeight="true" outlineLevel="0" collapsed="false">
      <c r="B189" s="29" t="n">
        <f aca="false">B159</f>
        <v>58</v>
      </c>
      <c r="C189" s="25" t="n">
        <f aca="false">IF($O$7="sell",-1,1) *  IF($K$7="call",  NORMDIST(I189,0,1,1),  NORMDIST(I189,0,1,1)-1  ) * $P$7</f>
        <v>-0</v>
      </c>
      <c r="D189" s="25" t="n">
        <f aca="false">IF($O$7="sell",-1,1) * NORMDIST(I189,0,1,0)/(B189*$H$7*SQRT($J$7)) * $P$7</f>
        <v>0</v>
      </c>
      <c r="E189" s="25" t="n">
        <f aca="false">IF($O$7="sell",-1,1) * (B189*NORMDIST(I189,0,1,0)*SQRT($J$7)/365) * $P$7</f>
        <v>0</v>
      </c>
      <c r="F189" s="25" t="n">
        <f aca="false">IF($O$7="sell",-1,1) * (-(B189*NORMDIST(I189,0,1,0)*$H$7)/(2*SQRT($J$7))/365) *$P$7</f>
        <v>-0</v>
      </c>
      <c r="G189" s="25" t="n">
        <f aca="false">IF($O$7="buy",1,-1)*( IF($K$7="call",B189*NORMDIST(I189,0,1,1) - $B$7*NORMDIST(J189,0,1,1),$B$7*NORMDIST(-J189,0,1,1) - B189*NORMDIST(-I189,0,1,1) ) - $G$7) * $P$7</f>
        <v>0</v>
      </c>
      <c r="I189" s="26" t="n">
        <f aca="false">(LN(B189/$B$7)+($H$7^2/2)*($J$7))/($H$7*SQRT($J$7))</f>
        <v>-3.88746950546511</v>
      </c>
      <c r="J189" s="26" t="n">
        <f aca="false">I189 - $H$7*SQRT($J$7)</f>
        <v>-3.96294723510262</v>
      </c>
    </row>
    <row r="190" customFormat="false" ht="13.5" hidden="false" customHeight="true" outlineLevel="0" collapsed="false">
      <c r="B190" s="29" t="n">
        <f aca="false">B160</f>
        <v>57</v>
      </c>
      <c r="C190" s="25" t="n">
        <f aca="false">IF($O$7="sell",-1,1) *  IF($K$7="call",  NORMDIST(I190,0,1,1),  NORMDIST(I190,0,1,1)-1  ) * $P$7</f>
        <v>-0</v>
      </c>
      <c r="D190" s="25" t="n">
        <f aca="false">IF($O$7="sell",-1,1) * NORMDIST(I190,0,1,0)/(B190*$H$7*SQRT($J$7)) * $P$7</f>
        <v>0</v>
      </c>
      <c r="E190" s="25" t="n">
        <f aca="false">IF($O$7="sell",-1,1) * (B190*NORMDIST(I190,0,1,0)*SQRT($J$7)/365) * $P$7</f>
        <v>0</v>
      </c>
      <c r="F190" s="25" t="n">
        <f aca="false">IF($O$7="sell",-1,1) * (-(B190*NORMDIST(I190,0,1,0)*$H$7)/(2*SQRT($J$7))/365) *$P$7</f>
        <v>-0</v>
      </c>
      <c r="G190" s="25" t="n">
        <f aca="false">IF($O$7="buy",1,-1)*( IF($K$7="call",B190*NORMDIST(I190,0,1,1) - $B$7*NORMDIST(J190,0,1,1),$B$7*NORMDIST(-J190,0,1,1) - B190*NORMDIST(-I190,0,1,1) ) - $G$7) * $P$7</f>
        <v>0</v>
      </c>
      <c r="I190" s="26" t="n">
        <f aca="false">(LN(B190/$B$7)+($H$7^2/2)*($J$7))/($H$7*SQRT($J$7))</f>
        <v>-4.11789168158773</v>
      </c>
      <c r="J190" s="26" t="n">
        <f aca="false">I190 - $H$7*SQRT($J$7)</f>
        <v>-4.19336941122524</v>
      </c>
    </row>
    <row r="191" customFormat="false" ht="13.5" hidden="false" customHeight="true" outlineLevel="0" collapsed="false">
      <c r="B191" s="30"/>
      <c r="C191" s="22"/>
      <c r="D191" s="22"/>
      <c r="E191" s="22"/>
      <c r="F191" s="22"/>
      <c r="G191" s="22"/>
      <c r="I191" s="31"/>
      <c r="J191" s="31"/>
    </row>
    <row r="192" customFormat="false" ht="13.5" hidden="false" customHeight="true" outlineLevel="0" collapsed="false">
      <c r="B192" s="30"/>
      <c r="C192" s="22"/>
      <c r="D192" s="22"/>
      <c r="E192" s="22"/>
      <c r="F192" s="22"/>
      <c r="G192" s="22"/>
      <c r="I192" s="31"/>
      <c r="J192" s="31"/>
    </row>
    <row r="193" customFormat="false" ht="13.5" hidden="false" customHeight="true" outlineLevel="0" collapsed="false">
      <c r="B193" s="23"/>
      <c r="C193" s="19" t="s">
        <v>13</v>
      </c>
      <c r="D193" s="19" t="s">
        <v>14</v>
      </c>
      <c r="E193" s="19" t="s">
        <v>15</v>
      </c>
      <c r="F193" s="19" t="s">
        <v>16</v>
      </c>
      <c r="G193" s="19" t="s">
        <v>17</v>
      </c>
      <c r="I193" s="19" t="s">
        <v>158</v>
      </c>
      <c r="J193" s="19" t="s">
        <v>159</v>
      </c>
    </row>
    <row r="194" customFormat="false" ht="13.5" hidden="false" customHeight="true" outlineLevel="0" collapsed="false">
      <c r="A194" s="2" t="str">
        <f aca="false">A8</f>
        <v>SOL-24APR26-75-P-USDT</v>
      </c>
      <c r="B194" s="29" t="n">
        <f aca="false">B164</f>
        <v>83</v>
      </c>
      <c r="C194" s="25" t="n">
        <f aca="false">IF($O$8="sell",-1,1) *  IF($K$8="call",  NORMDIST(I194,0,1,1),  NORMDIST(I194,0,1,1)-1  ) * $P$8</f>
        <v>-0</v>
      </c>
      <c r="D194" s="25" t="n">
        <f aca="false">IF($O$8="sell",-1,1) * NORMDIST(I194,0,1,0)/(B194*$H$8*SQRT($J$8)) * $P$8</f>
        <v>0</v>
      </c>
      <c r="E194" s="25" t="n">
        <f aca="false">IF($O$8="sell",-1,1) * (B194*NORMDIST(I194,0,1,0)*SQRT($J$8)/365) * $P$8</f>
        <v>0</v>
      </c>
      <c r="F194" s="25" t="n">
        <f aca="false">IF($O$8="sell",-1,1) * (-(B194*NORMDIST(I194,0,1,0)*$H$8)/(2*SQRT($J$8))/365) *$P$8</f>
        <v>-0</v>
      </c>
      <c r="G194" s="25" t="n">
        <f aca="false">IF($O$8="buy",1,-1)*( IF($K$8="call",B194*NORMDIST(I194,0,1,1) - $B$8*NORMDIST(J194,0,1,1),$B$8*NORMDIST(-J194,0,1,1) - B194*NORMDIST(-I194,0,1,1) ) - $G$8) * $P$8</f>
        <v>-0</v>
      </c>
      <c r="I194" s="26" t="n">
        <f aca="false">(LN(B194/$B$8)+($H$8^2/2)*($J$8))/($H$8*SQRT($J$8))</f>
        <v>1.25471923897935</v>
      </c>
      <c r="J194" s="26" t="n">
        <f aca="false">I194 - $H$8*SQRT($J$8)</f>
        <v>1.17115984397705</v>
      </c>
    </row>
    <row r="195" customFormat="false" ht="13.5" hidden="false" customHeight="true" outlineLevel="0" collapsed="false">
      <c r="B195" s="29" t="n">
        <f aca="false">B165</f>
        <v>82</v>
      </c>
      <c r="C195" s="25" t="n">
        <f aca="false">IF($O$8="sell",-1,1) *  IF($K$8="call",  NORMDIST(I195,0,1,1),  NORMDIST(I195,0,1,1)-1  ) * $P$8</f>
        <v>-0</v>
      </c>
      <c r="D195" s="25" t="n">
        <f aca="false">IF($O$8="sell",-1,1) * NORMDIST(I195,0,1,0)/(B195*$H$8*SQRT($J$8)) * $P$8</f>
        <v>0</v>
      </c>
      <c r="E195" s="25" t="n">
        <f aca="false">IF($O$8="sell",-1,1) * (B195*NORMDIST(I195,0,1,0)*SQRT($J$8)/365) * $P$8</f>
        <v>0</v>
      </c>
      <c r="F195" s="25" t="n">
        <f aca="false">IF($O$8="sell",-1,1) * (-(B195*NORMDIST(I195,0,1,0)*$H$8)/(2*SQRT($J$8))/365) *$P$8</f>
        <v>-0</v>
      </c>
      <c r="G195" s="25" t="n">
        <f aca="false">IF($O$8="buy",1,-1)*( IF($K$8="call",B195*NORMDIST(I195,0,1,1) - $B$8*NORMDIST(J195,0,1,1),$B$8*NORMDIST(-J195,0,1,1) - B195*NORMDIST(-I195,0,1,1) ) - $G$8) * $P$8</f>
        <v>-0</v>
      </c>
      <c r="I195" s="26" t="n">
        <f aca="false">(LN(B195/$B$8)+($H$8^2/2)*($J$8))/($H$8*SQRT($J$8))</f>
        <v>1.10965643027889</v>
      </c>
      <c r="J195" s="26" t="n">
        <f aca="false">I195 - $H$8*SQRT($J$8)</f>
        <v>1.02609703527659</v>
      </c>
    </row>
    <row r="196" customFormat="false" ht="13.5" hidden="false" customHeight="true" outlineLevel="0" collapsed="false">
      <c r="B196" s="29" t="n">
        <f aca="false">B166</f>
        <v>81</v>
      </c>
      <c r="C196" s="25" t="n">
        <f aca="false">IF($O$8="sell",-1,1) *  IF($K$8="call",  NORMDIST(I196,0,1,1),  NORMDIST(I196,0,1,1)-1  ) * $P$8</f>
        <v>-0</v>
      </c>
      <c r="D196" s="25" t="n">
        <f aca="false">IF($O$8="sell",-1,1) * NORMDIST(I196,0,1,0)/(B196*$H$8*SQRT($J$8)) * $P$8</f>
        <v>0</v>
      </c>
      <c r="E196" s="25" t="n">
        <f aca="false">IF($O$8="sell",-1,1) * (B196*NORMDIST(I196,0,1,0)*SQRT($J$8)/365) * $P$8</f>
        <v>0</v>
      </c>
      <c r="F196" s="25" t="n">
        <f aca="false">IF($O$8="sell",-1,1) * (-(B196*NORMDIST(I196,0,1,0)*$H$8)/(2*SQRT($J$8))/365) *$P$8</f>
        <v>-0</v>
      </c>
      <c r="G196" s="25" t="n">
        <f aca="false">IF($O$8="buy",1,-1)*( IF($K$8="call",B196*NORMDIST(I196,0,1,1) - $B$8*NORMDIST(J196,0,1,1),$B$8*NORMDIST(-J196,0,1,1) - B196*NORMDIST(-I196,0,1,1) ) - $G$8) * $P$8</f>
        <v>-0</v>
      </c>
      <c r="I196" s="26" t="n">
        <f aca="false">(LN(B196/$B$8)+($H$8^2/2)*($J$8))/($H$8*SQRT($J$8))</f>
        <v>0.962813665423112</v>
      </c>
      <c r="J196" s="26" t="n">
        <f aca="false">I196 - $H$8*SQRT($J$8)</f>
        <v>0.87925427042081</v>
      </c>
    </row>
    <row r="197" customFormat="false" ht="13.5" hidden="false" customHeight="true" outlineLevel="0" collapsed="false">
      <c r="B197" s="29" t="n">
        <f aca="false">B167</f>
        <v>80</v>
      </c>
      <c r="C197" s="25" t="n">
        <f aca="false">IF($O$8="sell",-1,1) *  IF($K$8="call",  NORMDIST(I197,0,1,1),  NORMDIST(I197,0,1,1)-1  ) * $P$8</f>
        <v>-0</v>
      </c>
      <c r="D197" s="25" t="n">
        <f aca="false">IF($O$8="sell",-1,1) * NORMDIST(I197,0,1,0)/(B197*$H$8*SQRT($J$8)) * $P$8</f>
        <v>0</v>
      </c>
      <c r="E197" s="25" t="n">
        <f aca="false">IF($O$8="sell",-1,1) * (B197*NORMDIST(I197,0,1,0)*SQRT($J$8)/365) * $P$8</f>
        <v>0</v>
      </c>
      <c r="F197" s="25" t="n">
        <f aca="false">IF($O$8="sell",-1,1) * (-(B197*NORMDIST(I197,0,1,0)*$H$8)/(2*SQRT($J$8))/365) *$P$8</f>
        <v>-0</v>
      </c>
      <c r="G197" s="25" t="n">
        <f aca="false">IF($O$8="buy",1,-1)*( IF($K$8="call",B197*NORMDIST(I197,0,1,1) - $B$8*NORMDIST(J197,0,1,1),$B$8*NORMDIST(-J197,0,1,1) - B197*NORMDIST(-I197,0,1,1) ) - $G$8) * $P$8</f>
        <v>-0</v>
      </c>
      <c r="I197" s="26" t="n">
        <f aca="false">(LN(B197/$B$8)+($H$8^2/2)*($J$8))/($H$8*SQRT($J$8))</f>
        <v>0.814146720213479</v>
      </c>
      <c r="J197" s="26" t="n">
        <f aca="false">I197 - $H$8*SQRT($J$8)</f>
        <v>0.730587325211177</v>
      </c>
    </row>
    <row r="198" customFormat="false" ht="13.5" hidden="false" customHeight="true" outlineLevel="0" collapsed="false">
      <c r="B198" s="29" t="n">
        <f aca="false">B168</f>
        <v>79</v>
      </c>
      <c r="C198" s="25" t="n">
        <f aca="false">IF($O$8="sell",-1,1) *  IF($K$8="call",  NORMDIST(I198,0,1,1),  NORMDIST(I198,0,1,1)-1  ) * $P$8</f>
        <v>-0</v>
      </c>
      <c r="D198" s="25" t="n">
        <f aca="false">IF($O$8="sell",-1,1) * NORMDIST(I198,0,1,0)/(B198*$H$8*SQRT($J$8)) * $P$8</f>
        <v>0</v>
      </c>
      <c r="E198" s="25" t="n">
        <f aca="false">IF($O$8="sell",-1,1) * (B198*NORMDIST(I198,0,1,0)*SQRT($J$8)/365) * $P$8</f>
        <v>0</v>
      </c>
      <c r="F198" s="25" t="n">
        <f aca="false">IF($O$8="sell",-1,1) * (-(B198*NORMDIST(I198,0,1,0)*$H$8)/(2*SQRT($J$8))/365) *$P$8</f>
        <v>-0</v>
      </c>
      <c r="G198" s="25" t="n">
        <f aca="false">IF($O$8="buy",1,-1)*( IF($K$8="call",B198*NORMDIST(I198,0,1,1) - $B$8*NORMDIST(J198,0,1,1),$B$8*NORMDIST(-J198,0,1,1) - B198*NORMDIST(-I198,0,1,1) ) - $G$8) * $P$8</f>
        <v>0</v>
      </c>
      <c r="I198" s="26" t="n">
        <f aca="false">(LN(B198/$B$8)+($H$8^2/2)*($J$8))/($H$8*SQRT($J$8))</f>
        <v>0.663609701527385</v>
      </c>
      <c r="J198" s="26" t="n">
        <f aca="false">I198 - $H$8*SQRT($J$8)</f>
        <v>0.580050306525083</v>
      </c>
    </row>
    <row r="199" customFormat="false" ht="13.5" hidden="false" customHeight="true" outlineLevel="0" collapsed="false">
      <c r="B199" s="29" t="n">
        <f aca="false">B169</f>
        <v>78</v>
      </c>
      <c r="C199" s="25" t="n">
        <f aca="false">IF($O$8="sell",-1,1) *  IF($K$8="call",  NORMDIST(I199,0,1,1),  NORMDIST(I199,0,1,1)-1  ) * $P$8</f>
        <v>-0</v>
      </c>
      <c r="D199" s="25" t="n">
        <f aca="false">IF($O$8="sell",-1,1) * NORMDIST(I199,0,1,0)/(B199*$H$8*SQRT($J$8)) * $P$8</f>
        <v>0</v>
      </c>
      <c r="E199" s="25" t="n">
        <f aca="false">IF($O$8="sell",-1,1) * (B199*NORMDIST(I199,0,1,0)*SQRT($J$8)/365) * $P$8</f>
        <v>0</v>
      </c>
      <c r="F199" s="25" t="n">
        <f aca="false">IF($O$8="sell",-1,1) * (-(B199*NORMDIST(I199,0,1,0)*$H$8)/(2*SQRT($J$8))/365) *$P$8</f>
        <v>-0</v>
      </c>
      <c r="G199" s="25" t="n">
        <f aca="false">IF($O$8="buy",1,-1)*( IF($K$8="call",B199*NORMDIST(I199,0,1,1) - $B$8*NORMDIST(J199,0,1,1),$B$8*NORMDIST(-J199,0,1,1) - B199*NORMDIST(-I199,0,1,1) ) - $G$8) * $P$8</f>
        <v>0</v>
      </c>
      <c r="I199" s="26" t="n">
        <f aca="false">(LN(B199/$B$8)+($H$8^2/2)*($J$8))/($H$8*SQRT($J$8))</f>
        <v>0.511154962271809</v>
      </c>
      <c r="J199" s="26" t="n">
        <f aca="false">I199 - $H$8*SQRT($J$8)</f>
        <v>0.427595567269507</v>
      </c>
    </row>
    <row r="200" customFormat="false" ht="13.5" hidden="false" customHeight="true" outlineLevel="0" collapsed="false">
      <c r="B200" s="29" t="n">
        <f aca="false">B170</f>
        <v>77</v>
      </c>
      <c r="C200" s="25" t="n">
        <f aca="false">IF($O$8="sell",-1,1) *  IF($K$8="call",  NORMDIST(I200,0,1,1),  NORMDIST(I200,0,1,1)-1  ) * $P$8</f>
        <v>-0</v>
      </c>
      <c r="D200" s="25" t="n">
        <f aca="false">IF($O$8="sell",-1,1) * NORMDIST(I200,0,1,0)/(B200*$H$8*SQRT($J$8)) * $P$8</f>
        <v>0</v>
      </c>
      <c r="E200" s="25" t="n">
        <f aca="false">IF($O$8="sell",-1,1) * (B200*NORMDIST(I200,0,1,0)*SQRT($J$8)/365) * $P$8</f>
        <v>0</v>
      </c>
      <c r="F200" s="25" t="n">
        <f aca="false">IF($O$8="sell",-1,1) * (-(B200*NORMDIST(I200,0,1,0)*$H$8)/(2*SQRT($J$8))/365) *$P$8</f>
        <v>-0</v>
      </c>
      <c r="G200" s="25" t="n">
        <f aca="false">IF($O$8="buy",1,-1)*( IF($K$8="call",B200*NORMDIST(I200,0,1,1) - $B$8*NORMDIST(J200,0,1,1),$B$8*NORMDIST(-J200,0,1,1) - B200*NORMDIST(-I200,0,1,1) ) - $G$8) * $P$8</f>
        <v>0</v>
      </c>
      <c r="I200" s="26" t="n">
        <f aca="false">(LN(B200/$B$8)+($H$8^2/2)*($J$8))/($H$8*SQRT($J$8))</f>
        <v>0.356733010849679</v>
      </c>
      <c r="J200" s="26" t="n">
        <f aca="false">I200 - $H$8*SQRT($J$8)</f>
        <v>0.273173615847377</v>
      </c>
    </row>
    <row r="201" customFormat="false" ht="13.5" hidden="false" customHeight="true" outlineLevel="0" collapsed="false">
      <c r="B201" s="29" t="n">
        <f aca="false">B171</f>
        <v>76</v>
      </c>
      <c r="C201" s="25" t="n">
        <f aca="false">IF($O$8="sell",-1,1) *  IF($K$8="call",  NORMDIST(I201,0,1,1),  NORMDIST(I201,0,1,1)-1  ) * $P$8</f>
        <v>-0</v>
      </c>
      <c r="D201" s="25" t="n">
        <f aca="false">IF($O$8="sell",-1,1) * NORMDIST(I201,0,1,0)/(B201*$H$8*SQRT($J$8)) * $P$8</f>
        <v>0</v>
      </c>
      <c r="E201" s="25" t="n">
        <f aca="false">IF($O$8="sell",-1,1) * (B201*NORMDIST(I201,0,1,0)*SQRT($J$8)/365) * $P$8</f>
        <v>0</v>
      </c>
      <c r="F201" s="25" t="n">
        <f aca="false">IF($O$8="sell",-1,1) * (-(B201*NORMDIST(I201,0,1,0)*$H$8)/(2*SQRT($J$8))/365) *$P$8</f>
        <v>-0</v>
      </c>
      <c r="G201" s="25" t="n">
        <f aca="false">IF($O$8="buy",1,-1)*( IF($K$8="call",B201*NORMDIST(I201,0,1,1) - $B$8*NORMDIST(J201,0,1,1),$B$8*NORMDIST(-J201,0,1,1) - B201*NORMDIST(-I201,0,1,1) ) - $G$8) * $P$8</f>
        <v>0</v>
      </c>
      <c r="I201" s="26" t="n">
        <f aca="false">(LN(B201/$B$8)+($H$8^2/2)*($J$8))/($H$8*SQRT($J$8))</f>
        <v>0.200292414708544</v>
      </c>
      <c r="J201" s="26" t="n">
        <f aca="false">I201 - $H$8*SQRT($J$8)</f>
        <v>0.116733019706242</v>
      </c>
    </row>
    <row r="202" customFormat="false" ht="13.5" hidden="false" customHeight="true" outlineLevel="0" collapsed="false">
      <c r="B202" s="29" t="n">
        <f aca="false">B172</f>
        <v>75</v>
      </c>
      <c r="C202" s="25" t="n">
        <f aca="false">IF($O$8="sell",-1,1) *  IF($K$8="call",  NORMDIST(I202,0,1,1),  NORMDIST(I202,0,1,1)-1  ) * $P$8</f>
        <v>-0</v>
      </c>
      <c r="D202" s="25" t="n">
        <f aca="false">IF($O$8="sell",-1,1) * NORMDIST(I202,0,1,0)/(B202*$H$8*SQRT($J$8)) * $P$8</f>
        <v>0</v>
      </c>
      <c r="E202" s="25" t="n">
        <f aca="false">IF($O$8="sell",-1,1) * (B202*NORMDIST(I202,0,1,0)*SQRT($J$8)/365) * $P$8</f>
        <v>0</v>
      </c>
      <c r="F202" s="25" t="n">
        <f aca="false">IF($O$8="sell",-1,1) * (-(B202*NORMDIST(I202,0,1,0)*$H$8)/(2*SQRT($J$8))/365) *$P$8</f>
        <v>-0</v>
      </c>
      <c r="G202" s="25" t="n">
        <f aca="false">IF($O$8="buy",1,-1)*( IF($K$8="call",B202*NORMDIST(I202,0,1,1) - $B$8*NORMDIST(J202,0,1,1),$B$8*NORMDIST(-J202,0,1,1) - B202*NORMDIST(-I202,0,1,1) ) - $G$8) * $P$8</f>
        <v>0</v>
      </c>
      <c r="I202" s="26" t="n">
        <f aca="false">(LN(B202/$B$8)+($H$8^2/2)*($J$8))/($H$8*SQRT($J$8))</f>
        <v>0.0417796975011509</v>
      </c>
      <c r="J202" s="26" t="n">
        <f aca="false">I202 - $H$8*SQRT($J$8)</f>
        <v>-0.0417796975011509</v>
      </c>
    </row>
    <row r="203" customFormat="false" ht="13.5" hidden="false" customHeight="true" outlineLevel="0" collapsed="false">
      <c r="B203" s="29" t="n">
        <f aca="false">B173</f>
        <v>74</v>
      </c>
      <c r="C203" s="25" t="n">
        <f aca="false">IF($O$8="sell",-1,1) *  IF($K$8="call",  NORMDIST(I203,0,1,1),  NORMDIST(I203,0,1,1)-1  ) * $P$8</f>
        <v>-0</v>
      </c>
      <c r="D203" s="25" t="n">
        <f aca="false">IF($O$8="sell",-1,1) * NORMDIST(I203,0,1,0)/(B203*$H$8*SQRT($J$8)) * $P$8</f>
        <v>0</v>
      </c>
      <c r="E203" s="25" t="n">
        <f aca="false">IF($O$8="sell",-1,1) * (B203*NORMDIST(I203,0,1,0)*SQRT($J$8)/365) * $P$8</f>
        <v>0</v>
      </c>
      <c r="F203" s="25" t="n">
        <f aca="false">IF($O$8="sell",-1,1) * (-(B203*NORMDIST(I203,0,1,0)*$H$8)/(2*SQRT($J$8))/365) *$P$8</f>
        <v>-0</v>
      </c>
      <c r="G203" s="25" t="n">
        <f aca="false">IF($O$8="buy",1,-1)*( IF($K$8="call",B203*NORMDIST(I203,0,1,1) - $B$8*NORMDIST(J203,0,1,1),$B$8*NORMDIST(-J203,0,1,1) - B203*NORMDIST(-I203,0,1,1) ) - $G$8) * $P$8</f>
        <v>0</v>
      </c>
      <c r="I203" s="26" t="n">
        <f aca="false">(LN(B203/$B$8)+($H$8^2/2)*($J$8))/($H$8*SQRT($J$8))</f>
        <v>-0.11886077065651</v>
      </c>
      <c r="J203" s="26" t="n">
        <f aca="false">I203 - $H$8*SQRT($J$8)</f>
        <v>-0.202420165658812</v>
      </c>
    </row>
    <row r="204" customFormat="false" ht="13.5" hidden="false" customHeight="true" outlineLevel="0" collapsed="false">
      <c r="B204" s="29" t="n">
        <f aca="false">B174</f>
        <v>73</v>
      </c>
      <c r="C204" s="25" t="n">
        <f aca="false">IF($O$8="sell",-1,1) *  IF($K$8="call",  NORMDIST(I204,0,1,1),  NORMDIST(I204,0,1,1)-1  ) * $P$8</f>
        <v>-0</v>
      </c>
      <c r="D204" s="25" t="n">
        <f aca="false">IF($O$8="sell",-1,1) * NORMDIST(I204,0,1,0)/(B204*$H$8*SQRT($J$8)) * $P$8</f>
        <v>0</v>
      </c>
      <c r="E204" s="25" t="n">
        <f aca="false">IF($O$8="sell",-1,1) * (B204*NORMDIST(I204,0,1,0)*SQRT($J$8)/365) * $P$8</f>
        <v>0</v>
      </c>
      <c r="F204" s="25" t="n">
        <f aca="false">IF($O$8="sell",-1,1) * (-(B204*NORMDIST(I204,0,1,0)*$H$8)/(2*SQRT($J$8))/365) *$P$8</f>
        <v>-0</v>
      </c>
      <c r="G204" s="25" t="n">
        <f aca="false">IF($O$8="buy",1,-1)*( IF($K$8="call",B204*NORMDIST(I204,0,1,1) - $B$8*NORMDIST(J204,0,1,1),$B$8*NORMDIST(-J204,0,1,1) - B204*NORMDIST(-I204,0,1,1) ) - $G$8) * $P$8</f>
        <v>0</v>
      </c>
      <c r="I204" s="26" t="n">
        <f aca="false">(LN(B204/$B$8)+($H$8^2/2)*($J$8))/($H$8*SQRT($J$8))</f>
        <v>-0.281686890393301</v>
      </c>
      <c r="J204" s="26" t="n">
        <f aca="false">I204 - $H$8*SQRT($J$8)</f>
        <v>-0.365246285395603</v>
      </c>
    </row>
    <row r="205" customFormat="false" ht="13.5" hidden="false" customHeight="true" outlineLevel="0" collapsed="false">
      <c r="B205" s="29" t="n">
        <f aca="false">B175</f>
        <v>72</v>
      </c>
      <c r="C205" s="25" t="n">
        <f aca="false">IF($O$8="sell",-1,1) *  IF($K$8="call",  NORMDIST(I205,0,1,1),  NORMDIST(I205,0,1,1)-1  ) * $P$8</f>
        <v>-0</v>
      </c>
      <c r="D205" s="25" t="n">
        <f aca="false">IF($O$8="sell",-1,1) * NORMDIST(I205,0,1,0)/(B205*$H$8*SQRT($J$8)) * $P$8</f>
        <v>0</v>
      </c>
      <c r="E205" s="25" t="n">
        <f aca="false">IF($O$8="sell",-1,1) * (B205*NORMDIST(I205,0,1,0)*SQRT($J$8)/365) * $P$8</f>
        <v>0</v>
      </c>
      <c r="F205" s="25" t="n">
        <f aca="false">IF($O$8="sell",-1,1) * (-(B205*NORMDIST(I205,0,1,0)*$H$8)/(2*SQRT($J$8))/365) *$P$8</f>
        <v>-0</v>
      </c>
      <c r="G205" s="25" t="n">
        <f aca="false">IF($O$8="buy",1,-1)*( IF($K$8="call",B205*NORMDIST(I205,0,1,1) - $B$8*NORMDIST(J205,0,1,1),$B$8*NORMDIST(-J205,0,1,1) - B205*NORMDIST(-I205,0,1,1) ) - $G$8) * $P$8</f>
        <v>0</v>
      </c>
      <c r="I205" s="26" t="n">
        <f aca="false">(LN(B205/$B$8)+($H$8^2/2)*($J$8))/($H$8*SQRT($J$8))</f>
        <v>-0.446758958375076</v>
      </c>
      <c r="J205" s="26" t="n">
        <f aca="false">I205 - $H$8*SQRT($J$8)</f>
        <v>-0.530318353377378</v>
      </c>
    </row>
    <row r="206" customFormat="false" ht="13.5" hidden="false" customHeight="true" outlineLevel="0" collapsed="false">
      <c r="B206" s="29" t="n">
        <f aca="false">B176</f>
        <v>71</v>
      </c>
      <c r="C206" s="25" t="n">
        <f aca="false">IF($O$8="sell",-1,1) *  IF($K$8="call",  NORMDIST(I206,0,1,1),  NORMDIST(I206,0,1,1)-1  ) * $P$8</f>
        <v>-0</v>
      </c>
      <c r="D206" s="25" t="n">
        <f aca="false">IF($O$8="sell",-1,1) * NORMDIST(I206,0,1,0)/(B206*$H$8*SQRT($J$8)) * $P$8</f>
        <v>0</v>
      </c>
      <c r="E206" s="25" t="n">
        <f aca="false">IF($O$8="sell",-1,1) * (B206*NORMDIST(I206,0,1,0)*SQRT($J$8)/365) * $P$8</f>
        <v>0</v>
      </c>
      <c r="F206" s="25" t="n">
        <f aca="false">IF($O$8="sell",-1,1) * (-(B206*NORMDIST(I206,0,1,0)*$H$8)/(2*SQRT($J$8))/365) *$P$8</f>
        <v>-0</v>
      </c>
      <c r="G206" s="25" t="n">
        <f aca="false">IF($O$8="buy",1,-1)*( IF($K$8="call",B206*NORMDIST(I206,0,1,1) - $B$8*NORMDIST(J206,0,1,1),$B$8*NORMDIST(-J206,0,1,1) - B206*NORMDIST(-I206,0,1,1) ) - $G$8) * $P$8</f>
        <v>0</v>
      </c>
      <c r="I206" s="26" t="n">
        <f aca="false">(LN(B206/$B$8)+($H$8^2/2)*($J$8))/($H$8*SQRT($J$8))</f>
        <v>-0.614139801359334</v>
      </c>
      <c r="J206" s="26" t="n">
        <f aca="false">I206 - $H$8*SQRT($J$8)</f>
        <v>-0.697699196361636</v>
      </c>
    </row>
    <row r="207" customFormat="false" ht="13.5" hidden="false" customHeight="true" outlineLevel="0" collapsed="false">
      <c r="B207" s="29" t="n">
        <f aca="false">B177</f>
        <v>70</v>
      </c>
      <c r="C207" s="25" t="n">
        <f aca="false">IF($O$8="sell",-1,1) *  IF($K$8="call",  NORMDIST(I207,0,1,1),  NORMDIST(I207,0,1,1)-1  ) * $P$8</f>
        <v>-0</v>
      </c>
      <c r="D207" s="25" t="n">
        <f aca="false">IF($O$8="sell",-1,1) * NORMDIST(I207,0,1,0)/(B207*$H$8*SQRT($J$8)) * $P$8</f>
        <v>0</v>
      </c>
      <c r="E207" s="25" t="n">
        <f aca="false">IF($O$8="sell",-1,1) * (B207*NORMDIST(I207,0,1,0)*SQRT($J$8)/365) * $P$8</f>
        <v>0</v>
      </c>
      <c r="F207" s="25" t="n">
        <f aca="false">IF($O$8="sell",-1,1) * (-(B207*NORMDIST(I207,0,1,0)*$H$8)/(2*SQRT($J$8))/365) *$P$8</f>
        <v>-0</v>
      </c>
      <c r="G207" s="25" t="n">
        <f aca="false">IF($O$8="buy",1,-1)*( IF($K$8="call",B207*NORMDIST(I207,0,1,1) - $B$8*NORMDIST(J207,0,1,1),$B$8*NORMDIST(-J207,0,1,1) - B207*NORMDIST(-I207,0,1,1) ) - $G$8) * $P$8</f>
        <v>0</v>
      </c>
      <c r="I207" s="26" t="n">
        <f aca="false">(LN(B207/$B$8)+($H$8^2/2)*($J$8))/($H$8*SQRT($J$8))</f>
        <v>-0.783894919758237</v>
      </c>
      <c r="J207" s="26" t="n">
        <f aca="false">I207 - $H$8*SQRT($J$8)</f>
        <v>-0.867454314760538</v>
      </c>
    </row>
    <row r="208" customFormat="false" ht="13.5" hidden="false" customHeight="true" outlineLevel="0" collapsed="false">
      <c r="B208" s="29" t="n">
        <f aca="false">B178</f>
        <v>69</v>
      </c>
      <c r="C208" s="25" t="n">
        <f aca="false">IF($O$8="sell",-1,1) *  IF($K$8="call",  NORMDIST(I208,0,1,1),  NORMDIST(I208,0,1,1)-1  ) * $P$8</f>
        <v>-0</v>
      </c>
      <c r="D208" s="25" t="n">
        <f aca="false">IF($O$8="sell",-1,1) * NORMDIST(I208,0,1,0)/(B208*$H$8*SQRT($J$8)) * $P$8</f>
        <v>0</v>
      </c>
      <c r="E208" s="25" t="n">
        <f aca="false">IF($O$8="sell",-1,1) * (B208*NORMDIST(I208,0,1,0)*SQRT($J$8)/365) * $P$8</f>
        <v>0</v>
      </c>
      <c r="F208" s="25" t="n">
        <f aca="false">IF($O$8="sell",-1,1) * (-(B208*NORMDIST(I208,0,1,0)*$H$8)/(2*SQRT($J$8))/365) *$P$8</f>
        <v>-0</v>
      </c>
      <c r="G208" s="25" t="n">
        <f aca="false">IF($O$8="buy",1,-1)*( IF($K$8="call",B208*NORMDIST(I208,0,1,1) - $B$8*NORMDIST(J208,0,1,1),$B$8*NORMDIST(-J208,0,1,1) - B208*NORMDIST(-I208,0,1,1) ) - $G$8) * $P$8</f>
        <v>0</v>
      </c>
      <c r="I208" s="26" t="n">
        <f aca="false">(LN(B208/$B$8)+($H$8^2/2)*($J$8))/($H$8*SQRT($J$8))</f>
        <v>-0.956092641530914</v>
      </c>
      <c r="J208" s="26" t="n">
        <f aca="false">I208 - $H$8*SQRT($J$8)</f>
        <v>-1.03965203653322</v>
      </c>
    </row>
    <row r="209" customFormat="false" ht="13.5" hidden="false" customHeight="true" outlineLevel="0" collapsed="false">
      <c r="B209" s="29" t="n">
        <f aca="false">B179</f>
        <v>68</v>
      </c>
      <c r="C209" s="25" t="n">
        <f aca="false">IF($O$8="sell",-1,1) *  IF($K$8="call",  NORMDIST(I209,0,1,1),  NORMDIST(I209,0,1,1)-1  ) * $P$8</f>
        <v>-0</v>
      </c>
      <c r="D209" s="25" t="n">
        <f aca="false">IF($O$8="sell",-1,1) * NORMDIST(I209,0,1,0)/(B209*$H$8*SQRT($J$8)) * $P$8</f>
        <v>0</v>
      </c>
      <c r="E209" s="25" t="n">
        <f aca="false">IF($O$8="sell",-1,1) * (B209*NORMDIST(I209,0,1,0)*SQRT($J$8)/365) * $P$8</f>
        <v>0</v>
      </c>
      <c r="F209" s="25" t="n">
        <f aca="false">IF($O$8="sell",-1,1) * (-(B209*NORMDIST(I209,0,1,0)*$H$8)/(2*SQRT($J$8))/365) *$P$8</f>
        <v>-0</v>
      </c>
      <c r="G209" s="25" t="n">
        <f aca="false">IF($O$8="buy",1,-1)*( IF($K$8="call",B209*NORMDIST(I209,0,1,1) - $B$8*NORMDIST(J209,0,1,1),$B$8*NORMDIST(-J209,0,1,1) - B209*NORMDIST(-I209,0,1,1) ) - $G$8) * $P$8</f>
        <v>0</v>
      </c>
      <c r="I209" s="26" t="n">
        <f aca="false">(LN(B209/$B$8)+($H$8^2/2)*($J$8))/($H$8*SQRT($J$8))</f>
        <v>-1.13080428730995</v>
      </c>
      <c r="J209" s="26" t="n">
        <f aca="false">I209 - $H$8*SQRT($J$8)</f>
        <v>-1.21436368231225</v>
      </c>
    </row>
    <row r="210" customFormat="false" ht="13.5" hidden="false" customHeight="true" outlineLevel="0" collapsed="false">
      <c r="B210" s="29" t="n">
        <f aca="false">B180</f>
        <v>67</v>
      </c>
      <c r="C210" s="25" t="n">
        <f aca="false">IF($O$8="sell",-1,1) *  IF($K$8="call",  NORMDIST(I210,0,1,1),  NORMDIST(I210,0,1,1)-1  ) * $P$8</f>
        <v>-0</v>
      </c>
      <c r="D210" s="25" t="n">
        <f aca="false">IF($O$8="sell",-1,1) * NORMDIST(I210,0,1,0)/(B210*$H$8*SQRT($J$8)) * $P$8</f>
        <v>0</v>
      </c>
      <c r="E210" s="25" t="n">
        <f aca="false">IF($O$8="sell",-1,1) * (B210*NORMDIST(I210,0,1,0)*SQRT($J$8)/365) * $P$8</f>
        <v>0</v>
      </c>
      <c r="F210" s="25" t="n">
        <f aca="false">IF($O$8="sell",-1,1) * (-(B210*NORMDIST(I210,0,1,0)*$H$8)/(2*SQRT($J$8))/365) *$P$8</f>
        <v>-0</v>
      </c>
      <c r="G210" s="25" t="n">
        <f aca="false">IF($O$8="buy",1,-1)*( IF($K$8="call",B210*NORMDIST(I210,0,1,1) - $B$8*NORMDIST(J210,0,1,1),$B$8*NORMDIST(-J210,0,1,1) - B210*NORMDIST(-I210,0,1,1) ) - $G$8) * $P$8</f>
        <v>0</v>
      </c>
      <c r="I210" s="26" t="n">
        <f aca="false">(LN(B210/$B$8)+($H$8^2/2)*($J$8))/($H$8*SQRT($J$8))</f>
        <v>-1.30810434776075</v>
      </c>
      <c r="J210" s="26" t="n">
        <f aca="false">I210 - $H$8*SQRT($J$8)</f>
        <v>-1.39166374276306</v>
      </c>
    </row>
    <row r="211" customFormat="false" ht="13.5" hidden="false" customHeight="true" outlineLevel="0" collapsed="false">
      <c r="B211" s="29" t="n">
        <f aca="false">B181</f>
        <v>66</v>
      </c>
      <c r="C211" s="25" t="n">
        <f aca="false">IF($O$8="sell",-1,1) *  IF($K$8="call",  NORMDIST(I211,0,1,1),  NORMDIST(I211,0,1,1)-1  ) * $P$8</f>
        <v>-0</v>
      </c>
      <c r="D211" s="25" t="n">
        <f aca="false">IF($O$8="sell",-1,1) * NORMDIST(I211,0,1,0)/(B211*$H$8*SQRT($J$8)) * $P$8</f>
        <v>0</v>
      </c>
      <c r="E211" s="25" t="n">
        <f aca="false">IF($O$8="sell",-1,1) * (B211*NORMDIST(I211,0,1,0)*SQRT($J$8)/365) * $P$8</f>
        <v>0</v>
      </c>
      <c r="F211" s="25" t="n">
        <f aca="false">IF($O$8="sell",-1,1) * (-(B211*NORMDIST(I211,0,1,0)*$H$8)/(2*SQRT($J$8))/365) *$P$8</f>
        <v>-0</v>
      </c>
      <c r="G211" s="25" t="n">
        <f aca="false">IF($O$8="buy",1,-1)*( IF($K$8="call",B211*NORMDIST(I211,0,1,1) - $B$8*NORMDIST(J211,0,1,1),$B$8*NORMDIST(-J211,0,1,1) - B211*NORMDIST(-I211,0,1,1) ) - $G$8) * $P$8</f>
        <v>0</v>
      </c>
      <c r="I211" s="26" t="n">
        <f aca="false">(LN(B211/$B$8)+($H$8^2/2)*($J$8))/($H$8*SQRT($J$8))</f>
        <v>-1.48807067427767</v>
      </c>
      <c r="J211" s="26" t="n">
        <f aca="false">I211 - $H$8*SQRT($J$8)</f>
        <v>-1.57163006927998</v>
      </c>
    </row>
    <row r="212" customFormat="false" ht="13.5" hidden="false" customHeight="true" outlineLevel="0" collapsed="false">
      <c r="B212" s="29" t="n">
        <f aca="false">B182</f>
        <v>65</v>
      </c>
      <c r="C212" s="25" t="n">
        <f aca="false">IF($O$8="sell",-1,1) *  IF($K$8="call",  NORMDIST(I212,0,1,1),  NORMDIST(I212,0,1,1)-1  ) * $P$8</f>
        <v>-0</v>
      </c>
      <c r="D212" s="25" t="n">
        <f aca="false">IF($O$8="sell",-1,1) * NORMDIST(I212,0,1,0)/(B212*$H$8*SQRT($J$8)) * $P$8</f>
        <v>0</v>
      </c>
      <c r="E212" s="25" t="n">
        <f aca="false">IF($O$8="sell",-1,1) * (B212*NORMDIST(I212,0,1,0)*SQRT($J$8)/365) * $P$8</f>
        <v>0</v>
      </c>
      <c r="F212" s="25" t="n">
        <f aca="false">IF($O$8="sell",-1,1) * (-(B212*NORMDIST(I212,0,1,0)*$H$8)/(2*SQRT($J$8))/365) *$P$8</f>
        <v>-0</v>
      </c>
      <c r="G212" s="25" t="n">
        <f aca="false">IF($O$8="buy",1,-1)*( IF($K$8="call",B212*NORMDIST(I212,0,1,1) - $B$8*NORMDIST(J212,0,1,1),$B$8*NORMDIST(-J212,0,1,1) - B212*NORMDIST(-I212,0,1,1) ) - $G$8) * $P$8</f>
        <v>0</v>
      </c>
      <c r="I212" s="26" t="n">
        <f aca="false">(LN(B212/$B$8)+($H$8^2/2)*($J$8))/($H$8*SQRT($J$8))</f>
        <v>-1.67078468423871</v>
      </c>
      <c r="J212" s="26" t="n">
        <f aca="false">I212 - $H$8*SQRT($J$8)</f>
        <v>-1.75434407924101</v>
      </c>
    </row>
    <row r="213" customFormat="false" ht="13.5" hidden="false" customHeight="true" outlineLevel="0" collapsed="false">
      <c r="B213" s="29" t="n">
        <f aca="false">B183</f>
        <v>64</v>
      </c>
      <c r="C213" s="25" t="n">
        <f aca="false">IF($O$8="sell",-1,1) *  IF($K$8="call",  NORMDIST(I213,0,1,1),  NORMDIST(I213,0,1,1)-1  ) * $P$8</f>
        <v>-0</v>
      </c>
      <c r="D213" s="25" t="n">
        <f aca="false">IF($O$8="sell",-1,1) * NORMDIST(I213,0,1,0)/(B213*$H$8*SQRT($J$8)) * $P$8</f>
        <v>0</v>
      </c>
      <c r="E213" s="25" t="n">
        <f aca="false">IF($O$8="sell",-1,1) * (B213*NORMDIST(I213,0,1,0)*SQRT($J$8)/365) * $P$8</f>
        <v>0</v>
      </c>
      <c r="F213" s="25" t="n">
        <f aca="false">IF($O$8="sell",-1,1) * (-(B213*NORMDIST(I213,0,1,0)*$H$8)/(2*SQRT($J$8))/365) *$P$8</f>
        <v>-0</v>
      </c>
      <c r="G213" s="25" t="n">
        <f aca="false">IF($O$8="buy",1,-1)*( IF($K$8="call",B213*NORMDIST(I213,0,1,1) - $B$8*NORMDIST(J213,0,1,1),$B$8*NORMDIST(-J213,0,1,1) - B213*NORMDIST(-I213,0,1,1) ) - $G$8) * $P$8</f>
        <v>0</v>
      </c>
      <c r="I213" s="26" t="n">
        <f aca="false">(LN(B213/$B$8)+($H$8^2/2)*($J$8))/($H$8*SQRT($J$8))</f>
        <v>-1.85633158217326</v>
      </c>
      <c r="J213" s="26" t="n">
        <f aca="false">I213 - $H$8*SQRT($J$8)</f>
        <v>-1.93989097717556</v>
      </c>
    </row>
    <row r="214" customFormat="false" ht="13.5" hidden="false" customHeight="true" outlineLevel="0" collapsed="false">
      <c r="B214" s="29" t="n">
        <f aca="false">B184</f>
        <v>63</v>
      </c>
      <c r="C214" s="25" t="n">
        <f aca="false">IF($O$8="sell",-1,1) *  IF($K$8="call",  NORMDIST(I214,0,1,1),  NORMDIST(I214,0,1,1)-1  ) * $P$8</f>
        <v>-0</v>
      </c>
      <c r="D214" s="25" t="n">
        <f aca="false">IF($O$8="sell",-1,1) * NORMDIST(I214,0,1,0)/(B214*$H$8*SQRT($J$8)) * $P$8</f>
        <v>0</v>
      </c>
      <c r="E214" s="25" t="n">
        <f aca="false">IF($O$8="sell",-1,1) * (B214*NORMDIST(I214,0,1,0)*SQRT($J$8)/365) * $P$8</f>
        <v>0</v>
      </c>
      <c r="F214" s="25" t="n">
        <f aca="false">IF($O$8="sell",-1,1) * (-(B214*NORMDIST(I214,0,1,0)*$H$8)/(2*SQRT($J$8))/365) *$P$8</f>
        <v>-0</v>
      </c>
      <c r="G214" s="25" t="n">
        <f aca="false">IF($O$8="buy",1,-1)*( IF($K$8="call",B214*NORMDIST(I214,0,1,1) - $B$8*NORMDIST(J214,0,1,1),$B$8*NORMDIST(-J214,0,1,1) - B214*NORMDIST(-I214,0,1,1) ) - $G$8) * $P$8</f>
        <v>0</v>
      </c>
      <c r="I214" s="26" t="n">
        <f aca="false">(LN(B214/$B$8)+($H$8^2/2)*($J$8))/($H$8*SQRT($J$8))</f>
        <v>-2.04480059834679</v>
      </c>
      <c r="J214" s="26" t="n">
        <f aca="false">I214 - $H$8*SQRT($J$8)</f>
        <v>-2.12835999334909</v>
      </c>
    </row>
    <row r="215" customFormat="false" ht="13.5" hidden="false" customHeight="true" outlineLevel="0" collapsed="false">
      <c r="B215" s="29" t="n">
        <f aca="false">B185</f>
        <v>62</v>
      </c>
      <c r="C215" s="25" t="n">
        <f aca="false">IF($O$8="sell",-1,1) *  IF($K$8="call",  NORMDIST(I215,0,1,1),  NORMDIST(I215,0,1,1)-1  ) * $P$8</f>
        <v>-0</v>
      </c>
      <c r="D215" s="25" t="n">
        <f aca="false">IF($O$8="sell",-1,1) * NORMDIST(I215,0,1,0)/(B215*$H$8*SQRT($J$8)) * $P$8</f>
        <v>0</v>
      </c>
      <c r="E215" s="25" t="n">
        <f aca="false">IF($O$8="sell",-1,1) * (B215*NORMDIST(I215,0,1,0)*SQRT($J$8)/365) * $P$8</f>
        <v>0</v>
      </c>
      <c r="F215" s="25" t="n">
        <f aca="false">IF($O$8="sell",-1,1) * (-(B215*NORMDIST(I215,0,1,0)*$H$8)/(2*SQRT($J$8))/365) *$P$8</f>
        <v>-0</v>
      </c>
      <c r="G215" s="25" t="n">
        <f aca="false">IF($O$8="buy",1,-1)*( IF($K$8="call",B215*NORMDIST(I215,0,1,1) - $B$8*NORMDIST(J215,0,1,1),$B$8*NORMDIST(-J215,0,1,1) - B215*NORMDIST(-I215,0,1,1) ) - $G$8) * $P$8</f>
        <v>0</v>
      </c>
      <c r="I215" s="26" t="n">
        <f aca="false">(LN(B215/$B$8)+($H$8^2/2)*($J$8))/($H$8*SQRT($J$8))</f>
        <v>-2.23628524643454</v>
      </c>
      <c r="J215" s="26" t="n">
        <f aca="false">I215 - $H$8*SQRT($J$8)</f>
        <v>-2.31984464143684</v>
      </c>
    </row>
    <row r="216" customFormat="false" ht="13.5" hidden="false" customHeight="true" outlineLevel="0" collapsed="false">
      <c r="B216" s="29" t="n">
        <f aca="false">B186</f>
        <v>61</v>
      </c>
      <c r="C216" s="25" t="n">
        <f aca="false">IF($O$8="sell",-1,1) *  IF($K$8="call",  NORMDIST(I216,0,1,1),  NORMDIST(I216,0,1,1)-1  ) * $P$8</f>
        <v>-0</v>
      </c>
      <c r="D216" s="25" t="n">
        <f aca="false">IF($O$8="sell",-1,1) * NORMDIST(I216,0,1,0)/(B216*$H$8*SQRT($J$8)) * $P$8</f>
        <v>0</v>
      </c>
      <c r="E216" s="25" t="n">
        <f aca="false">IF($O$8="sell",-1,1) * (B216*NORMDIST(I216,0,1,0)*SQRT($J$8)/365) * $P$8</f>
        <v>0</v>
      </c>
      <c r="F216" s="25" t="n">
        <f aca="false">IF($O$8="sell",-1,1) * (-(B216*NORMDIST(I216,0,1,0)*$H$8)/(2*SQRT($J$8))/365) *$P$8</f>
        <v>-0</v>
      </c>
      <c r="G216" s="25" t="n">
        <f aca="false">IF($O$8="buy",1,-1)*( IF($K$8="call",B216*NORMDIST(I216,0,1,1) - $B$8*NORMDIST(J216,0,1,1),$B$8*NORMDIST(-J216,0,1,1) - B216*NORMDIST(-I216,0,1,1) ) - $G$8) * $P$8</f>
        <v>0</v>
      </c>
      <c r="I216" s="26" t="n">
        <f aca="false">(LN(B216/$B$8)+($H$8^2/2)*($J$8))/($H$8*SQRT($J$8))</f>
        <v>-2.43088360214706</v>
      </c>
      <c r="J216" s="26" t="n">
        <f aca="false">I216 - $H$8*SQRT($J$8)</f>
        <v>-2.51444299714936</v>
      </c>
    </row>
    <row r="217" customFormat="false" ht="13.5" hidden="false" customHeight="true" outlineLevel="0" collapsed="false">
      <c r="B217" s="29" t="n">
        <f aca="false">B187</f>
        <v>60</v>
      </c>
      <c r="C217" s="25" t="n">
        <f aca="false">IF($O$8="sell",-1,1) *  IF($K$8="call",  NORMDIST(I217,0,1,1),  NORMDIST(I217,0,1,1)-1  ) * $P$8</f>
        <v>-0</v>
      </c>
      <c r="D217" s="25" t="n">
        <f aca="false">IF($O$8="sell",-1,1) * NORMDIST(I217,0,1,0)/(B217*$H$8*SQRT($J$8)) * $P$8</f>
        <v>0</v>
      </c>
      <c r="E217" s="25" t="n">
        <f aca="false">IF($O$8="sell",-1,1) * (B217*NORMDIST(I217,0,1,0)*SQRT($J$8)/365) * $P$8</f>
        <v>0</v>
      </c>
      <c r="F217" s="25" t="n">
        <f aca="false">IF($O$8="sell",-1,1) * (-(B217*NORMDIST(I217,0,1,0)*$H$8)/(2*SQRT($J$8))/365) *$P$8</f>
        <v>-0</v>
      </c>
      <c r="G217" s="25" t="n">
        <f aca="false">IF($O$8="buy",1,-1)*( IF($K$8="call",B217*NORMDIST(I217,0,1,1) - $B$8*NORMDIST(J217,0,1,1),$B$8*NORMDIST(-J217,0,1,1) - B217*NORMDIST(-I217,0,1,1) ) - $G$8) * $P$8</f>
        <v>0</v>
      </c>
      <c r="I217" s="26" t="n">
        <f aca="false">(LN(B217/$B$8)+($H$8^2/2)*($J$8))/($H$8*SQRT($J$8))</f>
        <v>-2.62869860488559</v>
      </c>
      <c r="J217" s="26" t="n">
        <f aca="false">I217 - $H$8*SQRT($J$8)</f>
        <v>-2.71225799988789</v>
      </c>
    </row>
    <row r="218" customFormat="false" ht="13.5" hidden="false" customHeight="true" outlineLevel="0" collapsed="false">
      <c r="B218" s="29" t="n">
        <f aca="false">B188</f>
        <v>59</v>
      </c>
      <c r="C218" s="25" t="n">
        <f aca="false">IF($O$8="sell",-1,1) *  IF($K$8="call",  NORMDIST(I218,0,1,1),  NORMDIST(I218,0,1,1)-1  ) * $P$8</f>
        <v>-0</v>
      </c>
      <c r="D218" s="25" t="n">
        <f aca="false">IF($O$8="sell",-1,1) * NORMDIST(I218,0,1,0)/(B218*$H$8*SQRT($J$8)) * $P$8</f>
        <v>0</v>
      </c>
      <c r="E218" s="25" t="n">
        <f aca="false">IF($O$8="sell",-1,1) * (B218*NORMDIST(I218,0,1,0)*SQRT($J$8)/365) * $P$8</f>
        <v>0</v>
      </c>
      <c r="F218" s="25" t="n">
        <f aca="false">IF($O$8="sell",-1,1) * (-(B218*NORMDIST(I218,0,1,0)*$H$8)/(2*SQRT($J$8))/365) *$P$8</f>
        <v>-0</v>
      </c>
      <c r="G218" s="25" t="n">
        <f aca="false">IF($O$8="buy",1,-1)*( IF($K$8="call",B218*NORMDIST(I218,0,1,1) - $B$8*NORMDIST(J218,0,1,1),$B$8*NORMDIST(-J218,0,1,1) - B218*NORMDIST(-I218,0,1,1) ) - $G$8) * $P$8</f>
        <v>0</v>
      </c>
      <c r="I218" s="26" t="n">
        <f aca="false">(LN(B218/$B$8)+($H$8^2/2)*($J$8))/($H$8*SQRT($J$8))</f>
        <v>-2.82983838475018</v>
      </c>
      <c r="J218" s="26" t="n">
        <f aca="false">I218 - $H$8*SQRT($J$8)</f>
        <v>-2.91339777975248</v>
      </c>
    </row>
    <row r="219" customFormat="false" ht="13.5" hidden="false" customHeight="true" outlineLevel="0" collapsed="false">
      <c r="B219" s="29" t="n">
        <f aca="false">B189</f>
        <v>58</v>
      </c>
      <c r="C219" s="25" t="n">
        <f aca="false">IF($O$8="sell",-1,1) *  IF($K$8="call",  NORMDIST(I219,0,1,1),  NORMDIST(I219,0,1,1)-1  ) * $P$8</f>
        <v>-0</v>
      </c>
      <c r="D219" s="25" t="n">
        <f aca="false">IF($O$8="sell",-1,1) * NORMDIST(I219,0,1,0)/(B219*$H$8*SQRT($J$8)) * $P$8</f>
        <v>0</v>
      </c>
      <c r="E219" s="25" t="n">
        <f aca="false">IF($O$8="sell",-1,1) * (B219*NORMDIST(I219,0,1,0)*SQRT($J$8)/365) * $P$8</f>
        <v>0</v>
      </c>
      <c r="F219" s="25" t="n">
        <f aca="false">IF($O$8="sell",-1,1) * (-(B219*NORMDIST(I219,0,1,0)*$H$8)/(2*SQRT($J$8))/365) *$P$8</f>
        <v>-0</v>
      </c>
      <c r="G219" s="25" t="n">
        <f aca="false">IF($O$8="buy",1,-1)*( IF($K$8="call",B219*NORMDIST(I219,0,1,1) - $B$8*NORMDIST(J219,0,1,1),$B$8*NORMDIST(-J219,0,1,1) - B219*NORMDIST(-I219,0,1,1) ) - $G$8) * $P$8</f>
        <v>0</v>
      </c>
      <c r="I219" s="26" t="n">
        <f aca="false">(LN(B219/$B$8)+($H$8^2/2)*($J$8))/($H$8*SQRT($J$8))</f>
        <v>-3.03441661750102</v>
      </c>
      <c r="J219" s="26" t="n">
        <f aca="false">I219 - $H$8*SQRT($J$8)</f>
        <v>-3.11797601250332</v>
      </c>
    </row>
    <row r="220" customFormat="false" ht="13.5" hidden="false" customHeight="true" outlineLevel="0" collapsed="false">
      <c r="B220" s="29" t="n">
        <f aca="false">B190</f>
        <v>57</v>
      </c>
      <c r="C220" s="25" t="n">
        <f aca="false">IF($O$8="sell",-1,1) *  IF($K$8="call",  NORMDIST(I220,0,1,1),  NORMDIST(I220,0,1,1)-1  ) * $P$8</f>
        <v>-0</v>
      </c>
      <c r="D220" s="25" t="n">
        <f aca="false">IF($O$8="sell",-1,1) * NORMDIST(I220,0,1,0)/(B220*$H$8*SQRT($J$8)) * $P$8</f>
        <v>0</v>
      </c>
      <c r="E220" s="25" t="n">
        <f aca="false">IF($O$8="sell",-1,1) * (B220*NORMDIST(I220,0,1,0)*SQRT($J$8)/365) * $P$8</f>
        <v>0</v>
      </c>
      <c r="F220" s="25" t="n">
        <f aca="false">IF($O$8="sell",-1,1) * (-(B220*NORMDIST(I220,0,1,0)*$H$8)/(2*SQRT($J$8))/365) *$P$8</f>
        <v>-0</v>
      </c>
      <c r="G220" s="25" t="n">
        <f aca="false">IF($O$8="buy",1,-1)*( IF($K$8="call",B220*NORMDIST(I220,0,1,1) - $B$8*NORMDIST(J220,0,1,1),$B$8*NORMDIST(-J220,0,1,1) - B220*NORMDIST(-I220,0,1,1) ) - $G$8) * $P$8</f>
        <v>0</v>
      </c>
      <c r="I220" s="26" t="n">
        <f aca="false">(LN(B220/$B$8)+($H$8^2/2)*($J$8))/($H$8*SQRT($J$8))</f>
        <v>-3.24255291039053</v>
      </c>
      <c r="J220" s="26" t="n">
        <f aca="false">I220 - $H$8*SQRT($J$8)</f>
        <v>-3.32611230539283</v>
      </c>
    </row>
    <row r="221" customFormat="false" ht="13.5" hidden="false" customHeight="true" outlineLevel="0" collapsed="false">
      <c r="B221" s="30"/>
      <c r="C221" s="22"/>
      <c r="D221" s="22"/>
      <c r="E221" s="22"/>
      <c r="F221" s="22"/>
      <c r="G221" s="22"/>
      <c r="I221" s="31"/>
      <c r="J221" s="31"/>
    </row>
    <row r="222" customFormat="false" ht="13.5" hidden="false" customHeight="true" outlineLevel="0" collapsed="false">
      <c r="B222" s="30"/>
      <c r="C222" s="22"/>
      <c r="D222" s="22"/>
      <c r="E222" s="22"/>
      <c r="F222" s="22"/>
      <c r="G222" s="22"/>
      <c r="I222" s="31"/>
      <c r="J222" s="31"/>
    </row>
    <row r="223" customFormat="false" ht="13.5" hidden="false" customHeight="true" outlineLevel="0" collapsed="false">
      <c r="B223" s="23"/>
      <c r="C223" s="19" t="s">
        <v>13</v>
      </c>
      <c r="D223" s="19" t="s">
        <v>14</v>
      </c>
      <c r="E223" s="19" t="s">
        <v>15</v>
      </c>
      <c r="F223" s="19" t="s">
        <v>16</v>
      </c>
      <c r="G223" s="19" t="s">
        <v>17</v>
      </c>
      <c r="I223" s="19" t="s">
        <v>158</v>
      </c>
      <c r="J223" s="19" t="s">
        <v>159</v>
      </c>
    </row>
    <row r="224" customFormat="false" ht="13.5" hidden="false" customHeight="true" outlineLevel="0" collapsed="false">
      <c r="A224" s="2" t="str">
        <f aca="false">A9</f>
        <v>SOL-24APR26-78-P-USDT</v>
      </c>
      <c r="B224" s="29" t="n">
        <f aca="false">B194</f>
        <v>83</v>
      </c>
      <c r="C224" s="25" t="n">
        <f aca="false">IF($O$9="sell",-1,1) *  IF($K$9="call",  NORMDIST(I224,0,1,1),  NORMDIST(I224,0,1,1)-1  ) * $P$9</f>
        <v>-0</v>
      </c>
      <c r="D224" s="25" t="n">
        <f aca="false">IF($O$9="sell",-1,1) * NORMDIST(I224,0,1,0)/(B224*$H$9*SQRT($J$9)) * $P$9</f>
        <v>0</v>
      </c>
      <c r="E224" s="25" t="n">
        <f aca="false">IF($O$9="sell",-1,1) * (B224*NORMDIST(I224,0,1,0)*SQRT($J$9)/365) * $P$9</f>
        <v>0</v>
      </c>
      <c r="F224" s="25" t="n">
        <f aca="false">IF($O$9="sell",-1,1) * (-(B224*NORMDIST(I224,0,1,0)*$H$9)/(2*SQRT($J$9))/365) *$P$9</f>
        <v>-0</v>
      </c>
      <c r="G224" s="25" t="n">
        <f aca="false">IF($O$9="buy",1,-1)*( IF($K$9="call",B224*NORMDIST(I224,0,1,1) - $B$9*NORMDIST(J224,0,1,1),$B$9*NORMDIST(-J224,0,1,1) - B224*NORMDIST(-I224,0,1,1) ) - $G$9) * $P$9</f>
        <v>-0</v>
      </c>
      <c r="I224" s="26" t="n">
        <f aca="false">(LN(B224/$B$9)+($H$9^2/2)*($J$9))/($H$9*SQRT($J$9))</f>
        <v>0.860919177811763</v>
      </c>
      <c r="J224" s="26" t="n">
        <f aca="false">I224 - $H$9*SQRT($J$9)</f>
        <v>0.785441448174254</v>
      </c>
    </row>
    <row r="225" customFormat="false" ht="13.5" hidden="false" customHeight="true" outlineLevel="0" collapsed="false">
      <c r="B225" s="29" t="n">
        <f aca="false">B195</f>
        <v>82</v>
      </c>
      <c r="C225" s="25" t="n">
        <f aca="false">IF($O$9="sell",-1,1) *  IF($K$9="call",  NORMDIST(I225,0,1,1),  NORMDIST(I225,0,1,1)-1  ) * $P$9</f>
        <v>-0</v>
      </c>
      <c r="D225" s="25" t="n">
        <f aca="false">IF($O$9="sell",-1,1) * NORMDIST(I225,0,1,0)/(B225*$H$9*SQRT($J$9)) * $P$9</f>
        <v>0</v>
      </c>
      <c r="E225" s="25" t="n">
        <f aca="false">IF($O$9="sell",-1,1) * (B225*NORMDIST(I225,0,1,0)*SQRT($J$9)/365) * $P$9</f>
        <v>0</v>
      </c>
      <c r="F225" s="25" t="n">
        <f aca="false">IF($O$9="sell",-1,1) * (-(B225*NORMDIST(I225,0,1,0)*$H$9)/(2*SQRT($J$9))/365) *$P$9</f>
        <v>-0</v>
      </c>
      <c r="G225" s="25" t="n">
        <f aca="false">IF($O$9="buy",1,-1)*( IF($K$9="call",B225*NORMDIST(I225,0,1,1) - $B$9*NORMDIST(J225,0,1,1),$B$9*NORMDIST(-J225,0,1,1) - B225*NORMDIST(-I225,0,1,1) ) - $G$9) * $P$9</f>
        <v>-0</v>
      </c>
      <c r="I225" s="26" t="n">
        <f aca="false">(LN(B225/$B$9)+($H$9^2/2)*($J$9))/($H$9*SQRT($J$9))</f>
        <v>0.70032398515614</v>
      </c>
      <c r="J225" s="26" t="n">
        <f aca="false">I225 - $H$9*SQRT($J$9)</f>
        <v>0.624846255518631</v>
      </c>
    </row>
    <row r="226" customFormat="false" ht="13.5" hidden="false" customHeight="true" outlineLevel="0" collapsed="false">
      <c r="B226" s="29" t="n">
        <f aca="false">B196</f>
        <v>81</v>
      </c>
      <c r="C226" s="25" t="n">
        <f aca="false">IF($O$9="sell",-1,1) *  IF($K$9="call",  NORMDIST(I226,0,1,1),  NORMDIST(I226,0,1,1)-1  ) * $P$9</f>
        <v>-0</v>
      </c>
      <c r="D226" s="25" t="n">
        <f aca="false">IF($O$9="sell",-1,1) * NORMDIST(I226,0,1,0)/(B226*$H$9*SQRT($J$9)) * $P$9</f>
        <v>0</v>
      </c>
      <c r="E226" s="25" t="n">
        <f aca="false">IF($O$9="sell",-1,1) * (B226*NORMDIST(I226,0,1,0)*SQRT($J$9)/365) * $P$9</f>
        <v>0</v>
      </c>
      <c r="F226" s="25" t="n">
        <f aca="false">IF($O$9="sell",-1,1) * (-(B226*NORMDIST(I226,0,1,0)*$H$9)/(2*SQRT($J$9))/365) *$P$9</f>
        <v>-0</v>
      </c>
      <c r="G226" s="25" t="n">
        <f aca="false">IF($O$9="buy",1,-1)*( IF($K$9="call",B226*NORMDIST(I226,0,1,1) - $B$9*NORMDIST(J226,0,1,1),$B$9*NORMDIST(-J226,0,1,1) - B226*NORMDIST(-I226,0,1,1) ) - $G$9) * $P$9</f>
        <v>-0</v>
      </c>
      <c r="I226" s="26" t="n">
        <f aca="false">(LN(B226/$B$9)+($H$9^2/2)*($J$9))/($H$9*SQRT($J$9))</f>
        <v>0.537758250193748</v>
      </c>
      <c r="J226" s="26" t="n">
        <f aca="false">I226 - $H$9*SQRT($J$9)</f>
        <v>0.462280520556239</v>
      </c>
    </row>
    <row r="227" customFormat="false" ht="13.5" hidden="false" customHeight="true" outlineLevel="0" collapsed="false">
      <c r="B227" s="29" t="n">
        <f aca="false">B197</f>
        <v>80</v>
      </c>
      <c r="C227" s="25" t="n">
        <f aca="false">IF($O$9="sell",-1,1) *  IF($K$9="call",  NORMDIST(I227,0,1,1),  NORMDIST(I227,0,1,1)-1  ) * $P$9</f>
        <v>-0</v>
      </c>
      <c r="D227" s="25" t="n">
        <f aca="false">IF($O$9="sell",-1,1) * NORMDIST(I227,0,1,0)/(B227*$H$9*SQRT($J$9)) * $P$9</f>
        <v>0</v>
      </c>
      <c r="E227" s="25" t="n">
        <f aca="false">IF($O$9="sell",-1,1) * (B227*NORMDIST(I227,0,1,0)*SQRT($J$9)/365) * $P$9</f>
        <v>0</v>
      </c>
      <c r="F227" s="25" t="n">
        <f aca="false">IF($O$9="sell",-1,1) * (-(B227*NORMDIST(I227,0,1,0)*$H$9)/(2*SQRT($J$9))/365) *$P$9</f>
        <v>-0</v>
      </c>
      <c r="G227" s="25" t="n">
        <f aca="false">IF($O$9="buy",1,-1)*( IF($K$9="call",B227*NORMDIST(I227,0,1,1) - $B$9*NORMDIST(J227,0,1,1),$B$9*NORMDIST(-J227,0,1,1) - B227*NORMDIST(-I227,0,1,1) ) - $G$9) * $P$9</f>
        <v>0</v>
      </c>
      <c r="I227" s="26" t="n">
        <f aca="false">(LN(B227/$B$9)+($H$9^2/2)*($J$9))/($H$9*SQRT($J$9))</f>
        <v>0.37317301348594</v>
      </c>
      <c r="J227" s="26" t="n">
        <f aca="false">I227 - $H$9*SQRT($J$9)</f>
        <v>0.297695283848431</v>
      </c>
    </row>
    <row r="228" customFormat="false" ht="13.5" hidden="false" customHeight="true" outlineLevel="0" collapsed="false">
      <c r="B228" s="29" t="n">
        <f aca="false">B198</f>
        <v>79</v>
      </c>
      <c r="C228" s="25" t="n">
        <f aca="false">IF($O$9="sell",-1,1) *  IF($K$9="call",  NORMDIST(I228,0,1,1),  NORMDIST(I228,0,1,1)-1  ) * $P$9</f>
        <v>-0</v>
      </c>
      <c r="D228" s="25" t="n">
        <f aca="false">IF($O$9="sell",-1,1) * NORMDIST(I228,0,1,0)/(B228*$H$9*SQRT($J$9)) * $P$9</f>
        <v>0</v>
      </c>
      <c r="E228" s="25" t="n">
        <f aca="false">IF($O$9="sell",-1,1) * (B228*NORMDIST(I228,0,1,0)*SQRT($J$9)/365) * $P$9</f>
        <v>0</v>
      </c>
      <c r="F228" s="25" t="n">
        <f aca="false">IF($O$9="sell",-1,1) * (-(B228*NORMDIST(I228,0,1,0)*$H$9)/(2*SQRT($J$9))/365) *$P$9</f>
        <v>-0</v>
      </c>
      <c r="G228" s="25" t="n">
        <f aca="false">IF($O$9="buy",1,-1)*( IF($K$9="call",B228*NORMDIST(I228,0,1,1) - $B$9*NORMDIST(J228,0,1,1),$B$9*NORMDIST(-J228,0,1,1) - B228*NORMDIST(-I228,0,1,1) ) - $G$9) * $P$9</f>
        <v>0</v>
      </c>
      <c r="I228" s="26" t="n">
        <f aca="false">(LN(B228/$B$9)+($H$9^2/2)*($J$9))/($H$9*SQRT($J$9))</f>
        <v>0.206517467972433</v>
      </c>
      <c r="J228" s="26" t="n">
        <f aca="false">I228 - $H$9*SQRT($J$9)</f>
        <v>0.131039738334924</v>
      </c>
    </row>
    <row r="229" customFormat="false" ht="13.5" hidden="false" customHeight="true" outlineLevel="0" collapsed="false">
      <c r="B229" s="29" t="n">
        <f aca="false">B199</f>
        <v>78</v>
      </c>
      <c r="C229" s="25" t="n">
        <f aca="false">IF($O$9="sell",-1,1) *  IF($K$9="call",  NORMDIST(I229,0,1,1),  NORMDIST(I229,0,1,1)-1  ) * $P$9</f>
        <v>-0</v>
      </c>
      <c r="D229" s="25" t="n">
        <f aca="false">IF($O$9="sell",-1,1) * NORMDIST(I229,0,1,0)/(B229*$H$9*SQRT($J$9)) * $P$9</f>
        <v>0</v>
      </c>
      <c r="E229" s="25" t="n">
        <f aca="false">IF($O$9="sell",-1,1) * (B229*NORMDIST(I229,0,1,0)*SQRT($J$9)/365) * $P$9</f>
        <v>0</v>
      </c>
      <c r="F229" s="25" t="n">
        <f aca="false">IF($O$9="sell",-1,1) * (-(B229*NORMDIST(I229,0,1,0)*$H$9)/(2*SQRT($J$9))/365) *$P$9</f>
        <v>-0</v>
      </c>
      <c r="G229" s="25" t="n">
        <f aca="false">IF($O$9="buy",1,-1)*( IF($K$9="call",B229*NORMDIST(I229,0,1,1) - $B$9*NORMDIST(J229,0,1,1),$B$9*NORMDIST(-J229,0,1,1) - B229*NORMDIST(-I229,0,1,1) ) - $G$9) * $P$9</f>
        <v>0</v>
      </c>
      <c r="I229" s="26" t="n">
        <f aca="false">(LN(B229/$B$9)+($H$9^2/2)*($J$9))/($H$9*SQRT($J$9))</f>
        <v>0.0377388648187544</v>
      </c>
      <c r="J229" s="26" t="n">
        <f aca="false">I229 - $H$9*SQRT($J$9)</f>
        <v>-0.0377388648187544</v>
      </c>
    </row>
    <row r="230" customFormat="false" ht="13.5" hidden="false" customHeight="true" outlineLevel="0" collapsed="false">
      <c r="B230" s="29" t="n">
        <f aca="false">B200</f>
        <v>77</v>
      </c>
      <c r="C230" s="25" t="n">
        <f aca="false">IF($O$9="sell",-1,1) *  IF($K$9="call",  NORMDIST(I230,0,1,1),  NORMDIST(I230,0,1,1)-1  ) * $P$9</f>
        <v>-0</v>
      </c>
      <c r="D230" s="25" t="n">
        <f aca="false">IF($O$9="sell",-1,1) * NORMDIST(I230,0,1,0)/(B230*$H$9*SQRT($J$9)) * $P$9</f>
        <v>0</v>
      </c>
      <c r="E230" s="25" t="n">
        <f aca="false">IF($O$9="sell",-1,1) * (B230*NORMDIST(I230,0,1,0)*SQRT($J$9)/365) * $P$9</f>
        <v>0</v>
      </c>
      <c r="F230" s="25" t="n">
        <f aca="false">IF($O$9="sell",-1,1) * (-(B230*NORMDIST(I230,0,1,0)*$H$9)/(2*SQRT($J$9))/365) *$P$9</f>
        <v>-0</v>
      </c>
      <c r="G230" s="25" t="n">
        <f aca="false">IF($O$9="buy",1,-1)*( IF($K$9="call",B230*NORMDIST(I230,0,1,1) - $B$9*NORMDIST(J230,0,1,1),$B$9*NORMDIST(-J230,0,1,1) - B230*NORMDIST(-I230,0,1,1) ) - $G$9) * $P$9</f>
        <v>0</v>
      </c>
      <c r="I230" s="26" t="n">
        <f aca="false">(LN(B230/$B$9)+($H$9^2/2)*($J$9))/($H$9*SQRT($J$9))</f>
        <v>-0.133217586811124</v>
      </c>
      <c r="J230" s="26" t="n">
        <f aca="false">I230 - $H$9*SQRT($J$9)</f>
        <v>-0.208695316448633</v>
      </c>
    </row>
    <row r="231" customFormat="false" ht="13.5" hidden="false" customHeight="true" outlineLevel="0" collapsed="false">
      <c r="B231" s="29" t="n">
        <f aca="false">B201</f>
        <v>76</v>
      </c>
      <c r="C231" s="25" t="n">
        <f aca="false">IF($O$9="sell",-1,1) *  IF($K$9="call",  NORMDIST(I231,0,1,1),  NORMDIST(I231,0,1,1)-1  ) * $P$9</f>
        <v>-0</v>
      </c>
      <c r="D231" s="25" t="n">
        <f aca="false">IF($O$9="sell",-1,1) * NORMDIST(I231,0,1,0)/(B231*$H$9*SQRT($J$9)) * $P$9</f>
        <v>0</v>
      </c>
      <c r="E231" s="25" t="n">
        <f aca="false">IF($O$9="sell",-1,1) * (B231*NORMDIST(I231,0,1,0)*SQRT($J$9)/365) * $P$9</f>
        <v>0</v>
      </c>
      <c r="F231" s="25" t="n">
        <f aca="false">IF($O$9="sell",-1,1) * (-(B231*NORMDIST(I231,0,1,0)*$H$9)/(2*SQRT($J$9))/365) *$P$9</f>
        <v>-0</v>
      </c>
      <c r="G231" s="25" t="n">
        <f aca="false">IF($O$9="buy",1,-1)*( IF($K$9="call",B231*NORMDIST(I231,0,1,1) - $B$9*NORMDIST(J231,0,1,1),$B$9*NORMDIST(-J231,0,1,1) - B231*NORMDIST(-I231,0,1,1) ) - $G$9) * $P$9</f>
        <v>0</v>
      </c>
      <c r="I231" s="26" t="n">
        <f aca="false">(LN(B231/$B$9)+($H$9^2/2)*($J$9))/($H$9*SQRT($J$9))</f>
        <v>-0.306408826533532</v>
      </c>
      <c r="J231" s="26" t="n">
        <f aca="false">I231 - $H$9*SQRT($J$9)</f>
        <v>-0.38188655617104</v>
      </c>
    </row>
    <row r="232" customFormat="false" ht="13.5" hidden="false" customHeight="true" outlineLevel="0" collapsed="false">
      <c r="B232" s="29" t="n">
        <f aca="false">B202</f>
        <v>75</v>
      </c>
      <c r="C232" s="25" t="n">
        <f aca="false">IF($O$9="sell",-1,1) *  IF($K$9="call",  NORMDIST(I232,0,1,1),  NORMDIST(I232,0,1,1)-1  ) * $P$9</f>
        <v>-0</v>
      </c>
      <c r="D232" s="25" t="n">
        <f aca="false">IF($O$9="sell",-1,1) * NORMDIST(I232,0,1,0)/(B232*$H$9*SQRT($J$9)) * $P$9</f>
        <v>0</v>
      </c>
      <c r="E232" s="25" t="n">
        <f aca="false">IF($O$9="sell",-1,1) * (B232*NORMDIST(I232,0,1,0)*SQRT($J$9)/365) * $P$9</f>
        <v>0</v>
      </c>
      <c r="F232" s="25" t="n">
        <f aca="false">IF($O$9="sell",-1,1) * (-(B232*NORMDIST(I232,0,1,0)*$H$9)/(2*SQRT($J$9))/365) *$P$9</f>
        <v>-0</v>
      </c>
      <c r="G232" s="25" t="n">
        <f aca="false">IF($O$9="buy",1,-1)*( IF($K$9="call",B232*NORMDIST(I232,0,1,1) - $B$9*NORMDIST(J232,0,1,1),$B$9*NORMDIST(-J232,0,1,1) - B232*NORMDIST(-I232,0,1,1) ) - $G$9) * $P$9</f>
        <v>0</v>
      </c>
      <c r="I232" s="26" t="n">
        <f aca="false">(LN(B232/$B$9)+($H$9^2/2)*($J$9))/($H$9*SQRT($J$9))</f>
        <v>-0.481894056595862</v>
      </c>
      <c r="J232" s="26" t="n">
        <f aca="false">I232 - $H$9*SQRT($J$9)</f>
        <v>-0.557371786233371</v>
      </c>
    </row>
    <row r="233" customFormat="false" ht="13.5" hidden="false" customHeight="true" outlineLevel="0" collapsed="false">
      <c r="B233" s="29" t="n">
        <f aca="false">B203</f>
        <v>74</v>
      </c>
      <c r="C233" s="25" t="n">
        <f aca="false">IF($O$9="sell",-1,1) *  IF($K$9="call",  NORMDIST(I233,0,1,1),  NORMDIST(I233,0,1,1)-1  ) * $P$9</f>
        <v>-0</v>
      </c>
      <c r="D233" s="25" t="n">
        <f aca="false">IF($O$9="sell",-1,1) * NORMDIST(I233,0,1,0)/(B233*$H$9*SQRT($J$9)) * $P$9</f>
        <v>0</v>
      </c>
      <c r="E233" s="25" t="n">
        <f aca="false">IF($O$9="sell",-1,1) * (B233*NORMDIST(I233,0,1,0)*SQRT($J$9)/365) * $P$9</f>
        <v>0</v>
      </c>
      <c r="F233" s="25" t="n">
        <f aca="false">IF($O$9="sell",-1,1) * (-(B233*NORMDIST(I233,0,1,0)*$H$9)/(2*SQRT($J$9))/365) *$P$9</f>
        <v>-0</v>
      </c>
      <c r="G233" s="25" t="n">
        <f aca="false">IF($O$9="buy",1,-1)*( IF($K$9="call",B233*NORMDIST(I233,0,1,1) - $B$9*NORMDIST(J233,0,1,1),$B$9*NORMDIST(-J233,0,1,1) - B233*NORMDIST(-I233,0,1,1) ) - $G$9) * $P$9</f>
        <v>0</v>
      </c>
      <c r="I233" s="26" t="n">
        <f aca="false">(LN(B233/$B$9)+($H$9^2/2)*($J$9))/($H$9*SQRT($J$9))</f>
        <v>-0.659734863369018</v>
      </c>
      <c r="J233" s="26" t="n">
        <f aca="false">I233 - $H$9*SQRT($J$9)</f>
        <v>-0.735212593006527</v>
      </c>
    </row>
    <row r="234" customFormat="false" ht="13.5" hidden="false" customHeight="true" outlineLevel="0" collapsed="false">
      <c r="B234" s="29" t="n">
        <f aca="false">B204</f>
        <v>73</v>
      </c>
      <c r="C234" s="25" t="n">
        <f aca="false">IF($O$9="sell",-1,1) *  IF($K$9="call",  NORMDIST(I234,0,1,1),  NORMDIST(I234,0,1,1)-1  ) * $P$9</f>
        <v>-0</v>
      </c>
      <c r="D234" s="25" t="n">
        <f aca="false">IF($O$9="sell",-1,1) * NORMDIST(I234,0,1,0)/(B234*$H$9*SQRT($J$9)) * $P$9</f>
        <v>0</v>
      </c>
      <c r="E234" s="25" t="n">
        <f aca="false">IF($O$9="sell",-1,1) * (B234*NORMDIST(I234,0,1,0)*SQRT($J$9)/365) * $P$9</f>
        <v>0</v>
      </c>
      <c r="F234" s="25" t="n">
        <f aca="false">IF($O$9="sell",-1,1) * (-(B234*NORMDIST(I234,0,1,0)*$H$9)/(2*SQRT($J$9))/365) *$P$9</f>
        <v>-0</v>
      </c>
      <c r="G234" s="25" t="n">
        <f aca="false">IF($O$9="buy",1,-1)*( IF($K$9="call",B234*NORMDIST(I234,0,1,1) - $B$9*NORMDIST(J234,0,1,1),$B$9*NORMDIST(-J234,0,1,1) - B234*NORMDIST(-I234,0,1,1) ) - $G$9) * $P$9</f>
        <v>0</v>
      </c>
      <c r="I234" s="26" t="n">
        <f aca="false">(LN(B234/$B$9)+($H$9^2/2)*($J$9))/($H$9*SQRT($J$9))</f>
        <v>-0.839995347105366</v>
      </c>
      <c r="J234" s="26" t="n">
        <f aca="false">I234 - $H$9*SQRT($J$9)</f>
        <v>-0.915473076742875</v>
      </c>
    </row>
    <row r="235" customFormat="false" ht="13.5" hidden="false" customHeight="true" outlineLevel="0" collapsed="false">
      <c r="B235" s="29" t="n">
        <f aca="false">B205</f>
        <v>72</v>
      </c>
      <c r="C235" s="25" t="n">
        <f aca="false">IF($O$9="sell",-1,1) *  IF($K$9="call",  NORMDIST(I235,0,1,1),  NORMDIST(I235,0,1,1)-1  ) * $P$9</f>
        <v>-0</v>
      </c>
      <c r="D235" s="25" t="n">
        <f aca="false">IF($O$9="sell",-1,1) * NORMDIST(I235,0,1,0)/(B235*$H$9*SQRT($J$9)) * $P$9</f>
        <v>0</v>
      </c>
      <c r="E235" s="25" t="n">
        <f aca="false">IF($O$9="sell",-1,1) * (B235*NORMDIST(I235,0,1,0)*SQRT($J$9)/365) * $P$9</f>
        <v>0</v>
      </c>
      <c r="F235" s="25" t="n">
        <f aca="false">IF($O$9="sell",-1,1) * (-(B235*NORMDIST(I235,0,1,0)*$H$9)/(2*SQRT($J$9))/365) *$P$9</f>
        <v>-0</v>
      </c>
      <c r="G235" s="25" t="n">
        <f aca="false">IF($O$9="buy",1,-1)*( IF($K$9="call",B235*NORMDIST(I235,0,1,1) - $B$9*NORMDIST(J235,0,1,1),$B$9*NORMDIST(-J235,0,1,1) - B235*NORMDIST(-I235,0,1,1) ) - $G$9) * $P$9</f>
        <v>0</v>
      </c>
      <c r="I235" s="26" t="n">
        <f aca="false">(LN(B235/$B$9)+($H$9^2/2)*($J$9))/($H$9*SQRT($J$9))</f>
        <v>-1.02274226064635</v>
      </c>
      <c r="J235" s="26" t="n">
        <f aca="false">I235 - $H$9*SQRT($J$9)</f>
        <v>-1.09821999028386</v>
      </c>
    </row>
    <row r="236" customFormat="false" ht="13.5" hidden="false" customHeight="true" outlineLevel="0" collapsed="false">
      <c r="B236" s="29" t="n">
        <f aca="false">B206</f>
        <v>71</v>
      </c>
      <c r="C236" s="25" t="n">
        <f aca="false">IF($O$9="sell",-1,1) *  IF($K$9="call",  NORMDIST(I236,0,1,1),  NORMDIST(I236,0,1,1)-1  ) * $P$9</f>
        <v>-0</v>
      </c>
      <c r="D236" s="25" t="n">
        <f aca="false">IF($O$9="sell",-1,1) * NORMDIST(I236,0,1,0)/(B236*$H$9*SQRT($J$9)) * $P$9</f>
        <v>0</v>
      </c>
      <c r="E236" s="25" t="n">
        <f aca="false">IF($O$9="sell",-1,1) * (B236*NORMDIST(I236,0,1,0)*SQRT($J$9)/365) * $P$9</f>
        <v>0</v>
      </c>
      <c r="F236" s="25" t="n">
        <f aca="false">IF($O$9="sell",-1,1) * (-(B236*NORMDIST(I236,0,1,0)*$H$9)/(2*SQRT($J$9))/365) *$P$9</f>
        <v>-0</v>
      </c>
      <c r="G236" s="25" t="n">
        <f aca="false">IF($O$9="buy",1,-1)*( IF($K$9="call",B236*NORMDIST(I236,0,1,1) - $B$9*NORMDIST(J236,0,1,1),$B$9*NORMDIST(-J236,0,1,1) - B236*NORMDIST(-I236,0,1,1) ) - $G$9) * $P$9</f>
        <v>0</v>
      </c>
      <c r="I236" s="26" t="n">
        <f aca="false">(LN(B236/$B$9)+($H$9^2/2)*($J$9))/($H$9*SQRT($J$9))</f>
        <v>-1.20804515783087</v>
      </c>
      <c r="J236" s="26" t="n">
        <f aca="false">I236 - $H$9*SQRT($J$9)</f>
        <v>-1.28352288746838</v>
      </c>
    </row>
    <row r="237" customFormat="false" ht="13.5" hidden="false" customHeight="true" outlineLevel="0" collapsed="false">
      <c r="B237" s="29" t="n">
        <f aca="false">B207</f>
        <v>70</v>
      </c>
      <c r="C237" s="25" t="n">
        <f aca="false">IF($O$9="sell",-1,1) *  IF($K$9="call",  NORMDIST(I237,0,1,1),  NORMDIST(I237,0,1,1)-1  ) * $P$9</f>
        <v>-0</v>
      </c>
      <c r="D237" s="25" t="n">
        <f aca="false">IF($O$9="sell",-1,1) * NORMDIST(I237,0,1,0)/(B237*$H$9*SQRT($J$9)) * $P$9</f>
        <v>0</v>
      </c>
      <c r="E237" s="25" t="n">
        <f aca="false">IF($O$9="sell",-1,1) * (B237*NORMDIST(I237,0,1,0)*SQRT($J$9)/365) * $P$9</f>
        <v>0</v>
      </c>
      <c r="F237" s="25" t="n">
        <f aca="false">IF($O$9="sell",-1,1) * (-(B237*NORMDIST(I237,0,1,0)*$H$9)/(2*SQRT($J$9))/365) *$P$9</f>
        <v>-0</v>
      </c>
      <c r="G237" s="25" t="n">
        <f aca="false">IF($O$9="buy",1,-1)*( IF($K$9="call",B237*NORMDIST(I237,0,1,1) - $B$9*NORMDIST(J237,0,1,1),$B$9*NORMDIST(-J237,0,1,1) - B237*NORMDIST(-I237,0,1,1) ) - $G$9) * $P$9</f>
        <v>0</v>
      </c>
      <c r="I237" s="26" t="n">
        <f aca="false">(LN(B237/$B$9)+($H$9^2/2)*($J$9))/($H$9*SQRT($J$9))</f>
        <v>-1.39597655243004</v>
      </c>
      <c r="J237" s="26" t="n">
        <f aca="false">I237 - $H$9*SQRT($J$9)</f>
        <v>-1.47145428206755</v>
      </c>
    </row>
    <row r="238" customFormat="false" ht="13.5" hidden="false" customHeight="true" outlineLevel="0" collapsed="false">
      <c r="B238" s="29" t="n">
        <f aca="false">B208</f>
        <v>69</v>
      </c>
      <c r="C238" s="25" t="n">
        <f aca="false">IF($O$9="sell",-1,1) *  IF($K$9="call",  NORMDIST(I238,0,1,1),  NORMDIST(I238,0,1,1)-1  ) * $P$9</f>
        <v>-0</v>
      </c>
      <c r="D238" s="25" t="n">
        <f aca="false">IF($O$9="sell",-1,1) * NORMDIST(I238,0,1,0)/(B238*$H$9*SQRT($J$9)) * $P$9</f>
        <v>0</v>
      </c>
      <c r="E238" s="25" t="n">
        <f aca="false">IF($O$9="sell",-1,1) * (B238*NORMDIST(I238,0,1,0)*SQRT($J$9)/365) * $P$9</f>
        <v>0</v>
      </c>
      <c r="F238" s="25" t="n">
        <f aca="false">IF($O$9="sell",-1,1) * (-(B238*NORMDIST(I238,0,1,0)*$H$9)/(2*SQRT($J$9))/365) *$P$9</f>
        <v>-0</v>
      </c>
      <c r="G238" s="25" t="n">
        <f aca="false">IF($O$9="buy",1,-1)*( IF($K$9="call",B238*NORMDIST(I238,0,1,1) - $B$9*NORMDIST(J238,0,1,1),$B$9*NORMDIST(-J238,0,1,1) - B238*NORMDIST(-I238,0,1,1) ) - $G$9) * $P$9</f>
        <v>0</v>
      </c>
      <c r="I238" s="26" t="n">
        <f aca="false">(LN(B238/$B$9)+($H$9^2/2)*($J$9))/($H$9*SQRT($J$9))</f>
        <v>-1.58661208851735</v>
      </c>
      <c r="J238" s="26" t="n">
        <f aca="false">I238 - $H$9*SQRT($J$9)</f>
        <v>-1.66208981815486</v>
      </c>
    </row>
    <row r="239" customFormat="false" ht="13.5" hidden="false" customHeight="true" outlineLevel="0" collapsed="false">
      <c r="B239" s="29" t="n">
        <f aca="false">B209</f>
        <v>68</v>
      </c>
      <c r="C239" s="25" t="n">
        <f aca="false">IF($O$9="sell",-1,1) *  IF($K$9="call",  NORMDIST(I239,0,1,1),  NORMDIST(I239,0,1,1)-1  ) * $P$9</f>
        <v>-0</v>
      </c>
      <c r="D239" s="25" t="n">
        <f aca="false">IF($O$9="sell",-1,1) * NORMDIST(I239,0,1,0)/(B239*$H$9*SQRT($J$9)) * $P$9</f>
        <v>0</v>
      </c>
      <c r="E239" s="25" t="n">
        <f aca="false">IF($O$9="sell",-1,1) * (B239*NORMDIST(I239,0,1,0)*SQRT($J$9)/365) * $P$9</f>
        <v>0</v>
      </c>
      <c r="F239" s="25" t="n">
        <f aca="false">IF($O$9="sell",-1,1) * (-(B239*NORMDIST(I239,0,1,0)*$H$9)/(2*SQRT($J$9))/365) *$P$9</f>
        <v>-0</v>
      </c>
      <c r="G239" s="25" t="n">
        <f aca="false">IF($O$9="buy",1,-1)*( IF($K$9="call",B239*NORMDIST(I239,0,1,1) - $B$9*NORMDIST(J239,0,1,1),$B$9*NORMDIST(-J239,0,1,1) - B239*NORMDIST(-I239,0,1,1) ) - $G$9) * $P$9</f>
        <v>0</v>
      </c>
      <c r="I239" s="26" t="n">
        <f aca="false">(LN(B239/$B$9)+($H$9^2/2)*($J$9))/($H$9*SQRT($J$9))</f>
        <v>-1.78003072327578</v>
      </c>
      <c r="J239" s="26" t="n">
        <f aca="false">I239 - $H$9*SQRT($J$9)</f>
        <v>-1.85550845291329</v>
      </c>
    </row>
    <row r="240" customFormat="false" ht="13.5" hidden="false" customHeight="true" outlineLevel="0" collapsed="false">
      <c r="B240" s="29" t="n">
        <f aca="false">B210</f>
        <v>67</v>
      </c>
      <c r="C240" s="25" t="n">
        <f aca="false">IF($O$9="sell",-1,1) *  IF($K$9="call",  NORMDIST(I240,0,1,1),  NORMDIST(I240,0,1,1)-1  ) * $P$9</f>
        <v>-0</v>
      </c>
      <c r="D240" s="25" t="n">
        <f aca="false">IF($O$9="sell",-1,1) * NORMDIST(I240,0,1,0)/(B240*$H$9*SQRT($J$9)) * $P$9</f>
        <v>0</v>
      </c>
      <c r="E240" s="25" t="n">
        <f aca="false">IF($O$9="sell",-1,1) * (B240*NORMDIST(I240,0,1,0)*SQRT($J$9)/365) * $P$9</f>
        <v>0</v>
      </c>
      <c r="F240" s="25" t="n">
        <f aca="false">IF($O$9="sell",-1,1) * (-(B240*NORMDIST(I240,0,1,0)*$H$9)/(2*SQRT($J$9))/365) *$P$9</f>
        <v>-0</v>
      </c>
      <c r="G240" s="25" t="n">
        <f aca="false">IF($O$9="buy",1,-1)*( IF($K$9="call",B240*NORMDIST(I240,0,1,1) - $B$9*NORMDIST(J240,0,1,1),$B$9*NORMDIST(-J240,0,1,1) - B240*NORMDIST(-I240,0,1,1) ) - $G$9) * $P$9</f>
        <v>0</v>
      </c>
      <c r="I240" s="26" t="n">
        <f aca="false">(LN(B240/$B$9)+($H$9^2/2)*($J$9))/($H$9*SQRT($J$9))</f>
        <v>-1.97631492334767</v>
      </c>
      <c r="J240" s="26" t="n">
        <f aca="false">I240 - $H$9*SQRT($J$9)</f>
        <v>-2.05179265298518</v>
      </c>
    </row>
    <row r="241" customFormat="false" ht="13.5" hidden="false" customHeight="true" outlineLevel="0" collapsed="false">
      <c r="B241" s="29" t="n">
        <f aca="false">B211</f>
        <v>66</v>
      </c>
      <c r="C241" s="25" t="n">
        <f aca="false">IF($O$9="sell",-1,1) *  IF($K$9="call",  NORMDIST(I241,0,1,1),  NORMDIST(I241,0,1,1)-1  ) * $P$9</f>
        <v>-0</v>
      </c>
      <c r="D241" s="25" t="n">
        <f aca="false">IF($O$9="sell",-1,1) * NORMDIST(I241,0,1,0)/(B241*$H$9*SQRT($J$9)) * $P$9</f>
        <v>0</v>
      </c>
      <c r="E241" s="25" t="n">
        <f aca="false">IF($O$9="sell",-1,1) * (B241*NORMDIST(I241,0,1,0)*SQRT($J$9)/365) * $P$9</f>
        <v>0</v>
      </c>
      <c r="F241" s="25" t="n">
        <f aca="false">IF($O$9="sell",-1,1) * (-(B241*NORMDIST(I241,0,1,0)*$H$9)/(2*SQRT($J$9))/365) *$P$9</f>
        <v>-0</v>
      </c>
      <c r="G241" s="25" t="n">
        <f aca="false">IF($O$9="buy",1,-1)*( IF($K$9="call",B241*NORMDIST(I241,0,1,1) - $B$9*NORMDIST(J241,0,1,1),$B$9*NORMDIST(-J241,0,1,1) - B241*NORMDIST(-I241,0,1,1) ) - $G$9) * $P$9</f>
        <v>0</v>
      </c>
      <c r="I241" s="26" t="n">
        <f aca="false">(LN(B241/$B$9)+($H$9^2/2)*($J$9))/($H$9*SQRT($J$9))</f>
        <v>-2.17555087594934</v>
      </c>
      <c r="J241" s="26" t="n">
        <f aca="false">I241 - $H$9*SQRT($J$9)</f>
        <v>-2.25102860558685</v>
      </c>
    </row>
    <row r="242" customFormat="false" ht="13.5" hidden="false" customHeight="true" outlineLevel="0" collapsed="false">
      <c r="B242" s="29" t="n">
        <f aca="false">B212</f>
        <v>65</v>
      </c>
      <c r="C242" s="25" t="n">
        <f aca="false">IF($O$9="sell",-1,1) *  IF($K$9="call",  NORMDIST(I242,0,1,1),  NORMDIST(I242,0,1,1)-1  ) * $P$9</f>
        <v>-0</v>
      </c>
      <c r="D242" s="25" t="n">
        <f aca="false">IF($O$9="sell",-1,1) * NORMDIST(I242,0,1,0)/(B242*$H$9*SQRT($J$9)) * $P$9</f>
        <v>0</v>
      </c>
      <c r="E242" s="25" t="n">
        <f aca="false">IF($O$9="sell",-1,1) * (B242*NORMDIST(I242,0,1,0)*SQRT($J$9)/365) * $P$9</f>
        <v>0</v>
      </c>
      <c r="F242" s="25" t="n">
        <f aca="false">IF($O$9="sell",-1,1) * (-(B242*NORMDIST(I242,0,1,0)*$H$9)/(2*SQRT($J$9))/365) *$P$9</f>
        <v>-0</v>
      </c>
      <c r="G242" s="25" t="n">
        <f aca="false">IF($O$9="buy",1,-1)*( IF($K$9="call",B242*NORMDIST(I242,0,1,1) - $B$9*NORMDIST(J242,0,1,1),$B$9*NORMDIST(-J242,0,1,1) - B242*NORMDIST(-I242,0,1,1) ) - $G$9) * $P$9</f>
        <v>0</v>
      </c>
      <c r="I242" s="26" t="n">
        <f aca="false">(LN(B242/$B$9)+($H$9^2/2)*($J$9))/($H$9*SQRT($J$9))</f>
        <v>-2.37782871610315</v>
      </c>
      <c r="J242" s="26" t="n">
        <f aca="false">I242 - $H$9*SQRT($J$9)</f>
        <v>-2.45330644574066</v>
      </c>
    </row>
    <row r="243" customFormat="false" ht="13.5" hidden="false" customHeight="true" outlineLevel="0" collapsed="false">
      <c r="B243" s="29" t="n">
        <f aca="false">B213</f>
        <v>64</v>
      </c>
      <c r="C243" s="25" t="n">
        <f aca="false">IF($O$9="sell",-1,1) *  IF($K$9="call",  NORMDIST(I243,0,1,1),  NORMDIST(I243,0,1,1)-1  ) * $P$9</f>
        <v>-0</v>
      </c>
      <c r="D243" s="25" t="n">
        <f aca="false">IF($O$9="sell",-1,1) * NORMDIST(I243,0,1,0)/(B243*$H$9*SQRT($J$9)) * $P$9</f>
        <v>0</v>
      </c>
      <c r="E243" s="25" t="n">
        <f aca="false">IF($O$9="sell",-1,1) * (B243*NORMDIST(I243,0,1,0)*SQRT($J$9)/365) * $P$9</f>
        <v>0</v>
      </c>
      <c r="F243" s="25" t="n">
        <f aca="false">IF($O$9="sell",-1,1) * (-(B243*NORMDIST(I243,0,1,0)*$H$9)/(2*SQRT($J$9))/365) *$P$9</f>
        <v>-0</v>
      </c>
      <c r="G243" s="25" t="n">
        <f aca="false">IF($O$9="buy",1,-1)*( IF($K$9="call",B243*NORMDIST(I243,0,1,1) - $B$9*NORMDIST(J243,0,1,1),$B$9*NORMDIST(-J243,0,1,1) - B243*NORMDIST(-I243,0,1,1) ) - $G$9) * $P$9</f>
        <v>0</v>
      </c>
      <c r="I243" s="26" t="n">
        <f aca="false">(LN(B243/$B$9)+($H$9^2/2)*($J$9))/($H$9*SQRT($J$9))</f>
        <v>-2.58324277148645</v>
      </c>
      <c r="J243" s="26" t="n">
        <f aca="false">I243 - $H$9*SQRT($J$9)</f>
        <v>-2.65872050112396</v>
      </c>
    </row>
    <row r="244" customFormat="false" ht="13.5" hidden="false" customHeight="true" outlineLevel="0" collapsed="false">
      <c r="B244" s="29" t="n">
        <f aca="false">B214</f>
        <v>63</v>
      </c>
      <c r="C244" s="25" t="n">
        <f aca="false">IF($O$9="sell",-1,1) *  IF($K$9="call",  NORMDIST(I244,0,1,1),  NORMDIST(I244,0,1,1)-1  ) * $P$9</f>
        <v>-0</v>
      </c>
      <c r="D244" s="25" t="n">
        <f aca="false">IF($O$9="sell",-1,1) * NORMDIST(I244,0,1,0)/(B244*$H$9*SQRT($J$9)) * $P$9</f>
        <v>0</v>
      </c>
      <c r="E244" s="25" t="n">
        <f aca="false">IF($O$9="sell",-1,1) * (B244*NORMDIST(I244,0,1,0)*SQRT($J$9)/365) * $P$9</f>
        <v>0</v>
      </c>
      <c r="F244" s="25" t="n">
        <f aca="false">IF($O$9="sell",-1,1) * (-(B244*NORMDIST(I244,0,1,0)*$H$9)/(2*SQRT($J$9))/365) *$P$9</f>
        <v>-0</v>
      </c>
      <c r="G244" s="25" t="n">
        <f aca="false">IF($O$9="buy",1,-1)*( IF($K$9="call",B244*NORMDIST(I244,0,1,1) - $B$9*NORMDIST(J244,0,1,1),$B$9*NORMDIST(-J244,0,1,1) - B244*NORMDIST(-I244,0,1,1) ) - $G$9) * $P$9</f>
        <v>0</v>
      </c>
      <c r="I244" s="26" t="n">
        <f aca="false">(LN(B244/$B$9)+($H$9^2/2)*($J$9))/($H$9*SQRT($J$9))</f>
        <v>-2.79189182656234</v>
      </c>
      <c r="J244" s="26" t="n">
        <f aca="false">I244 - $H$9*SQRT($J$9)</f>
        <v>-2.86736955619984</v>
      </c>
    </row>
    <row r="245" customFormat="false" ht="13.5" hidden="false" customHeight="true" outlineLevel="0" collapsed="false">
      <c r="B245" s="29" t="n">
        <f aca="false">B215</f>
        <v>62</v>
      </c>
      <c r="C245" s="25" t="n">
        <f aca="false">IF($O$9="sell",-1,1) *  IF($K$9="call",  NORMDIST(I245,0,1,1),  NORMDIST(I245,0,1,1)-1  ) * $P$9</f>
        <v>-0</v>
      </c>
      <c r="D245" s="25" t="n">
        <f aca="false">IF($O$9="sell",-1,1) * NORMDIST(I245,0,1,0)/(B245*$H$9*SQRT($J$9)) * $P$9</f>
        <v>0</v>
      </c>
      <c r="E245" s="25" t="n">
        <f aca="false">IF($O$9="sell",-1,1) * (B245*NORMDIST(I245,0,1,0)*SQRT($J$9)/365) * $P$9</f>
        <v>0</v>
      </c>
      <c r="F245" s="25" t="n">
        <f aca="false">IF($O$9="sell",-1,1) * (-(B245*NORMDIST(I245,0,1,0)*$H$9)/(2*SQRT($J$9))/365) *$P$9</f>
        <v>-0</v>
      </c>
      <c r="G245" s="25" t="n">
        <f aca="false">IF($O$9="buy",1,-1)*( IF($K$9="call",B245*NORMDIST(I245,0,1,1) - $B$9*NORMDIST(J245,0,1,1),$B$9*NORMDIST(-J245,0,1,1) - B245*NORMDIST(-I245,0,1,1) ) - $G$9) * $P$9</f>
        <v>0</v>
      </c>
      <c r="I245" s="26" t="n">
        <f aca="false">(LN(B245/$B$9)+($H$9^2/2)*($J$9))/($H$9*SQRT($J$9))</f>
        <v>-3.00387940784339</v>
      </c>
      <c r="J245" s="26" t="n">
        <f aca="false">I245 - $H$9*SQRT($J$9)</f>
        <v>-3.0793571374809</v>
      </c>
    </row>
    <row r="246" customFormat="false" ht="13.5" hidden="false" customHeight="true" outlineLevel="0" collapsed="false">
      <c r="B246" s="29" t="n">
        <f aca="false">B216</f>
        <v>61</v>
      </c>
      <c r="C246" s="25" t="n">
        <f aca="false">IF($O$9="sell",-1,1) *  IF($K$9="call",  NORMDIST(I246,0,1,1),  NORMDIST(I246,0,1,1)-1  ) * $P$9</f>
        <v>-0</v>
      </c>
      <c r="D246" s="25" t="n">
        <f aca="false">IF($O$9="sell",-1,1) * NORMDIST(I246,0,1,0)/(B246*$H$9*SQRT($J$9)) * $P$9</f>
        <v>0</v>
      </c>
      <c r="E246" s="25" t="n">
        <f aca="false">IF($O$9="sell",-1,1) * (B246*NORMDIST(I246,0,1,0)*SQRT($J$9)/365) * $P$9</f>
        <v>0</v>
      </c>
      <c r="F246" s="25" t="n">
        <f aca="false">IF($O$9="sell",-1,1) * (-(B246*NORMDIST(I246,0,1,0)*$H$9)/(2*SQRT($J$9))/365) *$P$9</f>
        <v>-0</v>
      </c>
      <c r="G246" s="25" t="n">
        <f aca="false">IF($O$9="buy",1,-1)*( IF($K$9="call",B246*NORMDIST(I246,0,1,1) - $B$9*NORMDIST(J246,0,1,1),$B$9*NORMDIST(-J246,0,1,1) - B246*NORMDIST(-I246,0,1,1) ) - $G$9) * $P$9</f>
        <v>0</v>
      </c>
      <c r="I246" s="26" t="n">
        <f aca="false">(LN(B246/$B$9)+($H$9^2/2)*($J$9))/($H$9*SQRT($J$9))</f>
        <v>-3.21931409235064</v>
      </c>
      <c r="J246" s="26" t="n">
        <f aca="false">I246 - $H$9*SQRT($J$9)</f>
        <v>-3.29479182198815</v>
      </c>
    </row>
    <row r="247" customFormat="false" ht="13.5" hidden="false" customHeight="true" outlineLevel="0" collapsed="false">
      <c r="B247" s="29" t="n">
        <f aca="false">B217</f>
        <v>60</v>
      </c>
      <c r="C247" s="25" t="n">
        <f aca="false">IF($O$9="sell",-1,1) *  IF($K$9="call",  NORMDIST(I247,0,1,1),  NORMDIST(I247,0,1,1)-1  ) * $P$9</f>
        <v>-0</v>
      </c>
      <c r="D247" s="25" t="n">
        <f aca="false">IF($O$9="sell",-1,1) * NORMDIST(I247,0,1,0)/(B247*$H$9*SQRT($J$9)) * $P$9</f>
        <v>0</v>
      </c>
      <c r="E247" s="25" t="n">
        <f aca="false">IF($O$9="sell",-1,1) * (B247*NORMDIST(I247,0,1,0)*SQRT($J$9)/365) * $P$9</f>
        <v>0</v>
      </c>
      <c r="F247" s="25" t="n">
        <f aca="false">IF($O$9="sell",-1,1) * (-(B247*NORMDIST(I247,0,1,0)*$H$9)/(2*SQRT($J$9))/365) *$P$9</f>
        <v>-0</v>
      </c>
      <c r="G247" s="25" t="n">
        <f aca="false">IF($O$9="buy",1,-1)*( IF($K$9="call",B247*NORMDIST(I247,0,1,1) - $B$9*NORMDIST(J247,0,1,1),$B$9*NORMDIST(-J247,0,1,1) - B247*NORMDIST(-I247,0,1,1) ) - $G$9) * $P$9</f>
        <v>0</v>
      </c>
      <c r="I247" s="26" t="n">
        <f aca="false">(LN(B247/$B$9)+($H$9^2/2)*($J$9))/($H$9*SQRT($J$9))</f>
        <v>-3.43830984156826</v>
      </c>
      <c r="J247" s="26" t="n">
        <f aca="false">I247 - $H$9*SQRT($J$9)</f>
        <v>-3.51378757120576</v>
      </c>
    </row>
    <row r="248" customFormat="false" ht="13.5" hidden="false" customHeight="true" outlineLevel="0" collapsed="false">
      <c r="B248" s="29" t="n">
        <f aca="false">B218</f>
        <v>59</v>
      </c>
      <c r="C248" s="25" t="n">
        <f aca="false">IF($O$9="sell",-1,1) *  IF($K$9="call",  NORMDIST(I248,0,1,1),  NORMDIST(I248,0,1,1)-1  ) * $P$9</f>
        <v>-0</v>
      </c>
      <c r="D248" s="25" t="n">
        <f aca="false">IF($O$9="sell",-1,1) * NORMDIST(I248,0,1,0)/(B248*$H$9*SQRT($J$9)) * $P$9</f>
        <v>0</v>
      </c>
      <c r="E248" s="25" t="n">
        <f aca="false">IF($O$9="sell",-1,1) * (B248*NORMDIST(I248,0,1,0)*SQRT($J$9)/365) * $P$9</f>
        <v>0</v>
      </c>
      <c r="F248" s="25" t="n">
        <f aca="false">IF($O$9="sell",-1,1) * (-(B248*NORMDIST(I248,0,1,0)*$H$9)/(2*SQRT($J$9))/365) *$P$9</f>
        <v>-0</v>
      </c>
      <c r="G248" s="25" t="n">
        <f aca="false">IF($O$9="buy",1,-1)*( IF($K$9="call",B248*NORMDIST(I248,0,1,1) - $B$9*NORMDIST(J248,0,1,1),$B$9*NORMDIST(-J248,0,1,1) - B248*NORMDIST(-I248,0,1,1) ) - $G$9) * $P$9</f>
        <v>0</v>
      </c>
      <c r="I248" s="26" t="n">
        <f aca="false">(LN(B248/$B$9)+($H$9^2/2)*($J$9))/($H$9*SQRT($J$9))</f>
        <v>-3.6609863634655</v>
      </c>
      <c r="J248" s="26" t="n">
        <f aca="false">I248 - $H$9*SQRT($J$9)</f>
        <v>-3.73646409310301</v>
      </c>
    </row>
    <row r="249" customFormat="false" ht="13.5" hidden="false" customHeight="true" outlineLevel="0" collapsed="false">
      <c r="B249" s="29" t="n">
        <f aca="false">B219</f>
        <v>58</v>
      </c>
      <c r="C249" s="25" t="n">
        <f aca="false">IF($O$9="sell",-1,1) *  IF($K$9="call",  NORMDIST(I249,0,1,1),  NORMDIST(I249,0,1,1)-1  ) * $P$9</f>
        <v>-0</v>
      </c>
      <c r="D249" s="25" t="n">
        <f aca="false">IF($O$9="sell",-1,1) * NORMDIST(I249,0,1,0)/(B249*$H$9*SQRT($J$9)) * $P$9</f>
        <v>0</v>
      </c>
      <c r="E249" s="25" t="n">
        <f aca="false">IF($O$9="sell",-1,1) * (B249*NORMDIST(I249,0,1,0)*SQRT($J$9)/365) * $P$9</f>
        <v>0</v>
      </c>
      <c r="F249" s="25" t="n">
        <f aca="false">IF($O$9="sell",-1,1) * (-(B249*NORMDIST(I249,0,1,0)*$H$9)/(2*SQRT($J$9))/365) *$P$9</f>
        <v>-0</v>
      </c>
      <c r="G249" s="25" t="n">
        <f aca="false">IF($O$9="buy",1,-1)*( IF($K$9="call",B249*NORMDIST(I249,0,1,1) - $B$9*NORMDIST(J249,0,1,1),$B$9*NORMDIST(-J249,0,1,1) - B249*NORMDIST(-I249,0,1,1) ) - $G$9) * $P$9</f>
        <v>0</v>
      </c>
      <c r="I249" s="26" t="n">
        <f aca="false">(LN(B249/$B$9)+($H$9^2/2)*($J$9))/($H$9*SQRT($J$9))</f>
        <v>-3.88746950546511</v>
      </c>
      <c r="J249" s="26" t="n">
        <f aca="false">I249 - $H$9*SQRT($J$9)</f>
        <v>-3.96294723510262</v>
      </c>
    </row>
    <row r="250" customFormat="false" ht="13.5" hidden="false" customHeight="true" outlineLevel="0" collapsed="false">
      <c r="B250" s="29" t="n">
        <f aca="false">B220</f>
        <v>57</v>
      </c>
      <c r="C250" s="25" t="n">
        <f aca="false">IF($O$9="sell",-1,1) *  IF($K$9="call",  NORMDIST(I250,0,1,1),  NORMDIST(I250,0,1,1)-1  ) * $P$9</f>
        <v>-0</v>
      </c>
      <c r="D250" s="25" t="n">
        <f aca="false">IF($O$9="sell",-1,1) * NORMDIST(I250,0,1,0)/(B250*$H$9*SQRT($J$9)) * $P$9</f>
        <v>0</v>
      </c>
      <c r="E250" s="25" t="n">
        <f aca="false">IF($O$9="sell",-1,1) * (B250*NORMDIST(I250,0,1,0)*SQRT($J$9)/365) * $P$9</f>
        <v>0</v>
      </c>
      <c r="F250" s="25" t="n">
        <f aca="false">IF($O$9="sell",-1,1) * (-(B250*NORMDIST(I250,0,1,0)*$H$9)/(2*SQRT($J$9))/365) *$P$9</f>
        <v>-0</v>
      </c>
      <c r="G250" s="25" t="n">
        <f aca="false">IF($O$9="buy",1,-1)*( IF($K$9="call",B250*NORMDIST(I250,0,1,1) - $B$9*NORMDIST(J250,0,1,1),$B$9*NORMDIST(-J250,0,1,1) - B250*NORMDIST(-I250,0,1,1) ) - $G$9) * $P$9</f>
        <v>0</v>
      </c>
      <c r="I250" s="26" t="n">
        <f aca="false">(LN(B250/$B$9)+($H$9^2/2)*($J$9))/($H$9*SQRT($J$9))</f>
        <v>-4.11789168158773</v>
      </c>
      <c r="J250" s="26" t="n">
        <f aca="false">I250 - $H$9*SQRT($J$9)</f>
        <v>-4.19336941122524</v>
      </c>
    </row>
    <row r="251" customFormat="false" ht="13.5" hidden="false" customHeight="true" outlineLevel="0" collapsed="false">
      <c r="B251" s="30"/>
      <c r="C251" s="22"/>
      <c r="D251" s="22"/>
      <c r="E251" s="22"/>
      <c r="F251" s="22"/>
      <c r="G251" s="22"/>
      <c r="I251" s="31"/>
      <c r="J251" s="31"/>
    </row>
    <row r="252" customFormat="false" ht="13.5" hidden="false" customHeight="true" outlineLevel="0" collapsed="false">
      <c r="B252" s="30"/>
      <c r="C252" s="22"/>
      <c r="D252" s="22"/>
      <c r="E252" s="22"/>
      <c r="F252" s="22"/>
      <c r="G252" s="22"/>
      <c r="I252" s="31"/>
      <c r="J252" s="31"/>
    </row>
    <row r="253" customFormat="false" ht="13.5" hidden="false" customHeight="true" outlineLevel="0" collapsed="false">
      <c r="B253" s="23"/>
      <c r="C253" s="19" t="s">
        <v>13</v>
      </c>
      <c r="D253" s="19" t="s">
        <v>14</v>
      </c>
      <c r="E253" s="19" t="s">
        <v>15</v>
      </c>
      <c r="F253" s="19" t="s">
        <v>16</v>
      </c>
      <c r="G253" s="19" t="s">
        <v>17</v>
      </c>
      <c r="I253" s="19" t="s">
        <v>158</v>
      </c>
      <c r="J253" s="19" t="s">
        <v>159</v>
      </c>
    </row>
    <row r="254" customFormat="false" ht="13.5" hidden="false" customHeight="true" outlineLevel="0" collapsed="false">
      <c r="A254" s="2" t="str">
        <f aca="false">A10</f>
        <v>SOL-24APR26-75-P-USDT</v>
      </c>
      <c r="B254" s="29" t="n">
        <f aca="false">B224</f>
        <v>83</v>
      </c>
      <c r="C254" s="25" t="n">
        <f aca="false">IF($O$10="sell",-1,1) *  IF($K$10="call",  NORMDIST(I254,0,1,1),  NORMDIST(I254,0,1,1)-1  ) * $P$10</f>
        <v>-0</v>
      </c>
      <c r="D254" s="25" t="n">
        <f aca="false">IF($O$10="sell",-1,1) * NORMDIST(I254,0,1,0)/(B254*$H$10*SQRT($J$10)) * $P$10</f>
        <v>0</v>
      </c>
      <c r="E254" s="25" t="n">
        <f aca="false">IF($O$10="sell",-1,1) * (B254*NORMDIST(I254,0,1,0)*SQRT($J$10)/365) * $P$10</f>
        <v>0</v>
      </c>
      <c r="F254" s="25" t="n">
        <f aca="false">IF($O$10="sell",-1,1) * (-(B254*NORMDIST(I254,0,1,0)*$H$10)/(2*SQRT($J$10))/365) *$P$10</f>
        <v>-0</v>
      </c>
      <c r="G254" s="25" t="n">
        <f aca="false">IF($O$10="buy",1,-1)*( IF($K$10="call",B254*NORMDIST(I254,0,1,1) - $B$10*NORMDIST(J254,0,1,1),$B$10*NORMDIST(-J254,0,1,1) - B254*NORMDIST(-I254,0,1,1) ) - $G$10) * $P$10</f>
        <v>-0</v>
      </c>
      <c r="I254" s="26" t="n">
        <f aca="false">(LN(B254/$B$10)+($H$10^2/2)*($J$10))/($H$10*SQRT($J$10))</f>
        <v>1.25471923897935</v>
      </c>
      <c r="J254" s="26" t="n">
        <f aca="false">I254 - $H$10*SQRT($J$10)</f>
        <v>1.17115984397705</v>
      </c>
    </row>
    <row r="255" customFormat="false" ht="13.5" hidden="false" customHeight="true" outlineLevel="0" collapsed="false">
      <c r="B255" s="29" t="n">
        <f aca="false">B225</f>
        <v>82</v>
      </c>
      <c r="C255" s="25" t="n">
        <f aca="false">IF($O$10="sell",-1,1) *  IF($K$10="call",  NORMDIST(I255,0,1,1),  NORMDIST(I255,0,1,1)-1  ) * $P$10</f>
        <v>-0</v>
      </c>
      <c r="D255" s="25" t="n">
        <f aca="false">IF($O$10="sell",-1,1) * NORMDIST(I255,0,1,0)/(B255*$H$10*SQRT($J$10)) * $P$10</f>
        <v>0</v>
      </c>
      <c r="E255" s="25" t="n">
        <f aca="false">IF($O$10="sell",-1,1) * (B255*NORMDIST(I255,0,1,0)*SQRT($J$10)/365) * $P$10</f>
        <v>0</v>
      </c>
      <c r="F255" s="25" t="n">
        <f aca="false">IF($O$10="sell",-1,1) * (-(B255*NORMDIST(I255,0,1,0)*$H$10)/(2*SQRT($J$10))/365) *$P$10</f>
        <v>-0</v>
      </c>
      <c r="G255" s="25" t="n">
        <f aca="false">IF($O$10="buy",1,-1)*( IF($K$10="call",B255*NORMDIST(I255,0,1,1) - $B$10*NORMDIST(J255,0,1,1),$B$10*NORMDIST(-J255,0,1,1) - B255*NORMDIST(-I255,0,1,1) ) - $G$10) * $P$10</f>
        <v>-0</v>
      </c>
      <c r="I255" s="26" t="n">
        <f aca="false">(LN(B255/$B$10)+($H$10^2/2)*($J$10))/($H$10*SQRT($J$10))</f>
        <v>1.10965643027889</v>
      </c>
      <c r="J255" s="26" t="n">
        <f aca="false">I255 - $H$10*SQRT($J$10)</f>
        <v>1.02609703527659</v>
      </c>
    </row>
    <row r="256" customFormat="false" ht="13.5" hidden="false" customHeight="true" outlineLevel="0" collapsed="false">
      <c r="B256" s="29" t="n">
        <f aca="false">B226</f>
        <v>81</v>
      </c>
      <c r="C256" s="25" t="n">
        <f aca="false">IF($O$10="sell",-1,1) *  IF($K$10="call",  NORMDIST(I256,0,1,1),  NORMDIST(I256,0,1,1)-1  ) * $P$10</f>
        <v>-0</v>
      </c>
      <c r="D256" s="25" t="n">
        <f aca="false">IF($O$10="sell",-1,1) * NORMDIST(I256,0,1,0)/(B256*$H$10*SQRT($J$10)) * $P$10</f>
        <v>0</v>
      </c>
      <c r="E256" s="25" t="n">
        <f aca="false">IF($O$10="sell",-1,1) * (B256*NORMDIST(I256,0,1,0)*SQRT($J$10)/365) * $P$10</f>
        <v>0</v>
      </c>
      <c r="F256" s="25" t="n">
        <f aca="false">IF($O$10="sell",-1,1) * (-(B256*NORMDIST(I256,0,1,0)*$H$10)/(2*SQRT($J$10))/365) *$P$10</f>
        <v>-0</v>
      </c>
      <c r="G256" s="25" t="n">
        <f aca="false">IF($O$10="buy",1,-1)*( IF($K$10="call",B256*NORMDIST(I256,0,1,1) - $B$10*NORMDIST(J256,0,1,1),$B$10*NORMDIST(-J256,0,1,1) - B256*NORMDIST(-I256,0,1,1) ) - $G$10) * $P$10</f>
        <v>-0</v>
      </c>
      <c r="I256" s="26" t="n">
        <f aca="false">(LN(B256/$B$10)+($H$10^2/2)*($J$10))/($H$10*SQRT($J$10))</f>
        <v>0.962813665423112</v>
      </c>
      <c r="J256" s="26" t="n">
        <f aca="false">I256 - $H$10*SQRT($J$10)</f>
        <v>0.87925427042081</v>
      </c>
    </row>
    <row r="257" customFormat="false" ht="13.5" hidden="false" customHeight="true" outlineLevel="0" collapsed="false">
      <c r="B257" s="29" t="n">
        <f aca="false">B227</f>
        <v>80</v>
      </c>
      <c r="C257" s="25" t="n">
        <f aca="false">IF($O$10="sell",-1,1) *  IF($K$10="call",  NORMDIST(I257,0,1,1),  NORMDIST(I257,0,1,1)-1  ) * $P$10</f>
        <v>-0</v>
      </c>
      <c r="D257" s="25" t="n">
        <f aca="false">IF($O$10="sell",-1,1) * NORMDIST(I257,0,1,0)/(B257*$H$10*SQRT($J$10)) * $P$10</f>
        <v>0</v>
      </c>
      <c r="E257" s="25" t="n">
        <f aca="false">IF($O$10="sell",-1,1) * (B257*NORMDIST(I257,0,1,0)*SQRT($J$10)/365) * $P$10</f>
        <v>0</v>
      </c>
      <c r="F257" s="25" t="n">
        <f aca="false">IF($O$10="sell",-1,1) * (-(B257*NORMDIST(I257,0,1,0)*$H$10)/(2*SQRT($J$10))/365) *$P$10</f>
        <v>-0</v>
      </c>
      <c r="G257" s="25" t="n">
        <f aca="false">IF($O$10="buy",1,-1)*( IF($K$10="call",B257*NORMDIST(I257,0,1,1) - $B$10*NORMDIST(J257,0,1,1),$B$10*NORMDIST(-J257,0,1,1) - B257*NORMDIST(-I257,0,1,1) ) - $G$10) * $P$10</f>
        <v>-0</v>
      </c>
      <c r="I257" s="26" t="n">
        <f aca="false">(LN(B257/$B$10)+($H$10^2/2)*($J$10))/($H$10*SQRT($J$10))</f>
        <v>0.814146720213479</v>
      </c>
      <c r="J257" s="26" t="n">
        <f aca="false">I257 - $H$10*SQRT($J$10)</f>
        <v>0.730587325211177</v>
      </c>
    </row>
    <row r="258" customFormat="false" ht="13.5" hidden="false" customHeight="true" outlineLevel="0" collapsed="false">
      <c r="B258" s="29" t="n">
        <f aca="false">B228</f>
        <v>79</v>
      </c>
      <c r="C258" s="25" t="n">
        <f aca="false">IF($O$10="sell",-1,1) *  IF($K$10="call",  NORMDIST(I258,0,1,1),  NORMDIST(I258,0,1,1)-1  ) * $P$10</f>
        <v>-0</v>
      </c>
      <c r="D258" s="25" t="n">
        <f aca="false">IF($O$10="sell",-1,1) * NORMDIST(I258,0,1,0)/(B258*$H$10*SQRT($J$10)) * $P$10</f>
        <v>0</v>
      </c>
      <c r="E258" s="25" t="n">
        <f aca="false">IF($O$10="sell",-1,1) * (B258*NORMDIST(I258,0,1,0)*SQRT($J$10)/365) * $P$10</f>
        <v>0</v>
      </c>
      <c r="F258" s="25" t="n">
        <f aca="false">IF($O$10="sell",-1,1) * (-(B258*NORMDIST(I258,0,1,0)*$H$10)/(2*SQRT($J$10))/365) *$P$10</f>
        <v>-0</v>
      </c>
      <c r="G258" s="25" t="n">
        <f aca="false">IF($O$10="buy",1,-1)*( IF($K$10="call",B258*NORMDIST(I258,0,1,1) - $B$10*NORMDIST(J258,0,1,1),$B$10*NORMDIST(-J258,0,1,1) - B258*NORMDIST(-I258,0,1,1) ) - $G$10) * $P$10</f>
        <v>0</v>
      </c>
      <c r="I258" s="26" t="n">
        <f aca="false">(LN(B258/$B$10)+($H$10^2/2)*($J$10))/($H$10*SQRT($J$10))</f>
        <v>0.663609701527385</v>
      </c>
      <c r="J258" s="26" t="n">
        <f aca="false">I258 - $H$10*SQRT($J$10)</f>
        <v>0.580050306525083</v>
      </c>
    </row>
    <row r="259" customFormat="false" ht="13.5" hidden="false" customHeight="true" outlineLevel="0" collapsed="false">
      <c r="B259" s="29" t="n">
        <f aca="false">B229</f>
        <v>78</v>
      </c>
      <c r="C259" s="25" t="n">
        <f aca="false">IF($O$10="sell",-1,1) *  IF($K$10="call",  NORMDIST(I259,0,1,1),  NORMDIST(I259,0,1,1)-1  ) * $P$10</f>
        <v>-0</v>
      </c>
      <c r="D259" s="25" t="n">
        <f aca="false">IF($O$10="sell",-1,1) * NORMDIST(I259,0,1,0)/(B259*$H$10*SQRT($J$10)) * $P$10</f>
        <v>0</v>
      </c>
      <c r="E259" s="25" t="n">
        <f aca="false">IF($O$10="sell",-1,1) * (B259*NORMDIST(I259,0,1,0)*SQRT($J$10)/365) * $P$10</f>
        <v>0</v>
      </c>
      <c r="F259" s="25" t="n">
        <f aca="false">IF($O$10="sell",-1,1) * (-(B259*NORMDIST(I259,0,1,0)*$H$10)/(2*SQRT($J$10))/365) *$P$10</f>
        <v>-0</v>
      </c>
      <c r="G259" s="25" t="n">
        <f aca="false">IF($O$10="buy",1,-1)*( IF($K$10="call",B259*NORMDIST(I259,0,1,1) - $B$10*NORMDIST(J259,0,1,1),$B$10*NORMDIST(-J259,0,1,1) - B259*NORMDIST(-I259,0,1,1) ) - $G$10) * $P$10</f>
        <v>0</v>
      </c>
      <c r="I259" s="26" t="n">
        <f aca="false">(LN(B259/$B$10)+($H$10^2/2)*($J$10))/($H$10*SQRT($J$10))</f>
        <v>0.511154962271809</v>
      </c>
      <c r="J259" s="26" t="n">
        <f aca="false">I259 - $H$10*SQRT($J$10)</f>
        <v>0.427595567269507</v>
      </c>
    </row>
    <row r="260" customFormat="false" ht="13.5" hidden="false" customHeight="true" outlineLevel="0" collapsed="false">
      <c r="B260" s="29" t="n">
        <f aca="false">B230</f>
        <v>77</v>
      </c>
      <c r="C260" s="25" t="n">
        <f aca="false">IF($O$10="sell",-1,1) *  IF($K$10="call",  NORMDIST(I260,0,1,1),  NORMDIST(I260,0,1,1)-1  ) * $P$10</f>
        <v>-0</v>
      </c>
      <c r="D260" s="25" t="n">
        <f aca="false">IF($O$10="sell",-1,1) * NORMDIST(I260,0,1,0)/(B260*$H$10*SQRT($J$10)) * $P$10</f>
        <v>0</v>
      </c>
      <c r="E260" s="25" t="n">
        <f aca="false">IF($O$10="sell",-1,1) * (B260*NORMDIST(I260,0,1,0)*SQRT($J$10)/365) * $P$10</f>
        <v>0</v>
      </c>
      <c r="F260" s="25" t="n">
        <f aca="false">IF($O$10="sell",-1,1) * (-(B260*NORMDIST(I260,0,1,0)*$H$10)/(2*SQRT($J$10))/365) *$P$10</f>
        <v>-0</v>
      </c>
      <c r="G260" s="25" t="n">
        <f aca="false">IF($O$10="buy",1,-1)*( IF($K$10="call",B260*NORMDIST(I260,0,1,1) - $B$10*NORMDIST(J260,0,1,1),$B$10*NORMDIST(-J260,0,1,1) - B260*NORMDIST(-I260,0,1,1) ) - $G$10) * $P$10</f>
        <v>0</v>
      </c>
      <c r="I260" s="26" t="n">
        <f aca="false">(LN(B260/$B$10)+($H$10^2/2)*($J$10))/($H$10*SQRT($J$10))</f>
        <v>0.356733010849679</v>
      </c>
      <c r="J260" s="26" t="n">
        <f aca="false">I260 - $H$10*SQRT($J$10)</f>
        <v>0.273173615847377</v>
      </c>
    </row>
    <row r="261" customFormat="false" ht="13.5" hidden="false" customHeight="true" outlineLevel="0" collapsed="false">
      <c r="B261" s="29" t="n">
        <f aca="false">B231</f>
        <v>76</v>
      </c>
      <c r="C261" s="25" t="n">
        <f aca="false">IF($O$10="sell",-1,1) *  IF($K$10="call",  NORMDIST(I261,0,1,1),  NORMDIST(I261,0,1,1)-1  ) * $P$10</f>
        <v>-0</v>
      </c>
      <c r="D261" s="25" t="n">
        <f aca="false">IF($O$10="sell",-1,1) * NORMDIST(I261,0,1,0)/(B261*$H$10*SQRT($J$10)) * $P$10</f>
        <v>0</v>
      </c>
      <c r="E261" s="25" t="n">
        <f aca="false">IF($O$10="sell",-1,1) * (B261*NORMDIST(I261,0,1,0)*SQRT($J$10)/365) * $P$10</f>
        <v>0</v>
      </c>
      <c r="F261" s="25" t="n">
        <f aca="false">IF($O$10="sell",-1,1) * (-(B261*NORMDIST(I261,0,1,0)*$H$10)/(2*SQRT($J$10))/365) *$P$10</f>
        <v>-0</v>
      </c>
      <c r="G261" s="25" t="n">
        <f aca="false">IF($O$10="buy",1,-1)*( IF($K$10="call",B261*NORMDIST(I261,0,1,1) - $B$10*NORMDIST(J261,0,1,1),$B$10*NORMDIST(-J261,0,1,1) - B261*NORMDIST(-I261,0,1,1) ) - $G$10) * $P$10</f>
        <v>0</v>
      </c>
      <c r="I261" s="26" t="n">
        <f aca="false">(LN(B261/$B$10)+($H$10^2/2)*($J$10))/($H$10*SQRT($J$10))</f>
        <v>0.200292414708544</v>
      </c>
      <c r="J261" s="26" t="n">
        <f aca="false">I261 - $H$10*SQRT($J$10)</f>
        <v>0.116733019706242</v>
      </c>
    </row>
    <row r="262" customFormat="false" ht="13.5" hidden="false" customHeight="true" outlineLevel="0" collapsed="false">
      <c r="B262" s="29" t="n">
        <f aca="false">B232</f>
        <v>75</v>
      </c>
      <c r="C262" s="25" t="n">
        <f aca="false">IF($O$10="sell",-1,1) *  IF($K$10="call",  NORMDIST(I262,0,1,1),  NORMDIST(I262,0,1,1)-1  ) * $P$10</f>
        <v>-0</v>
      </c>
      <c r="D262" s="25" t="n">
        <f aca="false">IF($O$10="sell",-1,1) * NORMDIST(I262,0,1,0)/(B262*$H$10*SQRT($J$10)) * $P$10</f>
        <v>0</v>
      </c>
      <c r="E262" s="25" t="n">
        <f aca="false">IF($O$10="sell",-1,1) * (B262*NORMDIST(I262,0,1,0)*SQRT($J$10)/365) * $P$10</f>
        <v>0</v>
      </c>
      <c r="F262" s="25" t="n">
        <f aca="false">IF($O$10="sell",-1,1) * (-(B262*NORMDIST(I262,0,1,0)*$H$10)/(2*SQRT($J$10))/365) *$P$10</f>
        <v>-0</v>
      </c>
      <c r="G262" s="25" t="n">
        <f aca="false">IF($O$10="buy",1,-1)*( IF($K$10="call",B262*NORMDIST(I262,0,1,1) - $B$10*NORMDIST(J262,0,1,1),$B$10*NORMDIST(-J262,0,1,1) - B262*NORMDIST(-I262,0,1,1) ) - $G$10) * $P$10</f>
        <v>0</v>
      </c>
      <c r="I262" s="26" t="n">
        <f aca="false">(LN(B262/$B$10)+($H$10^2/2)*($J$10))/($H$10*SQRT($J$10))</f>
        <v>0.0417796975011509</v>
      </c>
      <c r="J262" s="26" t="n">
        <f aca="false">I262 - $H$10*SQRT($J$10)</f>
        <v>-0.0417796975011509</v>
      </c>
    </row>
    <row r="263" customFormat="false" ht="13.5" hidden="false" customHeight="true" outlineLevel="0" collapsed="false">
      <c r="B263" s="29" t="n">
        <f aca="false">B233</f>
        <v>74</v>
      </c>
      <c r="C263" s="25" t="n">
        <f aca="false">IF($O$10="sell",-1,1) *  IF($K$10="call",  NORMDIST(I263,0,1,1),  NORMDIST(I263,0,1,1)-1  ) * $P$10</f>
        <v>-0</v>
      </c>
      <c r="D263" s="25" t="n">
        <f aca="false">IF($O$10="sell",-1,1) * NORMDIST(I263,0,1,0)/(B263*$H$10*SQRT($J$10)) * $P$10</f>
        <v>0</v>
      </c>
      <c r="E263" s="25" t="n">
        <f aca="false">IF($O$10="sell",-1,1) * (B263*NORMDIST(I263,0,1,0)*SQRT($J$10)/365) * $P$10</f>
        <v>0</v>
      </c>
      <c r="F263" s="25" t="n">
        <f aca="false">IF($O$10="sell",-1,1) * (-(B263*NORMDIST(I263,0,1,0)*$H$10)/(2*SQRT($J$10))/365) *$P$10</f>
        <v>-0</v>
      </c>
      <c r="G263" s="25" t="n">
        <f aca="false">IF($O$10="buy",1,-1)*( IF($K$10="call",B263*NORMDIST(I263,0,1,1) - $B$10*NORMDIST(J263,0,1,1),$B$10*NORMDIST(-J263,0,1,1) - B263*NORMDIST(-I263,0,1,1) ) - $G$10) * $P$10</f>
        <v>0</v>
      </c>
      <c r="I263" s="26" t="n">
        <f aca="false">(LN(B263/$B$10)+($H$10^2/2)*($J$10))/($H$10*SQRT($J$10))</f>
        <v>-0.11886077065651</v>
      </c>
      <c r="J263" s="26" t="n">
        <f aca="false">I263 - $H$10*SQRT($J$10)</f>
        <v>-0.202420165658812</v>
      </c>
    </row>
    <row r="264" customFormat="false" ht="13.5" hidden="false" customHeight="true" outlineLevel="0" collapsed="false">
      <c r="B264" s="29" t="n">
        <f aca="false">B234</f>
        <v>73</v>
      </c>
      <c r="C264" s="25" t="n">
        <f aca="false">IF($O$10="sell",-1,1) *  IF($K$10="call",  NORMDIST(I264,0,1,1),  NORMDIST(I264,0,1,1)-1  ) * $P$10</f>
        <v>-0</v>
      </c>
      <c r="D264" s="25" t="n">
        <f aca="false">IF($O$10="sell",-1,1) * NORMDIST(I264,0,1,0)/(B264*$H$10*SQRT($J$10)) * $P$10</f>
        <v>0</v>
      </c>
      <c r="E264" s="25" t="n">
        <f aca="false">IF($O$10="sell",-1,1) * (B264*NORMDIST(I264,0,1,0)*SQRT($J$10)/365) * $P$10</f>
        <v>0</v>
      </c>
      <c r="F264" s="25" t="n">
        <f aca="false">IF($O$10="sell",-1,1) * (-(B264*NORMDIST(I264,0,1,0)*$H$10)/(2*SQRT($J$10))/365) *$P$10</f>
        <v>-0</v>
      </c>
      <c r="G264" s="25" t="n">
        <f aca="false">IF($O$10="buy",1,-1)*( IF($K$10="call",B264*NORMDIST(I264,0,1,1) - $B$10*NORMDIST(J264,0,1,1),$B$10*NORMDIST(-J264,0,1,1) - B264*NORMDIST(-I264,0,1,1) ) - $G$10) * $P$10</f>
        <v>0</v>
      </c>
      <c r="I264" s="26" t="n">
        <f aca="false">(LN(B264/$B$10)+($H$10^2/2)*($J$10))/($H$10*SQRT($J$10))</f>
        <v>-0.281686890393301</v>
      </c>
      <c r="J264" s="26" t="n">
        <f aca="false">I264 - $H$10*SQRT($J$10)</f>
        <v>-0.365246285395603</v>
      </c>
    </row>
    <row r="265" customFormat="false" ht="13.5" hidden="false" customHeight="true" outlineLevel="0" collapsed="false">
      <c r="B265" s="29" t="n">
        <f aca="false">B235</f>
        <v>72</v>
      </c>
      <c r="C265" s="25" t="n">
        <f aca="false">IF($O$10="sell",-1,1) *  IF($K$10="call",  NORMDIST(I265,0,1,1),  NORMDIST(I265,0,1,1)-1  ) * $P$10</f>
        <v>-0</v>
      </c>
      <c r="D265" s="25" t="n">
        <f aca="false">IF($O$10="sell",-1,1) * NORMDIST(I265,0,1,0)/(B265*$H$10*SQRT($J$10)) * $P$10</f>
        <v>0</v>
      </c>
      <c r="E265" s="25" t="n">
        <f aca="false">IF($O$10="sell",-1,1) * (B265*NORMDIST(I265,0,1,0)*SQRT($J$10)/365) * $P$10</f>
        <v>0</v>
      </c>
      <c r="F265" s="25" t="n">
        <f aca="false">IF($O$10="sell",-1,1) * (-(B265*NORMDIST(I265,0,1,0)*$H$10)/(2*SQRT($J$10))/365) *$P$10</f>
        <v>-0</v>
      </c>
      <c r="G265" s="25" t="n">
        <f aca="false">IF($O$10="buy",1,-1)*( IF($K$10="call",B265*NORMDIST(I265,0,1,1) - $B$10*NORMDIST(J265,0,1,1),$B$10*NORMDIST(-J265,0,1,1) - B265*NORMDIST(-I265,0,1,1) ) - $G$10) * $P$10</f>
        <v>0</v>
      </c>
      <c r="I265" s="26" t="n">
        <f aca="false">(LN(B265/$B$10)+($H$10^2/2)*($J$10))/($H$10*SQRT($J$10))</f>
        <v>-0.446758958375076</v>
      </c>
      <c r="J265" s="26" t="n">
        <f aca="false">I265 - $H$10*SQRT($J$10)</f>
        <v>-0.530318353377378</v>
      </c>
    </row>
    <row r="266" customFormat="false" ht="13.5" hidden="false" customHeight="true" outlineLevel="0" collapsed="false">
      <c r="B266" s="29" t="n">
        <f aca="false">B236</f>
        <v>71</v>
      </c>
      <c r="C266" s="25" t="n">
        <f aca="false">IF($O$10="sell",-1,1) *  IF($K$10="call",  NORMDIST(I266,0,1,1),  NORMDIST(I266,0,1,1)-1  ) * $P$10</f>
        <v>-0</v>
      </c>
      <c r="D266" s="25" t="n">
        <f aca="false">IF($O$10="sell",-1,1) * NORMDIST(I266,0,1,0)/(B266*$H$10*SQRT($J$10)) * $P$10</f>
        <v>0</v>
      </c>
      <c r="E266" s="25" t="n">
        <f aca="false">IF($O$10="sell",-1,1) * (B266*NORMDIST(I266,0,1,0)*SQRT($J$10)/365) * $P$10</f>
        <v>0</v>
      </c>
      <c r="F266" s="25" t="n">
        <f aca="false">IF($O$10="sell",-1,1) * (-(B266*NORMDIST(I266,0,1,0)*$H$10)/(2*SQRT($J$10))/365) *$P$10</f>
        <v>-0</v>
      </c>
      <c r="G266" s="25" t="n">
        <f aca="false">IF($O$10="buy",1,-1)*( IF($K$10="call",B266*NORMDIST(I266,0,1,1) - $B$10*NORMDIST(J266,0,1,1),$B$10*NORMDIST(-J266,0,1,1) - B266*NORMDIST(-I266,0,1,1) ) - $G$10) * $P$10</f>
        <v>0</v>
      </c>
      <c r="I266" s="26" t="n">
        <f aca="false">(LN(B266/$B$10)+($H$10^2/2)*($J$10))/($H$10*SQRT($J$10))</f>
        <v>-0.614139801359334</v>
      </c>
      <c r="J266" s="26" t="n">
        <f aca="false">I266 - $H$10*SQRT($J$10)</f>
        <v>-0.697699196361636</v>
      </c>
    </row>
    <row r="267" customFormat="false" ht="13.5" hidden="false" customHeight="true" outlineLevel="0" collapsed="false">
      <c r="B267" s="29" t="n">
        <f aca="false">B237</f>
        <v>70</v>
      </c>
      <c r="C267" s="25" t="n">
        <f aca="false">IF($O$10="sell",-1,1) *  IF($K$10="call",  NORMDIST(I267,0,1,1),  NORMDIST(I267,0,1,1)-1  ) * $P$10</f>
        <v>-0</v>
      </c>
      <c r="D267" s="25" t="n">
        <f aca="false">IF($O$10="sell",-1,1) * NORMDIST(I267,0,1,0)/(B267*$H$10*SQRT($J$10)) * $P$10</f>
        <v>0</v>
      </c>
      <c r="E267" s="25" t="n">
        <f aca="false">IF($O$10="sell",-1,1) * (B267*NORMDIST(I267,0,1,0)*SQRT($J$10)/365) * $P$10</f>
        <v>0</v>
      </c>
      <c r="F267" s="25" t="n">
        <f aca="false">IF($O$10="sell",-1,1) * (-(B267*NORMDIST(I267,0,1,0)*$H$10)/(2*SQRT($J$10))/365) *$P$10</f>
        <v>-0</v>
      </c>
      <c r="G267" s="25" t="n">
        <f aca="false">IF($O$10="buy",1,-1)*( IF($K$10="call",B267*NORMDIST(I267,0,1,1) - $B$10*NORMDIST(J267,0,1,1),$B$10*NORMDIST(-J267,0,1,1) - B267*NORMDIST(-I267,0,1,1) ) - $G$10) * $P$10</f>
        <v>0</v>
      </c>
      <c r="I267" s="26" t="n">
        <f aca="false">(LN(B267/$B$10)+($H$10^2/2)*($J$10))/($H$10*SQRT($J$10))</f>
        <v>-0.783894919758237</v>
      </c>
      <c r="J267" s="26" t="n">
        <f aca="false">I267 - $H$10*SQRT($J$10)</f>
        <v>-0.867454314760538</v>
      </c>
    </row>
    <row r="268" customFormat="false" ht="13.5" hidden="false" customHeight="true" outlineLevel="0" collapsed="false">
      <c r="B268" s="29" t="n">
        <f aca="false">B238</f>
        <v>69</v>
      </c>
      <c r="C268" s="25" t="n">
        <f aca="false">IF($O$10="sell",-1,1) *  IF($K$10="call",  NORMDIST(I268,0,1,1),  NORMDIST(I268,0,1,1)-1  ) * $P$10</f>
        <v>-0</v>
      </c>
      <c r="D268" s="25" t="n">
        <f aca="false">IF($O$10="sell",-1,1) * NORMDIST(I268,0,1,0)/(B268*$H$10*SQRT($J$10)) * $P$10</f>
        <v>0</v>
      </c>
      <c r="E268" s="25" t="n">
        <f aca="false">IF($O$10="sell",-1,1) * (B268*NORMDIST(I268,0,1,0)*SQRT($J$10)/365) * $P$10</f>
        <v>0</v>
      </c>
      <c r="F268" s="25" t="n">
        <f aca="false">IF($O$10="sell",-1,1) * (-(B268*NORMDIST(I268,0,1,0)*$H$10)/(2*SQRT($J$10))/365) *$P$10</f>
        <v>-0</v>
      </c>
      <c r="G268" s="25" t="n">
        <f aca="false">IF($O$10="buy",1,-1)*( IF($K$10="call",B268*NORMDIST(I268,0,1,1) - $B$10*NORMDIST(J268,0,1,1),$B$10*NORMDIST(-J268,0,1,1) - B268*NORMDIST(-I268,0,1,1) ) - $G$10) * $P$10</f>
        <v>0</v>
      </c>
      <c r="I268" s="26" t="n">
        <f aca="false">(LN(B268/$B$10)+($H$10^2/2)*($J$10))/($H$10*SQRT($J$10))</f>
        <v>-0.956092641530914</v>
      </c>
      <c r="J268" s="26" t="n">
        <f aca="false">I268 - $H$10*SQRT($J$10)</f>
        <v>-1.03965203653322</v>
      </c>
    </row>
    <row r="269" customFormat="false" ht="13.5" hidden="false" customHeight="true" outlineLevel="0" collapsed="false">
      <c r="B269" s="29" t="n">
        <f aca="false">B239</f>
        <v>68</v>
      </c>
      <c r="C269" s="25" t="n">
        <f aca="false">IF($O$10="sell",-1,1) *  IF($K$10="call",  NORMDIST(I269,0,1,1),  NORMDIST(I269,0,1,1)-1  ) * $P$10</f>
        <v>-0</v>
      </c>
      <c r="D269" s="25" t="n">
        <f aca="false">IF($O$10="sell",-1,1) * NORMDIST(I269,0,1,0)/(B269*$H$10*SQRT($J$10)) * $P$10</f>
        <v>0</v>
      </c>
      <c r="E269" s="25" t="n">
        <f aca="false">IF($O$10="sell",-1,1) * (B269*NORMDIST(I269,0,1,0)*SQRT($J$10)/365) * $P$10</f>
        <v>0</v>
      </c>
      <c r="F269" s="25" t="n">
        <f aca="false">IF($O$10="sell",-1,1) * (-(B269*NORMDIST(I269,0,1,0)*$H$10)/(2*SQRT($J$10))/365) *$P$10</f>
        <v>-0</v>
      </c>
      <c r="G269" s="25" t="n">
        <f aca="false">IF($O$10="buy",1,-1)*( IF($K$10="call",B269*NORMDIST(I269,0,1,1) - $B$10*NORMDIST(J269,0,1,1),$B$10*NORMDIST(-J269,0,1,1) - B269*NORMDIST(-I269,0,1,1) ) - $G$10) * $P$10</f>
        <v>0</v>
      </c>
      <c r="I269" s="26" t="n">
        <f aca="false">(LN(B269/$B$10)+($H$10^2/2)*($J$10))/($H$10*SQRT($J$10))</f>
        <v>-1.13080428730995</v>
      </c>
      <c r="J269" s="26" t="n">
        <f aca="false">I269 - $H$10*SQRT($J$10)</f>
        <v>-1.21436368231225</v>
      </c>
    </row>
    <row r="270" customFormat="false" ht="13.5" hidden="false" customHeight="true" outlineLevel="0" collapsed="false">
      <c r="B270" s="29" t="n">
        <f aca="false">B240</f>
        <v>67</v>
      </c>
      <c r="C270" s="25" t="n">
        <f aca="false">IF($O$10="sell",-1,1) *  IF($K$10="call",  NORMDIST(I270,0,1,1),  NORMDIST(I270,0,1,1)-1  ) * $P$10</f>
        <v>-0</v>
      </c>
      <c r="D270" s="25" t="n">
        <f aca="false">IF($O$10="sell",-1,1) * NORMDIST(I270,0,1,0)/(B270*$H$10*SQRT($J$10)) * $P$10</f>
        <v>0</v>
      </c>
      <c r="E270" s="25" t="n">
        <f aca="false">IF($O$10="sell",-1,1) * (B270*NORMDIST(I270,0,1,0)*SQRT($J$10)/365) * $P$10</f>
        <v>0</v>
      </c>
      <c r="F270" s="25" t="n">
        <f aca="false">IF($O$10="sell",-1,1) * (-(B270*NORMDIST(I270,0,1,0)*$H$10)/(2*SQRT($J$10))/365) *$P$10</f>
        <v>-0</v>
      </c>
      <c r="G270" s="25" t="n">
        <f aca="false">IF($O$10="buy",1,-1)*( IF($K$10="call",B270*NORMDIST(I270,0,1,1) - $B$10*NORMDIST(J270,0,1,1),$B$10*NORMDIST(-J270,0,1,1) - B270*NORMDIST(-I270,0,1,1) ) - $G$10) * $P$10</f>
        <v>0</v>
      </c>
      <c r="I270" s="26" t="n">
        <f aca="false">(LN(B270/$B$10)+($H$10^2/2)*($J$10))/($H$10*SQRT($J$10))</f>
        <v>-1.30810434776075</v>
      </c>
      <c r="J270" s="26" t="n">
        <f aca="false">I270 - $H$10*SQRT($J$10)</f>
        <v>-1.39166374276306</v>
      </c>
    </row>
    <row r="271" customFormat="false" ht="13.5" hidden="false" customHeight="true" outlineLevel="0" collapsed="false">
      <c r="B271" s="29" t="n">
        <f aca="false">B241</f>
        <v>66</v>
      </c>
      <c r="C271" s="25" t="n">
        <f aca="false">IF($O$10="sell",-1,1) *  IF($K$10="call",  NORMDIST(I271,0,1,1),  NORMDIST(I271,0,1,1)-1  ) * $P$10</f>
        <v>-0</v>
      </c>
      <c r="D271" s="25" t="n">
        <f aca="false">IF($O$10="sell",-1,1) * NORMDIST(I271,0,1,0)/(B271*$H$10*SQRT($J$10)) * $P$10</f>
        <v>0</v>
      </c>
      <c r="E271" s="25" t="n">
        <f aca="false">IF($O$10="sell",-1,1) * (B271*NORMDIST(I271,0,1,0)*SQRT($J$10)/365) * $P$10</f>
        <v>0</v>
      </c>
      <c r="F271" s="25" t="n">
        <f aca="false">IF($O$10="sell",-1,1) * (-(B271*NORMDIST(I271,0,1,0)*$H$10)/(2*SQRT($J$10))/365) *$P$10</f>
        <v>-0</v>
      </c>
      <c r="G271" s="25" t="n">
        <f aca="false">IF($O$10="buy",1,-1)*( IF($K$10="call",B271*NORMDIST(I271,0,1,1) - $B$10*NORMDIST(J271,0,1,1),$B$10*NORMDIST(-J271,0,1,1) - B271*NORMDIST(-I271,0,1,1) ) - $G$10) * $P$10</f>
        <v>0</v>
      </c>
      <c r="I271" s="26" t="n">
        <f aca="false">(LN(B271/$B$10)+($H$10^2/2)*($J$10))/($H$10*SQRT($J$10))</f>
        <v>-1.48807067427767</v>
      </c>
      <c r="J271" s="26" t="n">
        <f aca="false">I271 - $H$10*SQRT($J$10)</f>
        <v>-1.57163006927998</v>
      </c>
    </row>
    <row r="272" customFormat="false" ht="13.5" hidden="false" customHeight="true" outlineLevel="0" collapsed="false">
      <c r="B272" s="29" t="n">
        <f aca="false">B242</f>
        <v>65</v>
      </c>
      <c r="C272" s="25" t="n">
        <f aca="false">IF($O$10="sell",-1,1) *  IF($K$10="call",  NORMDIST(I272,0,1,1),  NORMDIST(I272,0,1,1)-1  ) * $P$10</f>
        <v>-0</v>
      </c>
      <c r="D272" s="25" t="n">
        <f aca="false">IF($O$10="sell",-1,1) * NORMDIST(I272,0,1,0)/(B272*$H$10*SQRT($J$10)) * $P$10</f>
        <v>0</v>
      </c>
      <c r="E272" s="25" t="n">
        <f aca="false">IF($O$10="sell",-1,1) * (B272*NORMDIST(I272,0,1,0)*SQRT($J$10)/365) * $P$10</f>
        <v>0</v>
      </c>
      <c r="F272" s="25" t="n">
        <f aca="false">IF($O$10="sell",-1,1) * (-(B272*NORMDIST(I272,0,1,0)*$H$10)/(2*SQRT($J$10))/365) *$P$10</f>
        <v>-0</v>
      </c>
      <c r="G272" s="25" t="n">
        <f aca="false">IF($O$10="buy",1,-1)*( IF($K$10="call",B272*NORMDIST(I272,0,1,1) - $B$10*NORMDIST(J272,0,1,1),$B$10*NORMDIST(-J272,0,1,1) - B272*NORMDIST(-I272,0,1,1) ) - $G$10) * $P$10</f>
        <v>0</v>
      </c>
      <c r="I272" s="26" t="n">
        <f aca="false">(LN(B272/$B$10)+($H$10^2/2)*($J$10))/($H$10*SQRT($J$10))</f>
        <v>-1.67078468423871</v>
      </c>
      <c r="J272" s="26" t="n">
        <f aca="false">I272 - $H$10*SQRT($J$10)</f>
        <v>-1.75434407924101</v>
      </c>
    </row>
    <row r="273" customFormat="false" ht="13.5" hidden="false" customHeight="true" outlineLevel="0" collapsed="false">
      <c r="B273" s="29" t="n">
        <f aca="false">B243</f>
        <v>64</v>
      </c>
      <c r="C273" s="25" t="n">
        <f aca="false">IF($O$10="sell",-1,1) *  IF($K$10="call",  NORMDIST(I273,0,1,1),  NORMDIST(I273,0,1,1)-1  ) * $P$10</f>
        <v>-0</v>
      </c>
      <c r="D273" s="25" t="n">
        <f aca="false">IF($O$10="sell",-1,1) * NORMDIST(I273,0,1,0)/(B273*$H$10*SQRT($J$10)) * $P$10</f>
        <v>0</v>
      </c>
      <c r="E273" s="25" t="n">
        <f aca="false">IF($O$10="sell",-1,1) * (B273*NORMDIST(I273,0,1,0)*SQRT($J$10)/365) * $P$10</f>
        <v>0</v>
      </c>
      <c r="F273" s="25" t="n">
        <f aca="false">IF($O$10="sell",-1,1) * (-(B273*NORMDIST(I273,0,1,0)*$H$10)/(2*SQRT($J$10))/365) *$P$10</f>
        <v>-0</v>
      </c>
      <c r="G273" s="25" t="n">
        <f aca="false">IF($O$10="buy",1,-1)*( IF($K$10="call",B273*NORMDIST(I273,0,1,1) - $B$10*NORMDIST(J273,0,1,1),$B$10*NORMDIST(-J273,0,1,1) - B273*NORMDIST(-I273,0,1,1) ) - $G$10) * $P$10</f>
        <v>0</v>
      </c>
      <c r="I273" s="26" t="n">
        <f aca="false">(LN(B273/$B$10)+($H$10^2/2)*($J$10))/($H$10*SQRT($J$10))</f>
        <v>-1.85633158217326</v>
      </c>
      <c r="J273" s="26" t="n">
        <f aca="false">I273 - $H$10*SQRT($J$10)</f>
        <v>-1.93989097717556</v>
      </c>
    </row>
    <row r="274" customFormat="false" ht="13.5" hidden="false" customHeight="true" outlineLevel="0" collapsed="false">
      <c r="B274" s="29" t="n">
        <f aca="false">B244</f>
        <v>63</v>
      </c>
      <c r="C274" s="25" t="n">
        <f aca="false">IF($O$10="sell",-1,1) *  IF($K$10="call",  NORMDIST(I274,0,1,1),  NORMDIST(I274,0,1,1)-1  ) * $P$10</f>
        <v>-0</v>
      </c>
      <c r="D274" s="25" t="n">
        <f aca="false">IF($O$10="sell",-1,1) * NORMDIST(I274,0,1,0)/(B274*$H$10*SQRT($J$10)) * $P$10</f>
        <v>0</v>
      </c>
      <c r="E274" s="25" t="n">
        <f aca="false">IF($O$10="sell",-1,1) * (B274*NORMDIST(I274,0,1,0)*SQRT($J$10)/365) * $P$10</f>
        <v>0</v>
      </c>
      <c r="F274" s="25" t="n">
        <f aca="false">IF($O$10="sell",-1,1) * (-(B274*NORMDIST(I274,0,1,0)*$H$10)/(2*SQRT($J$10))/365) *$P$10</f>
        <v>-0</v>
      </c>
      <c r="G274" s="25" t="n">
        <f aca="false">IF($O$10="buy",1,-1)*( IF($K$10="call",B274*NORMDIST(I274,0,1,1) - $B$10*NORMDIST(J274,0,1,1),$B$10*NORMDIST(-J274,0,1,1) - B274*NORMDIST(-I274,0,1,1) ) - $G$10) * $P$10</f>
        <v>0</v>
      </c>
      <c r="I274" s="26" t="n">
        <f aca="false">(LN(B274/$B$10)+($H$10^2/2)*($J$10))/($H$10*SQRT($J$10))</f>
        <v>-2.04480059834679</v>
      </c>
      <c r="J274" s="26" t="n">
        <f aca="false">I274 - $H$10*SQRT($J$10)</f>
        <v>-2.12835999334909</v>
      </c>
    </row>
    <row r="275" customFormat="false" ht="13.5" hidden="false" customHeight="true" outlineLevel="0" collapsed="false">
      <c r="B275" s="29" t="n">
        <f aca="false">B245</f>
        <v>62</v>
      </c>
      <c r="C275" s="25" t="n">
        <f aca="false">IF($O$10="sell",-1,1) *  IF($K$10="call",  NORMDIST(I275,0,1,1),  NORMDIST(I275,0,1,1)-1  ) * $P$10</f>
        <v>-0</v>
      </c>
      <c r="D275" s="25" t="n">
        <f aca="false">IF($O$10="sell",-1,1) * NORMDIST(I275,0,1,0)/(B275*$H$10*SQRT($J$10)) * $P$10</f>
        <v>0</v>
      </c>
      <c r="E275" s="25" t="n">
        <f aca="false">IF($O$10="sell",-1,1) * (B275*NORMDIST(I275,0,1,0)*SQRT($J$10)/365) * $P$10</f>
        <v>0</v>
      </c>
      <c r="F275" s="25" t="n">
        <f aca="false">IF($O$10="sell",-1,1) * (-(B275*NORMDIST(I275,0,1,0)*$H$10)/(2*SQRT($J$10))/365) *$P$10</f>
        <v>-0</v>
      </c>
      <c r="G275" s="25" t="n">
        <f aca="false">IF($O$10="buy",1,-1)*( IF($K$10="call",B275*NORMDIST(I275,0,1,1) - $B$10*NORMDIST(J275,0,1,1),$B$10*NORMDIST(-J275,0,1,1) - B275*NORMDIST(-I275,0,1,1) ) - $G$10) * $P$10</f>
        <v>0</v>
      </c>
      <c r="I275" s="26" t="n">
        <f aca="false">(LN(B275/$B$10)+($H$10^2/2)*($J$10))/($H$10*SQRT($J$10))</f>
        <v>-2.23628524643454</v>
      </c>
      <c r="J275" s="26" t="n">
        <f aca="false">I275 - $H$10*SQRT($J$10)</f>
        <v>-2.31984464143684</v>
      </c>
    </row>
    <row r="276" customFormat="false" ht="13.5" hidden="false" customHeight="true" outlineLevel="0" collapsed="false">
      <c r="B276" s="29" t="n">
        <f aca="false">B246</f>
        <v>61</v>
      </c>
      <c r="C276" s="25" t="n">
        <f aca="false">IF($O$10="sell",-1,1) *  IF($K$10="call",  NORMDIST(I276,0,1,1),  NORMDIST(I276,0,1,1)-1  ) * $P$10</f>
        <v>-0</v>
      </c>
      <c r="D276" s="25" t="n">
        <f aca="false">IF($O$10="sell",-1,1) * NORMDIST(I276,0,1,0)/(B276*$H$10*SQRT($J$10)) * $P$10</f>
        <v>0</v>
      </c>
      <c r="E276" s="25" t="n">
        <f aca="false">IF($O$10="sell",-1,1) * (B276*NORMDIST(I276,0,1,0)*SQRT($J$10)/365) * $P$10</f>
        <v>0</v>
      </c>
      <c r="F276" s="25" t="n">
        <f aca="false">IF($O$10="sell",-1,1) * (-(B276*NORMDIST(I276,0,1,0)*$H$10)/(2*SQRT($J$10))/365) *$P$10</f>
        <v>-0</v>
      </c>
      <c r="G276" s="25" t="n">
        <f aca="false">IF($O$10="buy",1,-1)*( IF($K$10="call",B276*NORMDIST(I276,0,1,1) - $B$10*NORMDIST(J276,0,1,1),$B$10*NORMDIST(-J276,0,1,1) - B276*NORMDIST(-I276,0,1,1) ) - $G$10) * $P$10</f>
        <v>0</v>
      </c>
      <c r="I276" s="26" t="n">
        <f aca="false">(LN(B276/$B$10)+($H$10^2/2)*($J$10))/($H$10*SQRT($J$10))</f>
        <v>-2.43088360214706</v>
      </c>
      <c r="J276" s="26" t="n">
        <f aca="false">I276 - $H$10*SQRT($J$10)</f>
        <v>-2.51444299714936</v>
      </c>
    </row>
    <row r="277" customFormat="false" ht="13.5" hidden="false" customHeight="true" outlineLevel="0" collapsed="false">
      <c r="B277" s="29" t="n">
        <f aca="false">B247</f>
        <v>60</v>
      </c>
      <c r="C277" s="25" t="n">
        <f aca="false">IF($O$10="sell",-1,1) *  IF($K$10="call",  NORMDIST(I277,0,1,1),  NORMDIST(I277,0,1,1)-1  ) * $P$10</f>
        <v>-0</v>
      </c>
      <c r="D277" s="25" t="n">
        <f aca="false">IF($O$10="sell",-1,1) * NORMDIST(I277,0,1,0)/(B277*$H$10*SQRT($J$10)) * $P$10</f>
        <v>0</v>
      </c>
      <c r="E277" s="25" t="n">
        <f aca="false">IF($O$10="sell",-1,1) * (B277*NORMDIST(I277,0,1,0)*SQRT($J$10)/365) * $P$10</f>
        <v>0</v>
      </c>
      <c r="F277" s="25" t="n">
        <f aca="false">IF($O$10="sell",-1,1) * (-(B277*NORMDIST(I277,0,1,0)*$H$10)/(2*SQRT($J$10))/365) *$P$10</f>
        <v>-0</v>
      </c>
      <c r="G277" s="25" t="n">
        <f aca="false">IF($O$10="buy",1,-1)*( IF($K$10="call",B277*NORMDIST(I277,0,1,1) - $B$10*NORMDIST(J277,0,1,1),$B$10*NORMDIST(-J277,0,1,1) - B277*NORMDIST(-I277,0,1,1) ) - $G$10) * $P$10</f>
        <v>0</v>
      </c>
      <c r="I277" s="26" t="n">
        <f aca="false">(LN(B277/$B$10)+($H$10^2/2)*($J$10))/($H$10*SQRT($J$10))</f>
        <v>-2.62869860488559</v>
      </c>
      <c r="J277" s="26" t="n">
        <f aca="false">I277 - $H$10*SQRT($J$10)</f>
        <v>-2.71225799988789</v>
      </c>
    </row>
    <row r="278" customFormat="false" ht="13.5" hidden="false" customHeight="true" outlineLevel="0" collapsed="false">
      <c r="B278" s="29" t="n">
        <f aca="false">B248</f>
        <v>59</v>
      </c>
      <c r="C278" s="25" t="n">
        <f aca="false">IF($O$10="sell",-1,1) *  IF($K$10="call",  NORMDIST(I278,0,1,1),  NORMDIST(I278,0,1,1)-1  ) * $P$10</f>
        <v>-0</v>
      </c>
      <c r="D278" s="25" t="n">
        <f aca="false">IF($O$10="sell",-1,1) * NORMDIST(I278,0,1,0)/(B278*$H$10*SQRT($J$10)) * $P$10</f>
        <v>0</v>
      </c>
      <c r="E278" s="25" t="n">
        <f aca="false">IF($O$10="sell",-1,1) * (B278*NORMDIST(I278,0,1,0)*SQRT($J$10)/365) * $P$10</f>
        <v>0</v>
      </c>
      <c r="F278" s="25" t="n">
        <f aca="false">IF($O$10="sell",-1,1) * (-(B278*NORMDIST(I278,0,1,0)*$H$10)/(2*SQRT($J$10))/365) *$P$10</f>
        <v>-0</v>
      </c>
      <c r="G278" s="25" t="n">
        <f aca="false">IF($O$10="buy",1,-1)*( IF($K$10="call",B278*NORMDIST(I278,0,1,1) - $B$10*NORMDIST(J278,0,1,1),$B$10*NORMDIST(-J278,0,1,1) - B278*NORMDIST(-I278,0,1,1) ) - $G$10) * $P$10</f>
        <v>0</v>
      </c>
      <c r="I278" s="26" t="n">
        <f aca="false">(LN(B278/$B$10)+($H$10^2/2)*($J$10))/($H$10*SQRT($J$10))</f>
        <v>-2.82983838475018</v>
      </c>
      <c r="J278" s="26" t="n">
        <f aca="false">I278 - $H$10*SQRT($J$10)</f>
        <v>-2.91339777975248</v>
      </c>
    </row>
    <row r="279" customFormat="false" ht="13.5" hidden="false" customHeight="true" outlineLevel="0" collapsed="false">
      <c r="B279" s="29" t="n">
        <f aca="false">B249</f>
        <v>58</v>
      </c>
      <c r="C279" s="25" t="n">
        <f aca="false">IF($O$10="sell",-1,1) *  IF($K$10="call",  NORMDIST(I279,0,1,1),  NORMDIST(I279,0,1,1)-1  ) * $P$10</f>
        <v>-0</v>
      </c>
      <c r="D279" s="25" t="n">
        <f aca="false">IF($O$10="sell",-1,1) * NORMDIST(I279,0,1,0)/(B279*$H$10*SQRT($J$10)) * $P$10</f>
        <v>0</v>
      </c>
      <c r="E279" s="25" t="n">
        <f aca="false">IF($O$10="sell",-1,1) * (B279*NORMDIST(I279,0,1,0)*SQRT($J$10)/365) * $P$10</f>
        <v>0</v>
      </c>
      <c r="F279" s="25" t="n">
        <f aca="false">IF($O$10="sell",-1,1) * (-(B279*NORMDIST(I279,0,1,0)*$H$10)/(2*SQRT($J$10))/365) *$P$10</f>
        <v>-0</v>
      </c>
      <c r="G279" s="25" t="n">
        <f aca="false">IF($O$10="buy",1,-1)*( IF($K$10="call",B279*NORMDIST(I279,0,1,1) - $B$10*NORMDIST(J279,0,1,1),$B$10*NORMDIST(-J279,0,1,1) - B279*NORMDIST(-I279,0,1,1) ) - $G$10) * $P$10</f>
        <v>0</v>
      </c>
      <c r="I279" s="26" t="n">
        <f aca="false">(LN(B279/$B$10)+($H$10^2/2)*($J$10))/($H$10*SQRT($J$10))</f>
        <v>-3.03441661750102</v>
      </c>
      <c r="J279" s="26" t="n">
        <f aca="false">I279 - $H$10*SQRT($J$10)</f>
        <v>-3.11797601250332</v>
      </c>
    </row>
    <row r="280" customFormat="false" ht="13.5" hidden="false" customHeight="true" outlineLevel="0" collapsed="false">
      <c r="B280" s="29" t="n">
        <f aca="false">B250</f>
        <v>57</v>
      </c>
      <c r="C280" s="25" t="n">
        <f aca="false">IF($O$10="sell",-1,1) *  IF($K$10="call",  NORMDIST(I280,0,1,1),  NORMDIST(I280,0,1,1)-1  ) * $P$10</f>
        <v>-0</v>
      </c>
      <c r="D280" s="25" t="n">
        <f aca="false">IF($O$10="sell",-1,1) * NORMDIST(I280,0,1,0)/(B280*$H$10*SQRT($J$10)) * $P$10</f>
        <v>0</v>
      </c>
      <c r="E280" s="25" t="n">
        <f aca="false">IF($O$10="sell",-1,1) * (B280*NORMDIST(I280,0,1,0)*SQRT($J$10)/365) * $P$10</f>
        <v>0</v>
      </c>
      <c r="F280" s="25" t="n">
        <f aca="false">IF($O$10="sell",-1,1) * (-(B280*NORMDIST(I280,0,1,0)*$H$10)/(2*SQRT($J$10))/365) *$P$10</f>
        <v>-0</v>
      </c>
      <c r="G280" s="25" t="n">
        <f aca="false">IF($O$10="buy",1,-1)*( IF($K$10="call",B280*NORMDIST(I280,0,1,1) - $B$10*NORMDIST(J280,0,1,1),$B$10*NORMDIST(-J280,0,1,1) - B280*NORMDIST(-I280,0,1,1) ) - $G$10) * $P$10</f>
        <v>0</v>
      </c>
      <c r="I280" s="26" t="n">
        <f aca="false">(LN(B280/$B$10)+($H$10^2/2)*($J$10))/($H$10*SQRT($J$10))</f>
        <v>-3.24255291039053</v>
      </c>
      <c r="J280" s="26" t="n">
        <f aca="false">I280 - $H$10*SQRT($J$10)</f>
        <v>-3.32611230539283</v>
      </c>
    </row>
    <row r="281" customFormat="false" ht="13.5" hidden="false" customHeight="true" outlineLevel="0" collapsed="false">
      <c r="B281" s="30"/>
      <c r="C281" s="22"/>
      <c r="D281" s="22"/>
      <c r="E281" s="22"/>
      <c r="F281" s="22"/>
      <c r="G281" s="22"/>
      <c r="I281" s="31"/>
      <c r="J281" s="31"/>
    </row>
    <row r="282" customFormat="false" ht="13.5" hidden="false" customHeight="true" outlineLevel="0" collapsed="false">
      <c r="B282" s="30"/>
      <c r="C282" s="22"/>
      <c r="D282" s="22"/>
      <c r="E282" s="22"/>
      <c r="F282" s="22"/>
      <c r="G282" s="22"/>
      <c r="I282" s="31"/>
      <c r="J282" s="31"/>
    </row>
    <row r="283" customFormat="false" ht="13.5" hidden="false" customHeight="true" outlineLevel="0" collapsed="false">
      <c r="B283" s="23"/>
      <c r="C283" s="19" t="s">
        <v>13</v>
      </c>
      <c r="D283" s="19" t="s">
        <v>14</v>
      </c>
      <c r="E283" s="19" t="s">
        <v>15</v>
      </c>
      <c r="F283" s="19" t="s">
        <v>16</v>
      </c>
      <c r="G283" s="19" t="s">
        <v>17</v>
      </c>
      <c r="I283" s="19" t="s">
        <v>158</v>
      </c>
      <c r="J283" s="19" t="s">
        <v>159</v>
      </c>
    </row>
    <row r="284" customFormat="false" ht="13.5" hidden="false" customHeight="true" outlineLevel="0" collapsed="false">
      <c r="A284" s="2" t="str">
        <f aca="false">A11</f>
        <v>SOL-24APR26-78-P-USDT</v>
      </c>
      <c r="B284" s="29" t="n">
        <f aca="false">B254</f>
        <v>83</v>
      </c>
      <c r="C284" s="25" t="n">
        <f aca="false">IF($O$11="sell",-1,1) *  IF($K$11="call",  NORMDIST(I284,0,1,1),  NORMDIST(I284,0,1,1)-1  ) * $P$11</f>
        <v>-0</v>
      </c>
      <c r="D284" s="25" t="n">
        <f aca="false">IF($O$11="sell",-1,1) * NORMDIST(I284,0,1,0)/(B284*$H$11*SQRT($J$11)) * $P$11</f>
        <v>0</v>
      </c>
      <c r="E284" s="25" t="n">
        <f aca="false">IF($O$11="sell",-1,1) * (B284*NORMDIST(I284,0,1,0)*SQRT($J$11)/365) * $P$11</f>
        <v>0</v>
      </c>
      <c r="F284" s="25" t="n">
        <f aca="false">IF($O$11="sell",-1,1) * (-(B284*NORMDIST(I284,0,1,0)*$H$11)/(2*SQRT($J$11))/365) *$P$11</f>
        <v>-0</v>
      </c>
      <c r="G284" s="25" t="n">
        <f aca="false">IF($O$11="buy",1,-1)*( IF($K$11="call",B284*NORMDIST(I284,0,1,1) - $B$11*NORMDIST(J284,0,1,1),$B$11*NORMDIST(-J284,0,1,1) - B284*NORMDIST(-I284,0,1,1) ) - $G$11) * $P$11</f>
        <v>-0</v>
      </c>
      <c r="I284" s="26" t="n">
        <f aca="false">(LN(B284/$B$11)+($H$11^2/2)*($J$11))/($H$11*SQRT($J$11))</f>
        <v>0.860919177811763</v>
      </c>
      <c r="J284" s="26" t="n">
        <f aca="false">I284 - $H$11*SQRT($J$11)</f>
        <v>0.785441448174254</v>
      </c>
    </row>
    <row r="285" customFormat="false" ht="13.5" hidden="false" customHeight="true" outlineLevel="0" collapsed="false">
      <c r="B285" s="29" t="n">
        <f aca="false">B255</f>
        <v>82</v>
      </c>
      <c r="C285" s="25" t="n">
        <f aca="false">IF($O$11="sell",-1,1) *  IF($K$11="call",  NORMDIST(I285,0,1,1),  NORMDIST(I285,0,1,1)-1  ) * $P$11</f>
        <v>-0</v>
      </c>
      <c r="D285" s="25" t="n">
        <f aca="false">IF($O$11="sell",-1,1) * NORMDIST(I285,0,1,0)/(B285*$H$11*SQRT($J$11)) * $P$11</f>
        <v>0</v>
      </c>
      <c r="E285" s="25" t="n">
        <f aca="false">IF($O$11="sell",-1,1) * (B285*NORMDIST(I285,0,1,0)*SQRT($J$11)/365) * $P$11</f>
        <v>0</v>
      </c>
      <c r="F285" s="25" t="n">
        <f aca="false">IF($O$11="sell",-1,1) * (-(B285*NORMDIST(I285,0,1,0)*$H$11)/(2*SQRT($J$11))/365) *$P$11</f>
        <v>-0</v>
      </c>
      <c r="G285" s="25" t="n">
        <f aca="false">IF($O$11="buy",1,-1)*( IF($K$11="call",B285*NORMDIST(I285,0,1,1) - $B$11*NORMDIST(J285,0,1,1),$B$11*NORMDIST(-J285,0,1,1) - B285*NORMDIST(-I285,0,1,1) ) - $G$11) * $P$11</f>
        <v>-0</v>
      </c>
      <c r="I285" s="26" t="n">
        <f aca="false">(LN(B285/$B$11)+($H$11^2/2)*($J$11))/($H$11*SQRT($J$11))</f>
        <v>0.70032398515614</v>
      </c>
      <c r="J285" s="26" t="n">
        <f aca="false">I285 - $H$11*SQRT($J$11)</f>
        <v>0.624846255518631</v>
      </c>
    </row>
    <row r="286" customFormat="false" ht="13.5" hidden="false" customHeight="true" outlineLevel="0" collapsed="false">
      <c r="B286" s="29" t="n">
        <f aca="false">B256</f>
        <v>81</v>
      </c>
      <c r="C286" s="25" t="n">
        <f aca="false">IF($O$11="sell",-1,1) *  IF($K$11="call",  NORMDIST(I286,0,1,1),  NORMDIST(I286,0,1,1)-1  ) * $P$11</f>
        <v>-0</v>
      </c>
      <c r="D286" s="25" t="n">
        <f aca="false">IF($O$11="sell",-1,1) * NORMDIST(I286,0,1,0)/(B286*$H$11*SQRT($J$11)) * $P$11</f>
        <v>0</v>
      </c>
      <c r="E286" s="25" t="n">
        <f aca="false">IF($O$11="sell",-1,1) * (B286*NORMDIST(I286,0,1,0)*SQRT($J$11)/365) * $P$11</f>
        <v>0</v>
      </c>
      <c r="F286" s="25" t="n">
        <f aca="false">IF($O$11="sell",-1,1) * (-(B286*NORMDIST(I286,0,1,0)*$H$11)/(2*SQRT($J$11))/365) *$P$11</f>
        <v>-0</v>
      </c>
      <c r="G286" s="25" t="n">
        <f aca="false">IF($O$11="buy",1,-1)*( IF($K$11="call",B286*NORMDIST(I286,0,1,1) - $B$11*NORMDIST(J286,0,1,1),$B$11*NORMDIST(-J286,0,1,1) - B286*NORMDIST(-I286,0,1,1) ) - $G$11) * $P$11</f>
        <v>-0</v>
      </c>
      <c r="I286" s="26" t="n">
        <f aca="false">(LN(B286/$B$11)+($H$11^2/2)*($J$11))/($H$11*SQRT($J$11))</f>
        <v>0.537758250193748</v>
      </c>
      <c r="J286" s="26" t="n">
        <f aca="false">I286 - $H$11*SQRT($J$11)</f>
        <v>0.462280520556239</v>
      </c>
    </row>
    <row r="287" customFormat="false" ht="13.5" hidden="false" customHeight="true" outlineLevel="0" collapsed="false">
      <c r="B287" s="29" t="n">
        <f aca="false">B257</f>
        <v>80</v>
      </c>
      <c r="C287" s="25" t="n">
        <f aca="false">IF($O$11="sell",-1,1) *  IF($K$11="call",  NORMDIST(I287,0,1,1),  NORMDIST(I287,0,1,1)-1  ) * $P$11</f>
        <v>-0</v>
      </c>
      <c r="D287" s="25" t="n">
        <f aca="false">IF($O$11="sell",-1,1) * NORMDIST(I287,0,1,0)/(B287*$H$11*SQRT($J$11)) * $P$11</f>
        <v>0</v>
      </c>
      <c r="E287" s="25" t="n">
        <f aca="false">IF($O$11="sell",-1,1) * (B287*NORMDIST(I287,0,1,0)*SQRT($J$11)/365) * $P$11</f>
        <v>0</v>
      </c>
      <c r="F287" s="25" t="n">
        <f aca="false">IF($O$11="sell",-1,1) * (-(B287*NORMDIST(I287,0,1,0)*$H$11)/(2*SQRT($J$11))/365) *$P$11</f>
        <v>-0</v>
      </c>
      <c r="G287" s="25" t="n">
        <f aca="false">IF($O$11="buy",1,-1)*( IF($K$11="call",B287*NORMDIST(I287,0,1,1) - $B$11*NORMDIST(J287,0,1,1),$B$11*NORMDIST(-J287,0,1,1) - B287*NORMDIST(-I287,0,1,1) ) - $G$11) * $P$11</f>
        <v>0</v>
      </c>
      <c r="I287" s="26" t="n">
        <f aca="false">(LN(B287/$B$11)+($H$11^2/2)*($J$11))/($H$11*SQRT($J$11))</f>
        <v>0.37317301348594</v>
      </c>
      <c r="J287" s="26" t="n">
        <f aca="false">I287 - $H$11*SQRT($J$11)</f>
        <v>0.297695283848431</v>
      </c>
    </row>
    <row r="288" customFormat="false" ht="13.5" hidden="false" customHeight="true" outlineLevel="0" collapsed="false">
      <c r="B288" s="29" t="n">
        <f aca="false">B258</f>
        <v>79</v>
      </c>
      <c r="C288" s="25" t="n">
        <f aca="false">IF($O$11="sell",-1,1) *  IF($K$11="call",  NORMDIST(I288,0,1,1),  NORMDIST(I288,0,1,1)-1  ) * $P$11</f>
        <v>-0</v>
      </c>
      <c r="D288" s="25" t="n">
        <f aca="false">IF($O$11="sell",-1,1) * NORMDIST(I288,0,1,0)/(B288*$H$11*SQRT($J$11)) * $P$11</f>
        <v>0</v>
      </c>
      <c r="E288" s="25" t="n">
        <f aca="false">IF($O$11="sell",-1,1) * (B288*NORMDIST(I288,0,1,0)*SQRT($J$11)/365) * $P$11</f>
        <v>0</v>
      </c>
      <c r="F288" s="25" t="n">
        <f aca="false">IF($O$11="sell",-1,1) * (-(B288*NORMDIST(I288,0,1,0)*$H$11)/(2*SQRT($J$11))/365) *$P$11</f>
        <v>-0</v>
      </c>
      <c r="G288" s="25" t="n">
        <f aca="false">IF($O$11="buy",1,-1)*( IF($K$11="call",B288*NORMDIST(I288,0,1,1) - $B$11*NORMDIST(J288,0,1,1),$B$11*NORMDIST(-J288,0,1,1) - B288*NORMDIST(-I288,0,1,1) ) - $G$11) * $P$11</f>
        <v>0</v>
      </c>
      <c r="I288" s="26" t="n">
        <f aca="false">(LN(B288/$B$11)+($H$11^2/2)*($J$11))/($H$11*SQRT($J$11))</f>
        <v>0.206517467972433</v>
      </c>
      <c r="J288" s="26" t="n">
        <f aca="false">I288 - $H$11*SQRT($J$11)</f>
        <v>0.131039738334924</v>
      </c>
    </row>
    <row r="289" customFormat="false" ht="13.5" hidden="false" customHeight="true" outlineLevel="0" collapsed="false">
      <c r="B289" s="29" t="n">
        <f aca="false">B259</f>
        <v>78</v>
      </c>
      <c r="C289" s="25" t="n">
        <f aca="false">IF($O$11="sell",-1,1) *  IF($K$11="call",  NORMDIST(I289,0,1,1),  NORMDIST(I289,0,1,1)-1  ) * $P$11</f>
        <v>-0</v>
      </c>
      <c r="D289" s="25" t="n">
        <f aca="false">IF($O$11="sell",-1,1) * NORMDIST(I289,0,1,0)/(B289*$H$11*SQRT($J$11)) * $P$11</f>
        <v>0</v>
      </c>
      <c r="E289" s="25" t="n">
        <f aca="false">IF($O$11="sell",-1,1) * (B289*NORMDIST(I289,0,1,0)*SQRT($J$11)/365) * $P$11</f>
        <v>0</v>
      </c>
      <c r="F289" s="25" t="n">
        <f aca="false">IF($O$11="sell",-1,1) * (-(B289*NORMDIST(I289,0,1,0)*$H$11)/(2*SQRT($J$11))/365) *$P$11</f>
        <v>-0</v>
      </c>
      <c r="G289" s="25" t="n">
        <f aca="false">IF($O$11="buy",1,-1)*( IF($K$11="call",B289*NORMDIST(I289,0,1,1) - $B$11*NORMDIST(J289,0,1,1),$B$11*NORMDIST(-J289,0,1,1) - B289*NORMDIST(-I289,0,1,1) ) - $G$11) * $P$11</f>
        <v>0</v>
      </c>
      <c r="I289" s="26" t="n">
        <f aca="false">(LN(B289/$B$11)+($H$11^2/2)*($J$11))/($H$11*SQRT($J$11))</f>
        <v>0.0377388648187544</v>
      </c>
      <c r="J289" s="26" t="n">
        <f aca="false">I289 - $H$11*SQRT($J$11)</f>
        <v>-0.0377388648187544</v>
      </c>
    </row>
    <row r="290" customFormat="false" ht="13.5" hidden="false" customHeight="true" outlineLevel="0" collapsed="false">
      <c r="B290" s="29" t="n">
        <f aca="false">B260</f>
        <v>77</v>
      </c>
      <c r="C290" s="25" t="n">
        <f aca="false">IF($O$11="sell",-1,1) *  IF($K$11="call",  NORMDIST(I290,0,1,1),  NORMDIST(I290,0,1,1)-1  ) * $P$11</f>
        <v>-0</v>
      </c>
      <c r="D290" s="25" t="n">
        <f aca="false">IF($O$11="sell",-1,1) * NORMDIST(I290,0,1,0)/(B290*$H$11*SQRT($J$11)) * $P$11</f>
        <v>0</v>
      </c>
      <c r="E290" s="25" t="n">
        <f aca="false">IF($O$11="sell",-1,1) * (B290*NORMDIST(I290,0,1,0)*SQRT($J$11)/365) * $P$11</f>
        <v>0</v>
      </c>
      <c r="F290" s="25" t="n">
        <f aca="false">IF($O$11="sell",-1,1) * (-(B290*NORMDIST(I290,0,1,0)*$H$11)/(2*SQRT($J$11))/365) *$P$11</f>
        <v>-0</v>
      </c>
      <c r="G290" s="25" t="n">
        <f aca="false">IF($O$11="buy",1,-1)*( IF($K$11="call",B290*NORMDIST(I290,0,1,1) - $B$11*NORMDIST(J290,0,1,1),$B$11*NORMDIST(-J290,0,1,1) - B290*NORMDIST(-I290,0,1,1) ) - $G$11) * $P$11</f>
        <v>0</v>
      </c>
      <c r="I290" s="26" t="n">
        <f aca="false">(LN(B290/$B$11)+($H$11^2/2)*($J$11))/($H$11*SQRT($J$11))</f>
        <v>-0.133217586811124</v>
      </c>
      <c r="J290" s="26" t="n">
        <f aca="false">I290 - $H$11*SQRT($J$11)</f>
        <v>-0.208695316448633</v>
      </c>
    </row>
    <row r="291" customFormat="false" ht="13.5" hidden="false" customHeight="true" outlineLevel="0" collapsed="false">
      <c r="B291" s="29" t="n">
        <f aca="false">B261</f>
        <v>76</v>
      </c>
      <c r="C291" s="25" t="n">
        <f aca="false">IF($O$11="sell",-1,1) *  IF($K$11="call",  NORMDIST(I291,0,1,1),  NORMDIST(I291,0,1,1)-1  ) * $P$11</f>
        <v>-0</v>
      </c>
      <c r="D291" s="25" t="n">
        <f aca="false">IF($O$11="sell",-1,1) * NORMDIST(I291,0,1,0)/(B291*$H$11*SQRT($J$11)) * $P$11</f>
        <v>0</v>
      </c>
      <c r="E291" s="25" t="n">
        <f aca="false">IF($O$11="sell",-1,1) * (B291*NORMDIST(I291,0,1,0)*SQRT($J$11)/365) * $P$11</f>
        <v>0</v>
      </c>
      <c r="F291" s="25" t="n">
        <f aca="false">IF($O$11="sell",-1,1) * (-(B291*NORMDIST(I291,0,1,0)*$H$11)/(2*SQRT($J$11))/365) *$P$11</f>
        <v>-0</v>
      </c>
      <c r="G291" s="25" t="n">
        <f aca="false">IF($O$11="buy",1,-1)*( IF($K$11="call",B291*NORMDIST(I291,0,1,1) - $B$11*NORMDIST(J291,0,1,1),$B$11*NORMDIST(-J291,0,1,1) - B291*NORMDIST(-I291,0,1,1) ) - $G$11) * $P$11</f>
        <v>0</v>
      </c>
      <c r="I291" s="26" t="n">
        <f aca="false">(LN(B291/$B$11)+($H$11^2/2)*($J$11))/($H$11*SQRT($J$11))</f>
        <v>-0.306408826533532</v>
      </c>
      <c r="J291" s="26" t="n">
        <f aca="false">I291 - $H$11*SQRT($J$11)</f>
        <v>-0.38188655617104</v>
      </c>
    </row>
    <row r="292" customFormat="false" ht="13.5" hidden="false" customHeight="true" outlineLevel="0" collapsed="false">
      <c r="B292" s="29" t="n">
        <f aca="false">B262</f>
        <v>75</v>
      </c>
      <c r="C292" s="25" t="n">
        <f aca="false">IF($O$11="sell",-1,1) *  IF($K$11="call",  NORMDIST(I292,0,1,1),  NORMDIST(I292,0,1,1)-1  ) * $P$11</f>
        <v>-0</v>
      </c>
      <c r="D292" s="25" t="n">
        <f aca="false">IF($O$11="sell",-1,1) * NORMDIST(I292,0,1,0)/(B292*$H$11*SQRT($J$11)) * $P$11</f>
        <v>0</v>
      </c>
      <c r="E292" s="25" t="n">
        <f aca="false">IF($O$11="sell",-1,1) * (B292*NORMDIST(I292,0,1,0)*SQRT($J$11)/365) * $P$11</f>
        <v>0</v>
      </c>
      <c r="F292" s="25" t="n">
        <f aca="false">IF($O$11="sell",-1,1) * (-(B292*NORMDIST(I292,0,1,0)*$H$11)/(2*SQRT($J$11))/365) *$P$11</f>
        <v>-0</v>
      </c>
      <c r="G292" s="25" t="n">
        <f aca="false">IF($O$11="buy",1,-1)*( IF($K$11="call",B292*NORMDIST(I292,0,1,1) - $B$11*NORMDIST(J292,0,1,1),$B$11*NORMDIST(-J292,0,1,1) - B292*NORMDIST(-I292,0,1,1) ) - $G$11) * $P$11</f>
        <v>0</v>
      </c>
      <c r="I292" s="26" t="n">
        <f aca="false">(LN(B292/$B$11)+($H$11^2/2)*($J$11))/($H$11*SQRT($J$11))</f>
        <v>-0.481894056595862</v>
      </c>
      <c r="J292" s="26" t="n">
        <f aca="false">I292 - $H$11*SQRT($J$11)</f>
        <v>-0.557371786233371</v>
      </c>
    </row>
    <row r="293" customFormat="false" ht="13.5" hidden="false" customHeight="true" outlineLevel="0" collapsed="false">
      <c r="B293" s="29" t="n">
        <f aca="false">B263</f>
        <v>74</v>
      </c>
      <c r="C293" s="25" t="n">
        <f aca="false">IF($O$11="sell",-1,1) *  IF($K$11="call",  NORMDIST(I293,0,1,1),  NORMDIST(I293,0,1,1)-1  ) * $P$11</f>
        <v>-0</v>
      </c>
      <c r="D293" s="25" t="n">
        <f aca="false">IF($O$11="sell",-1,1) * NORMDIST(I293,0,1,0)/(B293*$H$11*SQRT($J$11)) * $P$11</f>
        <v>0</v>
      </c>
      <c r="E293" s="25" t="n">
        <f aca="false">IF($O$11="sell",-1,1) * (B293*NORMDIST(I293,0,1,0)*SQRT($J$11)/365) * $P$11</f>
        <v>0</v>
      </c>
      <c r="F293" s="25" t="n">
        <f aca="false">IF($O$11="sell",-1,1) * (-(B293*NORMDIST(I293,0,1,0)*$H$11)/(2*SQRT($J$11))/365) *$P$11</f>
        <v>-0</v>
      </c>
      <c r="G293" s="25" t="n">
        <f aca="false">IF($O$11="buy",1,-1)*( IF($K$11="call",B293*NORMDIST(I293,0,1,1) - $B$11*NORMDIST(J293,0,1,1),$B$11*NORMDIST(-J293,0,1,1) - B293*NORMDIST(-I293,0,1,1) ) - $G$11) * $P$11</f>
        <v>0</v>
      </c>
      <c r="I293" s="26" t="n">
        <f aca="false">(LN(B293/$B$11)+($H$11^2/2)*($J$11))/($H$11*SQRT($J$11))</f>
        <v>-0.659734863369018</v>
      </c>
      <c r="J293" s="26" t="n">
        <f aca="false">I293 - $H$11*SQRT($J$11)</f>
        <v>-0.735212593006527</v>
      </c>
    </row>
    <row r="294" customFormat="false" ht="13.5" hidden="false" customHeight="true" outlineLevel="0" collapsed="false">
      <c r="B294" s="29" t="n">
        <f aca="false">B264</f>
        <v>73</v>
      </c>
      <c r="C294" s="25" t="n">
        <f aca="false">IF($O$11="sell",-1,1) *  IF($K$11="call",  NORMDIST(I294,0,1,1),  NORMDIST(I294,0,1,1)-1  ) * $P$11</f>
        <v>-0</v>
      </c>
      <c r="D294" s="25" t="n">
        <f aca="false">IF($O$11="sell",-1,1) * NORMDIST(I294,0,1,0)/(B294*$H$11*SQRT($J$11)) * $P$11</f>
        <v>0</v>
      </c>
      <c r="E294" s="25" t="n">
        <f aca="false">IF($O$11="sell",-1,1) * (B294*NORMDIST(I294,0,1,0)*SQRT($J$11)/365) * $P$11</f>
        <v>0</v>
      </c>
      <c r="F294" s="25" t="n">
        <f aca="false">IF($O$11="sell",-1,1) * (-(B294*NORMDIST(I294,0,1,0)*$H$11)/(2*SQRT($J$11))/365) *$P$11</f>
        <v>-0</v>
      </c>
      <c r="G294" s="25" t="n">
        <f aca="false">IF($O$11="buy",1,-1)*( IF($K$11="call",B294*NORMDIST(I294,0,1,1) - $B$11*NORMDIST(J294,0,1,1),$B$11*NORMDIST(-J294,0,1,1) - B294*NORMDIST(-I294,0,1,1) ) - $G$11) * $P$11</f>
        <v>0</v>
      </c>
      <c r="I294" s="26" t="n">
        <f aca="false">(LN(B294/$B$11)+($H$11^2/2)*($J$11))/($H$11*SQRT($J$11))</f>
        <v>-0.839995347105366</v>
      </c>
      <c r="J294" s="26" t="n">
        <f aca="false">I294 - $H$11*SQRT($J$11)</f>
        <v>-0.915473076742875</v>
      </c>
    </row>
    <row r="295" customFormat="false" ht="13.5" hidden="false" customHeight="true" outlineLevel="0" collapsed="false">
      <c r="B295" s="29" t="n">
        <f aca="false">B265</f>
        <v>72</v>
      </c>
      <c r="C295" s="25" t="n">
        <f aca="false">IF($O$11="sell",-1,1) *  IF($K$11="call",  NORMDIST(I295,0,1,1),  NORMDIST(I295,0,1,1)-1  ) * $P$11</f>
        <v>-0</v>
      </c>
      <c r="D295" s="25" t="n">
        <f aca="false">IF($O$11="sell",-1,1) * NORMDIST(I295,0,1,0)/(B295*$H$11*SQRT($J$11)) * $P$11</f>
        <v>0</v>
      </c>
      <c r="E295" s="25" t="n">
        <f aca="false">IF($O$11="sell",-1,1) * (B295*NORMDIST(I295,0,1,0)*SQRT($J$11)/365) * $P$11</f>
        <v>0</v>
      </c>
      <c r="F295" s="25" t="n">
        <f aca="false">IF($O$11="sell",-1,1) * (-(B295*NORMDIST(I295,0,1,0)*$H$11)/(2*SQRT($J$11))/365) *$P$11</f>
        <v>-0</v>
      </c>
      <c r="G295" s="25" t="n">
        <f aca="false">IF($O$11="buy",1,-1)*( IF($K$11="call",B295*NORMDIST(I295,0,1,1) - $B$11*NORMDIST(J295,0,1,1),$B$11*NORMDIST(-J295,0,1,1) - B295*NORMDIST(-I295,0,1,1) ) - $G$11) * $P$11</f>
        <v>0</v>
      </c>
      <c r="I295" s="26" t="n">
        <f aca="false">(LN(B295/$B$11)+($H$11^2/2)*($J$11))/($H$11*SQRT($J$11))</f>
        <v>-1.02274226064635</v>
      </c>
      <c r="J295" s="26" t="n">
        <f aca="false">I295 - $H$11*SQRT($J$11)</f>
        <v>-1.09821999028386</v>
      </c>
    </row>
    <row r="296" customFormat="false" ht="13.5" hidden="false" customHeight="true" outlineLevel="0" collapsed="false">
      <c r="B296" s="29" t="n">
        <f aca="false">B266</f>
        <v>71</v>
      </c>
      <c r="C296" s="25" t="n">
        <f aca="false">IF($O$11="sell",-1,1) *  IF($K$11="call",  NORMDIST(I296,0,1,1),  NORMDIST(I296,0,1,1)-1  ) * $P$11</f>
        <v>-0</v>
      </c>
      <c r="D296" s="25" t="n">
        <f aca="false">IF($O$11="sell",-1,1) * NORMDIST(I296,0,1,0)/(B296*$H$11*SQRT($J$11)) * $P$11</f>
        <v>0</v>
      </c>
      <c r="E296" s="25" t="n">
        <f aca="false">IF($O$11="sell",-1,1) * (B296*NORMDIST(I296,0,1,0)*SQRT($J$11)/365) * $P$11</f>
        <v>0</v>
      </c>
      <c r="F296" s="25" t="n">
        <f aca="false">IF($O$11="sell",-1,1) * (-(B296*NORMDIST(I296,0,1,0)*$H$11)/(2*SQRT($J$11))/365) *$P$11</f>
        <v>-0</v>
      </c>
      <c r="G296" s="25" t="n">
        <f aca="false">IF($O$11="buy",1,-1)*( IF($K$11="call",B296*NORMDIST(I296,0,1,1) - $B$11*NORMDIST(J296,0,1,1),$B$11*NORMDIST(-J296,0,1,1) - B296*NORMDIST(-I296,0,1,1) ) - $G$11) * $P$11</f>
        <v>0</v>
      </c>
      <c r="I296" s="26" t="n">
        <f aca="false">(LN(B296/$B$11)+($H$11^2/2)*($J$11))/($H$11*SQRT($J$11))</f>
        <v>-1.20804515783087</v>
      </c>
      <c r="J296" s="26" t="n">
        <f aca="false">I296 - $H$11*SQRT($J$11)</f>
        <v>-1.28352288746838</v>
      </c>
    </row>
    <row r="297" customFormat="false" ht="13.5" hidden="false" customHeight="true" outlineLevel="0" collapsed="false">
      <c r="B297" s="29" t="n">
        <f aca="false">B267</f>
        <v>70</v>
      </c>
      <c r="C297" s="25" t="n">
        <f aca="false">IF($O$11="sell",-1,1) *  IF($K$11="call",  NORMDIST(I297,0,1,1),  NORMDIST(I297,0,1,1)-1  ) * $P$11</f>
        <v>-0</v>
      </c>
      <c r="D297" s="25" t="n">
        <f aca="false">IF($O$11="sell",-1,1) * NORMDIST(I297,0,1,0)/(B297*$H$11*SQRT($J$11)) * $P$11</f>
        <v>0</v>
      </c>
      <c r="E297" s="25" t="n">
        <f aca="false">IF($O$11="sell",-1,1) * (B297*NORMDIST(I297,0,1,0)*SQRT($J$11)/365) * $P$11</f>
        <v>0</v>
      </c>
      <c r="F297" s="25" t="n">
        <f aca="false">IF($O$11="sell",-1,1) * (-(B297*NORMDIST(I297,0,1,0)*$H$11)/(2*SQRT($J$11))/365) *$P$11</f>
        <v>-0</v>
      </c>
      <c r="G297" s="25" t="n">
        <f aca="false">IF($O$11="buy",1,-1)*( IF($K$11="call",B297*NORMDIST(I297,0,1,1) - $B$11*NORMDIST(J297,0,1,1),$B$11*NORMDIST(-J297,0,1,1) - B297*NORMDIST(-I297,0,1,1) ) - $G$11) * $P$11</f>
        <v>0</v>
      </c>
      <c r="I297" s="26" t="n">
        <f aca="false">(LN(B297/$B$11)+($H$11^2/2)*($J$11))/($H$11*SQRT($J$11))</f>
        <v>-1.39597655243004</v>
      </c>
      <c r="J297" s="26" t="n">
        <f aca="false">I297 - $H$11*SQRT($J$11)</f>
        <v>-1.47145428206755</v>
      </c>
    </row>
    <row r="298" customFormat="false" ht="13.5" hidden="false" customHeight="true" outlineLevel="0" collapsed="false">
      <c r="B298" s="29" t="n">
        <f aca="false">B268</f>
        <v>69</v>
      </c>
      <c r="C298" s="25" t="n">
        <f aca="false">IF($O$11="sell",-1,1) *  IF($K$11="call",  NORMDIST(I298,0,1,1),  NORMDIST(I298,0,1,1)-1  ) * $P$11</f>
        <v>-0</v>
      </c>
      <c r="D298" s="25" t="n">
        <f aca="false">IF($O$11="sell",-1,1) * NORMDIST(I298,0,1,0)/(B298*$H$11*SQRT($J$11)) * $P$11</f>
        <v>0</v>
      </c>
      <c r="E298" s="25" t="n">
        <f aca="false">IF($O$11="sell",-1,1) * (B298*NORMDIST(I298,0,1,0)*SQRT($J$11)/365) * $P$11</f>
        <v>0</v>
      </c>
      <c r="F298" s="25" t="n">
        <f aca="false">IF($O$11="sell",-1,1) * (-(B298*NORMDIST(I298,0,1,0)*$H$11)/(2*SQRT($J$11))/365) *$P$11</f>
        <v>-0</v>
      </c>
      <c r="G298" s="25" t="n">
        <f aca="false">IF($O$11="buy",1,-1)*( IF($K$11="call",B298*NORMDIST(I298,0,1,1) - $B$11*NORMDIST(J298,0,1,1),$B$11*NORMDIST(-J298,0,1,1) - B298*NORMDIST(-I298,0,1,1) ) - $G$11) * $P$11</f>
        <v>0</v>
      </c>
      <c r="I298" s="26" t="n">
        <f aca="false">(LN(B298/$B$11)+($H$11^2/2)*($J$11))/($H$11*SQRT($J$11))</f>
        <v>-1.58661208851735</v>
      </c>
      <c r="J298" s="26" t="n">
        <f aca="false">I298 - $H$11*SQRT($J$11)</f>
        <v>-1.66208981815486</v>
      </c>
    </row>
    <row r="299" customFormat="false" ht="13.5" hidden="false" customHeight="true" outlineLevel="0" collapsed="false">
      <c r="B299" s="29" t="n">
        <f aca="false">B269</f>
        <v>68</v>
      </c>
      <c r="C299" s="25" t="n">
        <f aca="false">IF($O$11="sell",-1,1) *  IF($K$11="call",  NORMDIST(I299,0,1,1),  NORMDIST(I299,0,1,1)-1  ) * $P$11</f>
        <v>-0</v>
      </c>
      <c r="D299" s="25" t="n">
        <f aca="false">IF($O$11="sell",-1,1) * NORMDIST(I299,0,1,0)/(B299*$H$11*SQRT($J$11)) * $P$11</f>
        <v>0</v>
      </c>
      <c r="E299" s="25" t="n">
        <f aca="false">IF($O$11="sell",-1,1) * (B299*NORMDIST(I299,0,1,0)*SQRT($J$11)/365) * $P$11</f>
        <v>0</v>
      </c>
      <c r="F299" s="25" t="n">
        <f aca="false">IF($O$11="sell",-1,1) * (-(B299*NORMDIST(I299,0,1,0)*$H$11)/(2*SQRT($J$11))/365) *$P$11</f>
        <v>-0</v>
      </c>
      <c r="G299" s="25" t="n">
        <f aca="false">IF($O$11="buy",1,-1)*( IF($K$11="call",B299*NORMDIST(I299,0,1,1) - $B$11*NORMDIST(J299,0,1,1),$B$11*NORMDIST(-J299,0,1,1) - B299*NORMDIST(-I299,0,1,1) ) - $G$11) * $P$11</f>
        <v>0</v>
      </c>
      <c r="I299" s="26" t="n">
        <f aca="false">(LN(B299/$B$11)+($H$11^2/2)*($J$11))/($H$11*SQRT($J$11))</f>
        <v>-1.78003072327578</v>
      </c>
      <c r="J299" s="26" t="n">
        <f aca="false">I299 - $H$11*SQRT($J$11)</f>
        <v>-1.85550845291329</v>
      </c>
    </row>
    <row r="300" customFormat="false" ht="13.5" hidden="false" customHeight="true" outlineLevel="0" collapsed="false">
      <c r="B300" s="29" t="n">
        <f aca="false">B270</f>
        <v>67</v>
      </c>
      <c r="C300" s="25" t="n">
        <f aca="false">IF($O$11="sell",-1,1) *  IF($K$11="call",  NORMDIST(I300,0,1,1),  NORMDIST(I300,0,1,1)-1  ) * $P$11</f>
        <v>-0</v>
      </c>
      <c r="D300" s="25" t="n">
        <f aca="false">IF($O$11="sell",-1,1) * NORMDIST(I300,0,1,0)/(B300*$H$11*SQRT($J$11)) * $P$11</f>
        <v>0</v>
      </c>
      <c r="E300" s="25" t="n">
        <f aca="false">IF($O$11="sell",-1,1) * (B300*NORMDIST(I300,0,1,0)*SQRT($J$11)/365) * $P$11</f>
        <v>0</v>
      </c>
      <c r="F300" s="25" t="n">
        <f aca="false">IF($O$11="sell",-1,1) * (-(B300*NORMDIST(I300,0,1,0)*$H$11)/(2*SQRT($J$11))/365) *$P$11</f>
        <v>-0</v>
      </c>
      <c r="G300" s="25" t="n">
        <f aca="false">IF($O$11="buy",1,-1)*( IF($K$11="call",B300*NORMDIST(I300,0,1,1) - $B$11*NORMDIST(J300,0,1,1),$B$11*NORMDIST(-J300,0,1,1) - B300*NORMDIST(-I300,0,1,1) ) - $G$11) * $P$11</f>
        <v>0</v>
      </c>
      <c r="I300" s="26" t="n">
        <f aca="false">(LN(B300/$B$11)+($H$11^2/2)*($J$11))/($H$11*SQRT($J$11))</f>
        <v>-1.97631492334767</v>
      </c>
      <c r="J300" s="26" t="n">
        <f aca="false">I300 - $H$11*SQRT($J$11)</f>
        <v>-2.05179265298518</v>
      </c>
    </row>
    <row r="301" customFormat="false" ht="13.5" hidden="false" customHeight="true" outlineLevel="0" collapsed="false">
      <c r="B301" s="29" t="n">
        <f aca="false">B271</f>
        <v>66</v>
      </c>
      <c r="C301" s="25" t="n">
        <f aca="false">IF($O$11="sell",-1,1) *  IF($K$11="call",  NORMDIST(I301,0,1,1),  NORMDIST(I301,0,1,1)-1  ) * $P$11</f>
        <v>-0</v>
      </c>
      <c r="D301" s="25" t="n">
        <f aca="false">IF($O$11="sell",-1,1) * NORMDIST(I301,0,1,0)/(B301*$H$11*SQRT($J$11)) * $P$11</f>
        <v>0</v>
      </c>
      <c r="E301" s="25" t="n">
        <f aca="false">IF($O$11="sell",-1,1) * (B301*NORMDIST(I301,0,1,0)*SQRT($J$11)/365) * $P$11</f>
        <v>0</v>
      </c>
      <c r="F301" s="25" t="n">
        <f aca="false">IF($O$11="sell",-1,1) * (-(B301*NORMDIST(I301,0,1,0)*$H$11)/(2*SQRT($J$11))/365) *$P$11</f>
        <v>-0</v>
      </c>
      <c r="G301" s="25" t="n">
        <f aca="false">IF($O$11="buy",1,-1)*( IF($K$11="call",B301*NORMDIST(I301,0,1,1) - $B$11*NORMDIST(J301,0,1,1),$B$11*NORMDIST(-J301,0,1,1) - B301*NORMDIST(-I301,0,1,1) ) - $G$11) * $P$11</f>
        <v>0</v>
      </c>
      <c r="I301" s="26" t="n">
        <f aca="false">(LN(B301/$B$11)+($H$11^2/2)*($J$11))/($H$11*SQRT($J$11))</f>
        <v>-2.17555087594934</v>
      </c>
      <c r="J301" s="26" t="n">
        <f aca="false">I301 - $H$11*SQRT($J$11)</f>
        <v>-2.25102860558685</v>
      </c>
    </row>
    <row r="302" customFormat="false" ht="13.5" hidden="false" customHeight="true" outlineLevel="0" collapsed="false">
      <c r="B302" s="29" t="n">
        <f aca="false">B272</f>
        <v>65</v>
      </c>
      <c r="C302" s="25" t="n">
        <f aca="false">IF($O$11="sell",-1,1) *  IF($K$11="call",  NORMDIST(I302,0,1,1),  NORMDIST(I302,0,1,1)-1  ) * $P$11</f>
        <v>-0</v>
      </c>
      <c r="D302" s="25" t="n">
        <f aca="false">IF($O$11="sell",-1,1) * NORMDIST(I302,0,1,0)/(B302*$H$11*SQRT($J$11)) * $P$11</f>
        <v>0</v>
      </c>
      <c r="E302" s="25" t="n">
        <f aca="false">IF($O$11="sell",-1,1) * (B302*NORMDIST(I302,0,1,0)*SQRT($J$11)/365) * $P$11</f>
        <v>0</v>
      </c>
      <c r="F302" s="25" t="n">
        <f aca="false">IF($O$11="sell",-1,1) * (-(B302*NORMDIST(I302,0,1,0)*$H$11)/(2*SQRT($J$11))/365) *$P$11</f>
        <v>-0</v>
      </c>
      <c r="G302" s="25" t="n">
        <f aca="false">IF($O$11="buy",1,-1)*( IF($K$11="call",B302*NORMDIST(I302,0,1,1) - $B$11*NORMDIST(J302,0,1,1),$B$11*NORMDIST(-J302,0,1,1) - B302*NORMDIST(-I302,0,1,1) ) - $G$11) * $P$11</f>
        <v>0</v>
      </c>
      <c r="I302" s="26" t="n">
        <f aca="false">(LN(B302/$B$11)+($H$11^2/2)*($J$11))/($H$11*SQRT($J$11))</f>
        <v>-2.37782871610315</v>
      </c>
      <c r="J302" s="26" t="n">
        <f aca="false">I302 - $H$11*SQRT($J$11)</f>
        <v>-2.45330644574066</v>
      </c>
    </row>
    <row r="303" customFormat="false" ht="13.5" hidden="false" customHeight="true" outlineLevel="0" collapsed="false">
      <c r="B303" s="29" t="n">
        <f aca="false">B273</f>
        <v>64</v>
      </c>
      <c r="C303" s="25" t="n">
        <f aca="false">IF($O$11="sell",-1,1) *  IF($K$11="call",  NORMDIST(I303,0,1,1),  NORMDIST(I303,0,1,1)-1  ) * $P$11</f>
        <v>-0</v>
      </c>
      <c r="D303" s="25" t="n">
        <f aca="false">IF($O$11="sell",-1,1) * NORMDIST(I303,0,1,0)/(B303*$H$11*SQRT($J$11)) * $P$11</f>
        <v>0</v>
      </c>
      <c r="E303" s="25" t="n">
        <f aca="false">IF($O$11="sell",-1,1) * (B303*NORMDIST(I303,0,1,0)*SQRT($J$11)/365) * $P$11</f>
        <v>0</v>
      </c>
      <c r="F303" s="25" t="n">
        <f aca="false">IF($O$11="sell",-1,1) * (-(B303*NORMDIST(I303,0,1,0)*$H$11)/(2*SQRT($J$11))/365) *$P$11</f>
        <v>-0</v>
      </c>
      <c r="G303" s="25" t="n">
        <f aca="false">IF($O$11="buy",1,-1)*( IF($K$11="call",B303*NORMDIST(I303,0,1,1) - $B$11*NORMDIST(J303,0,1,1),$B$11*NORMDIST(-J303,0,1,1) - B303*NORMDIST(-I303,0,1,1) ) - $G$11) * $P$11</f>
        <v>0</v>
      </c>
      <c r="I303" s="26" t="n">
        <f aca="false">(LN(B303/$B$11)+($H$11^2/2)*($J$11))/($H$11*SQRT($J$11))</f>
        <v>-2.58324277148645</v>
      </c>
      <c r="J303" s="26" t="n">
        <f aca="false">I303 - $H$11*SQRT($J$11)</f>
        <v>-2.65872050112396</v>
      </c>
    </row>
    <row r="304" customFormat="false" ht="13.5" hidden="false" customHeight="true" outlineLevel="0" collapsed="false">
      <c r="B304" s="29" t="n">
        <f aca="false">B274</f>
        <v>63</v>
      </c>
      <c r="C304" s="25" t="n">
        <f aca="false">IF($O$11="sell",-1,1) *  IF($K$11="call",  NORMDIST(I304,0,1,1),  NORMDIST(I304,0,1,1)-1  ) * $P$11</f>
        <v>-0</v>
      </c>
      <c r="D304" s="25" t="n">
        <f aca="false">IF($O$11="sell",-1,1) * NORMDIST(I304,0,1,0)/(B304*$H$11*SQRT($J$11)) * $P$11</f>
        <v>0</v>
      </c>
      <c r="E304" s="25" t="n">
        <f aca="false">IF($O$11="sell",-1,1) * (B304*NORMDIST(I304,0,1,0)*SQRT($J$11)/365) * $P$11</f>
        <v>0</v>
      </c>
      <c r="F304" s="25" t="n">
        <f aca="false">IF($O$11="sell",-1,1) * (-(B304*NORMDIST(I304,0,1,0)*$H$11)/(2*SQRT($J$11))/365) *$P$11</f>
        <v>-0</v>
      </c>
      <c r="G304" s="25" t="n">
        <f aca="false">IF($O$11="buy",1,-1)*( IF($K$11="call",B304*NORMDIST(I304,0,1,1) - $B$11*NORMDIST(J304,0,1,1),$B$11*NORMDIST(-J304,0,1,1) - B304*NORMDIST(-I304,0,1,1) ) - $G$11) * $P$11</f>
        <v>0</v>
      </c>
      <c r="I304" s="26" t="n">
        <f aca="false">(LN(B304/$B$11)+($H$11^2/2)*($J$11))/($H$11*SQRT($J$11))</f>
        <v>-2.79189182656234</v>
      </c>
      <c r="J304" s="26" t="n">
        <f aca="false">I304 - $H$11*SQRT($J$11)</f>
        <v>-2.86736955619984</v>
      </c>
    </row>
    <row r="305" customFormat="false" ht="13.5" hidden="false" customHeight="true" outlineLevel="0" collapsed="false">
      <c r="B305" s="29" t="n">
        <f aca="false">B275</f>
        <v>62</v>
      </c>
      <c r="C305" s="25" t="n">
        <f aca="false">IF($O$11="sell",-1,1) *  IF($K$11="call",  NORMDIST(I305,0,1,1),  NORMDIST(I305,0,1,1)-1  ) * $P$11</f>
        <v>-0</v>
      </c>
      <c r="D305" s="25" t="n">
        <f aca="false">IF($O$11="sell",-1,1) * NORMDIST(I305,0,1,0)/(B305*$H$11*SQRT($J$11)) * $P$11</f>
        <v>0</v>
      </c>
      <c r="E305" s="25" t="n">
        <f aca="false">IF($O$11="sell",-1,1) * (B305*NORMDIST(I305,0,1,0)*SQRT($J$11)/365) * $P$11</f>
        <v>0</v>
      </c>
      <c r="F305" s="25" t="n">
        <f aca="false">IF($O$11="sell",-1,1) * (-(B305*NORMDIST(I305,0,1,0)*$H$11)/(2*SQRT($J$11))/365) *$P$11</f>
        <v>-0</v>
      </c>
      <c r="G305" s="25" t="n">
        <f aca="false">IF($O$11="buy",1,-1)*( IF($K$11="call",B305*NORMDIST(I305,0,1,1) - $B$11*NORMDIST(J305,0,1,1),$B$11*NORMDIST(-J305,0,1,1) - B305*NORMDIST(-I305,0,1,1) ) - $G$11) * $P$11</f>
        <v>0</v>
      </c>
      <c r="I305" s="26" t="n">
        <f aca="false">(LN(B305/$B$11)+($H$11^2/2)*($J$11))/($H$11*SQRT($J$11))</f>
        <v>-3.00387940784339</v>
      </c>
      <c r="J305" s="26" t="n">
        <f aca="false">I305 - $H$11*SQRT($J$11)</f>
        <v>-3.0793571374809</v>
      </c>
    </row>
    <row r="306" customFormat="false" ht="13.5" hidden="false" customHeight="true" outlineLevel="0" collapsed="false">
      <c r="B306" s="29" t="n">
        <f aca="false">B276</f>
        <v>61</v>
      </c>
      <c r="C306" s="25" t="n">
        <f aca="false">IF($O$11="sell",-1,1) *  IF($K$11="call",  NORMDIST(I306,0,1,1),  NORMDIST(I306,0,1,1)-1  ) * $P$11</f>
        <v>-0</v>
      </c>
      <c r="D306" s="25" t="n">
        <f aca="false">IF($O$11="sell",-1,1) * NORMDIST(I306,0,1,0)/(B306*$H$11*SQRT($J$11)) * $P$11</f>
        <v>0</v>
      </c>
      <c r="E306" s="25" t="n">
        <f aca="false">IF($O$11="sell",-1,1) * (B306*NORMDIST(I306,0,1,0)*SQRT($J$11)/365) * $P$11</f>
        <v>0</v>
      </c>
      <c r="F306" s="25" t="n">
        <f aca="false">IF($O$11="sell",-1,1) * (-(B306*NORMDIST(I306,0,1,0)*$H$11)/(2*SQRT($J$11))/365) *$P$11</f>
        <v>-0</v>
      </c>
      <c r="G306" s="25" t="n">
        <f aca="false">IF($O$11="buy",1,-1)*( IF($K$11="call",B306*NORMDIST(I306,0,1,1) - $B$11*NORMDIST(J306,0,1,1),$B$11*NORMDIST(-J306,0,1,1) - B306*NORMDIST(-I306,0,1,1) ) - $G$11) * $P$11</f>
        <v>0</v>
      </c>
      <c r="I306" s="26" t="n">
        <f aca="false">(LN(B306/$B$11)+($H$11^2/2)*($J$11))/($H$11*SQRT($J$11))</f>
        <v>-3.21931409235064</v>
      </c>
      <c r="J306" s="26" t="n">
        <f aca="false">I306 - $H$11*SQRT($J$11)</f>
        <v>-3.29479182198815</v>
      </c>
    </row>
    <row r="307" customFormat="false" ht="13.5" hidden="false" customHeight="true" outlineLevel="0" collapsed="false">
      <c r="B307" s="29" t="n">
        <f aca="false">B277</f>
        <v>60</v>
      </c>
      <c r="C307" s="25" t="n">
        <f aca="false">IF($O$11="sell",-1,1) *  IF($K$11="call",  NORMDIST(I307,0,1,1),  NORMDIST(I307,0,1,1)-1  ) * $P$11</f>
        <v>-0</v>
      </c>
      <c r="D307" s="25" t="n">
        <f aca="false">IF($O$11="sell",-1,1) * NORMDIST(I307,0,1,0)/(B307*$H$11*SQRT($J$11)) * $P$11</f>
        <v>0</v>
      </c>
      <c r="E307" s="25" t="n">
        <f aca="false">IF($O$11="sell",-1,1) * (B307*NORMDIST(I307,0,1,0)*SQRT($J$11)/365) * $P$11</f>
        <v>0</v>
      </c>
      <c r="F307" s="25" t="n">
        <f aca="false">IF($O$11="sell",-1,1) * (-(B307*NORMDIST(I307,0,1,0)*$H$11)/(2*SQRT($J$11))/365) *$P$11</f>
        <v>-0</v>
      </c>
      <c r="G307" s="25" t="n">
        <f aca="false">IF($O$11="buy",1,-1)*( IF($K$11="call",B307*NORMDIST(I307,0,1,1) - $B$11*NORMDIST(J307,0,1,1),$B$11*NORMDIST(-J307,0,1,1) - B307*NORMDIST(-I307,0,1,1) ) - $G$11) * $P$11</f>
        <v>0</v>
      </c>
      <c r="I307" s="26" t="n">
        <f aca="false">(LN(B307/$B$11)+($H$11^2/2)*($J$11))/($H$11*SQRT($J$11))</f>
        <v>-3.43830984156826</v>
      </c>
      <c r="J307" s="26" t="n">
        <f aca="false">I307 - $H$11*SQRT($J$11)</f>
        <v>-3.51378757120576</v>
      </c>
    </row>
    <row r="308" customFormat="false" ht="13.5" hidden="false" customHeight="true" outlineLevel="0" collapsed="false">
      <c r="B308" s="29" t="n">
        <f aca="false">B278</f>
        <v>59</v>
      </c>
      <c r="C308" s="25" t="n">
        <f aca="false">IF($O$11="sell",-1,1) *  IF($K$11="call",  NORMDIST(I308,0,1,1),  NORMDIST(I308,0,1,1)-1  ) * $P$11</f>
        <v>-0</v>
      </c>
      <c r="D308" s="25" t="n">
        <f aca="false">IF($O$11="sell",-1,1) * NORMDIST(I308,0,1,0)/(B308*$H$11*SQRT($J$11)) * $P$11</f>
        <v>0</v>
      </c>
      <c r="E308" s="25" t="n">
        <f aca="false">IF($O$11="sell",-1,1) * (B308*NORMDIST(I308,0,1,0)*SQRT($J$11)/365) * $P$11</f>
        <v>0</v>
      </c>
      <c r="F308" s="25" t="n">
        <f aca="false">IF($O$11="sell",-1,1) * (-(B308*NORMDIST(I308,0,1,0)*$H$11)/(2*SQRT($J$11))/365) *$P$11</f>
        <v>-0</v>
      </c>
      <c r="G308" s="25" t="n">
        <f aca="false">IF($O$11="buy",1,-1)*( IF($K$11="call",B308*NORMDIST(I308,0,1,1) - $B$11*NORMDIST(J308,0,1,1),$B$11*NORMDIST(-J308,0,1,1) - B308*NORMDIST(-I308,0,1,1) ) - $G$11) * $P$11</f>
        <v>0</v>
      </c>
      <c r="I308" s="26" t="n">
        <f aca="false">(LN(B308/$B$11)+($H$11^2/2)*($J$11))/($H$11*SQRT($J$11))</f>
        <v>-3.6609863634655</v>
      </c>
      <c r="J308" s="26" t="n">
        <f aca="false">I308 - $H$11*SQRT($J$11)</f>
        <v>-3.73646409310301</v>
      </c>
    </row>
    <row r="309" customFormat="false" ht="13.5" hidden="false" customHeight="true" outlineLevel="0" collapsed="false">
      <c r="B309" s="29" t="n">
        <f aca="false">B279</f>
        <v>58</v>
      </c>
      <c r="C309" s="25" t="n">
        <f aca="false">IF($O$11="sell",-1,1) *  IF($K$11="call",  NORMDIST(I309,0,1,1),  NORMDIST(I309,0,1,1)-1  ) * $P$11</f>
        <v>-0</v>
      </c>
      <c r="D309" s="25" t="n">
        <f aca="false">IF($O$11="sell",-1,1) * NORMDIST(I309,0,1,0)/(B309*$H$11*SQRT($J$11)) * $P$11</f>
        <v>0</v>
      </c>
      <c r="E309" s="25" t="n">
        <f aca="false">IF($O$11="sell",-1,1) * (B309*NORMDIST(I309,0,1,0)*SQRT($J$11)/365) * $P$11</f>
        <v>0</v>
      </c>
      <c r="F309" s="25" t="n">
        <f aca="false">IF($O$11="sell",-1,1) * (-(B309*NORMDIST(I309,0,1,0)*$H$11)/(2*SQRT($J$11))/365) *$P$11</f>
        <v>-0</v>
      </c>
      <c r="G309" s="25" t="n">
        <f aca="false">IF($O$11="buy",1,-1)*( IF($K$11="call",B309*NORMDIST(I309,0,1,1) - $B$11*NORMDIST(J309,0,1,1),$B$11*NORMDIST(-J309,0,1,1) - B309*NORMDIST(-I309,0,1,1) ) - $G$11) * $P$11</f>
        <v>0</v>
      </c>
      <c r="I309" s="26" t="n">
        <f aca="false">(LN(B309/$B$11)+($H$11^2/2)*($J$11))/($H$11*SQRT($J$11))</f>
        <v>-3.88746950546511</v>
      </c>
      <c r="J309" s="26" t="n">
        <f aca="false">I309 - $H$11*SQRT($J$11)</f>
        <v>-3.96294723510262</v>
      </c>
    </row>
    <row r="310" customFormat="false" ht="13.5" hidden="false" customHeight="true" outlineLevel="0" collapsed="false">
      <c r="B310" s="29" t="n">
        <f aca="false">B280</f>
        <v>57</v>
      </c>
      <c r="C310" s="25" t="n">
        <f aca="false">IF($O$11="sell",-1,1) *  IF($K$11="call",  NORMDIST(I310,0,1,1),  NORMDIST(I310,0,1,1)-1  ) * $P$11</f>
        <v>-0</v>
      </c>
      <c r="D310" s="25" t="n">
        <f aca="false">IF($O$11="sell",-1,1) * NORMDIST(I310,0,1,0)/(B310*$H$11*SQRT($J$11)) * $P$11</f>
        <v>0</v>
      </c>
      <c r="E310" s="25" t="n">
        <f aca="false">IF($O$11="sell",-1,1) * (B310*NORMDIST(I310,0,1,0)*SQRT($J$11)/365) * $P$11</f>
        <v>0</v>
      </c>
      <c r="F310" s="25" t="n">
        <f aca="false">IF($O$11="sell",-1,1) * (-(B310*NORMDIST(I310,0,1,0)*$H$11)/(2*SQRT($J$11))/365) *$P$11</f>
        <v>-0</v>
      </c>
      <c r="G310" s="25" t="n">
        <f aca="false">IF($O$11="buy",1,-1)*( IF($K$11="call",B310*NORMDIST(I310,0,1,1) - $B$11*NORMDIST(J310,0,1,1),$B$11*NORMDIST(-J310,0,1,1) - B310*NORMDIST(-I310,0,1,1) ) - $G$11) * $P$11</f>
        <v>0</v>
      </c>
      <c r="I310" s="26" t="n">
        <f aca="false">(LN(B310/$B$11)+($H$11^2/2)*($J$11))/($H$11*SQRT($J$11))</f>
        <v>-4.11789168158773</v>
      </c>
      <c r="J310" s="26" t="n">
        <f aca="false">I310 - $H$11*SQRT($J$11)</f>
        <v>-4.19336941122524</v>
      </c>
    </row>
    <row r="311" customFormat="false" ht="13.5" hidden="false" customHeight="true" outlineLevel="0" collapsed="false">
      <c r="B311" s="30"/>
      <c r="C311" s="22"/>
      <c r="D311" s="22"/>
      <c r="E311" s="22"/>
      <c r="F311" s="22"/>
      <c r="G311" s="22"/>
      <c r="I311" s="31"/>
      <c r="J311" s="31"/>
    </row>
    <row r="312" customFormat="false" ht="13.5" hidden="false" customHeight="true" outlineLevel="0" collapsed="false"/>
    <row r="313" customFormat="false" ht="17.25" hidden="false" customHeight="true" outlineLevel="0" collapsed="false">
      <c r="A313" s="2" t="s">
        <v>160</v>
      </c>
      <c r="B313" s="23"/>
      <c r="C313" s="19" t="s">
        <v>13</v>
      </c>
      <c r="D313" s="19" t="s">
        <v>14</v>
      </c>
      <c r="E313" s="19" t="s">
        <v>15</v>
      </c>
      <c r="F313" s="19" t="s">
        <v>16</v>
      </c>
      <c r="G313" s="19" t="s">
        <v>17</v>
      </c>
    </row>
    <row r="314" customFormat="false" ht="13.5" hidden="false" customHeight="true" outlineLevel="0" collapsed="false">
      <c r="B314" s="29" t="n">
        <f aca="false">B17</f>
        <v>83</v>
      </c>
      <c r="C314" s="25" t="n">
        <f aca="false">C17+C46+C75+C104+C134+C164+C194+C224+C254+C284</f>
        <v>-1.58978247177896</v>
      </c>
      <c r="D314" s="25" t="n">
        <f aca="false">D17+D46+D75+D104+D134+D164+D194+D224+D254+D284</f>
        <v>0.234635242387356</v>
      </c>
      <c r="E314" s="25" t="n">
        <f aca="false">E17+E46+E75+E104+E134+E164+E194+E224+E254+E284</f>
        <v>0.0869948414299146</v>
      </c>
      <c r="F314" s="25" t="n">
        <f aca="false">F17+F46+F75+F104+F134+F164+F194+F224+F254+F284</f>
        <v>-0.941976802362853</v>
      </c>
      <c r="G314" s="25" t="n">
        <f aca="false">G17+G46+G75+G104+G134+G164+G194+G224+G254+G284</f>
        <v>-5.00514887802767</v>
      </c>
    </row>
    <row r="315" customFormat="false" ht="13.5" hidden="false" customHeight="true" outlineLevel="0" collapsed="false">
      <c r="B315" s="29" t="n">
        <f aca="false">B18</f>
        <v>82</v>
      </c>
      <c r="C315" s="25" t="n">
        <f aca="false">C18+C47+C76+C105+C135+C165+C195+C225+C255+C285</f>
        <v>-1.83612518901799</v>
      </c>
      <c r="D315" s="25" t="n">
        <f aca="false">D18+D47+D76+D105+D135+D165+D195+D225+D255+D285</f>
        <v>0.258002926038714</v>
      </c>
      <c r="E315" s="25" t="n">
        <f aca="false">E18+E47+E76+E105+E135+E165+E195+E225+E255+E285</f>
        <v>0.0934140267848151</v>
      </c>
      <c r="F315" s="25" t="n">
        <f aca="false">F18+F47+F76+F105+F135+F165+F195+F225+F255+F285</f>
        <v>-1.01198483499286</v>
      </c>
      <c r="G315" s="25" t="n">
        <f aca="false">G18+G47+G76+G105+G135+G165+G195+G225+G255+G285</f>
        <v>-3.29414317111096</v>
      </c>
    </row>
    <row r="316" customFormat="false" ht="13.5" hidden="false" customHeight="true" outlineLevel="0" collapsed="false">
      <c r="B316" s="29" t="n">
        <f aca="false">B19</f>
        <v>81</v>
      </c>
      <c r="C316" s="25" t="n">
        <f aca="false">C19+C48+C77+C106+C136+C166+C196+C226+C256+C286</f>
        <v>-2.10559228185343</v>
      </c>
      <c r="D316" s="25" t="n">
        <f aca="false">D19+D48+D77+D106+D136+D166+D196+D226+D256+D286</f>
        <v>0.280780293147166</v>
      </c>
      <c r="E316" s="25" t="n">
        <f aca="false">E19+E48+E77+E106+E136+E166+E196+E226+E256+E286</f>
        <v>0.0992491877091086</v>
      </c>
      <c r="F316" s="25" t="n">
        <f aca="false">F19+F48+F77+F106+F136+F166+F196+F226+F256+F286</f>
        <v>-1.07576833833828</v>
      </c>
      <c r="G316" s="25" t="n">
        <f aca="false">G19+G48+G77+G106+G136+G166+G196+G226+G256+G286</f>
        <v>-1.32518345726203</v>
      </c>
    </row>
    <row r="317" customFormat="false" ht="13.5" hidden="false" customHeight="true" outlineLevel="0" collapsed="false">
      <c r="B317" s="29" t="n">
        <f aca="false">B20</f>
        <v>80</v>
      </c>
      <c r="C317" s="25" t="n">
        <f aca="false">C20+C49+C78+C107+C137+C167+C197+C227+C257+C287</f>
        <v>-2.39727246937277</v>
      </c>
      <c r="D317" s="25" t="n">
        <f aca="false">D20+D49+D78+D107+D137+D167+D197+D227+D257+D287</f>
        <v>0.302316330056646</v>
      </c>
      <c r="E317" s="25" t="n">
        <f aca="false">E20+E49+E78+E107+E137+E167+E197+E227+E257+E287</f>
        <v>0.104298408937101</v>
      </c>
      <c r="F317" s="25" t="n">
        <f aca="false">F20+F49+F78+F107+F137+F167+F197+F227+F257+F287</f>
        <v>-1.13113494128522</v>
      </c>
      <c r="G317" s="25" t="n">
        <f aca="false">G20+G49+G78+G107+G137+G167+G197+G227+G257+G287</f>
        <v>0.924453282213912</v>
      </c>
    </row>
    <row r="318" customFormat="false" ht="13.5" hidden="false" customHeight="true" outlineLevel="0" collapsed="false">
      <c r="B318" s="29" t="n">
        <f aca="false">B21</f>
        <v>79</v>
      </c>
      <c r="C318" s="25" t="n">
        <f aca="false">C21+C50+C79+C108+C138+C168+C198+C228+C258+C288</f>
        <v>-2.70958044691614</v>
      </c>
      <c r="D318" s="25" t="n">
        <f aca="false">D21+D50+D79+D108+D138+D168+D198+D228+D258+D288</f>
        <v>0.321918478129184</v>
      </c>
      <c r="E318" s="25" t="n">
        <f aca="false">E21+E50+E79+E108+E138+E168+E198+E228+E258+E288</f>
        <v>0.108367147744012</v>
      </c>
      <c r="F318" s="25" t="n">
        <f aca="false">F21+F50+F79+F108+F138+F168+F198+F228+F258+F288</f>
        <v>-1.17596587841397</v>
      </c>
      <c r="G318" s="25" t="n">
        <f aca="false">G21+G50+G79+G108+G138+G168+G198+G228+G258+G288</f>
        <v>3.47624524490085</v>
      </c>
    </row>
    <row r="319" customFormat="false" ht="13.5" hidden="false" customHeight="true" outlineLevel="0" collapsed="false">
      <c r="B319" s="29" t="n">
        <f aca="false">B22</f>
        <v>78</v>
      </c>
      <c r="C319" s="25" t="n">
        <f aca="false">C22+C51+C80+C109+C139+C169+C199+C229+C259+C289</f>
        <v>-3.04022987072142</v>
      </c>
      <c r="D319" s="25" t="n">
        <f aca="false">D22+D51+D80+D109+D139+D169+D199+D229+D259+D289</f>
        <v>0.338882759004708</v>
      </c>
      <c r="E319" s="25" t="n">
        <f aca="false">E22+E51+E80+E109+E139+E169+E199+E229+E259+E289</f>
        <v>0.111279126082547</v>
      </c>
      <c r="F319" s="25" t="n">
        <f aca="false">F22+F51+F80+F109+F139+F169+F199+F229+F259+F289</f>
        <v>-1.20833363433997</v>
      </c>
      <c r="G319" s="25" t="n">
        <f aca="false">G22+G51+G80+G109+G139+G169+G199+G229+G259+G289</f>
        <v>6.3497357638239</v>
      </c>
    </row>
    <row r="320" customFormat="false" ht="13.5" hidden="false" customHeight="true" outlineLevel="0" collapsed="false">
      <c r="B320" s="29" t="n">
        <f aca="false">B23</f>
        <v>77</v>
      </c>
      <c r="C320" s="25" t="n">
        <f aca="false">C23+C52+C81+C110+C140+C170+C200+C230+C260+C290</f>
        <v>-3.38623943647487</v>
      </c>
      <c r="D320" s="25" t="n">
        <f aca="false">D23+D52+D81+D110+D140+D170+D200+D230+D260+D290</f>
        <v>0.35252958157791</v>
      </c>
      <c r="E320" s="25" t="n">
        <f aca="false">E23+E52+E81+E110+E140+E170+E200+E230+E260+E290</f>
        <v>0.112887506848659</v>
      </c>
      <c r="F320" s="25" t="n">
        <f aca="false">F23+F52+F81+F110+F140+F170+F200+F230+F260+F290</f>
        <v>-1.22662316114581</v>
      </c>
      <c r="G320" s="25" t="n">
        <f aca="false">G23+G52+G81+G110+G140+G170+G200+G230+G260+G290</f>
        <v>9.56183232103246</v>
      </c>
    </row>
    <row r="321" customFormat="false" ht="13.5" hidden="false" customHeight="true" outlineLevel="0" collapsed="false">
      <c r="B321" s="29" t="n">
        <f aca="false">B24</f>
        <v>76</v>
      </c>
      <c r="C321" s="25" t="n">
        <f aca="false">C24+C53+C82+C111+C141+C171+C201+C231+C261+C291</f>
        <v>-3.74397683697663</v>
      </c>
      <c r="D321" s="25" t="n">
        <f aca="false">D24+D53+D82+D111+D141+D171+D201+D231+D261+D291</f>
        <v>0.362243309418968</v>
      </c>
      <c r="E321" s="25" t="n">
        <f aca="false">E24+E53+E82+E111+E141+E171+E201+E231+E261+E291</f>
        <v>0.113085504955116</v>
      </c>
      <c r="F321" s="25" t="n">
        <f aca="false">F24+F53+F82+F111+F141+F171+F201+F231+F261+F291</f>
        <v>-1.22964755267556</v>
      </c>
      <c r="G321" s="25" t="n">
        <f aca="false">G24+G53+G82+G111+G141+G171+G201+G231+G261+G291</f>
        <v>13.1261302648946</v>
      </c>
    </row>
    <row r="322" customFormat="false" ht="13.5" hidden="false" customHeight="true" outlineLevel="0" collapsed="false">
      <c r="B322" s="29" t="n">
        <f aca="false">B25</f>
        <v>75</v>
      </c>
      <c r="C322" s="25" t="n">
        <f aca="false">C25+C54+C83+C112+C142+C172+C202+C232+C262+C292</f>
        <v>-4.10924309086435</v>
      </c>
      <c r="D322" s="25" t="n">
        <f aca="false">D25+D54+D83+D112+D142+D172+D202+D232+D262+D292</f>
        <v>0.367512939668435</v>
      </c>
      <c r="E322" s="25" t="n">
        <f aca="false">E25+E54+E83+E112+E142+E172+E202+E232+E262+E292</f>
        <v>0.111815500960954</v>
      </c>
      <c r="F322" s="25" t="n">
        <f aca="false">F25+F54+F83+F112+F142+F172+F202+F232+F262+F292</f>
        <v>-1.21674811132645</v>
      </c>
      <c r="G322" s="25" t="n">
        <f aca="false">G25+G54+G83+G112+G142+G172+G202+G232+G262+G292</f>
        <v>17.0523005771469</v>
      </c>
    </row>
    <row r="323" customFormat="false" ht="13.5" hidden="false" customHeight="true" outlineLevel="0" collapsed="false">
      <c r="B323" s="29" t="n">
        <f aca="false">B26</f>
        <v>74</v>
      </c>
      <c r="C323" s="25" t="n">
        <f aca="false">C26+C55+C84+C113+C143+C173+C203+C233+C263+C293</f>
        <v>-4.47739678013157</v>
      </c>
      <c r="D323" s="25" t="n">
        <f aca="false">D26+D55+D84+D113+D143+D173+D203+D233+D263+D293</f>
        <v>0.367970668261698</v>
      </c>
      <c r="E323" s="25" t="n">
        <f aca="false">E26+E55+E84+E113+E143+E173+E203+E233+E263+E293</f>
        <v>0.10907573040117</v>
      </c>
      <c r="F323" s="25" t="n">
        <f aca="false">F26+F55+F84+F113+F143+F173+F203+F233+F263+F293</f>
        <v>-1.18786873595557</v>
      </c>
      <c r="G323" s="25" t="n">
        <f aca="false">G26+G55+G84+G113+G143+G173+G203+G233+G263+G293</f>
        <v>21.3455820987487</v>
      </c>
    </row>
    <row r="324" customFormat="false" ht="13.5" hidden="false" customHeight="true" outlineLevel="0" collapsed="false">
      <c r="B324" s="29" t="n">
        <f aca="false">B27</f>
        <v>73</v>
      </c>
      <c r="C324" s="25" t="n">
        <f aca="false">C27+C56+C85+C114+C144+C174+C204+C234+C264+C294</f>
        <v>-4.84351432438587</v>
      </c>
      <c r="D324" s="25" t="n">
        <f aca="false">D27+D56+D85+D114+D144+D174+D204+D234+D264+D294</f>
        <v>0.363424798600484</v>
      </c>
      <c r="E324" s="25" t="n">
        <f aca="false">E27+E56+E85+E114+E144+E174+E204+E234+E264+E294</f>
        <v>0.104923731416274</v>
      </c>
      <c r="F324" s="25" t="n">
        <f aca="false">F27+F56+F85+F114+F144+F174+F204+F234+F264+F294</f>
        <v>-1.14359567018344</v>
      </c>
      <c r="G324" s="25" t="n">
        <f aca="false">G27+G56+G85+G114+G144+G174+G204+G234+G264+G294</f>
        <v>26.0064164830417</v>
      </c>
    </row>
    <row r="325" customFormat="false" ht="13.5" hidden="false" customHeight="true" outlineLevel="0" collapsed="false">
      <c r="B325" s="29" t="n">
        <f aca="false">B28</f>
        <v>72</v>
      </c>
      <c r="C325" s="25" t="n">
        <f aca="false">C28+C57+C86+C115+C145+C175+C205+C235+C265+C295</f>
        <v>-5.20257886151106</v>
      </c>
      <c r="D325" s="25" t="n">
        <f aca="false">D28+D57+D86+D115+D145+D175+D205+D235+D265+D295</f>
        <v>0.353883485064128</v>
      </c>
      <c r="E325" s="25" t="n">
        <f aca="false">E28+E57+E86+E115+E145+E175+E205+E235+E265+E295</f>
        <v>0.0994759508086522</v>
      </c>
      <c r="F325" s="25" t="n">
        <f aca="false">F28+F57+F86+F115+F145+F175+F205+F235+F265+F295</f>
        <v>-1.08515593147425</v>
      </c>
      <c r="G325" s="25" t="n">
        <f aca="false">G28+G57+G86+G115+G145+G175+G205+G235+G265+G295</f>
        <v>31.0302584907541</v>
      </c>
    </row>
    <row r="326" customFormat="false" ht="13.5" hidden="false" customHeight="true" outlineLevel="0" collapsed="false">
      <c r="B326" s="29" t="n">
        <f aca="false">B29</f>
        <v>71</v>
      </c>
      <c r="C326" s="25" t="n">
        <f aca="false">C29+C58+C87+C116+C146+C176+C206+C236+C266+C296</f>
        <v>-5.54968698393666</v>
      </c>
      <c r="D326" s="25" t="n">
        <f aca="false">D29+D58+D87+D116+D146+D176+D206+D236+D266+D296</f>
        <v>0.339566250786193</v>
      </c>
      <c r="E326" s="25" t="n">
        <f aca="false">E29+E58+E87+E116+E146+E176+E206+E236+E266+E296</f>
        <v>0.0929032234338615</v>
      </c>
      <c r="F326" s="25" t="n">
        <f aca="false">F29+F58+F87+F116+F146+F176+F206+F236+F266+F296</f>
        <v>-1.01437108721792</v>
      </c>
      <c r="G326" s="25" t="n">
        <f aca="false">G29+G58+G87+G116+G146+G176+G206+G236+G266+G296</f>
        <v>36.4075851135023</v>
      </c>
    </row>
    <row r="327" customFormat="false" ht="13.5" hidden="false" customHeight="true" outlineLevel="0" collapsed="false">
      <c r="B327" s="29" t="n">
        <f aca="false">B30</f>
        <v>70</v>
      </c>
      <c r="C327" s="25" t="n">
        <f aca="false">C30+C59+C88+C117+C147+C177+C207+C237+C267+C297</f>
        <v>-5.88025992181453</v>
      </c>
      <c r="D327" s="25" t="n">
        <f aca="false">D30+D59+D88+D117+D147+D177+D207+D237+D267+D297</f>
        <v>0.320901093413194</v>
      </c>
      <c r="E327" s="25" t="n">
        <f aca="false">E30+E59+E88+E117+E147+E177+E207+E237+E267+E297</f>
        <v>0.085422225041436</v>
      </c>
      <c r="F327" s="25" t="n">
        <f aca="false">F30+F59+F88+F117+F147+F177+F207+F237+F267+F297</f>
        <v>-0.933567176124533</v>
      </c>
      <c r="G327" s="25" t="n">
        <f aca="false">G30+G59+G88+G117+G147+G177+G207+G237+G267+G297</f>
        <v>42.1241148597731</v>
      </c>
    </row>
    <row r="328" customFormat="false" ht="13.5" hidden="false" customHeight="true" outlineLevel="0" collapsed="false">
      <c r="B328" s="29" t="n">
        <f aca="false">B31</f>
        <v>69</v>
      </c>
      <c r="C328" s="25" t="n">
        <f aca="false">C31+C60+C89+C118+C148+C178+C208+C238+C268+C298</f>
        <v>-6.19024417613667</v>
      </c>
      <c r="D328" s="25" t="n">
        <f aca="false">D31+D60+D89+D118+D148+D178+D208+D238+D268+D298</f>
        <v>0.298506243806784</v>
      </c>
      <c r="E328" s="25" t="n">
        <f aca="false">E31+E60+E89+E118+E148+E178+E208+E238+E268+E298</f>
        <v>0.0772834129124425</v>
      </c>
      <c r="F328" s="25" t="n">
        <f aca="false">F31+F60+F89+F118+F148+F178+F208+F238+F268+F298</f>
        <v>-0.845446053670797</v>
      </c>
      <c r="G328" s="25" t="n">
        <f aca="false">G31+G60+G89+G118+G148+G178+G208+G238+G268+G298</f>
        <v>48.1612342301016</v>
      </c>
    </row>
    <row r="329" customFormat="false" ht="13.5" hidden="false" customHeight="true" outlineLevel="0" collapsed="false">
      <c r="B329" s="29" t="n">
        <f aca="false">B32</f>
        <v>68</v>
      </c>
      <c r="C329" s="25" t="n">
        <f aca="false">C32+C61+C90+C119+C149+C179+C209+C239+C269+C299</f>
        <v>-6.47628641097666</v>
      </c>
      <c r="D329" s="25" t="n">
        <f aca="false">D32+D61+D90+D119+D149+D179+D209+D239+D269+D299</f>
        <v>0.273157155781353</v>
      </c>
      <c r="E329" s="25" t="n">
        <f aca="false">E32+E61+E90+E119+E149+E179+E209+E239+E269+E299</f>
        <v>0.0687563602861633</v>
      </c>
      <c r="F329" s="25" t="n">
        <f aca="false">F32+F61+F90+F119+F149+F179+F209+F239+F269+F299</f>
        <v>-0.752927716637045</v>
      </c>
      <c r="G329" s="25" t="n">
        <f aca="false">G32+G61+G90+G119+G149+G179+G209+G239+G269+G299</f>
        <v>54.4966131879332</v>
      </c>
    </row>
    <row r="330" customFormat="false" ht="13.5" hidden="false" customHeight="true" outlineLevel="0" collapsed="false">
      <c r="B330" s="29" t="n">
        <f aca="false">B33</f>
        <v>67</v>
      </c>
      <c r="C330" s="25" t="n">
        <f aca="false">C33+C62+C91+C120+C150+C180+C210+C240+C270+C300</f>
        <v>-6.73586879403009</v>
      </c>
      <c r="D330" s="25" t="n">
        <f aca="false">D33+D62+D91+D120+D150+D180+D210+D240+D270+D300</f>
        <v>0.245740906649446</v>
      </c>
      <c r="E330" s="25" t="n">
        <f aca="false">E33+E62+E91+E120+E150+E180+E210+E240+E270+E300</f>
        <v>0.0601137048017491</v>
      </c>
      <c r="F330" s="25" t="n">
        <f aca="false">F33+F62+F91+F120+F150+F180+F210+F240+F270+F300</f>
        <v>-0.658976640674</v>
      </c>
      <c r="G330" s="25" t="n">
        <f aca="false">G33+G62+G91+G120+G150+G180+G210+G240+G270+G300</f>
        <v>61.1049767980624</v>
      </c>
    </row>
    <row r="331" customFormat="false" ht="13.5" hidden="false" customHeight="true" outlineLevel="0" collapsed="false">
      <c r="B331" s="29" t="n">
        <f aca="false">B34</f>
        <v>66</v>
      </c>
      <c r="C331" s="25" t="n">
        <f aca="false">C34+C63+C92+C121+C151+C181+C211+C241+C271+C301</f>
        <v>-6.96739391323553</v>
      </c>
      <c r="D331" s="25" t="n">
        <f aca="false">D34+D63+D92+D121+D151+D181+D211+D241+D271+D301</f>
        <v>0.217201666913138</v>
      </c>
      <c r="E331" s="25" t="n">
        <f aca="false">E34+E63+E92+E121+E151+E181+E211+E241+E271+E301</f>
        <v>0.0516151187205981</v>
      </c>
      <c r="F331" s="25" t="n">
        <f aca="false">F34+F63+F92+F121+F151+F181+F211+F241+F271+F301</f>
        <v>-0.566427305838123</v>
      </c>
      <c r="G331" s="25" t="n">
        <f aca="false">G34+G63+G92+G121+G151+G181+G211+G241+G271+G301</f>
        <v>67.9589877394971</v>
      </c>
    </row>
    <row r="332" customFormat="false" ht="13.5" hidden="false" customHeight="true" outlineLevel="0" collapsed="false">
      <c r="B332" s="29" t="n">
        <f aca="false">B35</f>
        <v>65</v>
      </c>
      <c r="C332" s="25" t="n">
        <f aca="false">C35+C64+C93+C122+C152+C182+C212+C242+C272+C302</f>
        <v>-7.1702126608975</v>
      </c>
      <c r="D332" s="25" t="n">
        <f aca="false">D35+D64+D93+D122+D152+D182+D212+D242+D272+D302</f>
        <v>0.188482033706981</v>
      </c>
      <c r="E332" s="25" t="n">
        <f aca="false">E35+E64+E93+E122+E152+E182+E212+E242+E272+E302</f>
        <v>0.0434927348320797</v>
      </c>
      <c r="F332" s="25" t="n">
        <f aca="false">F35+F64+F93+F122+F152+F182+F212+F242+F272+F302</f>
        <v>-0.477824498281554</v>
      </c>
      <c r="G332" s="25" t="n">
        <f aca="false">G35+G64+G93+G122+G152+G182+G212+G242+G272+G302</f>
        <v>75.030185564242</v>
      </c>
    </row>
    <row r="333" customFormat="false" ht="13.5" hidden="false" customHeight="true" outlineLevel="0" collapsed="false">
      <c r="B333" s="29" t="n">
        <f aca="false">B36</f>
        <v>64</v>
      </c>
      <c r="C333" s="25" t="n">
        <f aca="false">C36+C65+C94+C123+C153+C183+C213+C243+C273+C303</f>
        <v>-7.34459362431439</v>
      </c>
      <c r="D333" s="25" t="n">
        <f aca="false">D36+D65+D94+D123+D153+D183+D213+D243+D273+D303</f>
        <v>0.160465627155102</v>
      </c>
      <c r="E333" s="25" t="n">
        <f aca="false">E36+E65+E94+E123+E153+E183+E213+E243+E273+E303</f>
        <v>0.0359393140446983</v>
      </c>
      <c r="F333" s="25" t="n">
        <f aca="false">F36+F65+F94+F123+F153+F183+F213+F243+F273+F303</f>
        <v>-0.395292505509532</v>
      </c>
      <c r="G333" s="25" t="n">
        <f aca="false">G36+G65+G94+G123+G153+G183+G213+G243+G273+G303</f>
        <v>82.2899244881483</v>
      </c>
    </row>
    <row r="334" customFormat="false" ht="13.5" hidden="false" customHeight="true" outlineLevel="0" collapsed="false">
      <c r="B334" s="29" t="n">
        <f aca="false">B37</f>
        <v>63</v>
      </c>
      <c r="C334" s="25" t="n">
        <f aca="false">C37+C66+C95+C124+C154+C184+C214+C244+C274+C304</f>
        <v>-7.4916379534618</v>
      </c>
      <c r="D334" s="25" t="n">
        <f aca="false">D37+D66+D95+D124+D154+D184+D214+D244+D274+D304</f>
        <v>0.133926299023975</v>
      </c>
      <c r="E334" s="25" t="n">
        <f aca="false">E37+E66+E95+E124+E154+E184+E214+E244+E274+E304</f>
        <v>0.0291001323719846</v>
      </c>
      <c r="F334" s="25" t="n">
        <f aca="false">F37+F66+F95+F124+F154+F184+F214+F244+F274+F304</f>
        <v>-0.320444093845867</v>
      </c>
      <c r="G334" s="25" t="n">
        <f aca="false">G37+G66+G95+G124+G154+G184+G214+G244+G274+G304</f>
        <v>89.7102527588672</v>
      </c>
    </row>
    <row r="335" customFormat="false" ht="13.5" hidden="false" customHeight="true" outlineLevel="0" collapsed="false">
      <c r="B335" s="29" t="n">
        <f aca="false">B38</f>
        <v>62</v>
      </c>
      <c r="C335" s="25" t="n">
        <f aca="false">C38+C67+C96+C125+C155+C185+C215+C245+C275+C305</f>
        <v>-7.6131487151353</v>
      </c>
      <c r="D335" s="25" t="n">
        <f aca="false">D38+D67+D96+D125+D155+D185+D215+D245+D275+D305</f>
        <v>0.109488571896052</v>
      </c>
      <c r="E335" s="25" t="n">
        <f aca="false">E38+E67+E96+E125+E155+E185+E215+E245+E275+E305</f>
        <v>0.0230691358706567</v>
      </c>
      <c r="F335" s="25" t="n">
        <f aca="false">F38+F67+F96+F125+F155+F185+F215+F245+F275+F305</f>
        <v>-0.254335578222034</v>
      </c>
      <c r="G335" s="25" t="n">
        <f aca="false">G38+G67+G96+G125+G155+G185+G215+G245+G275+G305</f>
        <v>97.2646831969641</v>
      </c>
    </row>
    <row r="336" customFormat="false" ht="13.5" hidden="false" customHeight="true" outlineLevel="0" collapsed="false">
      <c r="B336" s="29" t="n">
        <f aca="false">B39</f>
        <v>61</v>
      </c>
      <c r="C336" s="25" t="n">
        <f aca="false">C39+C68+C97+C126+C156+C186+C216+C246+C276+C306</f>
        <v>-7.71146773953779</v>
      </c>
      <c r="D336" s="25" t="n">
        <f aca="false">D39+D68+D97+D126+D156+D186+D216+D246+D276+D306</f>
        <v>0.0876025963643898</v>
      </c>
      <c r="E336" s="25" t="n">
        <f aca="false">E39+E68+E97+E126+E156+E186+E216+E246+E276+E306</f>
        <v>0.0178894220858685</v>
      </c>
      <c r="F336" s="25" t="n">
        <f aca="false">F39+F68+F97+F126+F156+F186+F216+F246+F276+F306</f>
        <v>-0.197469002283592</v>
      </c>
      <c r="G336" s="25" t="n">
        <f aca="false">G39+G68+G97+G126+G156+G186+G216+G246+G276+G306</f>
        <v>104.928815625096</v>
      </c>
    </row>
    <row r="337" customFormat="false" ht="13.5" hidden="false" customHeight="true" outlineLevel="0" collapsed="false">
      <c r="B337" s="29" t="n">
        <f aca="false">B40</f>
        <v>60</v>
      </c>
      <c r="C337" s="25" t="n">
        <f aca="false">C40+C69+C98+C127+C157+C187+C217+C247+C277+C307</f>
        <v>-7.78929540420669</v>
      </c>
      <c r="D337" s="25" t="n">
        <f aca="false">D40+D69+D98+D127+D157+D187+D217+D247+D277+D307</f>
        <v>0.0685351670237904</v>
      </c>
      <c r="E337" s="25" t="n">
        <f aca="false">E40+E69+E98+E127+E157+E187+E217+E247+E277+E307</f>
        <v>0.0135576264272858</v>
      </c>
      <c r="F337" s="25" t="n">
        <f aca="false">F40+F69+F98+F127+F157+F187+F217+F247+F277+F307</f>
        <v>-0.149837202863608</v>
      </c>
      <c r="G337" s="25" t="n">
        <f aca="false">G40+G69+G98+G127+G157+G187+G217+G247+G277+G307</f>
        <v>112.680786271526</v>
      </c>
    </row>
    <row r="338" customFormat="false" ht="13.5" hidden="false" customHeight="true" outlineLevel="0" collapsed="false">
      <c r="B338" s="29" t="n">
        <f aca="false">B41</f>
        <v>59</v>
      </c>
      <c r="C338" s="25" t="n">
        <f aca="false">C41+C70+C99+C128+C158+C188+C218+C248+C278+C308</f>
        <v>-7.84950938958687</v>
      </c>
      <c r="D338" s="25" t="n">
        <f aca="false">D41+D70+D99+D128+D158+D188+D218+D248+D278+D308</f>
        <v>0.0523764326208642</v>
      </c>
      <c r="E338" s="25" t="n">
        <f aca="false">E41+E70+E99+E128+E158+E188+E218+E248+E278+E308</f>
        <v>0.0100313907231605</v>
      </c>
      <c r="F338" s="25" t="n">
        <f aca="false">F41+F70+F99+F128+F158+F188+F218+F248+F278+F308</f>
        <v>-0.111003092239299</v>
      </c>
      <c r="G338" s="25" t="n">
        <f aca="false">G41+G70+G99+G128+G158+G188+G218+G248+G278+G308</f>
        <v>120.501535133026</v>
      </c>
    </row>
    <row r="339" customFormat="false" ht="13.5" hidden="false" customHeight="true" outlineLevel="0" collapsed="false">
      <c r="B339" s="29" t="n">
        <f aca="false">B42</f>
        <v>58</v>
      </c>
      <c r="C339" s="25" t="n">
        <f aca="false">C42+C71+C100+C129+C159+C189+C219+C249+C279+C309</f>
        <v>-7.89499716470842</v>
      </c>
      <c r="D339" s="25" t="n">
        <f aca="false">D42+D71+D100+D129+D159+D189+D219+D249+D279+D309</f>
        <v>0.0390601580344629</v>
      </c>
      <c r="E339" s="25" t="n">
        <f aca="false">E42+E71+E100+E129+E159+E189+E219+E249+E279+E309</f>
        <v>0.00723882397658309</v>
      </c>
      <c r="F339" s="25" t="n">
        <f aca="false">F42+F71+F100+F129+F159+F189+F219+F249+F279+F309</f>
        <v>-0.0802014670611229</v>
      </c>
      <c r="G339" s="25" t="n">
        <f aca="false">G42+G71+G100+G129+G159+G189+G219+G249+G279+G309</f>
        <v>128.374897827139</v>
      </c>
    </row>
    <row r="340" customFormat="false" ht="13.5" hidden="false" customHeight="true" outlineLevel="0" collapsed="false">
      <c r="B340" s="29" t="n">
        <f aca="false">B43</f>
        <v>57</v>
      </c>
      <c r="C340" s="25" t="n">
        <f aca="false">C43+C72+C101+C130+C160+C190+C220+C250+C280+C310</f>
        <v>-7.92851408367323</v>
      </c>
      <c r="D340" s="25" t="n">
        <f aca="false">D43+D72+D101+D130+D160+D190+D220+D250+D280+D310</f>
        <v>0.0283940087529195</v>
      </c>
      <c r="E340" s="25" t="n">
        <f aca="false">E43+E72+E101+E130+E160+E190+E220+E250+E280+E310</f>
        <v>0.00508876315391277</v>
      </c>
      <c r="F340" s="25" t="n">
        <f aca="false">F43+F72+F101+F130+F160+F190+F220+F250+F280+F310</f>
        <v>-0.056450404937984</v>
      </c>
      <c r="G340" s="25" t="n">
        <f aca="false">G43+G72+G101+G130+G160+G190+G220+G250+G280+G310</f>
        <v>136.287541899173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5" activeCellId="0" sqref="K1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2" width="4.31"/>
    <col collapsed="false" customWidth="true" hidden="false" outlineLevel="0" max="2" min="2" style="2" width="22.76"/>
    <col collapsed="false" customWidth="true" hidden="false" outlineLevel="0" max="3" min="3" style="2" width="13.95"/>
    <col collapsed="false" customWidth="true" hidden="false" outlineLevel="0" max="4" min="4" style="2" width="13.03"/>
    <col collapsed="false" customWidth="true" hidden="false" outlineLevel="0" max="5" min="5" style="2" width="11.03"/>
    <col collapsed="false" customWidth="true" hidden="false" outlineLevel="0" max="6" min="6" style="2" width="10.76"/>
    <col collapsed="false" customWidth="false" hidden="false" outlineLevel="0" max="8" min="7" style="2" width="11.53"/>
    <col collapsed="false" customWidth="true" hidden="false" outlineLevel="0" max="9" min="9" style="2" width="8.25"/>
    <col collapsed="false" customWidth="true" hidden="false" outlineLevel="0" max="10" min="10" style="2" width="8.11"/>
    <col collapsed="false" customWidth="true" hidden="false" outlineLevel="0" max="11" min="11" style="2" width="6.58"/>
    <col collapsed="false" customWidth="true" hidden="false" outlineLevel="0" max="12" min="12" style="2" width="4.59"/>
    <col collapsed="false" customWidth="true" hidden="false" outlineLevel="0" max="13" min="13" style="2" width="7.69"/>
    <col collapsed="false" customWidth="true" hidden="false" outlineLevel="0" max="15" min="14" style="2" width="8.8"/>
    <col collapsed="false" customWidth="true" hidden="false" outlineLevel="0" max="16" min="16" style="2" width="9.36"/>
    <col collapsed="false" customWidth="true" hidden="false" outlineLevel="0" max="17" min="17" style="2" width="9.08"/>
    <col collapsed="false" customWidth="true" hidden="false" outlineLevel="0" max="18" min="18" style="2" width="9.53"/>
    <col collapsed="false" customWidth="true" hidden="false" outlineLevel="0" max="20" min="19" style="2" width="10.76"/>
    <col collapsed="false" customWidth="true" hidden="false" outlineLevel="0" max="21" min="21" style="2" width="11.03"/>
    <col collapsed="false" customWidth="true" hidden="false" outlineLevel="0" max="22" min="22" style="2" width="7.09"/>
    <col collapsed="false" customWidth="false" hidden="false" outlineLevel="0" max="23" min="23" style="2" width="11.53"/>
    <col collapsed="false" customWidth="true" hidden="false" outlineLevel="0" max="29" min="24" style="2" width="7.69"/>
    <col collapsed="false" customWidth="true" hidden="false" outlineLevel="0" max="33" min="30" style="2" width="7.27"/>
    <col collapsed="false" customWidth="true" hidden="false" outlineLevel="0" max="34" min="34" style="2" width="7.69"/>
    <col collapsed="false" customWidth="true" hidden="false" outlineLevel="0" max="35" min="35" style="2" width="7.27"/>
    <col collapsed="false" customWidth="true" hidden="false" outlineLevel="0" max="43" min="36" style="2" width="6.58"/>
  </cols>
  <sheetData>
    <row r="1" customFormat="false" ht="12.75" hidden="false" customHeight="true" outlineLevel="0" collapsed="false">
      <c r="B1" s="15"/>
      <c r="C1" s="66" t="s">
        <v>199</v>
      </c>
      <c r="D1" s="66" t="s">
        <v>141</v>
      </c>
      <c r="E1" s="66" t="s">
        <v>200</v>
      </c>
      <c r="G1" s="35" t="s">
        <v>165</v>
      </c>
      <c r="H1" s="34" t="s">
        <v>166</v>
      </c>
      <c r="I1" s="36" t="n">
        <v>0</v>
      </c>
      <c r="J1" s="36" t="n">
        <v>0.05</v>
      </c>
      <c r="K1" s="39"/>
      <c r="M1" s="52"/>
      <c r="N1" s="66" t="n">
        <v>18</v>
      </c>
      <c r="O1" s="66" t="n">
        <v>11</v>
      </c>
      <c r="P1" s="66"/>
      <c r="Q1" s="74" t="s">
        <v>201</v>
      </c>
      <c r="R1" s="66" t="s">
        <v>176</v>
      </c>
      <c r="S1" s="66" t="s">
        <v>202</v>
      </c>
    </row>
    <row r="2" customFormat="false" ht="17.25" hidden="false" customHeight="true" outlineLevel="0" collapsed="false">
      <c r="B2" s="75" t="s">
        <v>203</v>
      </c>
      <c r="C2" s="34" t="n">
        <f aca="false">Portfolio!C10</f>
        <v>16.371245</v>
      </c>
      <c r="D2" s="18" t="n">
        <f aca="false">Portfolio!D10</f>
        <v>83.4293253403452</v>
      </c>
      <c r="E2" s="18" t="n">
        <f aca="false">Portfolio!F10</f>
        <v>1365.8419253315</v>
      </c>
      <c r="G2" s="35" t="s">
        <v>167</v>
      </c>
      <c r="H2" s="34" t="s">
        <v>168</v>
      </c>
      <c r="I2" s="36" t="n">
        <v>0.05</v>
      </c>
      <c r="J2" s="36" t="n">
        <v>0.15</v>
      </c>
      <c r="K2" s="39"/>
      <c r="M2" s="52" t="n">
        <v>75</v>
      </c>
      <c r="N2" s="34"/>
      <c r="O2" s="15" t="n">
        <v>3</v>
      </c>
      <c r="P2" s="15"/>
      <c r="Q2" s="34" t="n">
        <f aca="false">SUM(N2:P2)</f>
        <v>3</v>
      </c>
      <c r="R2" s="18" t="n">
        <f aca="false">H24</f>
        <v>5.07</v>
      </c>
      <c r="S2" s="36" t="n">
        <f aca="false">R2/$R$5</f>
        <v>0.365537130497477</v>
      </c>
    </row>
    <row r="3" customFormat="false" ht="12.75" hidden="false" customHeight="true" outlineLevel="0" collapsed="false">
      <c r="C3" s="17"/>
      <c r="D3" s="17"/>
      <c r="G3" s="35" t="s">
        <v>169</v>
      </c>
      <c r="H3" s="34" t="s">
        <v>170</v>
      </c>
      <c r="I3" s="36" t="n">
        <v>0.16</v>
      </c>
      <c r="J3" s="36" t="s">
        <v>171</v>
      </c>
      <c r="K3" s="39"/>
      <c r="M3" s="52" t="n">
        <v>78</v>
      </c>
      <c r="N3" s="34"/>
      <c r="O3" s="15" t="n">
        <v>3</v>
      </c>
      <c r="P3" s="15"/>
      <c r="Q3" s="34" t="n">
        <f aca="false">SUM(N3:P3)</f>
        <v>3</v>
      </c>
      <c r="R3" s="18" t="n">
        <f aca="false">H25</f>
        <v>3.6</v>
      </c>
      <c r="S3" s="36" t="n">
        <f aca="false">R3/$R$5</f>
        <v>0.259552992069214</v>
      </c>
    </row>
    <row r="4" customFormat="false" ht="12.75" hidden="false" customHeight="true" outlineLevel="0" collapsed="false">
      <c r="B4" s="15" t="s">
        <v>179</v>
      </c>
      <c r="C4" s="16" t="n">
        <f aca="false">Portfolio!D14</f>
        <v>20.4876288799725</v>
      </c>
      <c r="D4" s="16" t="n">
        <f aca="false">Portfolio!E14</f>
        <v>27.31683850663</v>
      </c>
      <c r="M4" s="52" t="n">
        <v>80</v>
      </c>
      <c r="N4" s="34"/>
      <c r="O4" s="15" t="n">
        <v>2</v>
      </c>
      <c r="P4" s="15"/>
      <c r="Q4" s="34" t="n">
        <f aca="false">SUM(N4:P4)</f>
        <v>2</v>
      </c>
      <c r="R4" s="18" t="n">
        <f aca="false">H26</f>
        <v>5.2</v>
      </c>
      <c r="S4" s="36" t="n">
        <f aca="false">R4/$R$5</f>
        <v>0.374909877433309</v>
      </c>
    </row>
    <row r="5" customFormat="false" ht="12.75" hidden="false" customHeight="true" outlineLevel="0" collapsed="false">
      <c r="B5" s="94"/>
      <c r="C5" s="17"/>
      <c r="D5" s="17"/>
      <c r="E5" s="17"/>
      <c r="F5" s="95" t="s">
        <v>215</v>
      </c>
      <c r="G5" s="95" t="n">
        <v>0.2</v>
      </c>
      <c r="H5" s="95" t="n">
        <v>0.3</v>
      </c>
      <c r="M5" s="52"/>
      <c r="N5" s="78"/>
      <c r="O5" s="17"/>
      <c r="Q5" s="3" t="n">
        <f aca="false">SUM(Q2:Q4)</f>
        <v>8</v>
      </c>
      <c r="R5" s="78" t="n">
        <f aca="false">SUM(R2:R4)</f>
        <v>13.87</v>
      </c>
      <c r="S5" s="3"/>
    </row>
    <row r="6" customFormat="false" ht="12.75" hidden="false" customHeight="true" outlineLevel="0" collapsed="false">
      <c r="B6" s="94"/>
      <c r="C6" s="17"/>
      <c r="D6" s="17"/>
      <c r="E6" s="17"/>
    </row>
    <row r="7" customFormat="false" ht="14.25" hidden="false" customHeight="true" outlineLevel="0" collapsed="false">
      <c r="C7" s="17"/>
      <c r="D7" s="17"/>
      <c r="I7" s="79"/>
      <c r="J7" s="79"/>
      <c r="K7" s="79"/>
    </row>
    <row r="8" customFormat="false" ht="14.25" hidden="false" customHeight="true" outlineLevel="0" collapsed="false">
      <c r="B8" s="19" t="s">
        <v>0</v>
      </c>
      <c r="C8" s="19" t="s">
        <v>12</v>
      </c>
      <c r="D8" s="19" t="s">
        <v>13</v>
      </c>
      <c r="E8" s="19" t="s">
        <v>161</v>
      </c>
      <c r="F8" s="19" t="s">
        <v>206</v>
      </c>
      <c r="G8" s="19" t="s">
        <v>207</v>
      </c>
      <c r="H8" s="19" t="s">
        <v>208</v>
      </c>
      <c r="I8" s="33"/>
      <c r="J8" s="33"/>
      <c r="K8" s="33"/>
      <c r="L8" s="33"/>
      <c r="N8" s="52"/>
      <c r="O8" s="78"/>
      <c r="Q8" s="78"/>
      <c r="S8" s="3"/>
    </row>
    <row r="9" customFormat="false" ht="12.75" hidden="false" customHeight="true" outlineLevel="0" collapsed="false">
      <c r="B9" s="15" t="s">
        <v>10</v>
      </c>
      <c r="C9" s="34" t="n">
        <f aca="false">VLOOKUP(B9,OptionBoard!$A$2:$M$79,2,0)</f>
        <v>72</v>
      </c>
      <c r="D9" s="80" t="n">
        <f aca="false">VLOOKUP(B9,OptionBoard!$A$2:$M$79,3,0)</f>
        <v>-0.08120607</v>
      </c>
      <c r="E9" s="81" t="n">
        <f aca="false">VLOOKUP(B9,OptionBoard!$A$2:$M$79,9,0)</f>
        <v>11</v>
      </c>
      <c r="F9" s="36" t="n">
        <f aca="false">($D$2-C9)/$D$2</f>
        <v>0.136994100020825</v>
      </c>
      <c r="G9" s="36" t="n">
        <f aca="false">(Portfolio!$C$4-C9)/Portfolio!$C$4</f>
        <v>0.25</v>
      </c>
      <c r="H9" s="18" t="n">
        <v>1.4</v>
      </c>
      <c r="I9" s="78"/>
      <c r="J9" s="3"/>
      <c r="K9" s="78"/>
    </row>
    <row r="10" customFormat="false" ht="12.75" hidden="false" customHeight="true" outlineLevel="0" collapsed="false">
      <c r="B10" s="15" t="s">
        <v>11</v>
      </c>
      <c r="C10" s="34" t="n">
        <f aca="false">VLOOKUP(B10,OptionBoard!$A$2:$M$79,2,0)</f>
        <v>74</v>
      </c>
      <c r="D10" s="80" t="n">
        <f aca="false">VLOOKUP(B10,OptionBoard!$A$2:$M$79,3,0)</f>
        <v>-0.1081426</v>
      </c>
      <c r="E10" s="81" t="n">
        <f aca="false">VLOOKUP(B10,OptionBoard!$A$2:$M$79,9,0)</f>
        <v>11</v>
      </c>
      <c r="F10" s="36" t="n">
        <f aca="false">($D$2-C10)/$D$2</f>
        <v>0.113021713910293</v>
      </c>
      <c r="G10" s="36" t="n">
        <f aca="false">(Portfolio!$C$4-C10)/Portfolio!$C$4</f>
        <v>0.229166666666667</v>
      </c>
      <c r="H10" s="18" t="n">
        <v>1.69</v>
      </c>
      <c r="I10" s="78"/>
      <c r="J10" s="3"/>
      <c r="K10" s="78"/>
    </row>
    <row r="11" customFormat="false" ht="12.75" hidden="false" customHeight="true" outlineLevel="0" collapsed="false">
      <c r="B11" s="15" t="s">
        <v>71</v>
      </c>
      <c r="C11" s="34" t="n">
        <f aca="false">VLOOKUP(B11,OptionBoard!$A$2:$M$79,2,0)</f>
        <v>76</v>
      </c>
      <c r="D11" s="80" t="n">
        <f aca="false">VLOOKUP(B11,OptionBoard!$A$2:$M$79,3,0)</f>
        <v>-0.14416104</v>
      </c>
      <c r="E11" s="81" t="n">
        <f aca="false">VLOOKUP(B11,OptionBoard!$A$2:$M$79,9,0)</f>
        <v>11</v>
      </c>
      <c r="F11" s="36" t="n">
        <f aca="false">($D$2-C11)/$D$2</f>
        <v>0.0890493277997599</v>
      </c>
      <c r="G11" s="36" t="n">
        <f aca="false">(Portfolio!$C$4-C11)/Portfolio!$C$4</f>
        <v>0.208333333333333</v>
      </c>
      <c r="H11" s="18" t="n">
        <v>1.2</v>
      </c>
      <c r="I11" s="78"/>
      <c r="J11" s="3"/>
      <c r="K11" s="78"/>
    </row>
    <row r="12" customFormat="false" ht="12.75" hidden="false" customHeight="true" outlineLevel="0" collapsed="false">
      <c r="B12" s="15" t="s">
        <v>73</v>
      </c>
      <c r="C12" s="34" t="n">
        <f aca="false">VLOOKUP(B12,OptionBoard!$A$2:$M$79,2,0)</f>
        <v>78</v>
      </c>
      <c r="D12" s="80" t="n">
        <f aca="false">VLOOKUP(B12,OptionBoard!$A$2:$M$79,3,0)</f>
        <v>-0.19163007</v>
      </c>
      <c r="E12" s="81" t="n">
        <f aca="false">VLOOKUP(B12,OptionBoard!$A$2:$M$79,9,0)</f>
        <v>11</v>
      </c>
      <c r="F12" s="36" t="n">
        <f aca="false">($D$2-C12)/$D$2</f>
        <v>0.0650769416892273</v>
      </c>
      <c r="G12" s="36" t="n">
        <f aca="false">(Portfolio!$C$4-C12)/Portfolio!$C$4</f>
        <v>0.1875</v>
      </c>
      <c r="H12" s="18" t="n">
        <v>2.6</v>
      </c>
      <c r="I12" s="78"/>
      <c r="J12" s="3"/>
      <c r="K12" s="78"/>
    </row>
    <row r="13" customFormat="false" ht="12.75" hidden="false" customHeight="true" outlineLevel="0" collapsed="false">
      <c r="B13" s="15" t="s">
        <v>75</v>
      </c>
      <c r="C13" s="34" t="n">
        <f aca="false">VLOOKUP(B13,OptionBoard!$A$2:$M$79,2,0)</f>
        <v>80</v>
      </c>
      <c r="D13" s="80" t="n">
        <f aca="false">VLOOKUP(B13,OptionBoard!$A$2:$M$79,3,0)</f>
        <v>-0.25249976</v>
      </c>
      <c r="E13" s="81" t="n">
        <f aca="false">VLOOKUP(B13,OptionBoard!$A$2:$M$79,9,0)</f>
        <v>11</v>
      </c>
      <c r="F13" s="36" t="n">
        <f aca="false">($D$2-C13)/$D$2</f>
        <v>0.0411045555786946</v>
      </c>
      <c r="G13" s="36" t="n">
        <f aca="false">(Portfolio!$C$4-C13)/Portfolio!$C$4</f>
        <v>0.166666666666667</v>
      </c>
      <c r="H13" s="18" t="n">
        <v>3.23</v>
      </c>
      <c r="I13" s="78"/>
      <c r="J13" s="3"/>
      <c r="K13" s="78"/>
    </row>
    <row r="14" customFormat="false" ht="12.75" hidden="false" customHeight="true" outlineLevel="0" collapsed="false">
      <c r="B14" s="15" t="s">
        <v>40</v>
      </c>
      <c r="C14" s="34" t="n">
        <f aca="false">VLOOKUP(B14,OptionBoard!$A$2:$M$79,2,0)</f>
        <v>75</v>
      </c>
      <c r="D14" s="80" t="n">
        <f aca="false">VLOOKUP(B14,OptionBoard!$A$2:$M$79,3,0)</f>
        <v>-0.06935478</v>
      </c>
      <c r="E14" s="81" t="n">
        <f aca="false">VLOOKUP(B14,OptionBoard!$A$2:$M$79,9,0)</f>
        <v>4</v>
      </c>
      <c r="F14" s="36" t="n">
        <f aca="false">($D$2-C14)/$D$2</f>
        <v>0.101035520855026</v>
      </c>
      <c r="G14" s="36" t="n">
        <f aca="false">(Portfolio!$C$4-C14)/Portfolio!$C$4</f>
        <v>0.21875</v>
      </c>
      <c r="H14" s="18" t="n">
        <v>1</v>
      </c>
      <c r="I14" s="78"/>
      <c r="J14" s="3"/>
      <c r="K14" s="78"/>
    </row>
    <row r="15" customFormat="false" ht="12.75" hidden="false" customHeight="true" outlineLevel="0" collapsed="false">
      <c r="B15" s="15" t="s">
        <v>42</v>
      </c>
      <c r="C15" s="34" t="n">
        <f aca="false">VLOOKUP(B15,OptionBoard!$A$2:$M$79,2,0)</f>
        <v>78</v>
      </c>
      <c r="D15" s="80" t="n">
        <f aca="false">VLOOKUP(B15,OptionBoard!$A$2:$M$79,3,0)</f>
        <v>-0.12393151</v>
      </c>
      <c r="E15" s="81" t="n">
        <f aca="false">VLOOKUP(B15,OptionBoard!$A$2:$M$79,9,0)</f>
        <v>4</v>
      </c>
      <c r="F15" s="36" t="n">
        <f aca="false">($D$2-C15)/$D$2</f>
        <v>0.0650769416892273</v>
      </c>
      <c r="G15" s="36" t="n">
        <f aca="false">(Portfolio!$C$4-C15)/Portfolio!$C$4</f>
        <v>0.1875</v>
      </c>
      <c r="H15" s="18" t="n">
        <v>1.49</v>
      </c>
      <c r="I15" s="78"/>
      <c r="J15" s="3"/>
      <c r="K15" s="78"/>
    </row>
    <row r="16" customFormat="false" ht="12.75" hidden="false" customHeight="true" outlineLevel="0" collapsed="false">
      <c r="B16" s="15" t="s">
        <v>44</v>
      </c>
      <c r="C16" s="34" t="n">
        <f aca="false">VLOOKUP(B16,OptionBoard!$A$2:$M$79,2,0)</f>
        <v>80</v>
      </c>
      <c r="D16" s="80" t="n">
        <f aca="false">VLOOKUP(B16,OptionBoard!$A$2:$M$79,3,0)</f>
        <v>-0.18348904</v>
      </c>
      <c r="E16" s="81" t="n">
        <f aca="false">VLOOKUP(B16,OptionBoard!$A$2:$M$79,9,0)</f>
        <v>4</v>
      </c>
      <c r="F16" s="36" t="n">
        <f aca="false">($D$2-C16)/$D$2</f>
        <v>0.0411045555786946</v>
      </c>
      <c r="G16" s="36" t="n">
        <f aca="false">(Portfolio!$C$4-C16)/Portfolio!$C$4</f>
        <v>0.166666666666667</v>
      </c>
      <c r="H16" s="18" t="n">
        <v>1.5</v>
      </c>
      <c r="I16" s="78"/>
      <c r="J16" s="3"/>
      <c r="K16" s="78"/>
    </row>
    <row r="17" customFormat="false" ht="12.75" hidden="false" customHeight="true" outlineLevel="0" collapsed="false">
      <c r="B17" s="15"/>
      <c r="C17" s="34"/>
      <c r="D17" s="80"/>
      <c r="E17" s="81"/>
      <c r="F17" s="36"/>
      <c r="G17" s="36"/>
      <c r="H17" s="18"/>
      <c r="I17" s="78"/>
      <c r="J17" s="3"/>
      <c r="K17" s="78"/>
    </row>
    <row r="18" customFormat="false" ht="12.75" hidden="false" customHeight="true" outlineLevel="0" collapsed="false">
      <c r="B18" s="15"/>
      <c r="C18" s="34"/>
      <c r="D18" s="80"/>
      <c r="E18" s="81"/>
      <c r="F18" s="36"/>
      <c r="G18" s="36"/>
      <c r="H18" s="18"/>
      <c r="I18" s="78"/>
      <c r="J18" s="3"/>
      <c r="K18" s="78"/>
    </row>
    <row r="19" customFormat="false" ht="12.75" hidden="false" customHeight="true" outlineLevel="0" collapsed="false">
      <c r="B19" s="15"/>
      <c r="C19" s="34"/>
      <c r="D19" s="80"/>
      <c r="E19" s="81"/>
      <c r="F19" s="36"/>
      <c r="G19" s="36"/>
      <c r="H19" s="18"/>
      <c r="I19" s="78"/>
      <c r="J19" s="3"/>
      <c r="K19" s="78"/>
    </row>
    <row r="20" customFormat="false" ht="12.75" hidden="false" customHeight="true" outlineLevel="0" collapsed="false">
      <c r="C20" s="3"/>
      <c r="D20" s="82"/>
      <c r="E20" s="83"/>
      <c r="F20" s="39"/>
      <c r="G20" s="39"/>
      <c r="H20" s="78"/>
      <c r="I20" s="78"/>
      <c r="J20" s="3"/>
      <c r="K20" s="3"/>
    </row>
    <row r="21" customFormat="false" ht="14.25" hidden="false" customHeight="true" outlineLevel="0" collapsed="false">
      <c r="P21" s="2" t="n">
        <f aca="false">P29/C2</f>
        <v>-0.359182207694927</v>
      </c>
    </row>
    <row r="22" customFormat="false" ht="15" hidden="false" customHeight="true" outlineLevel="0" collapsed="false">
      <c r="A22" s="9"/>
      <c r="B22" s="19" t="s">
        <v>0</v>
      </c>
      <c r="C22" s="19" t="s">
        <v>12</v>
      </c>
      <c r="D22" s="19" t="s">
        <v>13</v>
      </c>
      <c r="E22" s="19" t="s">
        <v>161</v>
      </c>
      <c r="F22" s="19" t="s">
        <v>208</v>
      </c>
      <c r="G22" s="19" t="s">
        <v>175</v>
      </c>
      <c r="H22" s="19" t="s">
        <v>176</v>
      </c>
      <c r="I22" s="19" t="s">
        <v>202</v>
      </c>
      <c r="M22" s="19" t="s">
        <v>209</v>
      </c>
      <c r="N22" s="84" t="s">
        <v>210</v>
      </c>
      <c r="O22" s="84" t="s">
        <v>211</v>
      </c>
      <c r="P22" s="34" t="s">
        <v>193</v>
      </c>
      <c r="Q22" s="34" t="s">
        <v>144</v>
      </c>
      <c r="R22" s="34" t="s">
        <v>194</v>
      </c>
      <c r="S22" s="15" t="s">
        <v>212</v>
      </c>
      <c r="V22" s="9"/>
      <c r="X22" s="39"/>
      <c r="Y22" s="40"/>
      <c r="Z22" s="9"/>
      <c r="AA22" s="9"/>
    </row>
    <row r="23" customFormat="false" ht="15" hidden="false" customHeight="true" outlineLevel="0" collapsed="false">
      <c r="A23" s="40"/>
      <c r="B23" s="15" t="str">
        <f aca="false">B9</f>
        <v>SOL-1MAY26-72-P-USDT</v>
      </c>
      <c r="C23" s="34" t="n">
        <f aca="false">C9</f>
        <v>72</v>
      </c>
      <c r="D23" s="68" t="n">
        <f aca="false">D9</f>
        <v>-0.08120607</v>
      </c>
      <c r="E23" s="81" t="n">
        <f aca="false">E9</f>
        <v>11</v>
      </c>
      <c r="F23" s="18" t="n">
        <f aca="false">H9</f>
        <v>1.4</v>
      </c>
      <c r="G23" s="34"/>
      <c r="H23" s="18" t="n">
        <f aca="false">F23*G23</f>
        <v>0</v>
      </c>
      <c r="I23" s="36" t="n">
        <f aca="false">H23/$H$33</f>
        <v>0</v>
      </c>
      <c r="M23" s="74" t="n">
        <v>80</v>
      </c>
      <c r="N23" s="85" t="n">
        <f aca="false">VLOOKUP(M23,$B$76:$C$102,2,0)</f>
        <v>0.0666512820630073</v>
      </c>
      <c r="O23" s="85" t="n">
        <f aca="false">VLOOKUP(M23,$B$76:$D$102,3,0)</f>
        <v>-1</v>
      </c>
      <c r="P23" s="68" t="n">
        <f aca="false">VLOOKUP(M23,$M$76:$P$102,2,0)</f>
        <v>-2.39727246937277</v>
      </c>
      <c r="Q23" s="16" t="n">
        <f aca="false">VLOOKUP(M23,$M$76:$P$102,3,0)</f>
        <v>0.924453282213912</v>
      </c>
      <c r="R23" s="16" t="n">
        <f aca="false">VLOOKUP(M23,$M$76:$P$102,4,0)</f>
        <v>-13.87</v>
      </c>
      <c r="S23" s="15"/>
      <c r="V23" s="14"/>
      <c r="X23" s="39"/>
      <c r="Y23" s="40"/>
      <c r="Z23" s="14"/>
      <c r="AA23" s="14"/>
    </row>
    <row r="24" customFormat="false" ht="15" hidden="false" customHeight="true" outlineLevel="0" collapsed="false">
      <c r="A24" s="47"/>
      <c r="B24" s="15" t="str">
        <f aca="false">B10</f>
        <v>SOL-1MAY26-74-P-USDT</v>
      </c>
      <c r="C24" s="34" t="n">
        <f aca="false">C10</f>
        <v>74</v>
      </c>
      <c r="D24" s="68" t="n">
        <f aca="false">D10</f>
        <v>-0.1081426</v>
      </c>
      <c r="E24" s="81" t="n">
        <f aca="false">E10</f>
        <v>11</v>
      </c>
      <c r="F24" s="18" t="n">
        <f aca="false">H10</f>
        <v>1.69</v>
      </c>
      <c r="G24" s="34" t="n">
        <v>3</v>
      </c>
      <c r="H24" s="18" t="n">
        <f aca="false">F24*G24</f>
        <v>5.07</v>
      </c>
      <c r="I24" s="36" t="n">
        <f aca="false">H24/$H$33</f>
        <v>0.365537130497477</v>
      </c>
      <c r="M24" s="74" t="n">
        <v>78</v>
      </c>
      <c r="N24" s="85" t="n">
        <f aca="false">VLOOKUP(M24,$B$76:$C$102,2,0)</f>
        <v>0.45780358787483</v>
      </c>
      <c r="O24" s="85" t="n">
        <f aca="false">VLOOKUP(M24,$B$76:$D$102,3,0)</f>
        <v>-1</v>
      </c>
      <c r="P24" s="68" t="n">
        <f aca="false">VLOOKUP(M24,$M$76:$P$102,2,0)</f>
        <v>-3.04022987072142</v>
      </c>
      <c r="Q24" s="16" t="n">
        <f aca="false">VLOOKUP(M24,$M$76:$P$102,3,0)</f>
        <v>6.3497357638239</v>
      </c>
      <c r="R24" s="16" t="n">
        <f aca="false">VLOOKUP(M24,$M$76:$P$102,4,0)</f>
        <v>-13.87</v>
      </c>
      <c r="S24" s="16" t="n">
        <f aca="false">Q24-Q23</f>
        <v>5.42528248160998</v>
      </c>
      <c r="V24" s="14"/>
      <c r="X24" s="39"/>
      <c r="Y24" s="40"/>
      <c r="Z24" s="14"/>
      <c r="AA24" s="14"/>
    </row>
    <row r="25" customFormat="false" ht="15" hidden="false" customHeight="true" outlineLevel="0" collapsed="false">
      <c r="A25" s="49"/>
      <c r="B25" s="15" t="str">
        <f aca="false">B11</f>
        <v>SOL-1MAY26-76-P-USDT</v>
      </c>
      <c r="C25" s="34" t="n">
        <f aca="false">C11</f>
        <v>76</v>
      </c>
      <c r="D25" s="68" t="n">
        <f aca="false">D11</f>
        <v>-0.14416104</v>
      </c>
      <c r="E25" s="81" t="n">
        <f aca="false">E11</f>
        <v>11</v>
      </c>
      <c r="F25" s="18" t="n">
        <f aca="false">H11</f>
        <v>1.2</v>
      </c>
      <c r="G25" s="34" t="n">
        <v>3</v>
      </c>
      <c r="H25" s="18" t="n">
        <f aca="false">F25*G25</f>
        <v>3.6</v>
      </c>
      <c r="I25" s="36" t="n">
        <f aca="false">H25/$H$33</f>
        <v>0.259552992069214</v>
      </c>
      <c r="M25" s="74" t="n">
        <v>76</v>
      </c>
      <c r="N25" s="85" t="n">
        <f aca="false">VLOOKUP(M25,$B$76:$C$102,2,0)</f>
        <v>0.946368440151015</v>
      </c>
      <c r="O25" s="85" t="n">
        <f aca="false">VLOOKUP(M25,$B$76:$D$102,3,0)</f>
        <v>-0.711607786589762</v>
      </c>
      <c r="P25" s="68" t="n">
        <f aca="false">VLOOKUP(M25,$M$76:$P$102,2,0)</f>
        <v>-3.74397683697663</v>
      </c>
      <c r="Q25" s="16" t="n">
        <f aca="false">VLOOKUP(M25,$M$76:$P$102,3,0)</f>
        <v>13.1261302648946</v>
      </c>
      <c r="R25" s="16" t="n">
        <f aca="false">VLOOKUP(M25,$M$76:$P$102,4,0)</f>
        <v>-9.87</v>
      </c>
      <c r="S25" s="16" t="n">
        <f aca="false">Q25-Q24</f>
        <v>6.77639450107068</v>
      </c>
      <c r="V25" s="14"/>
      <c r="X25" s="39"/>
      <c r="Y25" s="14"/>
      <c r="Z25" s="14"/>
      <c r="AA25" s="14"/>
    </row>
    <row r="26" customFormat="false" ht="16.5" hidden="false" customHeight="true" outlineLevel="0" collapsed="false">
      <c r="B26" s="15" t="str">
        <f aca="false">B12</f>
        <v>SOL-1MAY26-78-P-USDT</v>
      </c>
      <c r="C26" s="34" t="n">
        <f aca="false">C12</f>
        <v>78</v>
      </c>
      <c r="D26" s="68" t="n">
        <f aca="false">D12</f>
        <v>-0.19163007</v>
      </c>
      <c r="E26" s="81" t="n">
        <f aca="false">E12</f>
        <v>11</v>
      </c>
      <c r="F26" s="18" t="n">
        <f aca="false">H12</f>
        <v>2.6</v>
      </c>
      <c r="G26" s="34" t="n">
        <v>2</v>
      </c>
      <c r="H26" s="18" t="n">
        <f aca="false">F26*G26</f>
        <v>5.2</v>
      </c>
      <c r="I26" s="36" t="n">
        <f aca="false">H26/$H$33</f>
        <v>0.374909877433309</v>
      </c>
      <c r="M26" s="74" t="n">
        <v>75</v>
      </c>
      <c r="N26" s="85" t="n">
        <f aca="false">VLOOKUP(M26,$B$76:$C$102,2,0)</f>
        <v>1.22943767679502</v>
      </c>
      <c r="O26" s="85" t="n">
        <f aca="false">VLOOKUP(M26,$B$76:$D$102,3,0)</f>
        <v>-0.351117519826965</v>
      </c>
      <c r="P26" s="68" t="n">
        <f aca="false">VLOOKUP(M26,$M$76:$P$102,2,0)</f>
        <v>-4.10924309086435</v>
      </c>
      <c r="Q26" s="16" t="n">
        <f aca="false">VLOOKUP(M26,$M$76:$P$102,3,0)</f>
        <v>17.0523005771469</v>
      </c>
      <c r="R26" s="16" t="n">
        <f aca="false">VLOOKUP(M26,$M$76:$P$102,4,0)</f>
        <v>-4.87</v>
      </c>
      <c r="S26" s="16" t="n">
        <f aca="false">Q26-Q25</f>
        <v>3.92617031225232</v>
      </c>
      <c r="V26" s="14"/>
      <c r="X26" s="39"/>
      <c r="Y26" s="40"/>
      <c r="Z26" s="14"/>
      <c r="AA26" s="14"/>
    </row>
    <row r="27" customFormat="false" ht="16.5" hidden="false" customHeight="true" outlineLevel="0" collapsed="false">
      <c r="B27" s="87" t="s">
        <v>40</v>
      </c>
      <c r="C27" s="88" t="n">
        <f aca="false">C13</f>
        <v>80</v>
      </c>
      <c r="D27" s="89" t="n">
        <f aca="false">D13</f>
        <v>-0.25249976</v>
      </c>
      <c r="E27" s="96" t="n">
        <f aca="false">E13</f>
        <v>11</v>
      </c>
      <c r="F27" s="90" t="n">
        <v>0</v>
      </c>
      <c r="G27" s="88"/>
      <c r="H27" s="90" t="n">
        <f aca="false">F27*G27</f>
        <v>0</v>
      </c>
      <c r="I27" s="91" t="n">
        <f aca="false">H27/$H$33</f>
        <v>0</v>
      </c>
      <c r="M27" s="74" t="n">
        <v>74</v>
      </c>
      <c r="N27" s="85" t="n">
        <f aca="false">VLOOKUP(M27,$B$76:$C$102,2,0)</f>
        <v>1.53897491699702</v>
      </c>
      <c r="O27" s="85" t="n">
        <f aca="false">VLOOKUP(M27,$B$76:$D$102,3,0)</f>
        <v>0.00937274693583272</v>
      </c>
      <c r="P27" s="68" t="n">
        <f aca="false">VLOOKUP(M27,$M$76:$P$102,2,0)</f>
        <v>-4.47739678013157</v>
      </c>
      <c r="Q27" s="16" t="n">
        <f aca="false">VLOOKUP(M27,$M$76:$P$102,3,0)</f>
        <v>21.3455820987487</v>
      </c>
      <c r="R27" s="16" t="n">
        <f aca="false">VLOOKUP(M27,$M$76:$P$102,4,0)</f>
        <v>0.13</v>
      </c>
      <c r="S27" s="16" t="n">
        <f aca="false">Q27-Q26</f>
        <v>4.29328152160177</v>
      </c>
      <c r="V27" s="14"/>
      <c r="X27" s="39"/>
      <c r="Y27" s="40"/>
      <c r="Z27" s="14"/>
      <c r="AA27" s="14"/>
    </row>
    <row r="28" customFormat="false" ht="16.5" hidden="false" customHeight="true" outlineLevel="0" collapsed="false">
      <c r="B28" s="87" t="s">
        <v>42</v>
      </c>
      <c r="C28" s="88" t="n">
        <f aca="false">C18</f>
        <v>0</v>
      </c>
      <c r="D28" s="89" t="n">
        <f aca="false">D18</f>
        <v>0</v>
      </c>
      <c r="E28" s="96" t="n">
        <f aca="false">E18</f>
        <v>0</v>
      </c>
      <c r="F28" s="90" t="n">
        <v>0</v>
      </c>
      <c r="G28" s="88"/>
      <c r="H28" s="90" t="n">
        <f aca="false">F28*G28</f>
        <v>0</v>
      </c>
      <c r="I28" s="91" t="n">
        <f aca="false">H28/$H$33</f>
        <v>0</v>
      </c>
      <c r="K28" s="17" t="n">
        <f aca="false">Q33/P29</f>
        <v>-2.54604563040763</v>
      </c>
      <c r="M28" s="74" t="n">
        <v>72</v>
      </c>
      <c r="N28" s="85" t="n">
        <f aca="false">VLOOKUP(M28,$B$76:$C$102,2,0)</f>
        <v>2.2372212322101</v>
      </c>
      <c r="O28" s="85" t="n">
        <f aca="false">VLOOKUP(M28,$B$76:$D$102,3,0)</f>
        <v>1.16294160057678</v>
      </c>
      <c r="P28" s="68" t="n">
        <f aca="false">VLOOKUP(M28,$M$76:$P$102,2,0)</f>
        <v>-5.20257886151106</v>
      </c>
      <c r="Q28" s="16" t="n">
        <f aca="false">VLOOKUP(M28,$M$76:$P$102,3,0)</f>
        <v>31.0302584907541</v>
      </c>
      <c r="R28" s="16" t="n">
        <f aca="false">VLOOKUP(M28,$M$76:$P$102,4,0)</f>
        <v>16.13</v>
      </c>
      <c r="S28" s="16" t="n">
        <f aca="false">Q28-Q27</f>
        <v>9.68467639200544</v>
      </c>
      <c r="X28" s="39"/>
      <c r="Y28" s="40"/>
      <c r="Z28" s="14"/>
      <c r="AA28" s="14"/>
    </row>
    <row r="29" customFormat="false" ht="16.5" hidden="false" customHeight="true" outlineLevel="0" collapsed="false">
      <c r="B29" s="87" t="s">
        <v>40</v>
      </c>
      <c r="C29" s="88" t="n">
        <f aca="false">C19</f>
        <v>0</v>
      </c>
      <c r="D29" s="89" t="n">
        <f aca="false">D19</f>
        <v>0</v>
      </c>
      <c r="E29" s="96" t="n">
        <f aca="false">E19</f>
        <v>0</v>
      </c>
      <c r="F29" s="90" t="n">
        <v>0</v>
      </c>
      <c r="G29" s="88"/>
      <c r="H29" s="90" t="n">
        <f aca="false">F29*G29</f>
        <v>0</v>
      </c>
      <c r="I29" s="91" t="n">
        <f aca="false">H29/$H$33</f>
        <v>0</v>
      </c>
      <c r="M29" s="74" t="n">
        <v>70</v>
      </c>
      <c r="N29" s="85" t="n">
        <f aca="false">VLOOKUP(M29,$B$76:$C$102,2,0)</f>
        <v>3.03706668058927</v>
      </c>
      <c r="O29" s="85" t="n">
        <f aca="false">VLOOKUP(M29,$B$76:$D$102,3,0)</f>
        <v>2.31651045421774</v>
      </c>
      <c r="P29" s="86" t="n">
        <f aca="false">VLOOKUP(M29,$M$76:$P$102,2,0)</f>
        <v>-5.88025992181453</v>
      </c>
      <c r="Q29" s="16" t="n">
        <f aca="false">VLOOKUP(M29,$M$76:$P$102,3,0)</f>
        <v>42.1241148597731</v>
      </c>
      <c r="R29" s="16" t="n">
        <f aca="false">VLOOKUP(M29,$M$76:$P$102,4,0)</f>
        <v>32.13</v>
      </c>
      <c r="S29" s="16" t="n">
        <f aca="false">Q29-Q28</f>
        <v>11.093856369019</v>
      </c>
      <c r="X29" s="39"/>
      <c r="Y29" s="40"/>
      <c r="Z29" s="14"/>
      <c r="AA29" s="14"/>
    </row>
    <row r="30" customFormat="false" ht="16.5" hidden="false" customHeight="true" outlineLevel="0" collapsed="false">
      <c r="B30" s="87" t="s">
        <v>42</v>
      </c>
      <c r="C30" s="88" t="n">
        <f aca="false">Hedge_Far!B9</f>
        <v>60</v>
      </c>
      <c r="D30" s="89" t="n">
        <f aca="false">Hedge_Far!C9</f>
        <v>-0.05332898</v>
      </c>
      <c r="E30" s="88" t="n">
        <f aca="false">Hedge_Far!I9</f>
        <v>39</v>
      </c>
      <c r="F30" s="90" t="n">
        <v>0</v>
      </c>
      <c r="G30" s="88"/>
      <c r="H30" s="90" t="n">
        <f aca="false">Hedge_Far!N9</f>
        <v>0</v>
      </c>
      <c r="I30" s="91" t="n">
        <f aca="false">H30/$H$33</f>
        <v>0</v>
      </c>
      <c r="M30" s="74" t="n">
        <v>65</v>
      </c>
      <c r="N30" s="85" t="n">
        <f aca="false">VLOOKUP(M30,$B$76:$C$102,2,0)</f>
        <v>5.40953032186316</v>
      </c>
      <c r="O30" s="85" t="n">
        <f aca="false">VLOOKUP(M30,$B$76:$D$102,3,0)</f>
        <v>5.20043258832012</v>
      </c>
      <c r="P30" s="68" t="n">
        <f aca="false">VLOOKUP(M30,$M$76:$P$102,2,0)</f>
        <v>-7.1702126608975</v>
      </c>
      <c r="Q30" s="16" t="n">
        <f aca="false">VLOOKUP(M30,$M$76:$P$102,3,0)</f>
        <v>75.030185564242</v>
      </c>
      <c r="R30" s="16" t="n">
        <f aca="false">VLOOKUP(M30,$M$76:$P$102,4,0)</f>
        <v>72.13</v>
      </c>
      <c r="S30" s="16" t="n">
        <f aca="false">Q30-Q29</f>
        <v>32.9060707044689</v>
      </c>
      <c r="V30" s="14"/>
      <c r="X30" s="39"/>
      <c r="Y30" s="40"/>
      <c r="Z30" s="14"/>
      <c r="AA30" s="14"/>
    </row>
    <row r="31" customFormat="false" ht="16.5" hidden="false" customHeight="true" outlineLevel="0" collapsed="false">
      <c r="B31" s="87" t="s">
        <v>40</v>
      </c>
      <c r="C31" s="88" t="n">
        <f aca="false">Hedge_Far!B10</f>
        <v>60</v>
      </c>
      <c r="D31" s="89" t="n">
        <f aca="false">Hedge_Far!C10</f>
        <v>-0.05332898</v>
      </c>
      <c r="E31" s="88" t="n">
        <f aca="false">Hedge_Far!I10</f>
        <v>39</v>
      </c>
      <c r="F31" s="90" t="n">
        <v>0</v>
      </c>
      <c r="G31" s="88"/>
      <c r="H31" s="90" t="n">
        <f aca="false">Hedge_Far!N10</f>
        <v>0</v>
      </c>
      <c r="I31" s="91" t="n">
        <f aca="false">H31/$H$33</f>
        <v>0</v>
      </c>
      <c r="M31" s="74" t="n">
        <v>60</v>
      </c>
      <c r="N31" s="85" t="n">
        <f aca="false">VLOOKUP(M31,$B$76:$C$102,2,0)</f>
        <v>8.12406534041283</v>
      </c>
      <c r="O31" s="85" t="n">
        <f aca="false">VLOOKUP(M31,$B$76:$D$102,3,0)</f>
        <v>8.0843547224225</v>
      </c>
      <c r="P31" s="68" t="n">
        <f aca="false">VLOOKUP(M31,$M$76:$P$102,2,0)</f>
        <v>-7.78929540420669</v>
      </c>
      <c r="Q31" s="16" t="n">
        <f aca="false">VLOOKUP(M31,$M$76:$P$102,3,0)</f>
        <v>112.680786271526</v>
      </c>
      <c r="R31" s="16" t="n">
        <f aca="false">VLOOKUP(M31,$M$76:$P$102,4,0)</f>
        <v>112.13</v>
      </c>
      <c r="S31" s="16" t="n">
        <f aca="false">Q31-Q30</f>
        <v>37.6506007072839</v>
      </c>
      <c r="V31" s="14"/>
      <c r="X31" s="39"/>
      <c r="Y31" s="40"/>
      <c r="Z31" s="14"/>
      <c r="AA31" s="14"/>
    </row>
    <row r="32" customFormat="false" ht="16.5" hidden="false" customHeight="true" outlineLevel="0" collapsed="false">
      <c r="B32" s="87" t="s">
        <v>42</v>
      </c>
      <c r="C32" s="88" t="n">
        <f aca="false">Hedge_Far!B11</f>
        <v>70</v>
      </c>
      <c r="D32" s="89" t="n">
        <f aca="false">Hedge_Far!C11</f>
        <v>-0.15294325</v>
      </c>
      <c r="E32" s="88" t="n">
        <f aca="false">Hedge_Far!I11</f>
        <v>39</v>
      </c>
      <c r="F32" s="90" t="n">
        <v>0</v>
      </c>
      <c r="G32" s="88"/>
      <c r="H32" s="90" t="n">
        <f aca="false">Hedge_Far!N11</f>
        <v>0</v>
      </c>
      <c r="I32" s="91" t="n">
        <f aca="false">H32/$H$33</f>
        <v>0</v>
      </c>
      <c r="M32" s="74" t="n">
        <v>57</v>
      </c>
      <c r="N32" s="85" t="n">
        <f aca="false">VLOOKUP(M32,$B$76:$C$102,2,0)</f>
        <v>9.82606646713573</v>
      </c>
      <c r="O32" s="85" t="n">
        <f aca="false">VLOOKUP(M32,$B$76:$D$102,3,0)</f>
        <v>9.81470800288392</v>
      </c>
      <c r="P32" s="68" t="n">
        <f aca="false">VLOOKUP(M32,$M$76:$P$102,2,0)</f>
        <v>-7.92851408367323</v>
      </c>
      <c r="Q32" s="16" t="n">
        <f aca="false">VLOOKUP(M32,$M$76:$P$102,3,0)</f>
        <v>136.287541899173</v>
      </c>
      <c r="R32" s="16" t="n">
        <f aca="false">VLOOKUP(M32,$M$76:$P$102,4,0)</f>
        <v>136.13</v>
      </c>
      <c r="S32" s="16" t="n">
        <f aca="false">Q32-Q31</f>
        <v>23.6067556276467</v>
      </c>
      <c r="V32" s="14"/>
      <c r="X32" s="39"/>
      <c r="Y32" s="40"/>
      <c r="Z32" s="14"/>
      <c r="AA32" s="14"/>
    </row>
    <row r="33" customFormat="false" ht="16.5" hidden="false" customHeight="true" outlineLevel="0" collapsed="false">
      <c r="B33" s="52"/>
      <c r="C33" s="78"/>
      <c r="E33" s="78"/>
      <c r="H33" s="78" t="n">
        <f aca="false">SUM(H23:H32)</f>
        <v>13.87</v>
      </c>
      <c r="I33" s="3"/>
      <c r="M33" s="92"/>
      <c r="Q33" s="17" t="n">
        <f aca="false">AVERAGE(Q23:Q28)</f>
        <v>14.971410079597</v>
      </c>
      <c r="R33" s="17"/>
      <c r="S33" s="17"/>
      <c r="V33" s="14"/>
      <c r="X33" s="39"/>
      <c r="Y33" s="40"/>
      <c r="Z33" s="14"/>
      <c r="AA33" s="14"/>
    </row>
    <row r="34" customFormat="false" ht="16.5" hidden="false" customHeight="true" outlineLevel="0" collapsed="false">
      <c r="B34" s="52"/>
      <c r="C34" s="78"/>
      <c r="E34" s="78"/>
      <c r="H34" s="78"/>
      <c r="I34" s="3"/>
      <c r="M34" s="92"/>
      <c r="Q34" s="17"/>
      <c r="R34" s="17"/>
      <c r="S34" s="17"/>
      <c r="V34" s="14"/>
      <c r="X34" s="39"/>
      <c r="Y34" s="40"/>
      <c r="Z34" s="14"/>
      <c r="AA34" s="14"/>
    </row>
    <row r="35" customFormat="false" ht="16.5" hidden="false" customHeight="true" outlineLevel="0" collapsed="false">
      <c r="B35" s="19" t="s">
        <v>0</v>
      </c>
      <c r="C35" s="19" t="s">
        <v>12</v>
      </c>
      <c r="D35" s="19" t="s">
        <v>13</v>
      </c>
      <c r="E35" s="19" t="s">
        <v>161</v>
      </c>
      <c r="F35" s="19" t="s">
        <v>208</v>
      </c>
      <c r="G35" s="19" t="s">
        <v>175</v>
      </c>
      <c r="H35" s="19" t="s">
        <v>176</v>
      </c>
      <c r="I35" s="19" t="s">
        <v>202</v>
      </c>
      <c r="M35" s="19" t="s">
        <v>209</v>
      </c>
      <c r="N35" s="84" t="s">
        <v>210</v>
      </c>
      <c r="O35" s="84" t="s">
        <v>211</v>
      </c>
      <c r="P35" s="34" t="s">
        <v>193</v>
      </c>
      <c r="Q35" s="34" t="s">
        <v>144</v>
      </c>
      <c r="R35" s="34" t="s">
        <v>194</v>
      </c>
      <c r="S35" s="15" t="s">
        <v>212</v>
      </c>
      <c r="V35" s="14"/>
      <c r="X35" s="39"/>
      <c r="Y35" s="40"/>
      <c r="Z35" s="14"/>
      <c r="AA35" s="14"/>
    </row>
    <row r="36" customFormat="false" ht="16.5" hidden="false" customHeight="true" outlineLevel="0" collapsed="false">
      <c r="B36" s="15"/>
      <c r="C36" s="34"/>
      <c r="D36" s="68"/>
      <c r="E36" s="81"/>
      <c r="F36" s="18"/>
      <c r="G36" s="93"/>
      <c r="H36" s="18"/>
      <c r="I36" s="36"/>
      <c r="M36" s="74"/>
      <c r="N36" s="15"/>
      <c r="O36" s="15"/>
      <c r="P36" s="15"/>
      <c r="Q36" s="16"/>
      <c r="R36" s="16"/>
      <c r="S36" s="16"/>
      <c r="V36" s="14"/>
      <c r="X36" s="39"/>
      <c r="Y36" s="40"/>
      <c r="Z36" s="14"/>
      <c r="AA36" s="14"/>
    </row>
    <row r="37" customFormat="false" ht="16.5" hidden="false" customHeight="true" outlineLevel="0" collapsed="false">
      <c r="B37" s="15"/>
      <c r="C37" s="34"/>
      <c r="D37" s="68"/>
      <c r="E37" s="81"/>
      <c r="F37" s="18"/>
      <c r="G37" s="93"/>
      <c r="H37" s="18"/>
      <c r="I37" s="36"/>
      <c r="M37" s="74"/>
      <c r="N37" s="15"/>
      <c r="O37" s="15"/>
      <c r="P37" s="15"/>
      <c r="Q37" s="16"/>
      <c r="R37" s="16"/>
      <c r="S37" s="16"/>
      <c r="V37" s="14"/>
      <c r="X37" s="39"/>
      <c r="Y37" s="40"/>
      <c r="Z37" s="14"/>
      <c r="AA37" s="14"/>
    </row>
    <row r="38" customFormat="false" ht="16.5" hidden="false" customHeight="true" outlineLevel="0" collapsed="false">
      <c r="B38" s="15"/>
      <c r="C38" s="34"/>
      <c r="D38" s="68"/>
      <c r="E38" s="81"/>
      <c r="F38" s="18"/>
      <c r="G38" s="93"/>
      <c r="H38" s="18"/>
      <c r="I38" s="36"/>
      <c r="M38" s="74"/>
      <c r="N38" s="15"/>
      <c r="O38" s="15"/>
      <c r="P38" s="15"/>
      <c r="Q38" s="16"/>
      <c r="R38" s="16"/>
      <c r="S38" s="16"/>
      <c r="V38" s="14"/>
      <c r="X38" s="39"/>
      <c r="Y38" s="40"/>
      <c r="Z38" s="14"/>
      <c r="AA38" s="14"/>
    </row>
    <row r="39" customFormat="false" ht="16.5" hidden="false" customHeight="true" outlineLevel="0" collapsed="false">
      <c r="B39" s="15"/>
      <c r="C39" s="34"/>
      <c r="D39" s="68"/>
      <c r="E39" s="81"/>
      <c r="F39" s="18"/>
      <c r="G39" s="93"/>
      <c r="H39" s="18"/>
      <c r="I39" s="36"/>
      <c r="M39" s="74"/>
      <c r="N39" s="15"/>
      <c r="O39" s="15"/>
      <c r="P39" s="15"/>
      <c r="Q39" s="16"/>
      <c r="R39" s="16"/>
      <c r="S39" s="16"/>
      <c r="V39" s="14"/>
      <c r="X39" s="39"/>
      <c r="Y39" s="40"/>
      <c r="Z39" s="14"/>
      <c r="AA39" s="14"/>
    </row>
    <row r="40" customFormat="false" ht="16.5" hidden="false" customHeight="true" outlineLevel="0" collapsed="false">
      <c r="B40" s="15"/>
      <c r="C40" s="34"/>
      <c r="D40" s="68"/>
      <c r="E40" s="81"/>
      <c r="F40" s="18"/>
      <c r="G40" s="93"/>
      <c r="H40" s="18"/>
      <c r="I40" s="36"/>
      <c r="M40" s="74"/>
      <c r="N40" s="15"/>
      <c r="O40" s="15"/>
      <c r="P40" s="15"/>
      <c r="Q40" s="16"/>
      <c r="R40" s="16"/>
      <c r="S40" s="16"/>
      <c r="V40" s="14"/>
      <c r="X40" s="39"/>
      <c r="Y40" s="40"/>
      <c r="Z40" s="14"/>
      <c r="AA40" s="14"/>
    </row>
    <row r="41" customFormat="false" ht="16.5" hidden="false" customHeight="true" outlineLevel="0" collapsed="false">
      <c r="B41" s="15"/>
      <c r="C41" s="34"/>
      <c r="D41" s="68"/>
      <c r="E41" s="81"/>
      <c r="F41" s="18"/>
      <c r="G41" s="93"/>
      <c r="H41" s="18"/>
      <c r="I41" s="36"/>
      <c r="M41" s="74"/>
      <c r="N41" s="15"/>
      <c r="O41" s="15"/>
      <c r="P41" s="15"/>
      <c r="Q41" s="16"/>
      <c r="R41" s="16"/>
      <c r="S41" s="16"/>
      <c r="V41" s="14"/>
      <c r="X41" s="39"/>
      <c r="Y41" s="40"/>
      <c r="Z41" s="14"/>
      <c r="AA41" s="14"/>
    </row>
    <row r="42" customFormat="false" ht="16.5" hidden="false" customHeight="true" outlineLevel="0" collapsed="false">
      <c r="B42" s="15"/>
      <c r="C42" s="34"/>
      <c r="D42" s="68"/>
      <c r="E42" s="81"/>
      <c r="F42" s="18"/>
      <c r="G42" s="93"/>
      <c r="H42" s="18"/>
      <c r="I42" s="36"/>
      <c r="M42" s="74"/>
      <c r="N42" s="15"/>
      <c r="O42" s="15"/>
      <c r="P42" s="77"/>
      <c r="Q42" s="16"/>
      <c r="R42" s="16"/>
      <c r="S42" s="16"/>
      <c r="V42" s="14"/>
      <c r="X42" s="39"/>
      <c r="Y42" s="40"/>
      <c r="Z42" s="14"/>
      <c r="AA42" s="14"/>
    </row>
    <row r="43" customFormat="false" ht="16.5" hidden="false" customHeight="true" outlineLevel="0" collapsed="false">
      <c r="B43" s="15"/>
      <c r="C43" s="88"/>
      <c r="D43" s="89"/>
      <c r="E43" s="88"/>
      <c r="F43" s="88"/>
      <c r="G43" s="88"/>
      <c r="H43" s="90"/>
      <c r="I43" s="91"/>
      <c r="M43" s="74"/>
      <c r="N43" s="15"/>
      <c r="O43" s="15"/>
      <c r="P43" s="15"/>
      <c r="Q43" s="16"/>
      <c r="R43" s="16"/>
      <c r="S43" s="16"/>
      <c r="V43" s="14"/>
      <c r="X43" s="39"/>
      <c r="Y43" s="40"/>
      <c r="Z43" s="14"/>
      <c r="AA43" s="14"/>
    </row>
    <row r="44" customFormat="false" ht="16.5" hidden="false" customHeight="true" outlineLevel="0" collapsed="false">
      <c r="B44" s="15"/>
      <c r="C44" s="88"/>
      <c r="D44" s="89"/>
      <c r="E44" s="88"/>
      <c r="F44" s="88"/>
      <c r="G44" s="88"/>
      <c r="H44" s="90"/>
      <c r="I44" s="91"/>
      <c r="M44" s="74"/>
      <c r="N44" s="15"/>
      <c r="O44" s="15"/>
      <c r="P44" s="15"/>
      <c r="Q44" s="16"/>
      <c r="R44" s="16"/>
      <c r="S44" s="16"/>
      <c r="V44" s="14"/>
      <c r="X44" s="39"/>
      <c r="Y44" s="40"/>
      <c r="Z44" s="14"/>
      <c r="AA44" s="14"/>
    </row>
    <row r="45" customFormat="false" ht="16.5" hidden="false" customHeight="true" outlineLevel="0" collapsed="false">
      <c r="B45" s="15"/>
      <c r="C45" s="88"/>
      <c r="D45" s="89"/>
      <c r="E45" s="88"/>
      <c r="F45" s="88"/>
      <c r="G45" s="88"/>
      <c r="H45" s="90"/>
      <c r="I45" s="91"/>
      <c r="M45" s="74"/>
      <c r="N45" s="15"/>
      <c r="O45" s="15"/>
      <c r="P45" s="15"/>
      <c r="Q45" s="16"/>
      <c r="R45" s="16"/>
      <c r="S45" s="16"/>
      <c r="V45" s="16" t="n">
        <f aca="false">Q33-R60</f>
        <v>14.971410079597</v>
      </c>
      <c r="W45" s="70" t="n">
        <f aca="false">V45/V46</f>
        <v>1.07940952268183</v>
      </c>
      <c r="X45" s="39"/>
      <c r="Y45" s="40"/>
      <c r="Z45" s="14"/>
      <c r="AA45" s="14"/>
    </row>
    <row r="46" customFormat="false" ht="16.5" hidden="false" customHeight="true" outlineLevel="0" collapsed="false">
      <c r="B46" s="52"/>
      <c r="C46" s="78"/>
      <c r="E46" s="78"/>
      <c r="H46" s="78"/>
      <c r="I46" s="3"/>
      <c r="M46" s="92"/>
      <c r="Q46" s="17"/>
      <c r="R46" s="17"/>
      <c r="S46" s="17"/>
      <c r="V46" s="16" t="n">
        <f aca="false">H33-I59</f>
        <v>13.87</v>
      </c>
      <c r="W46" s="15"/>
      <c r="X46" s="39"/>
      <c r="Y46" s="40"/>
      <c r="Z46" s="14"/>
      <c r="AA46" s="14"/>
    </row>
    <row r="47" customFormat="false" ht="16.5" hidden="false" customHeight="true" outlineLevel="0" collapsed="false">
      <c r="I47" s="78"/>
      <c r="J47" s="3"/>
      <c r="K47" s="3"/>
      <c r="L47" s="3"/>
      <c r="N47" s="92"/>
      <c r="R47" s="17"/>
      <c r="S47" s="17"/>
      <c r="T47" s="17"/>
      <c r="V47" s="14"/>
      <c r="X47" s="39"/>
      <c r="Y47" s="40"/>
      <c r="Z47" s="14"/>
      <c r="AA47" s="14"/>
    </row>
    <row r="48" customFormat="false" ht="16.5" hidden="false" customHeight="true" outlineLevel="0" collapsed="false">
      <c r="B48" s="19" t="s">
        <v>0</v>
      </c>
      <c r="C48" s="19" t="s">
        <v>12</v>
      </c>
      <c r="D48" s="19" t="s">
        <v>13</v>
      </c>
      <c r="E48" s="19" t="s">
        <v>161</v>
      </c>
      <c r="F48" s="19" t="s">
        <v>208</v>
      </c>
      <c r="G48" s="19" t="s">
        <v>175</v>
      </c>
      <c r="H48" s="19" t="s">
        <v>176</v>
      </c>
      <c r="I48" s="19" t="s">
        <v>202</v>
      </c>
      <c r="J48" s="33"/>
      <c r="K48" s="33"/>
      <c r="L48" s="33"/>
      <c r="M48" s="19" t="s">
        <v>209</v>
      </c>
      <c r="N48" s="84" t="s">
        <v>210</v>
      </c>
      <c r="O48" s="84" t="s">
        <v>211</v>
      </c>
      <c r="P48" s="34" t="s">
        <v>193</v>
      </c>
      <c r="Q48" s="34" t="s">
        <v>144</v>
      </c>
      <c r="R48" s="34" t="s">
        <v>194</v>
      </c>
      <c r="S48" s="15" t="s">
        <v>212</v>
      </c>
      <c r="V48" s="14"/>
      <c r="X48" s="39"/>
      <c r="Y48" s="40"/>
      <c r="Z48" s="14"/>
      <c r="AA48" s="14"/>
    </row>
    <row r="49" customFormat="false" ht="16.5" hidden="false" customHeight="true" outlineLevel="0" collapsed="false">
      <c r="B49" s="15"/>
      <c r="C49" s="34"/>
      <c r="D49" s="68"/>
      <c r="E49" s="34"/>
      <c r="F49" s="36"/>
      <c r="G49" s="34"/>
      <c r="H49" s="18"/>
      <c r="I49" s="18"/>
      <c r="J49" s="39"/>
      <c r="K49" s="39"/>
      <c r="L49" s="39"/>
      <c r="M49" s="74"/>
      <c r="N49" s="85"/>
      <c r="O49" s="85"/>
      <c r="P49" s="68"/>
      <c r="Q49" s="16"/>
      <c r="R49" s="16"/>
      <c r="S49" s="15"/>
      <c r="V49" s="14"/>
      <c r="X49" s="39"/>
      <c r="Y49" s="40"/>
      <c r="Z49" s="14"/>
      <c r="AA49" s="14"/>
    </row>
    <row r="50" customFormat="false" ht="16.5" hidden="false" customHeight="true" outlineLevel="0" collapsed="false">
      <c r="B50" s="15"/>
      <c r="C50" s="34"/>
      <c r="D50" s="68"/>
      <c r="E50" s="34"/>
      <c r="F50" s="36"/>
      <c r="G50" s="34"/>
      <c r="H50" s="18"/>
      <c r="I50" s="18"/>
      <c r="J50" s="39"/>
      <c r="K50" s="39"/>
      <c r="L50" s="39"/>
      <c r="M50" s="74"/>
      <c r="N50" s="85"/>
      <c r="O50" s="85"/>
      <c r="P50" s="68"/>
      <c r="Q50" s="16"/>
      <c r="R50" s="16"/>
      <c r="S50" s="16"/>
      <c r="V50" s="14"/>
      <c r="X50" s="39"/>
      <c r="Y50" s="40"/>
      <c r="Z50" s="14"/>
      <c r="AA50" s="14"/>
    </row>
    <row r="51" customFormat="false" ht="16.5" hidden="false" customHeight="true" outlineLevel="0" collapsed="false">
      <c r="B51" s="15"/>
      <c r="C51" s="34"/>
      <c r="D51" s="68"/>
      <c r="E51" s="34"/>
      <c r="F51" s="36"/>
      <c r="G51" s="34"/>
      <c r="H51" s="18"/>
      <c r="I51" s="18"/>
      <c r="J51" s="39"/>
      <c r="K51" s="39"/>
      <c r="L51" s="39"/>
      <c r="M51" s="74"/>
      <c r="N51" s="85"/>
      <c r="O51" s="85"/>
      <c r="P51" s="68"/>
      <c r="Q51" s="16"/>
      <c r="R51" s="16"/>
      <c r="S51" s="16"/>
      <c r="V51" s="14"/>
      <c r="X51" s="39"/>
      <c r="Y51" s="40"/>
      <c r="Z51" s="14"/>
      <c r="AA51" s="14"/>
    </row>
    <row r="52" customFormat="false" ht="16.5" hidden="false" customHeight="true" outlineLevel="0" collapsed="false">
      <c r="B52" s="15"/>
      <c r="C52" s="34"/>
      <c r="D52" s="68"/>
      <c r="E52" s="34"/>
      <c r="F52" s="36"/>
      <c r="G52" s="34"/>
      <c r="H52" s="18"/>
      <c r="I52" s="18"/>
      <c r="J52" s="39"/>
      <c r="K52" s="39"/>
      <c r="L52" s="39"/>
      <c r="M52" s="74"/>
      <c r="N52" s="85"/>
      <c r="O52" s="85"/>
      <c r="P52" s="68"/>
      <c r="Q52" s="16"/>
      <c r="R52" s="16"/>
      <c r="S52" s="16"/>
      <c r="V52" s="14"/>
      <c r="X52" s="39"/>
      <c r="Y52" s="40"/>
      <c r="Z52" s="14"/>
      <c r="AA52" s="14"/>
    </row>
    <row r="53" customFormat="false" ht="16.5" hidden="false" customHeight="true" outlineLevel="0" collapsed="false">
      <c r="B53" s="15"/>
      <c r="C53" s="34"/>
      <c r="D53" s="68"/>
      <c r="E53" s="34"/>
      <c r="F53" s="36"/>
      <c r="G53" s="34"/>
      <c r="H53" s="18"/>
      <c r="I53" s="18"/>
      <c r="J53" s="39"/>
      <c r="K53" s="39"/>
      <c r="L53" s="39"/>
      <c r="M53" s="74"/>
      <c r="N53" s="85"/>
      <c r="O53" s="85"/>
      <c r="P53" s="68"/>
      <c r="Q53" s="16"/>
      <c r="R53" s="16"/>
      <c r="S53" s="16"/>
      <c r="V53" s="14"/>
      <c r="X53" s="39"/>
      <c r="Y53" s="40"/>
      <c r="Z53" s="14"/>
      <c r="AA53" s="14"/>
    </row>
    <row r="54" customFormat="false" ht="16.5" hidden="false" customHeight="true" outlineLevel="0" collapsed="false">
      <c r="B54" s="15"/>
      <c r="C54" s="34"/>
      <c r="D54" s="68"/>
      <c r="E54" s="34"/>
      <c r="F54" s="36"/>
      <c r="G54" s="34"/>
      <c r="H54" s="18"/>
      <c r="I54" s="18"/>
      <c r="J54" s="39"/>
      <c r="K54" s="39"/>
      <c r="L54" s="39"/>
      <c r="M54" s="74"/>
      <c r="N54" s="85"/>
      <c r="O54" s="85"/>
      <c r="P54" s="68"/>
      <c r="Q54" s="16"/>
      <c r="R54" s="16"/>
      <c r="S54" s="16"/>
      <c r="V54" s="14"/>
      <c r="X54" s="39"/>
      <c r="Y54" s="40"/>
      <c r="Z54" s="14"/>
      <c r="AA54" s="14"/>
    </row>
    <row r="55" customFormat="false" ht="16.5" hidden="false" customHeight="true" outlineLevel="0" collapsed="false">
      <c r="B55" s="15"/>
      <c r="C55" s="34"/>
      <c r="D55" s="68"/>
      <c r="E55" s="34"/>
      <c r="F55" s="36"/>
      <c r="G55" s="34"/>
      <c r="H55" s="18"/>
      <c r="I55" s="18"/>
      <c r="J55" s="39"/>
      <c r="K55" s="39"/>
      <c r="L55" s="39"/>
      <c r="M55" s="74"/>
      <c r="N55" s="85"/>
      <c r="O55" s="85"/>
      <c r="P55" s="86"/>
      <c r="Q55" s="16"/>
      <c r="R55" s="16"/>
      <c r="S55" s="16"/>
      <c r="V55" s="14"/>
      <c r="X55" s="39"/>
      <c r="Y55" s="40"/>
      <c r="Z55" s="14"/>
      <c r="AA55" s="14"/>
    </row>
    <row r="56" customFormat="false" ht="16.5" hidden="false" customHeight="true" outlineLevel="0" collapsed="false">
      <c r="B56" s="15"/>
      <c r="C56" s="34"/>
      <c r="D56" s="68"/>
      <c r="E56" s="34"/>
      <c r="F56" s="36"/>
      <c r="G56" s="34"/>
      <c r="H56" s="18"/>
      <c r="I56" s="18"/>
      <c r="J56" s="39"/>
      <c r="K56" s="39"/>
      <c r="L56" s="39"/>
      <c r="M56" s="74"/>
      <c r="N56" s="85"/>
      <c r="O56" s="85"/>
      <c r="P56" s="68"/>
      <c r="Q56" s="16"/>
      <c r="R56" s="16"/>
      <c r="S56" s="16"/>
      <c r="V56" s="14"/>
      <c r="X56" s="39"/>
      <c r="Y56" s="40"/>
      <c r="Z56" s="14"/>
      <c r="AA56" s="14"/>
    </row>
    <row r="57" customFormat="false" ht="16.5" hidden="false" customHeight="true" outlineLevel="0" collapsed="false">
      <c r="B57" s="15"/>
      <c r="C57" s="34"/>
      <c r="D57" s="68"/>
      <c r="E57" s="34"/>
      <c r="F57" s="36"/>
      <c r="G57" s="34"/>
      <c r="H57" s="18"/>
      <c r="I57" s="18"/>
      <c r="J57" s="39"/>
      <c r="K57" s="39"/>
      <c r="L57" s="39"/>
      <c r="M57" s="74"/>
      <c r="N57" s="85"/>
      <c r="O57" s="85"/>
      <c r="P57" s="68"/>
      <c r="Q57" s="16"/>
      <c r="R57" s="16"/>
      <c r="S57" s="16"/>
      <c r="V57" s="14"/>
      <c r="X57" s="39"/>
      <c r="Y57" s="40"/>
      <c r="Z57" s="14"/>
      <c r="AA57" s="14"/>
    </row>
    <row r="58" customFormat="false" ht="16.5" hidden="false" customHeight="true" outlineLevel="0" collapsed="false">
      <c r="B58" s="15"/>
      <c r="C58" s="34"/>
      <c r="D58" s="68"/>
      <c r="E58" s="34"/>
      <c r="F58" s="36"/>
      <c r="G58" s="34"/>
      <c r="H58" s="18"/>
      <c r="I58" s="18"/>
      <c r="J58" s="39"/>
      <c r="K58" s="39"/>
      <c r="L58" s="39"/>
      <c r="M58" s="74"/>
      <c r="N58" s="85"/>
      <c r="O58" s="85"/>
      <c r="P58" s="68"/>
      <c r="Q58" s="16"/>
      <c r="R58" s="16"/>
      <c r="S58" s="16"/>
      <c r="V58" s="14"/>
      <c r="X58" s="39"/>
      <c r="Y58" s="40"/>
      <c r="Z58" s="14"/>
      <c r="AA58" s="14"/>
    </row>
    <row r="59" customFormat="false" ht="16.5" hidden="false" customHeight="true" outlineLevel="0" collapsed="false">
      <c r="B59" s="52"/>
      <c r="C59" s="78"/>
      <c r="D59" s="78"/>
      <c r="E59" s="78"/>
      <c r="G59" s="3"/>
      <c r="H59" s="3"/>
      <c r="I59" s="3"/>
      <c r="J59" s="3"/>
      <c r="K59" s="3"/>
      <c r="L59" s="3"/>
      <c r="M59" s="92"/>
      <c r="Q59" s="17"/>
      <c r="R59" s="17"/>
      <c r="S59" s="17"/>
      <c r="V59" s="14"/>
      <c r="X59" s="39"/>
      <c r="Y59" s="40"/>
      <c r="Z59" s="14"/>
      <c r="AA59" s="14"/>
    </row>
    <row r="60" customFormat="false" ht="16.5" hidden="false" customHeight="true" outlineLevel="0" collapsed="false">
      <c r="B60" s="52"/>
      <c r="C60" s="78"/>
      <c r="D60" s="78"/>
      <c r="E60" s="78"/>
      <c r="G60" s="3"/>
      <c r="H60" s="3"/>
      <c r="I60" s="3"/>
      <c r="J60" s="3"/>
      <c r="K60" s="3"/>
      <c r="L60" s="3"/>
      <c r="R60" s="17"/>
      <c r="V60" s="14"/>
      <c r="X60" s="39"/>
      <c r="Y60" s="40"/>
      <c r="Z60" s="14"/>
      <c r="AA60" s="14"/>
    </row>
    <row r="61" customFormat="false" ht="16.5" hidden="false" customHeight="true" outlineLevel="0" collapsed="false">
      <c r="B61" s="19" t="s">
        <v>0</v>
      </c>
      <c r="C61" s="19" t="s">
        <v>12</v>
      </c>
      <c r="D61" s="19" t="s">
        <v>13</v>
      </c>
      <c r="E61" s="19" t="s">
        <v>161</v>
      </c>
      <c r="F61" s="19" t="s">
        <v>213</v>
      </c>
      <c r="G61" s="19" t="s">
        <v>175</v>
      </c>
      <c r="H61" s="19" t="s">
        <v>176</v>
      </c>
      <c r="I61" s="19" t="s">
        <v>202</v>
      </c>
      <c r="J61" s="33"/>
      <c r="K61" s="33"/>
      <c r="L61" s="33"/>
      <c r="M61" s="19" t="s">
        <v>209</v>
      </c>
      <c r="N61" s="84" t="s">
        <v>210</v>
      </c>
      <c r="O61" s="84" t="s">
        <v>211</v>
      </c>
      <c r="P61" s="34" t="s">
        <v>193</v>
      </c>
      <c r="Q61" s="34" t="s">
        <v>144</v>
      </c>
      <c r="R61" s="34" t="s">
        <v>194</v>
      </c>
      <c r="S61" s="15" t="s">
        <v>212</v>
      </c>
      <c r="U61" s="52"/>
      <c r="V61" s="66" t="n">
        <v>18</v>
      </c>
      <c r="W61" s="66" t="n">
        <v>11</v>
      </c>
      <c r="X61" s="66"/>
      <c r="Y61" s="74" t="s">
        <v>201</v>
      </c>
      <c r="Z61" s="66" t="s">
        <v>176</v>
      </c>
      <c r="AA61" s="66" t="s">
        <v>202</v>
      </c>
    </row>
    <row r="62" customFormat="false" ht="16.5" hidden="false" customHeight="true" outlineLevel="0" collapsed="false">
      <c r="B62" s="15" t="s">
        <v>40</v>
      </c>
      <c r="C62" s="34" t="n">
        <v>75</v>
      </c>
      <c r="D62" s="68" t="n">
        <v>-0.21597053</v>
      </c>
      <c r="E62" s="81" t="n">
        <v>11</v>
      </c>
      <c r="F62" s="18" t="n">
        <v>1.76</v>
      </c>
      <c r="G62" s="34" t="n">
        <v>3</v>
      </c>
      <c r="H62" s="18" t="n">
        <v>5.28</v>
      </c>
      <c r="I62" s="36" t="n">
        <v>0.28995057660626</v>
      </c>
      <c r="J62" s="39"/>
      <c r="K62" s="39"/>
      <c r="L62" s="39"/>
      <c r="M62" s="74" t="n">
        <v>80</v>
      </c>
      <c r="N62" s="85" t="n">
        <v>0.124871759564369</v>
      </c>
      <c r="O62" s="85" t="n">
        <v>-1</v>
      </c>
      <c r="P62" s="68" t="n">
        <v>-2.95541168770818</v>
      </c>
      <c r="Q62" s="16" t="n">
        <v>2.27391474166715</v>
      </c>
      <c r="R62" s="16" t="n">
        <v>-18.21</v>
      </c>
      <c r="S62" s="15"/>
      <c r="U62" s="52" t="n">
        <v>75</v>
      </c>
      <c r="V62" s="34"/>
      <c r="W62" s="15" t="n">
        <v>3</v>
      </c>
      <c r="X62" s="15"/>
      <c r="Y62" s="34" t="n">
        <v>3</v>
      </c>
      <c r="Z62" s="18" t="n">
        <v>5.28</v>
      </c>
      <c r="AA62" s="36" t="n">
        <v>0.28995057660626</v>
      </c>
    </row>
    <row r="63" customFormat="false" ht="16.5" hidden="false" customHeight="true" outlineLevel="0" collapsed="false">
      <c r="B63" s="15" t="s">
        <v>42</v>
      </c>
      <c r="C63" s="34" t="n">
        <v>78</v>
      </c>
      <c r="D63" s="68" t="n">
        <v>-0.31262275</v>
      </c>
      <c r="E63" s="81" t="n">
        <v>11</v>
      </c>
      <c r="F63" s="18" t="n">
        <v>2.15</v>
      </c>
      <c r="G63" s="34" t="n">
        <v>3</v>
      </c>
      <c r="H63" s="18" t="n">
        <v>6.45</v>
      </c>
      <c r="I63" s="36" t="n">
        <v>0.354200988467875</v>
      </c>
      <c r="J63" s="39"/>
      <c r="K63" s="39"/>
      <c r="L63" s="39"/>
      <c r="M63" s="74" t="n">
        <v>78</v>
      </c>
      <c r="N63" s="85" t="n">
        <v>0.485409709481253</v>
      </c>
      <c r="O63" s="85" t="n">
        <v>-0.780340472267985</v>
      </c>
      <c r="P63" s="68" t="n">
        <v>-3.61777803283105</v>
      </c>
      <c r="Q63" s="16" t="n">
        <v>8.83931080965362</v>
      </c>
      <c r="R63" s="16" t="n">
        <v>-14.21</v>
      </c>
      <c r="S63" s="16" t="n">
        <v>6.56539606798647</v>
      </c>
      <c r="U63" s="52" t="n">
        <v>78</v>
      </c>
      <c r="V63" s="34"/>
      <c r="W63" s="15" t="n">
        <v>3</v>
      </c>
      <c r="X63" s="15"/>
      <c r="Y63" s="34" t="n">
        <v>3</v>
      </c>
      <c r="Z63" s="18" t="n">
        <v>6.45</v>
      </c>
      <c r="AA63" s="36" t="n">
        <v>0.354200988467875</v>
      </c>
    </row>
    <row r="64" customFormat="false" ht="16.5" hidden="false" customHeight="true" outlineLevel="0" collapsed="false">
      <c r="B64" s="15" t="s">
        <v>44</v>
      </c>
      <c r="C64" s="34" t="n">
        <v>80</v>
      </c>
      <c r="D64" s="18" t="n">
        <v>-0.39076307</v>
      </c>
      <c r="E64" s="34" t="n">
        <v>11</v>
      </c>
      <c r="F64" s="18" t="n">
        <v>3.24</v>
      </c>
      <c r="G64" s="34" t="n">
        <v>2</v>
      </c>
      <c r="H64" s="18" t="n">
        <v>6.48</v>
      </c>
      <c r="I64" s="18" t="n">
        <v>0.355848434925865</v>
      </c>
      <c r="J64" s="39"/>
      <c r="K64" s="39"/>
      <c r="L64" s="39"/>
      <c r="M64" s="74" t="n">
        <v>76</v>
      </c>
      <c r="N64" s="85" t="n">
        <v>0.9207505944535</v>
      </c>
      <c r="O64" s="85" t="n">
        <v>-0.231191652937946</v>
      </c>
      <c r="P64" s="68" t="n">
        <v>-4.31269122050838</v>
      </c>
      <c r="Q64" s="16" t="n">
        <v>16.7668683249982</v>
      </c>
      <c r="R64" s="16" t="n">
        <v>-4.21</v>
      </c>
      <c r="S64" s="16" t="n">
        <v>7.92755751534462</v>
      </c>
      <c r="U64" s="52" t="n">
        <v>80</v>
      </c>
      <c r="V64" s="34"/>
      <c r="W64" s="15" t="n">
        <v>2</v>
      </c>
      <c r="X64" s="15"/>
      <c r="Y64" s="34" t="n">
        <v>2</v>
      </c>
      <c r="Z64" s="18" t="n">
        <v>6.48</v>
      </c>
      <c r="AA64" s="36" t="n">
        <v>0.355848434925865</v>
      </c>
    </row>
    <row r="65" customFormat="false" ht="16.5" hidden="false" customHeight="true" outlineLevel="0" collapsed="false">
      <c r="B65" s="15"/>
      <c r="C65" s="34"/>
      <c r="D65" s="18"/>
      <c r="E65" s="34"/>
      <c r="F65" s="34"/>
      <c r="G65" s="34"/>
      <c r="H65" s="18"/>
      <c r="I65" s="18"/>
      <c r="J65" s="39"/>
      <c r="K65" s="39"/>
      <c r="L65" s="39"/>
      <c r="M65" s="74" t="n">
        <v>75</v>
      </c>
      <c r="N65" s="85" t="n">
        <v>1.16719658177456</v>
      </c>
      <c r="O65" s="85" t="n">
        <v>0.043382756727073</v>
      </c>
      <c r="P65" s="68" t="n">
        <v>-4.66255128003659</v>
      </c>
      <c r="Q65" s="16" t="n">
        <v>21.2546497541147</v>
      </c>
      <c r="R65" s="16" t="n">
        <v>0.79</v>
      </c>
      <c r="S65" s="16" t="n">
        <v>4.4877814291165</v>
      </c>
      <c r="U65" s="52"/>
      <c r="V65" s="78"/>
      <c r="W65" s="17"/>
      <c r="Y65" s="3" t="n">
        <v>8</v>
      </c>
      <c r="Z65" s="78" t="n">
        <v>18.21</v>
      </c>
      <c r="AA65" s="3"/>
    </row>
    <row r="66" customFormat="false" ht="16.5" hidden="false" customHeight="true" outlineLevel="0" collapsed="false">
      <c r="B66" s="15"/>
      <c r="C66" s="34"/>
      <c r="D66" s="18"/>
      <c r="E66" s="34"/>
      <c r="F66" s="34"/>
      <c r="G66" s="34"/>
      <c r="H66" s="18"/>
      <c r="I66" s="18"/>
      <c r="J66" s="39"/>
      <c r="K66" s="39"/>
      <c r="L66" s="39"/>
      <c r="M66" s="74" t="n">
        <v>74</v>
      </c>
      <c r="N66" s="85" t="n">
        <v>1.43276264070908</v>
      </c>
      <c r="O66" s="85" t="n">
        <v>0.482701812191104</v>
      </c>
      <c r="P66" s="68" t="n">
        <v>-5.00832185956195</v>
      </c>
      <c r="Q66" s="16" t="n">
        <v>26.0906076873124</v>
      </c>
      <c r="R66" s="16" t="n">
        <v>8.79</v>
      </c>
      <c r="S66" s="16" t="n">
        <v>4.83595793319764</v>
      </c>
      <c r="V66" s="14"/>
      <c r="X66" s="39"/>
      <c r="Y66" s="40"/>
      <c r="Z66" s="14"/>
      <c r="AA66" s="14"/>
    </row>
    <row r="67" customFormat="false" ht="16.5" hidden="false" customHeight="true" outlineLevel="0" collapsed="false">
      <c r="B67" s="15"/>
      <c r="C67" s="34"/>
      <c r="D67" s="18"/>
      <c r="E67" s="34"/>
      <c r="F67" s="34"/>
      <c r="G67" s="34"/>
      <c r="H67" s="18"/>
      <c r="I67" s="18"/>
      <c r="J67" s="39"/>
      <c r="K67" s="39"/>
      <c r="L67" s="39"/>
      <c r="M67" s="74" t="n">
        <v>72</v>
      </c>
      <c r="N67" s="85" t="n">
        <v>2.01965021923589</v>
      </c>
      <c r="O67" s="85" t="n">
        <v>1.36133992311917</v>
      </c>
      <c r="P67" s="68" t="n">
        <v>-5.67055477980432</v>
      </c>
      <c r="Q67" s="16" t="n">
        <v>36.7778304922855</v>
      </c>
      <c r="R67" s="16" t="n">
        <v>24.79</v>
      </c>
      <c r="S67" s="16" t="n">
        <v>10.6872228049732</v>
      </c>
      <c r="V67" s="14"/>
      <c r="X67" s="39"/>
      <c r="Y67" s="40"/>
      <c r="Z67" s="14"/>
      <c r="AA67" s="14"/>
    </row>
    <row r="68" customFormat="false" ht="16.5" hidden="false" customHeight="true" outlineLevel="0" collapsed="false">
      <c r="B68" s="15"/>
      <c r="C68" s="34"/>
      <c r="D68" s="18"/>
      <c r="E68" s="34"/>
      <c r="F68" s="34"/>
      <c r="G68" s="34"/>
      <c r="H68" s="18"/>
      <c r="I68" s="18"/>
      <c r="J68" s="39"/>
      <c r="K68" s="39"/>
      <c r="L68" s="39"/>
      <c r="M68" s="74" t="n">
        <v>70</v>
      </c>
      <c r="N68" s="85" t="n">
        <v>2.67597159495353</v>
      </c>
      <c r="O68" s="85" t="n">
        <v>2.23997803404723</v>
      </c>
      <c r="P68" s="86" t="n">
        <v>-6.26796916240257</v>
      </c>
      <c r="Q68" s="16" t="n">
        <v>48.7294427441038</v>
      </c>
      <c r="R68" s="16" t="n">
        <v>40.79</v>
      </c>
      <c r="S68" s="16" t="n">
        <v>11.9516122518183</v>
      </c>
      <c r="V68" s="14"/>
      <c r="X68" s="39"/>
      <c r="Y68" s="40"/>
      <c r="Z68" s="14"/>
      <c r="AA68" s="14"/>
    </row>
    <row r="69" customFormat="false" ht="16.5" hidden="false" customHeight="true" outlineLevel="0" collapsed="false">
      <c r="B69" s="15"/>
      <c r="C69" s="34"/>
      <c r="D69" s="18"/>
      <c r="E69" s="34"/>
      <c r="F69" s="34"/>
      <c r="G69" s="36"/>
      <c r="H69" s="18"/>
      <c r="I69" s="18"/>
      <c r="J69" s="39"/>
      <c r="K69" s="39"/>
      <c r="L69" s="39"/>
      <c r="M69" s="74" t="n">
        <v>65</v>
      </c>
      <c r="N69" s="85" t="n">
        <v>4.55995032843521</v>
      </c>
      <c r="O69" s="85" t="n">
        <v>4.43657331136738</v>
      </c>
      <c r="P69" s="68" t="n">
        <v>-7.34873380539595</v>
      </c>
      <c r="Q69" s="16" t="n">
        <v>83.0366954808051</v>
      </c>
      <c r="R69" s="16" t="n">
        <v>80.79</v>
      </c>
      <c r="S69" s="16" t="n">
        <v>34.3072527367013</v>
      </c>
      <c r="V69" s="14"/>
      <c r="X69" s="39"/>
      <c r="Y69" s="40"/>
      <c r="Z69" s="14"/>
      <c r="AA69" s="14"/>
    </row>
    <row r="70" customFormat="false" ht="16.5" hidden="false" customHeight="true" outlineLevel="0" collapsed="false">
      <c r="B70" s="15"/>
      <c r="C70" s="34"/>
      <c r="D70" s="18"/>
      <c r="E70" s="34"/>
      <c r="F70" s="34"/>
      <c r="G70" s="36"/>
      <c r="H70" s="18"/>
      <c r="I70" s="18"/>
      <c r="J70" s="39"/>
      <c r="K70" s="39"/>
      <c r="L70" s="39"/>
      <c r="M70" s="74" t="n">
        <v>60</v>
      </c>
      <c r="N70" s="85" t="n">
        <v>6.65636759557739</v>
      </c>
      <c r="O70" s="85" t="n">
        <v>6.63316858868753</v>
      </c>
      <c r="P70" s="68" t="n">
        <v>-7.83840189926358</v>
      </c>
      <c r="Q70" s="16" t="n">
        <v>121.212453915464</v>
      </c>
      <c r="R70" s="16" t="n">
        <v>120.79</v>
      </c>
      <c r="S70" s="16" t="n">
        <v>38.1757584346592</v>
      </c>
      <c r="V70" s="14"/>
      <c r="X70" s="39"/>
      <c r="Y70" s="40"/>
      <c r="Z70" s="14"/>
      <c r="AA70" s="14"/>
    </row>
    <row r="71" customFormat="false" ht="16.5" hidden="false" customHeight="true" outlineLevel="0" collapsed="false">
      <c r="B71" s="15"/>
      <c r="C71" s="34"/>
      <c r="D71" s="18"/>
      <c r="E71" s="34"/>
      <c r="F71" s="34"/>
      <c r="G71" s="36"/>
      <c r="H71" s="18"/>
      <c r="I71" s="18"/>
      <c r="J71" s="39"/>
      <c r="K71" s="39"/>
      <c r="L71" s="39"/>
      <c r="M71" s="74" t="n">
        <v>57</v>
      </c>
      <c r="N71" s="85" t="n">
        <v>7.9577907601859</v>
      </c>
      <c r="O71" s="85" t="n">
        <v>7.95112575507963</v>
      </c>
      <c r="P71" s="68" t="n">
        <v>-7.94529111840612</v>
      </c>
      <c r="Q71" s="16" t="n">
        <v>144.911369742985</v>
      </c>
      <c r="R71" s="16" t="n">
        <v>144.79</v>
      </c>
      <c r="S71" s="16" t="n">
        <v>23.6989158275209</v>
      </c>
      <c r="V71" s="14"/>
      <c r="X71" s="39"/>
      <c r="Y71" s="40"/>
      <c r="Z71" s="14"/>
      <c r="AA71" s="14"/>
    </row>
    <row r="72" customFormat="false" ht="16.5" hidden="false" customHeight="true" outlineLevel="0" collapsed="false">
      <c r="B72" s="52"/>
      <c r="C72" s="78"/>
      <c r="D72" s="78"/>
      <c r="E72" s="78"/>
      <c r="G72" s="3" t="n">
        <v>18.21</v>
      </c>
      <c r="H72" s="3"/>
      <c r="I72" s="3"/>
      <c r="J72" s="3"/>
      <c r="K72" s="3"/>
      <c r="L72" s="3"/>
      <c r="M72" s="92"/>
      <c r="Q72" s="17" t="n">
        <v>18.6671969683386</v>
      </c>
      <c r="R72" s="17"/>
      <c r="S72" s="17"/>
      <c r="V72" s="14"/>
      <c r="X72" s="39"/>
      <c r="Y72" s="40"/>
      <c r="Z72" s="14"/>
      <c r="AA72" s="14"/>
    </row>
    <row r="73" customFormat="false" ht="13.5" hidden="false" customHeight="true" outlineLevel="0" collapsed="false">
      <c r="Z73" s="37"/>
    </row>
    <row r="74" customFormat="false" ht="14.25" hidden="false" customHeight="true" outlineLevel="0" collapsed="false">
      <c r="B74" s="63" t="s">
        <v>187</v>
      </c>
      <c r="C74" s="63"/>
      <c r="D74" s="63"/>
      <c r="E74" s="63"/>
      <c r="F74" s="63"/>
      <c r="M74" s="63" t="s">
        <v>188</v>
      </c>
      <c r="N74" s="63"/>
      <c r="O74" s="63"/>
      <c r="P74" s="63"/>
      <c r="Q74" s="63"/>
      <c r="R74" s="63"/>
      <c r="S74" s="63"/>
      <c r="T74" s="63"/>
      <c r="U74" s="64"/>
      <c r="X74" s="97" t="str">
        <f aca="false">B23</f>
        <v>SOL-1MAY26-72-P-USDT</v>
      </c>
      <c r="Y74" s="97"/>
      <c r="Z74" s="97" t="str">
        <f aca="false">B24</f>
        <v>SOL-1MAY26-74-P-USDT</v>
      </c>
      <c r="AA74" s="97"/>
      <c r="AB74" s="97" t="str">
        <f aca="false">B25</f>
        <v>SOL-1MAY26-76-P-USDT</v>
      </c>
      <c r="AC74" s="97"/>
      <c r="AD74" s="97" t="str">
        <f aca="false">B26</f>
        <v>SOL-1MAY26-78-P-USDT</v>
      </c>
      <c r="AE74" s="97"/>
      <c r="AF74" s="97" t="str">
        <f aca="false">B27</f>
        <v>SOL-24APR26-75-P-USDT</v>
      </c>
      <c r="AG74" s="97"/>
      <c r="AH74" s="97" t="str">
        <f aca="false">B28</f>
        <v>SOL-24APR26-78-P-USDT</v>
      </c>
      <c r="AI74" s="97"/>
      <c r="AJ74" s="97" t="str">
        <f aca="false">B29</f>
        <v>SOL-24APR26-75-P-USDT</v>
      </c>
      <c r="AK74" s="97"/>
      <c r="AL74" s="97" t="str">
        <f aca="false">B30</f>
        <v>SOL-24APR26-78-P-USDT</v>
      </c>
      <c r="AM74" s="97"/>
      <c r="AN74" s="97" t="str">
        <f aca="false">B31</f>
        <v>SOL-24APR26-75-P-USDT</v>
      </c>
      <c r="AO74" s="97"/>
      <c r="AP74" s="97" t="str">
        <f aca="false">B32</f>
        <v>SOL-24APR26-78-P-USDT</v>
      </c>
      <c r="AQ74" s="97"/>
    </row>
    <row r="75" customFormat="false" ht="14.25" hidden="false" customHeight="true" outlineLevel="0" collapsed="false">
      <c r="B75" s="34" t="s">
        <v>189</v>
      </c>
      <c r="C75" s="34" t="s">
        <v>190</v>
      </c>
      <c r="D75" s="34" t="s">
        <v>191</v>
      </c>
      <c r="E75" s="34" t="s">
        <v>144</v>
      </c>
      <c r="F75" s="34" t="s">
        <v>192</v>
      </c>
      <c r="M75" s="34" t="s">
        <v>189</v>
      </c>
      <c r="N75" s="34" t="s">
        <v>193</v>
      </c>
      <c r="O75" s="34" t="s">
        <v>144</v>
      </c>
      <c r="P75" s="34" t="s">
        <v>194</v>
      </c>
      <c r="Q75" s="34" t="s">
        <v>195</v>
      </c>
      <c r="R75" s="34" t="s">
        <v>196</v>
      </c>
      <c r="S75" s="34" t="s">
        <v>197</v>
      </c>
      <c r="T75" s="34" t="s">
        <v>198</v>
      </c>
      <c r="U75" s="34"/>
      <c r="W75" s="34" t="s">
        <v>189</v>
      </c>
      <c r="X75" s="66" t="s">
        <v>144</v>
      </c>
      <c r="Y75" s="66" t="s">
        <v>194</v>
      </c>
      <c r="Z75" s="66" t="s">
        <v>144</v>
      </c>
      <c r="AA75" s="66" t="s">
        <v>194</v>
      </c>
      <c r="AB75" s="66" t="s">
        <v>144</v>
      </c>
      <c r="AC75" s="66" t="s">
        <v>194</v>
      </c>
      <c r="AD75" s="66" t="s">
        <v>144</v>
      </c>
      <c r="AE75" s="66" t="s">
        <v>194</v>
      </c>
      <c r="AF75" s="66" t="s">
        <v>144</v>
      </c>
      <c r="AG75" s="66" t="s">
        <v>194</v>
      </c>
      <c r="AH75" s="66" t="s">
        <v>144</v>
      </c>
      <c r="AI75" s="66" t="s">
        <v>194</v>
      </c>
      <c r="AJ75" s="66" t="s">
        <v>144</v>
      </c>
      <c r="AK75" s="66" t="s">
        <v>194</v>
      </c>
      <c r="AL75" s="66" t="s">
        <v>144</v>
      </c>
      <c r="AM75" s="66" t="s">
        <v>194</v>
      </c>
      <c r="AN75" s="66" t="s">
        <v>144</v>
      </c>
      <c r="AO75" s="66" t="s">
        <v>194</v>
      </c>
      <c r="AP75" s="66" t="s">
        <v>144</v>
      </c>
      <c r="AQ75" s="66" t="s">
        <v>194</v>
      </c>
    </row>
    <row r="76" customFormat="false" ht="14.25" hidden="false" customHeight="true" outlineLevel="0" collapsed="false">
      <c r="B76" s="67" t="n">
        <f aca="false">ROUND(Portfolio!D10,0)</f>
        <v>83</v>
      </c>
      <c r="C76" s="68" t="n">
        <f aca="false">O76/$H$33</f>
        <v>-0.360861490845542</v>
      </c>
      <c r="D76" s="68" t="n">
        <f aca="false">P76/$H$33</f>
        <v>-1</v>
      </c>
      <c r="E76" s="16" t="n">
        <f aca="false">($C$2*B76)-$E$2</f>
        <v>-7.02859033150003</v>
      </c>
      <c r="F76" s="69" t="n">
        <f aca="false">(E76/$E$2)</f>
        <v>-0.00514597641289576</v>
      </c>
      <c r="M76" s="67" t="n">
        <f aca="false">B76</f>
        <v>83</v>
      </c>
      <c r="N76" s="68" t="n">
        <f aca="false">Hedge_MID!C314</f>
        <v>-1.58978247177896</v>
      </c>
      <c r="O76" s="16" t="n">
        <f aca="false">Hedge_MID!G314</f>
        <v>-5.00514887802767</v>
      </c>
      <c r="P76" s="16" t="n">
        <f aca="false">Y76+AA76+AC76+AE76+AG76+AI76+AK76+AM76+AO76+AQ76</f>
        <v>-13.87</v>
      </c>
      <c r="Q76" s="69" t="n">
        <f aca="false">S76/$E$2</f>
        <v>-0.0088104918924692</v>
      </c>
      <c r="R76" s="69" t="n">
        <f aca="false">T76/$E$2</f>
        <v>-0.0153008850760148</v>
      </c>
      <c r="S76" s="16" t="n">
        <f aca="false">E76+O76</f>
        <v>-12.0337392095277</v>
      </c>
      <c r="T76" s="16" t="n">
        <f aca="false">E76+P76</f>
        <v>-20.8985903315</v>
      </c>
      <c r="U76" s="16"/>
      <c r="W76" s="67" t="n">
        <f aca="false">B76</f>
        <v>83</v>
      </c>
      <c r="X76" s="16" t="n">
        <f aca="false">Hedge_MID!G17</f>
        <v>-0</v>
      </c>
      <c r="Y76" s="16" t="n">
        <f aca="false">IF(B76&gt;$C$23,-1*$H$23,(($C$23-B76)*$G$23)-$H$23)</f>
        <v>-0</v>
      </c>
      <c r="Z76" s="16" t="n">
        <f aca="false">Hedge_MID!G46</f>
        <v>-2.61632786469828</v>
      </c>
      <c r="AA76" s="16" t="n">
        <f aca="false">IF(B76&gt;$C$24,-1*$H$24,(($C$24-B76)*$G$24)-$H$24)</f>
        <v>-5.07</v>
      </c>
      <c r="AB76" s="16" t="n">
        <f aca="false">Hedge_MID!G75</f>
        <v>-0.249538304941835</v>
      </c>
      <c r="AC76" s="16" t="n">
        <f aca="false">IF(B76&gt;$C$25,-1*$H$25,(($C$25-B76)*$G$25)-$H$25)</f>
        <v>-3.6</v>
      </c>
      <c r="AD76" s="16" t="n">
        <f aca="false">Hedge_MID!G104</f>
        <v>-2.13928270838756</v>
      </c>
      <c r="AE76" s="16" t="n">
        <f aca="false">IF(B76&gt;$C$26,-1*$H$26,(($C$26-B76)*$G$26)-$H$26)</f>
        <v>-5.2</v>
      </c>
      <c r="AF76" s="16" t="n">
        <f aca="false">Hedge_MID!G134</f>
        <v>-0</v>
      </c>
      <c r="AG76" s="16" t="n">
        <f aca="false">IF(B76&gt;$C$27,-1*$H$27,(($C$27-B76)*$G$27)-$H$27)</f>
        <v>-0</v>
      </c>
      <c r="AH76" s="16" t="n">
        <f aca="false">Hedge_MID!G164</f>
        <v>-0</v>
      </c>
      <c r="AI76" s="16" t="n">
        <f aca="false">IF(B76&gt;$C$28,-1*$H$28,(($C$28-B76)*$G$28)-$H$28)</f>
        <v>-0</v>
      </c>
      <c r="AJ76" s="16" t="n">
        <f aca="false">Hedge_MID!G194</f>
        <v>-0</v>
      </c>
      <c r="AK76" s="16" t="n">
        <f aca="false">IF(B76&gt;$C$29,-1*$H$29,(($C$29-B76)*$G$29)-$H$29)</f>
        <v>-0</v>
      </c>
      <c r="AL76" s="16" t="n">
        <f aca="false">Hedge_MID!G224</f>
        <v>-0</v>
      </c>
      <c r="AM76" s="16" t="n">
        <f aca="false">IF(B76&gt;$C$30,-1*$H$30,(($C$30-B76)*$G$30)-$H$30)</f>
        <v>-0</v>
      </c>
      <c r="AN76" s="16" t="n">
        <f aca="false">Hedge_MID!G254</f>
        <v>-0</v>
      </c>
      <c r="AO76" s="16" t="n">
        <f aca="false">IF(B76&gt;$C$31,-1*$H$31,(($C$31-B76)*$G$31)-$H$31)</f>
        <v>-0</v>
      </c>
      <c r="AP76" s="16" t="n">
        <f aca="false">Hedge_MID!G284</f>
        <v>-0</v>
      </c>
      <c r="AQ76" s="16" t="n">
        <f aca="false">IF(B76&gt;$C$32,-1*$H$32,(($C$32-B76)*$G$32)-$H$32)</f>
        <v>-0</v>
      </c>
      <c r="AR76" s="2"/>
    </row>
    <row r="77" customFormat="false" ht="14.25" hidden="false" customHeight="true" outlineLevel="0" collapsed="false">
      <c r="B77" s="67" t="n">
        <f aca="false">B76-1</f>
        <v>82</v>
      </c>
      <c r="C77" s="68" t="n">
        <f aca="false">O77/$H$33</f>
        <v>-0.237501310101727</v>
      </c>
      <c r="D77" s="68" t="n">
        <f aca="false">P77/$H$33</f>
        <v>-1</v>
      </c>
      <c r="E77" s="16" t="n">
        <f aca="false">($C$2*B77)-$E$2</f>
        <v>-23.3998353314998</v>
      </c>
      <c r="F77" s="69" t="n">
        <f aca="false">(E77/$E$2)</f>
        <v>-0.0171321694681619</v>
      </c>
      <c r="M77" s="67" t="n">
        <f aca="false">M76-1</f>
        <v>82</v>
      </c>
      <c r="N77" s="68" t="n">
        <f aca="false">Hedge_MID!C315</f>
        <v>-1.83612518901799</v>
      </c>
      <c r="O77" s="16" t="n">
        <f aca="false">Hedge_MID!G315</f>
        <v>-3.29414317111096</v>
      </c>
      <c r="P77" s="16" t="n">
        <f aca="false">Y77+AA77+AC77+AE77+AG77+AI77+AK77+AM77+AO77+AQ77</f>
        <v>-13.87</v>
      </c>
      <c r="Q77" s="69" t="n">
        <f aca="false">S77/$E$2</f>
        <v>-0.0195439735796161</v>
      </c>
      <c r="R77" s="69" t="n">
        <f aca="false">T77/$E$2</f>
        <v>-0.027287078131281</v>
      </c>
      <c r="S77" s="16" t="n">
        <f aca="false">E77+O77</f>
        <v>-26.6939785026108</v>
      </c>
      <c r="T77" s="16" t="n">
        <f aca="false">E77+P77</f>
        <v>-37.2698353314999</v>
      </c>
      <c r="U77" s="70" t="n">
        <f aca="false">O78-2*O77+O76</f>
        <v>0.257954006932209</v>
      </c>
      <c r="V77" s="71"/>
      <c r="W77" s="67" t="n">
        <f aca="false">W76-1</f>
        <v>82</v>
      </c>
      <c r="X77" s="16" t="n">
        <f aca="false">Hedge_MID!G18</f>
        <v>-0</v>
      </c>
      <c r="Y77" s="16" t="n">
        <f aca="false">IF(B77&gt;$C$23,-1*$H$23,(($C$23-B77)*$G$23)-$H$23)</f>
        <v>-0</v>
      </c>
      <c r="Z77" s="16" t="n">
        <f aca="false">Hedge_MID!G47</f>
        <v>-2.12364979543761</v>
      </c>
      <c r="AA77" s="16" t="n">
        <f aca="false">IF(B77&gt;$C$24,-1*$H$24,(($C$24-B77)*$G$24)-$H$24)</f>
        <v>-5.07</v>
      </c>
      <c r="AB77" s="16" t="n">
        <f aca="false">Hedge_MID!G76</f>
        <v>0.401491586344035</v>
      </c>
      <c r="AC77" s="16" t="n">
        <f aca="false">IF(B77&gt;$C$25,-1*$H$25,(($C$25-B77)*$G$25)-$H$25)</f>
        <v>-3.6</v>
      </c>
      <c r="AD77" s="16" t="n">
        <f aca="false">Hedge_MID!G105</f>
        <v>-1.57198496201738</v>
      </c>
      <c r="AE77" s="16" t="n">
        <f aca="false">IF(B77&gt;$C$26,-1*$H$26,(($C$26-B77)*$G$26)-$H$26)</f>
        <v>-5.2</v>
      </c>
      <c r="AF77" s="16" t="n">
        <f aca="false">Hedge_MID!G135</f>
        <v>-0</v>
      </c>
      <c r="AG77" s="16" t="n">
        <f aca="false">IF(B77&gt;$C$27,-1*$H$27,(($C$27-B77)*$G$27)-$H$27)</f>
        <v>-0</v>
      </c>
      <c r="AH77" s="16" t="n">
        <f aca="false">Hedge_MID!G165</f>
        <v>-0</v>
      </c>
      <c r="AI77" s="16" t="n">
        <f aca="false">IF(B77&gt;$C$28,-1*$H$28,(($C$28-B77)*$G$28)-$H$28)</f>
        <v>-0</v>
      </c>
      <c r="AJ77" s="16" t="n">
        <f aca="false">Hedge_MID!G195</f>
        <v>-0</v>
      </c>
      <c r="AK77" s="16" t="n">
        <f aca="false">IF(B77&gt;$C$29,-1*$H$29,(($C$29-B77)*$G$29)-$H$29)</f>
        <v>-0</v>
      </c>
      <c r="AL77" s="16" t="n">
        <f aca="false">Hedge_MID!G225</f>
        <v>-0</v>
      </c>
      <c r="AM77" s="16" t="n">
        <f aca="false">IF(B77&gt;$C$30,-1*$H$30,(($C$30-B77)*$G$30)-$H$30)</f>
        <v>-0</v>
      </c>
      <c r="AN77" s="16" t="n">
        <f aca="false">Hedge_MID!G255</f>
        <v>-0</v>
      </c>
      <c r="AO77" s="16" t="n">
        <f aca="false">IF(B77&gt;$C$31,-1*$H$31,(($C$31-B77)*$G$31)-$H$31)</f>
        <v>-0</v>
      </c>
      <c r="AP77" s="16" t="n">
        <f aca="false">Hedge_MID!G285</f>
        <v>-0</v>
      </c>
      <c r="AQ77" s="16" t="n">
        <f aca="false">IF(B77&gt;$C$32,-1*$H$32,(($C$32-B77)*$G$32)-$H$32)</f>
        <v>-0</v>
      </c>
      <c r="AR77" s="2"/>
    </row>
    <row r="78" customFormat="false" ht="14.25" hidden="false" customHeight="true" outlineLevel="0" collapsed="false">
      <c r="B78" s="67" t="n">
        <f aca="false">B77-1</f>
        <v>81</v>
      </c>
      <c r="C78" s="68" t="n">
        <f aca="false">O78/$H$33</f>
        <v>-0.0955431476036074</v>
      </c>
      <c r="D78" s="68" t="n">
        <f aca="false">P78/$H$33</f>
        <v>-1</v>
      </c>
      <c r="E78" s="16" t="n">
        <f aca="false">($C$2*B78)-$E$2</f>
        <v>-39.7710803314999</v>
      </c>
      <c r="F78" s="69" t="n">
        <f aca="false">(E78/$E$2)</f>
        <v>-0.0291183625234283</v>
      </c>
      <c r="M78" s="67" t="n">
        <f aca="false">M77-1</f>
        <v>81</v>
      </c>
      <c r="N78" s="68" t="n">
        <f aca="false">Hedge_MID!C316</f>
        <v>-2.10559228185343</v>
      </c>
      <c r="O78" s="16" t="n">
        <f aca="false">Hedge_MID!G316</f>
        <v>-1.32518345726203</v>
      </c>
      <c r="P78" s="16" t="n">
        <f aca="false">Y78+AA78+AC78+AE78+AG78+AI78+AK78+AM78+AO78+AQ78</f>
        <v>-13.87</v>
      </c>
      <c r="Q78" s="69" t="n">
        <f aca="false">S78/$E$2</f>
        <v>-0.0300885944607298</v>
      </c>
      <c r="R78" s="69" t="n">
        <f aca="false">T78/$E$2</f>
        <v>-0.0392732711865473</v>
      </c>
      <c r="S78" s="16" t="n">
        <f aca="false">E78+O78</f>
        <v>-41.0962637887619</v>
      </c>
      <c r="T78" s="16" t="n">
        <f aca="false">E78+P78</f>
        <v>-53.6410803314999</v>
      </c>
      <c r="U78" s="70" t="n">
        <f aca="false">O79-2*O78+O77</f>
        <v>0.280677025627023</v>
      </c>
      <c r="V78" s="71"/>
      <c r="W78" s="67" t="n">
        <f aca="false">W77-1</f>
        <v>81</v>
      </c>
      <c r="X78" s="16" t="n">
        <f aca="false">Hedge_MID!G19</f>
        <v>-0</v>
      </c>
      <c r="Y78" s="16" t="n">
        <f aca="false">IF(B78&gt;$C$23,-1*$H$23,(($C$23-B78)*$G$23)-$H$23)</f>
        <v>-0</v>
      </c>
      <c r="Z78" s="16" t="n">
        <f aca="false">Hedge_MID!G48</f>
        <v>-1.55067742724389</v>
      </c>
      <c r="AA78" s="16" t="n">
        <f aca="false">IF(B78&gt;$C$24,-1*$H$24,(($C$24-B78)*$G$24)-$H$24)</f>
        <v>-5.07</v>
      </c>
      <c r="AB78" s="16" t="n">
        <f aca="false">Hedge_MID!G77</f>
        <v>1.15153202184831</v>
      </c>
      <c r="AC78" s="16" t="n">
        <f aca="false">IF(B78&gt;$C$25,-1*$H$25,(($C$25-B78)*$G$25)-$H$25)</f>
        <v>-3.6</v>
      </c>
      <c r="AD78" s="16" t="n">
        <f aca="false">Hedge_MID!G106</f>
        <v>-0.926038051866454</v>
      </c>
      <c r="AE78" s="16" t="n">
        <f aca="false">IF(B78&gt;$C$26,-1*$H$26,(($C$26-B78)*$G$26)-$H$26)</f>
        <v>-5.2</v>
      </c>
      <c r="AF78" s="16" t="n">
        <f aca="false">Hedge_MID!G136</f>
        <v>-0</v>
      </c>
      <c r="AG78" s="16" t="n">
        <f aca="false">IF(B78&gt;$C$27,-1*$H$27,(($C$27-B78)*$G$27)-$H$27)</f>
        <v>-0</v>
      </c>
      <c r="AH78" s="16" t="n">
        <f aca="false">Hedge_MID!G166</f>
        <v>-0</v>
      </c>
      <c r="AI78" s="16" t="n">
        <f aca="false">IF(B78&gt;$C$28,-1*$H$28,(($C$28-B78)*$G$28)-$H$28)</f>
        <v>-0</v>
      </c>
      <c r="AJ78" s="16" t="n">
        <f aca="false">Hedge_MID!G196</f>
        <v>-0</v>
      </c>
      <c r="AK78" s="16" t="n">
        <f aca="false">IF(B78&gt;$C$29,-1*$H$29,(($C$29-B78)*$G$29)-$H$29)</f>
        <v>-0</v>
      </c>
      <c r="AL78" s="16" t="n">
        <f aca="false">Hedge_MID!G226</f>
        <v>-0</v>
      </c>
      <c r="AM78" s="16" t="n">
        <f aca="false">IF(B78&gt;$C$30,-1*$H$30,(($C$30-B78)*$G$30)-$H$30)</f>
        <v>-0</v>
      </c>
      <c r="AN78" s="16" t="n">
        <f aca="false">Hedge_MID!G256</f>
        <v>-0</v>
      </c>
      <c r="AO78" s="16" t="n">
        <f aca="false">IF(B78&gt;$C$31,-1*$H$31,(($C$31-B78)*$G$31)-$H$31)</f>
        <v>-0</v>
      </c>
      <c r="AP78" s="16" t="n">
        <f aca="false">Hedge_MID!G286</f>
        <v>-0</v>
      </c>
      <c r="AQ78" s="16" t="n">
        <f aca="false">IF(B78&gt;$C$32,-1*$H$32,(($C$32-B78)*$G$32)-$H$32)</f>
        <v>-0</v>
      </c>
      <c r="AR78" s="2"/>
    </row>
    <row r="79" customFormat="false" ht="14.25" hidden="false" customHeight="true" outlineLevel="0" collapsed="false">
      <c r="B79" s="67" t="n">
        <f aca="false">B78-1</f>
        <v>80</v>
      </c>
      <c r="C79" s="68" t="n">
        <f aca="false">O79/$H$33</f>
        <v>0.0666512820630073</v>
      </c>
      <c r="D79" s="68" t="n">
        <f aca="false">P79/$H$33</f>
        <v>-1</v>
      </c>
      <c r="E79" s="16" t="n">
        <f aca="false">($C$2*B79)-$E$2</f>
        <v>-56.1423253314999</v>
      </c>
      <c r="F79" s="69" t="n">
        <f aca="false">(E79/$E$2)</f>
        <v>-0.0411045555786946</v>
      </c>
      <c r="M79" s="67" t="n">
        <f aca="false">M78-1</f>
        <v>80</v>
      </c>
      <c r="N79" s="68" t="n">
        <f aca="false">Hedge_MID!C317</f>
        <v>-2.39727246937277</v>
      </c>
      <c r="O79" s="16" t="n">
        <f aca="false">Hedge_MID!G317</f>
        <v>0.924453282213912</v>
      </c>
      <c r="P79" s="16" t="n">
        <f aca="false">Y79+AA79+AC79+AE79+AG79+AI79+AK79+AM79+AO79+AQ79</f>
        <v>-13.87</v>
      </c>
      <c r="Q79" s="69" t="n">
        <f aca="false">S79/$E$2</f>
        <v>-0.040427717897065</v>
      </c>
      <c r="R79" s="69" t="n">
        <f aca="false">T79/$E$2</f>
        <v>-0.0512594642418137</v>
      </c>
      <c r="S79" s="16" t="n">
        <f aca="false">E79+O79</f>
        <v>-55.217872049286</v>
      </c>
      <c r="T79" s="16" t="n">
        <f aca="false">E79+P79</f>
        <v>-70.0123253314999</v>
      </c>
      <c r="U79" s="70" t="n">
        <f aca="false">O80-2*O79+O78</f>
        <v>0.302155223210988</v>
      </c>
      <c r="V79" s="71"/>
      <c r="W79" s="67" t="n">
        <f aca="false">W78-1</f>
        <v>80</v>
      </c>
      <c r="X79" s="16" t="n">
        <f aca="false">Hedge_MID!G20</f>
        <v>-0</v>
      </c>
      <c r="Y79" s="16" t="n">
        <f aca="false">IF(B79&gt;$C$23,-1*$H$23,(($C$23-B79)*$G$23)-$H$23)</f>
        <v>-0</v>
      </c>
      <c r="Z79" s="16" t="n">
        <f aca="false">Hedge_MID!G49</f>
        <v>-0.88872401781828</v>
      </c>
      <c r="AA79" s="16" t="n">
        <f aca="false">IF(B79&gt;$C$24,-1*$H$24,(($C$24-B79)*$G$24)-$H$24)</f>
        <v>-5.07</v>
      </c>
      <c r="AB79" s="16" t="n">
        <f aca="false">Hedge_MID!G78</f>
        <v>2.00940405367255</v>
      </c>
      <c r="AC79" s="16" t="n">
        <f aca="false">IF(B79&gt;$C$25,-1*$H$25,(($C$25-B79)*$G$25)-$H$25)</f>
        <v>-3.6</v>
      </c>
      <c r="AD79" s="16" t="n">
        <f aca="false">Hedge_MID!G107</f>
        <v>-0.196226753640357</v>
      </c>
      <c r="AE79" s="16" t="n">
        <f aca="false">IF(B79&gt;$C$26,-1*$H$26,(($C$26-B79)*$G$26)-$H$26)</f>
        <v>-5.2</v>
      </c>
      <c r="AF79" s="16" t="n">
        <f aca="false">Hedge_MID!G137</f>
        <v>-0</v>
      </c>
      <c r="AG79" s="16" t="n">
        <f aca="false">IF(B79&gt;$C$27,-1*$H$27,(($C$27-B79)*$G$27)-$H$27)</f>
        <v>0</v>
      </c>
      <c r="AH79" s="16" t="n">
        <f aca="false">Hedge_MID!G167</f>
        <v>0</v>
      </c>
      <c r="AI79" s="16" t="n">
        <f aca="false">IF(B79&gt;$C$28,-1*$H$28,(($C$28-B79)*$G$28)-$H$28)</f>
        <v>-0</v>
      </c>
      <c r="AJ79" s="16" t="n">
        <f aca="false">Hedge_MID!G197</f>
        <v>-0</v>
      </c>
      <c r="AK79" s="16" t="n">
        <f aca="false">IF(B79&gt;$C$29,-1*$H$29,(($C$29-B79)*$G$29)-$H$29)</f>
        <v>-0</v>
      </c>
      <c r="AL79" s="16" t="n">
        <f aca="false">Hedge_MID!G227</f>
        <v>0</v>
      </c>
      <c r="AM79" s="16" t="n">
        <f aca="false">IF(B79&gt;$C$30,-1*$H$30,(($C$30-B79)*$G$30)-$H$30)</f>
        <v>-0</v>
      </c>
      <c r="AN79" s="16" t="n">
        <f aca="false">Hedge_MID!G257</f>
        <v>-0</v>
      </c>
      <c r="AO79" s="16" t="n">
        <f aca="false">IF(B79&gt;$C$31,-1*$H$31,(($C$31-B79)*$G$31)-$H$31)</f>
        <v>-0</v>
      </c>
      <c r="AP79" s="16" t="n">
        <f aca="false">Hedge_MID!G287</f>
        <v>0</v>
      </c>
      <c r="AQ79" s="16" t="n">
        <f aca="false">IF(B79&gt;$C$32,-1*$H$32,(($C$32-B79)*$G$32)-$H$32)</f>
        <v>-0</v>
      </c>
      <c r="AR79" s="2"/>
    </row>
    <row r="80" customFormat="false" ht="14.25" hidden="false" customHeight="true" outlineLevel="0" collapsed="false">
      <c r="B80" s="67" t="n">
        <f aca="false">B79-1</f>
        <v>79</v>
      </c>
      <c r="C80" s="68" t="n">
        <f aca="false">O80/$H$33</f>
        <v>0.250630515133442</v>
      </c>
      <c r="D80" s="68" t="n">
        <f aca="false">P80/$H$33</f>
        <v>-1</v>
      </c>
      <c r="E80" s="16" t="n">
        <f aca="false">($C$2*B80)-$E$2</f>
        <v>-72.5135703315</v>
      </c>
      <c r="F80" s="69" t="n">
        <f aca="false">(E80/$E$2)</f>
        <v>-0.053090748633961</v>
      </c>
      <c r="M80" s="67" t="n">
        <f aca="false">M79-1</f>
        <v>79</v>
      </c>
      <c r="N80" s="68" t="n">
        <f aca="false">Hedge_MID!C318</f>
        <v>-2.70958044691614</v>
      </c>
      <c r="O80" s="16" t="n">
        <f aca="false">Hedge_MID!G318</f>
        <v>3.47624524490085</v>
      </c>
      <c r="P80" s="16" t="n">
        <f aca="false">Y80+AA80+AC80+AE80+AG80+AI80+AK80+AM80+AO80+AQ80</f>
        <v>-13.87</v>
      </c>
      <c r="Q80" s="69" t="n">
        <f aca="false">S80/$E$2</f>
        <v>-0.0505456186445904</v>
      </c>
      <c r="R80" s="69" t="n">
        <f aca="false">T80/$E$2</f>
        <v>-0.06324565729708</v>
      </c>
      <c r="S80" s="16" t="n">
        <f aca="false">E80+O80</f>
        <v>-69.0373250865991</v>
      </c>
      <c r="T80" s="16" t="n">
        <f aca="false">E80+P80</f>
        <v>-86.3835703315</v>
      </c>
      <c r="U80" s="70" t="n">
        <f aca="false">O81-2*O80+O79</f>
        <v>0.321698556236114</v>
      </c>
      <c r="V80" s="71"/>
      <c r="W80" s="67" t="n">
        <f aca="false">W79-1</f>
        <v>79</v>
      </c>
      <c r="X80" s="16" t="n">
        <f aca="false">Hedge_MID!G21</f>
        <v>-0</v>
      </c>
      <c r="Y80" s="16" t="n">
        <f aca="false">IF(B80&gt;$C$23,-1*$H$23,(($C$23-B80)*$G$23)-$H$23)</f>
        <v>-0</v>
      </c>
      <c r="Z80" s="16" t="n">
        <f aca="false">Hedge_MID!G50</f>
        <v>-0.129110823447277</v>
      </c>
      <c r="AA80" s="16" t="n">
        <f aca="false">IF(B80&gt;$C$24,-1*$H$24,(($C$24-B80)*$G$24)-$H$24)</f>
        <v>-5.07</v>
      </c>
      <c r="AB80" s="16" t="n">
        <f aca="false">Hedge_MID!G79</f>
        <v>2.98343722315412</v>
      </c>
      <c r="AC80" s="16" t="n">
        <f aca="false">IF(B80&gt;$C$25,-1*$H$25,(($C$25-B80)*$G$25)-$H$25)</f>
        <v>-3.6</v>
      </c>
      <c r="AD80" s="16" t="n">
        <f aca="false">Hedge_MID!G108</f>
        <v>0.621918845194005</v>
      </c>
      <c r="AE80" s="16" t="n">
        <f aca="false">IF(B80&gt;$C$26,-1*$H$26,(($C$26-B80)*$G$26)-$H$26)</f>
        <v>-5.2</v>
      </c>
      <c r="AF80" s="16" t="n">
        <f aca="false">Hedge_MID!G138</f>
        <v>0</v>
      </c>
      <c r="AG80" s="16" t="n">
        <f aca="false">IF(B80&gt;$C$27,-1*$H$27,(($C$27-B80)*$G$27)-$H$27)</f>
        <v>0</v>
      </c>
      <c r="AH80" s="16" t="n">
        <f aca="false">Hedge_MID!G168</f>
        <v>0</v>
      </c>
      <c r="AI80" s="16" t="n">
        <f aca="false">IF(B80&gt;$C$28,-1*$H$28,(($C$28-B80)*$G$28)-$H$28)</f>
        <v>-0</v>
      </c>
      <c r="AJ80" s="16" t="n">
        <f aca="false">Hedge_MID!G198</f>
        <v>0</v>
      </c>
      <c r="AK80" s="16" t="n">
        <f aca="false">IF(B80&gt;$C$29,-1*$H$29,(($C$29-B80)*$G$29)-$H$29)</f>
        <v>-0</v>
      </c>
      <c r="AL80" s="16" t="n">
        <f aca="false">Hedge_MID!G228</f>
        <v>0</v>
      </c>
      <c r="AM80" s="16" t="n">
        <f aca="false">IF(B80&gt;$C$30,-1*$H$30,(($C$30-B80)*$G$30)-$H$30)</f>
        <v>-0</v>
      </c>
      <c r="AN80" s="16" t="n">
        <f aca="false">Hedge_MID!G258</f>
        <v>0</v>
      </c>
      <c r="AO80" s="16" t="n">
        <f aca="false">IF(B80&gt;$C$31,-1*$H$31,(($C$31-B80)*$G$31)-$H$31)</f>
        <v>-0</v>
      </c>
      <c r="AP80" s="16" t="n">
        <f aca="false">Hedge_MID!G288</f>
        <v>0</v>
      </c>
      <c r="AQ80" s="16" t="n">
        <f aca="false">IF(B80&gt;$C$32,-1*$H$32,(($C$32-B80)*$G$32)-$H$32)</f>
        <v>-0</v>
      </c>
      <c r="AR80" s="2"/>
    </row>
    <row r="81" customFormat="false" ht="14.25" hidden="false" customHeight="true" outlineLevel="0" collapsed="false">
      <c r="B81" s="67" t="n">
        <f aca="false">B80-1</f>
        <v>78</v>
      </c>
      <c r="C81" s="68" t="n">
        <f aca="false">O81/$H$33</f>
        <v>0.45780358787483</v>
      </c>
      <c r="D81" s="68" t="n">
        <f aca="false">P81/$H$33</f>
        <v>-1</v>
      </c>
      <c r="E81" s="16" t="n">
        <f aca="false">($C$2*B81)-$E$2</f>
        <v>-88.8848153315</v>
      </c>
      <c r="F81" s="69" t="n">
        <f aca="false">(E81/$E$2)</f>
        <v>-0.0650769416892273</v>
      </c>
      <c r="M81" s="67" t="n">
        <f aca="false">M80-1</f>
        <v>78</v>
      </c>
      <c r="N81" s="68" t="n">
        <f aca="false">Hedge_MID!C319</f>
        <v>-3.04022987072142</v>
      </c>
      <c r="O81" s="16" t="n">
        <f aca="false">Hedge_MID!G319</f>
        <v>6.3497357638239</v>
      </c>
      <c r="P81" s="16" t="n">
        <f aca="false">Y81+AA81+AC81+AE81+AG81+AI81+AK81+AM81+AO81+AQ81</f>
        <v>-13.87</v>
      </c>
      <c r="Q81" s="69" t="n">
        <f aca="false">S81/$E$2</f>
        <v>-0.0604279880687103</v>
      </c>
      <c r="R81" s="69" t="n">
        <f aca="false">T81/$E$2</f>
        <v>-0.0752318503523464</v>
      </c>
      <c r="S81" s="16" t="n">
        <f aca="false">E81+O81</f>
        <v>-82.5350795676761</v>
      </c>
      <c r="T81" s="16" t="n">
        <f aca="false">E81+P81</f>
        <v>-102.7548153315</v>
      </c>
      <c r="U81" s="70" t="n">
        <f aca="false">O82-2*O81+O80</f>
        <v>0.338606038285512</v>
      </c>
      <c r="V81" s="71"/>
      <c r="W81" s="67" t="n">
        <f aca="false">W80-1</f>
        <v>78</v>
      </c>
      <c r="X81" s="16" t="n">
        <f aca="false">Hedge_MID!G22</f>
        <v>0</v>
      </c>
      <c r="Y81" s="16" t="n">
        <f aca="false">IF(B81&gt;$C$23,-1*$H$23,(($C$23-B81)*$G$23)-$H$23)</f>
        <v>-0</v>
      </c>
      <c r="Z81" s="16" t="n">
        <f aca="false">Hedge_MID!G51</f>
        <v>0.736616797446214</v>
      </c>
      <c r="AA81" s="16" t="n">
        <f aca="false">IF(B81&gt;$C$24,-1*$H$24,(($C$24-B81)*$G$24)-$H$24)</f>
        <v>-5.07</v>
      </c>
      <c r="AB81" s="16" t="n">
        <f aca="false">Hedge_MID!G80</f>
        <v>4.08119074068545</v>
      </c>
      <c r="AC81" s="16" t="n">
        <f aca="false">IF(B81&gt;$C$25,-1*$H$25,(($C$25-B81)*$G$25)-$H$25)</f>
        <v>-3.6</v>
      </c>
      <c r="AD81" s="16" t="n">
        <f aca="false">Hedge_MID!G109</f>
        <v>1.53192822569223</v>
      </c>
      <c r="AE81" s="16" t="n">
        <f aca="false">IF(B81&gt;$C$26,-1*$H$26,(($C$26-B81)*$G$26)-$H$26)</f>
        <v>-5.2</v>
      </c>
      <c r="AF81" s="16" t="n">
        <f aca="false">Hedge_MID!G139</f>
        <v>0</v>
      </c>
      <c r="AG81" s="16" t="n">
        <f aca="false">IF(B81&gt;$C$27,-1*$H$27,(($C$27-B81)*$G$27)-$H$27)</f>
        <v>0</v>
      </c>
      <c r="AH81" s="16" t="n">
        <f aca="false">Hedge_MID!G169</f>
        <v>0</v>
      </c>
      <c r="AI81" s="16" t="n">
        <f aca="false">IF(B81&gt;$C$28,-1*$H$28,(($C$28-B81)*$G$28)-$H$28)</f>
        <v>-0</v>
      </c>
      <c r="AJ81" s="16" t="n">
        <f aca="false">Hedge_MID!G199</f>
        <v>0</v>
      </c>
      <c r="AK81" s="16" t="n">
        <f aca="false">IF(B81&gt;$C$29,-1*$H$29,(($C$29-B81)*$G$29)-$H$29)</f>
        <v>-0</v>
      </c>
      <c r="AL81" s="16" t="n">
        <f aca="false">Hedge_MID!G229</f>
        <v>0</v>
      </c>
      <c r="AM81" s="16" t="n">
        <f aca="false">IF(B81&gt;$C$30,-1*$H$30,(($C$30-B81)*$G$30)-$H$30)</f>
        <v>-0</v>
      </c>
      <c r="AN81" s="16" t="n">
        <f aca="false">Hedge_MID!G259</f>
        <v>0</v>
      </c>
      <c r="AO81" s="16" t="n">
        <f aca="false">IF(B81&gt;$C$31,-1*$H$31,(($C$31-B81)*$G$31)-$H$31)</f>
        <v>-0</v>
      </c>
      <c r="AP81" s="16" t="n">
        <f aca="false">Hedge_MID!G289</f>
        <v>0</v>
      </c>
      <c r="AQ81" s="16" t="n">
        <f aca="false">IF(B81&gt;$C$32,-1*$H$32,(($C$32-B81)*$G$32)-$H$32)</f>
        <v>-0</v>
      </c>
      <c r="AR81" s="2"/>
    </row>
    <row r="82" customFormat="false" ht="14.25" hidden="false" customHeight="true" outlineLevel="0" collapsed="false">
      <c r="B82" s="67" t="n">
        <f aca="false">B81-1</f>
        <v>77</v>
      </c>
      <c r="C82" s="68" t="n">
        <f aca="false">O82/$H$33</f>
        <v>0.689389496830026</v>
      </c>
      <c r="D82" s="68" t="n">
        <f aca="false">P82/$H$33</f>
        <v>-0.855803893294881</v>
      </c>
      <c r="E82" s="16" t="n">
        <f aca="false">($C$2*B82)-$E$2</f>
        <v>-105.2560603315</v>
      </c>
      <c r="F82" s="69" t="n">
        <f aca="false">(E82/$E$2)</f>
        <v>-0.0770631347444935</v>
      </c>
      <c r="M82" s="67" t="n">
        <f aca="false">M81-1</f>
        <v>77</v>
      </c>
      <c r="N82" s="68" t="n">
        <f aca="false">Hedge_MID!C320</f>
        <v>-3.38623943647487</v>
      </c>
      <c r="O82" s="16" t="n">
        <f aca="false">Hedge_MID!G320</f>
        <v>9.56183232103246</v>
      </c>
      <c r="P82" s="16" t="n">
        <f aca="false">Y82+AA82+AC82+AE82+AG82+AI82+AK82+AM82+AO82+AQ82</f>
        <v>-11.87</v>
      </c>
      <c r="Q82" s="69" t="n">
        <f aca="false">S82/$E$2</f>
        <v>-0.070062447370871</v>
      </c>
      <c r="R82" s="69" t="n">
        <f aca="false">T82/$E$2</f>
        <v>-0.0857537451144447</v>
      </c>
      <c r="S82" s="16" t="n">
        <f aca="false">E82+O82</f>
        <v>-95.6942280104674</v>
      </c>
      <c r="T82" s="16" t="n">
        <f aca="false">E82+P82</f>
        <v>-117.1260603315</v>
      </c>
      <c r="U82" s="70" t="n">
        <f aca="false">O83-2*O82+O81</f>
        <v>0.352201386653559</v>
      </c>
      <c r="V82" s="71"/>
      <c r="W82" s="67" t="n">
        <f aca="false">W81-1</f>
        <v>77</v>
      </c>
      <c r="X82" s="16" t="n">
        <f aca="false">Hedge_MID!G23</f>
        <v>0</v>
      </c>
      <c r="Y82" s="16" t="n">
        <f aca="false">IF(B82&gt;$C$23,-1*$H$23,(($C$23-B82)*$G$23)-$H$23)</f>
        <v>-0</v>
      </c>
      <c r="Z82" s="16" t="n">
        <f aca="false">Hedge_MID!G52</f>
        <v>1.71644833838286</v>
      </c>
      <c r="AA82" s="16" t="n">
        <f aca="false">IF(B82&gt;$C$24,-1*$H$24,(($C$24-B82)*$G$24)-$H$24)</f>
        <v>-5.07</v>
      </c>
      <c r="AB82" s="16" t="n">
        <f aca="false">Hedge_MID!G81</f>
        <v>5.30916896614939</v>
      </c>
      <c r="AC82" s="16" t="n">
        <f aca="false">IF(B82&gt;$C$25,-1*$H$25,(($C$25-B82)*$G$25)-$H$25)</f>
        <v>-3.6</v>
      </c>
      <c r="AD82" s="16" t="n">
        <f aca="false">Hedge_MID!G110</f>
        <v>2.53621501650021</v>
      </c>
      <c r="AE82" s="16" t="n">
        <f aca="false">IF(B82&gt;$C$26,-1*$H$26,(($C$26-B82)*$G$26)-$H$26)</f>
        <v>-3.2</v>
      </c>
      <c r="AF82" s="16" t="n">
        <f aca="false">Hedge_MID!G140</f>
        <v>0</v>
      </c>
      <c r="AG82" s="16" t="n">
        <f aca="false">IF(B82&gt;$C$27,-1*$H$27,(($C$27-B82)*$G$27)-$H$27)</f>
        <v>0</v>
      </c>
      <c r="AH82" s="16" t="n">
        <f aca="false">Hedge_MID!G170</f>
        <v>0</v>
      </c>
      <c r="AI82" s="16" t="n">
        <f aca="false">IF(B82&gt;$C$28,-1*$H$28,(($C$28-B82)*$G$28)-$H$28)</f>
        <v>-0</v>
      </c>
      <c r="AJ82" s="16" t="n">
        <f aca="false">Hedge_MID!G200</f>
        <v>0</v>
      </c>
      <c r="AK82" s="16" t="n">
        <f aca="false">IF(B82&gt;$C$29,-1*$H$29,(($C$29-B82)*$G$29)-$H$29)</f>
        <v>-0</v>
      </c>
      <c r="AL82" s="16" t="n">
        <f aca="false">Hedge_MID!G230</f>
        <v>0</v>
      </c>
      <c r="AM82" s="16" t="n">
        <f aca="false">IF(B82&gt;$C$30,-1*$H$30,(($C$30-B82)*$G$30)-$H$30)</f>
        <v>-0</v>
      </c>
      <c r="AN82" s="16" t="n">
        <f aca="false">Hedge_MID!G260</f>
        <v>0</v>
      </c>
      <c r="AO82" s="16" t="n">
        <f aca="false">IF(B82&gt;$C$31,-1*$H$31,(($C$31-B82)*$G$31)-$H$31)</f>
        <v>-0</v>
      </c>
      <c r="AP82" s="16" t="n">
        <f aca="false">Hedge_MID!G290</f>
        <v>0</v>
      </c>
      <c r="AQ82" s="16" t="n">
        <f aca="false">IF(B82&gt;$C$32,-1*$H$32,(($C$32-B82)*$G$32)-$H$32)</f>
        <v>-0</v>
      </c>
      <c r="AR82" s="2"/>
    </row>
    <row r="83" customFormat="false" ht="14.25" hidden="false" customHeight="true" outlineLevel="0" collapsed="false">
      <c r="B83" s="67" t="n">
        <f aca="false">B82-1</f>
        <v>76</v>
      </c>
      <c r="C83" s="68" t="n">
        <f aca="false">O83/$H$33</f>
        <v>0.946368440151015</v>
      </c>
      <c r="D83" s="68" t="n">
        <f aca="false">P83/$H$33</f>
        <v>-0.711607786589762</v>
      </c>
      <c r="E83" s="16" t="n">
        <f aca="false">($C$2*B83)-$E$2</f>
        <v>-121.6273053315</v>
      </c>
      <c r="F83" s="69" t="n">
        <f aca="false">(E83/$E$2)</f>
        <v>-0.0890493277997599</v>
      </c>
      <c r="M83" s="67" t="n">
        <f aca="false">M82-1</f>
        <v>76</v>
      </c>
      <c r="N83" s="68" t="n">
        <f aca="false">Hedge_MID!C321</f>
        <v>-3.74397683697663</v>
      </c>
      <c r="O83" s="16" t="n">
        <f aca="false">Hedge_MID!G321</f>
        <v>13.1261302648946</v>
      </c>
      <c r="P83" s="16" t="n">
        <f aca="false">Y83+AA83+AC83+AE83+AG83+AI83+AK83+AM83+AO83+AQ83</f>
        <v>-9.87</v>
      </c>
      <c r="Q83" s="69" t="n">
        <f aca="false">S83/$E$2</f>
        <v>-0.0794390427283679</v>
      </c>
      <c r="R83" s="69" t="n">
        <f aca="false">T83/$E$2</f>
        <v>-0.0962756398765432</v>
      </c>
      <c r="S83" s="16" t="n">
        <f aca="false">E83+O83</f>
        <v>-108.501175066605</v>
      </c>
      <c r="T83" s="16" t="n">
        <f aca="false">E83+P83</f>
        <v>-131.4973053315</v>
      </c>
      <c r="U83" s="70" t="n">
        <f aca="false">O84-2*O83+O82</f>
        <v>0.361872368390205</v>
      </c>
      <c r="V83" s="71"/>
      <c r="W83" s="67" t="n">
        <f aca="false">W82-1</f>
        <v>76</v>
      </c>
      <c r="X83" s="16" t="n">
        <f aca="false">Hedge_MID!G24</f>
        <v>0</v>
      </c>
      <c r="Y83" s="16" t="n">
        <f aca="false">IF(B83&gt;$C$23,-1*$H$23,(($C$23-B83)*$G$23)-$H$23)</f>
        <v>-0</v>
      </c>
      <c r="Z83" s="16" t="n">
        <f aca="false">Hedge_MID!G53</f>
        <v>2.81765033492048</v>
      </c>
      <c r="AA83" s="16" t="n">
        <f aca="false">IF(B83&gt;$C$24,-1*$H$24,(($C$24-B83)*$G$24)-$H$24)</f>
        <v>-5.07</v>
      </c>
      <c r="AB83" s="16" t="n">
        <f aca="false">Hedge_MID!G82</f>
        <v>6.67254603789989</v>
      </c>
      <c r="AC83" s="16" t="n">
        <f aca="false">IF(B83&gt;$C$25,-1*$H$25,(($C$25-B83)*$G$25)-$H$25)</f>
        <v>-3.6</v>
      </c>
      <c r="AD83" s="16" t="n">
        <f aca="false">Hedge_MID!G111</f>
        <v>3.63593389207421</v>
      </c>
      <c r="AE83" s="16" t="n">
        <f aca="false">IF(B83&gt;$C$26,-1*$H$26,(($C$26-B83)*$G$26)-$H$26)</f>
        <v>-1.2</v>
      </c>
      <c r="AF83" s="16" t="n">
        <f aca="false">Hedge_MID!G141</f>
        <v>0</v>
      </c>
      <c r="AG83" s="16" t="n">
        <f aca="false">IF(B83&gt;$C$27,-1*$H$27,(($C$27-B83)*$G$27)-$H$27)</f>
        <v>0</v>
      </c>
      <c r="AH83" s="16" t="n">
        <f aca="false">Hedge_MID!G171</f>
        <v>0</v>
      </c>
      <c r="AI83" s="16" t="n">
        <f aca="false">IF(B83&gt;$C$28,-1*$H$28,(($C$28-B83)*$G$28)-$H$28)</f>
        <v>-0</v>
      </c>
      <c r="AJ83" s="16" t="n">
        <f aca="false">Hedge_MID!G201</f>
        <v>0</v>
      </c>
      <c r="AK83" s="16" t="n">
        <f aca="false">IF(B83&gt;$C$29,-1*$H$29,(($C$29-B83)*$G$29)-$H$29)</f>
        <v>-0</v>
      </c>
      <c r="AL83" s="16" t="n">
        <f aca="false">Hedge_MID!G231</f>
        <v>0</v>
      </c>
      <c r="AM83" s="16" t="n">
        <f aca="false">IF(B83&gt;$C$30,-1*$H$30,(($C$30-B83)*$G$30)-$H$30)</f>
        <v>-0</v>
      </c>
      <c r="AN83" s="16" t="n">
        <f aca="false">Hedge_MID!G261</f>
        <v>0</v>
      </c>
      <c r="AO83" s="16" t="n">
        <f aca="false">IF(B83&gt;$C$31,-1*$H$31,(($C$31-B83)*$G$31)-$H$31)</f>
        <v>-0</v>
      </c>
      <c r="AP83" s="16" t="n">
        <f aca="false">Hedge_MID!G291</f>
        <v>0</v>
      </c>
      <c r="AQ83" s="16" t="n">
        <f aca="false">IF(B83&gt;$C$32,-1*$H$32,(($C$32-B83)*$G$32)-$H$32)</f>
        <v>-0</v>
      </c>
      <c r="AR83" s="2"/>
    </row>
    <row r="84" customFormat="false" ht="14.25" hidden="false" customHeight="true" outlineLevel="0" collapsed="false">
      <c r="B84" s="67" t="n">
        <f aca="false">B83-1</f>
        <v>75</v>
      </c>
      <c r="C84" s="68" t="n">
        <f aca="false">O84/$H$33</f>
        <v>1.22943767679502</v>
      </c>
      <c r="D84" s="68" t="n">
        <f aca="false">P84/$H$33</f>
        <v>-0.351117519826965</v>
      </c>
      <c r="E84" s="16" t="n">
        <f aca="false">($C$2*B84)-$E$2</f>
        <v>-137.9985503315</v>
      </c>
      <c r="F84" s="69" t="n">
        <f aca="false">(E84/$E$2)</f>
        <v>-0.101035520855026</v>
      </c>
      <c r="M84" s="67" t="n">
        <f aca="false">M83-1</f>
        <v>75</v>
      </c>
      <c r="N84" s="68" t="n">
        <f aca="false">Hedge_MID!C322</f>
        <v>-4.10924309086435</v>
      </c>
      <c r="O84" s="16" t="n">
        <f aca="false">Hedge_MID!G322</f>
        <v>17.0523005771469</v>
      </c>
      <c r="P84" s="16" t="n">
        <f aca="false">Y84+AA84+AC84+AE84+AG84+AI84+AK84+AM84+AO84+AQ84</f>
        <v>-4.87</v>
      </c>
      <c r="Q84" s="69" t="n">
        <f aca="false">S84/$E$2</f>
        <v>-0.0885506935401756</v>
      </c>
      <c r="R84" s="69" t="n">
        <f aca="false">T84/$E$2</f>
        <v>-0.10460108719889</v>
      </c>
      <c r="S84" s="16" t="n">
        <f aca="false">E84+O84</f>
        <v>-120.946249754353</v>
      </c>
      <c r="T84" s="16" t="n">
        <f aca="false">E84+P84</f>
        <v>-142.8685503315</v>
      </c>
      <c r="U84" s="70" t="n">
        <f aca="false">O85-2*O84+O83</f>
        <v>0.367111209349446</v>
      </c>
      <c r="V84" s="71"/>
      <c r="W84" s="67" t="n">
        <f aca="false">W83-1</f>
        <v>75</v>
      </c>
      <c r="X84" s="16" t="n">
        <f aca="false">Hedge_MID!G25</f>
        <v>0</v>
      </c>
      <c r="Y84" s="16" t="n">
        <f aca="false">IF(B84&gt;$C$23,-1*$H$23,(($C$23-B84)*$G$23)-$H$23)</f>
        <v>-0</v>
      </c>
      <c r="Z84" s="16" t="n">
        <f aca="false">Hedge_MID!G54</f>
        <v>4.04650260517445</v>
      </c>
      <c r="AA84" s="16" t="n">
        <f aca="false">IF(B84&gt;$C$24,-1*$H$24,(($C$24-B84)*$G$24)-$H$24)</f>
        <v>-5.07</v>
      </c>
      <c r="AB84" s="16" t="n">
        <f aca="false">Hedge_MID!G83</f>
        <v>8.17491627172241</v>
      </c>
      <c r="AC84" s="16" t="n">
        <f aca="false">IF(B84&gt;$C$25,-1*$H$25,(($C$25-B84)*$G$25)-$H$25)</f>
        <v>-0.6</v>
      </c>
      <c r="AD84" s="16" t="n">
        <f aca="false">Hedge_MID!G112</f>
        <v>4.83088170025004</v>
      </c>
      <c r="AE84" s="16" t="n">
        <f aca="false">IF(B84&gt;$C$26,-1*$H$26,(($C$26-B84)*$G$26)-$H$26)</f>
        <v>0.8</v>
      </c>
      <c r="AF84" s="16" t="n">
        <f aca="false">Hedge_MID!G142</f>
        <v>0</v>
      </c>
      <c r="AG84" s="16" t="n">
        <f aca="false">IF(B84&gt;$C$27,-1*$H$27,(($C$27-B84)*$G$27)-$H$27)</f>
        <v>0</v>
      </c>
      <c r="AH84" s="16" t="n">
        <f aca="false">Hedge_MID!G172</f>
        <v>0</v>
      </c>
      <c r="AI84" s="16" t="n">
        <f aca="false">IF(B84&gt;$C$28,-1*$H$28,(($C$28-B84)*$G$28)-$H$28)</f>
        <v>-0</v>
      </c>
      <c r="AJ84" s="16" t="n">
        <f aca="false">Hedge_MID!G202</f>
        <v>0</v>
      </c>
      <c r="AK84" s="16" t="n">
        <f aca="false">IF(B84&gt;$C$29,-1*$H$29,(($C$29-B84)*$G$29)-$H$29)</f>
        <v>-0</v>
      </c>
      <c r="AL84" s="16" t="n">
        <f aca="false">Hedge_MID!G232</f>
        <v>0</v>
      </c>
      <c r="AM84" s="16" t="n">
        <f aca="false">IF(B84&gt;$C$30,-1*$H$30,(($C$30-B84)*$G$30)-$H$30)</f>
        <v>-0</v>
      </c>
      <c r="AN84" s="16" t="n">
        <f aca="false">Hedge_MID!G262</f>
        <v>0</v>
      </c>
      <c r="AO84" s="16" t="n">
        <f aca="false">IF(B84&gt;$C$31,-1*$H$31,(($C$31-B84)*$G$31)-$H$31)</f>
        <v>-0</v>
      </c>
      <c r="AP84" s="16" t="n">
        <f aca="false">Hedge_MID!G292</f>
        <v>0</v>
      </c>
      <c r="AQ84" s="16" t="n">
        <f aca="false">IF(B84&gt;$C$32,-1*$H$32,(($C$32-B84)*$G$32)-$H$32)</f>
        <v>-0</v>
      </c>
      <c r="AR84" s="2"/>
    </row>
    <row r="85" customFormat="false" ht="14.25" hidden="false" customHeight="true" outlineLevel="0" collapsed="false">
      <c r="B85" s="67" t="n">
        <f aca="false">B84-1</f>
        <v>74</v>
      </c>
      <c r="C85" s="68" t="n">
        <f aca="false">O85/$H$33</f>
        <v>1.53897491699702</v>
      </c>
      <c r="D85" s="68" t="n">
        <f aca="false">P85/$H$33</f>
        <v>0.00937274693583272</v>
      </c>
      <c r="E85" s="16" t="n">
        <f aca="false">($C$2*B85)-$E$2</f>
        <v>-154.3697953315</v>
      </c>
      <c r="F85" s="69" t="n">
        <f aca="false">(E85/$E$2)</f>
        <v>-0.113021713910293</v>
      </c>
      <c r="M85" s="67" t="n">
        <f aca="false">M84-1</f>
        <v>74</v>
      </c>
      <c r="N85" s="68" t="n">
        <f aca="false">Hedge_MID!C323</f>
        <v>-4.47739678013157</v>
      </c>
      <c r="O85" s="16" t="n">
        <f aca="false">Hedge_MID!G323</f>
        <v>21.3455820987487</v>
      </c>
      <c r="P85" s="16" t="n">
        <f aca="false">Y85+AA85+AC85+AE85+AG85+AI85+AK85+AM85+AO85+AQ85</f>
        <v>0.13</v>
      </c>
      <c r="Q85" s="69" t="n">
        <f aca="false">S85/$E$2</f>
        <v>-0.0973935641933567</v>
      </c>
      <c r="R85" s="69" t="n">
        <f aca="false">T85/$E$2</f>
        <v>-0.112926534521237</v>
      </c>
      <c r="S85" s="16" t="n">
        <f aca="false">E85+O85</f>
        <v>-133.024213232751</v>
      </c>
      <c r="T85" s="16" t="n">
        <f aca="false">E85+P85</f>
        <v>-154.2397953315</v>
      </c>
      <c r="U85" s="70" t="n">
        <f aca="false">O86-2*O85+O84</f>
        <v>0.367552862691241</v>
      </c>
      <c r="V85" s="71"/>
      <c r="W85" s="67" t="n">
        <f aca="false">W84-1</f>
        <v>74</v>
      </c>
      <c r="X85" s="16" t="n">
        <f aca="false">Hedge_MID!G26</f>
        <v>0</v>
      </c>
      <c r="Y85" s="16" t="n">
        <f aca="false">IF(B85&gt;$C$23,-1*$H$23,(($C$23-B85)*$G$23)-$H$23)</f>
        <v>-0</v>
      </c>
      <c r="Z85" s="16" t="n">
        <f aca="false">Hedge_MID!G55</f>
        <v>5.40804165681553</v>
      </c>
      <c r="AA85" s="16" t="n">
        <f aca="false">IF(B85&gt;$C$24,-1*$H$24,(($C$24-B85)*$G$24)-$H$24)</f>
        <v>-5.07</v>
      </c>
      <c r="AB85" s="16" t="n">
        <f aca="false">Hedge_MID!G84</f>
        <v>9.81808761145472</v>
      </c>
      <c r="AC85" s="16" t="n">
        <f aca="false">IF(B85&gt;$C$25,-1*$H$25,(($C$25-B85)*$G$25)-$H$25)</f>
        <v>2.4</v>
      </c>
      <c r="AD85" s="16" t="n">
        <f aca="false">Hedge_MID!G113</f>
        <v>6.11945283047843</v>
      </c>
      <c r="AE85" s="16" t="n">
        <f aca="false">IF(B85&gt;$C$26,-1*$H$26,(($C$26-B85)*$G$26)-$H$26)</f>
        <v>2.8</v>
      </c>
      <c r="AF85" s="16" t="n">
        <f aca="false">Hedge_MID!G143</f>
        <v>0</v>
      </c>
      <c r="AG85" s="16" t="n">
        <f aca="false">IF(B85&gt;$C$27,-1*$H$27,(($C$27-B85)*$G$27)-$H$27)</f>
        <v>0</v>
      </c>
      <c r="AH85" s="16" t="n">
        <f aca="false">Hedge_MID!G173</f>
        <v>0</v>
      </c>
      <c r="AI85" s="16" t="n">
        <f aca="false">IF(B85&gt;$C$28,-1*$H$28,(($C$28-B85)*$G$28)-$H$28)</f>
        <v>-0</v>
      </c>
      <c r="AJ85" s="16" t="n">
        <f aca="false">Hedge_MID!G203</f>
        <v>0</v>
      </c>
      <c r="AK85" s="16" t="n">
        <f aca="false">IF(B85&gt;$C$29,-1*$H$29,(($C$29-B85)*$G$29)-$H$29)</f>
        <v>-0</v>
      </c>
      <c r="AL85" s="16" t="n">
        <f aca="false">Hedge_MID!G233</f>
        <v>0</v>
      </c>
      <c r="AM85" s="16" t="n">
        <f aca="false">IF(B85&gt;$C$30,-1*$H$30,(($C$30-B85)*$G$30)-$H$30)</f>
        <v>-0</v>
      </c>
      <c r="AN85" s="16" t="n">
        <f aca="false">Hedge_MID!G263</f>
        <v>0</v>
      </c>
      <c r="AO85" s="16" t="n">
        <f aca="false">IF(B85&gt;$C$31,-1*$H$31,(($C$31-B85)*$G$31)-$H$31)</f>
        <v>-0</v>
      </c>
      <c r="AP85" s="16" t="n">
        <f aca="false">Hedge_MID!G293</f>
        <v>0</v>
      </c>
      <c r="AQ85" s="16" t="n">
        <f aca="false">IF(B85&gt;$C$32,-1*$H$32,(($C$32-B85)*$G$32)-$H$32)</f>
        <v>-0</v>
      </c>
      <c r="AR85" s="2"/>
    </row>
    <row r="86" customFormat="false" ht="14.25" hidden="false" customHeight="true" outlineLevel="0" collapsed="false">
      <c r="B86" s="67" t="n">
        <f aca="false">B85-1</f>
        <v>73</v>
      </c>
      <c r="C86" s="68" t="n">
        <f aca="false">O86/$H$33</f>
        <v>1.87501200310322</v>
      </c>
      <c r="D86" s="68" t="n">
        <f aca="false">P86/$H$33</f>
        <v>0.586157173756309</v>
      </c>
      <c r="E86" s="16" t="n">
        <f aca="false">($C$2*B86)-$E$2</f>
        <v>-170.7410403315</v>
      </c>
      <c r="F86" s="69" t="n">
        <f aca="false">(E86/$E$2)</f>
        <v>-0.125007906965559</v>
      </c>
      <c r="M86" s="67" t="n">
        <f aca="false">M85-1</f>
        <v>73</v>
      </c>
      <c r="N86" s="68" t="n">
        <f aca="false">Hedge_MID!C324</f>
        <v>-4.84351432438587</v>
      </c>
      <c r="O86" s="16" t="n">
        <f aca="false">Hedge_MID!G324</f>
        <v>26.0064164830417</v>
      </c>
      <c r="P86" s="16" t="n">
        <f aca="false">Y86+AA86+AC86+AE86+AG86+AI86+AK86+AM86+AO86+AQ86</f>
        <v>8.13</v>
      </c>
      <c r="Q86" s="69" t="n">
        <f aca="false">S86/$E$2</f>
        <v>-0.105967331331794</v>
      </c>
      <c r="R86" s="69" t="n">
        <f aca="false">T86/$E$2</f>
        <v>-0.119055534403832</v>
      </c>
      <c r="S86" s="16" t="n">
        <f aca="false">E86+O86</f>
        <v>-144.734623848458</v>
      </c>
      <c r="T86" s="16" t="n">
        <f aca="false">E86+P86</f>
        <v>-162.6110403315</v>
      </c>
      <c r="U86" s="70" t="n">
        <f aca="false">O87-2*O86+O85</f>
        <v>0.363007623419421</v>
      </c>
      <c r="V86" s="71"/>
      <c r="W86" s="67" t="n">
        <f aca="false">W85-1</f>
        <v>73</v>
      </c>
      <c r="X86" s="16" t="n">
        <f aca="false">Hedge_MID!G27</f>
        <v>0</v>
      </c>
      <c r="Y86" s="16" t="n">
        <f aca="false">IF(B86&gt;$C$23,-1*$H$23,(($C$23-B86)*$G$23)-$H$23)</f>
        <v>-0</v>
      </c>
      <c r="Z86" s="16" t="n">
        <f aca="false">Hedge_MID!G56</f>
        <v>6.9058260487023</v>
      </c>
      <c r="AA86" s="16" t="n">
        <f aca="false">IF(B86&gt;$C$24,-1*$H$24,(($C$24-B86)*$G$24)-$H$24)</f>
        <v>-2.07</v>
      </c>
      <c r="AB86" s="16" t="n">
        <f aca="false">Hedge_MID!G85</f>
        <v>11.6019346763452</v>
      </c>
      <c r="AC86" s="16" t="n">
        <f aca="false">IF(B86&gt;$C$25,-1*$H$25,(($C$25-B86)*$G$25)-$H$25)</f>
        <v>5.4</v>
      </c>
      <c r="AD86" s="16" t="n">
        <f aca="false">Hedge_MID!G114</f>
        <v>7.49865575799423</v>
      </c>
      <c r="AE86" s="16" t="n">
        <f aca="false">IF(B86&gt;$C$26,-1*$H$26,(($C$26-B86)*$G$26)-$H$26)</f>
        <v>4.8</v>
      </c>
      <c r="AF86" s="16" t="n">
        <f aca="false">Hedge_MID!G144</f>
        <v>0</v>
      </c>
      <c r="AG86" s="16" t="n">
        <f aca="false">IF(B86&gt;$C$27,-1*$H$27,(($C$27-B86)*$G$27)-$H$27)</f>
        <v>0</v>
      </c>
      <c r="AH86" s="16" t="n">
        <f aca="false">Hedge_MID!G174</f>
        <v>0</v>
      </c>
      <c r="AI86" s="16" t="n">
        <f aca="false">IF(B86&gt;$C$28,-1*$H$28,(($C$28-B86)*$G$28)-$H$28)</f>
        <v>-0</v>
      </c>
      <c r="AJ86" s="16" t="n">
        <f aca="false">Hedge_MID!G204</f>
        <v>0</v>
      </c>
      <c r="AK86" s="16" t="n">
        <f aca="false">IF(B86&gt;$C$29,-1*$H$29,(($C$29-B86)*$G$29)-$H$29)</f>
        <v>-0</v>
      </c>
      <c r="AL86" s="16" t="n">
        <f aca="false">Hedge_MID!G234</f>
        <v>0</v>
      </c>
      <c r="AM86" s="16" t="n">
        <f aca="false">IF(B86&gt;$C$30,-1*$H$30,(($C$30-B86)*$G$30)-$H$30)</f>
        <v>-0</v>
      </c>
      <c r="AN86" s="16" t="n">
        <f aca="false">Hedge_MID!G264</f>
        <v>0</v>
      </c>
      <c r="AO86" s="16" t="n">
        <f aca="false">IF(B86&gt;$C$31,-1*$H$31,(($C$31-B86)*$G$31)-$H$31)</f>
        <v>-0</v>
      </c>
      <c r="AP86" s="16" t="n">
        <f aca="false">Hedge_MID!G294</f>
        <v>0</v>
      </c>
      <c r="AQ86" s="16" t="n">
        <f aca="false">IF(B86&gt;$C$32,-1*$H$32,(($C$32-B86)*$G$32)-$H$32)</f>
        <v>-0</v>
      </c>
      <c r="AR86" s="2"/>
    </row>
    <row r="87" customFormat="false" ht="14.25" hidden="false" customHeight="true" outlineLevel="0" collapsed="false">
      <c r="B87" s="67" t="n">
        <f aca="false">B86-1</f>
        <v>72</v>
      </c>
      <c r="C87" s="68" t="n">
        <f aca="false">O87/$H$33</f>
        <v>2.2372212322101</v>
      </c>
      <c r="D87" s="68" t="n">
        <f aca="false">P87/$H$33</f>
        <v>1.16294160057678</v>
      </c>
      <c r="E87" s="16" t="n">
        <f aca="false">($C$2*B87)-$E$2</f>
        <v>-187.1122853315</v>
      </c>
      <c r="F87" s="69" t="n">
        <f aca="false">(E87/$E$2)</f>
        <v>-0.136994100020825</v>
      </c>
      <c r="M87" s="67" t="n">
        <f aca="false">M86-1</f>
        <v>72</v>
      </c>
      <c r="N87" s="68" t="n">
        <f aca="false">Hedge_MID!C325</f>
        <v>-5.20257886151106</v>
      </c>
      <c r="O87" s="16" t="n">
        <f aca="false">Hedge_MID!G325</f>
        <v>31.0302584907541</v>
      </c>
      <c r="P87" s="16" t="n">
        <f aca="false">Y87+AA87+AC87+AE87+AG87+AI87+AK87+AM87+AO87+AQ87</f>
        <v>16.13</v>
      </c>
      <c r="Q87" s="69" t="n">
        <f aca="false">S87/$E$2</f>
        <v>-0.114275322748541</v>
      </c>
      <c r="R87" s="69" t="n">
        <f aca="false">T87/$E$2</f>
        <v>-0.125184534286427</v>
      </c>
      <c r="S87" s="16" t="n">
        <f aca="false">E87+O87</f>
        <v>-156.082026840746</v>
      </c>
      <c r="T87" s="16" t="n">
        <f aca="false">E87+P87</f>
        <v>-170.9822853315</v>
      </c>
      <c r="U87" s="70" t="n">
        <f aca="false">O88-2*O87+O86</f>
        <v>0.353484615035793</v>
      </c>
      <c r="V87" s="71"/>
      <c r="W87" s="67" t="n">
        <f aca="false">W86-1</f>
        <v>72</v>
      </c>
      <c r="X87" s="16" t="n">
        <f aca="false">Hedge_MID!G28</f>
        <v>0</v>
      </c>
      <c r="Y87" s="16" t="n">
        <f aca="false">IF(B87&gt;$C$23,-1*$H$23,(($C$23-B87)*$G$23)-$H$23)</f>
        <v>0</v>
      </c>
      <c r="Z87" s="16" t="n">
        <f aca="false">Hedge_MID!G57</f>
        <v>8.54173924290243</v>
      </c>
      <c r="AA87" s="16" t="n">
        <f aca="false">IF(B87&gt;$C$24,-1*$H$24,(($C$24-B87)*$G$24)-$H$24)</f>
        <v>0.93</v>
      </c>
      <c r="AB87" s="16" t="n">
        <f aca="false">Hedge_MID!G86</f>
        <v>13.5243256401518</v>
      </c>
      <c r="AC87" s="16" t="n">
        <f aca="false">IF(B87&gt;$C$25,-1*$H$25,(($C$25-B87)*$G$25)-$H$25)</f>
        <v>8.4</v>
      </c>
      <c r="AD87" s="16" t="n">
        <f aca="false">Hedge_MID!G115</f>
        <v>8.96419360769992</v>
      </c>
      <c r="AE87" s="16" t="n">
        <f aca="false">IF(B87&gt;$C$26,-1*$H$26,(($C$26-B87)*$G$26)-$H$26)</f>
        <v>6.8</v>
      </c>
      <c r="AF87" s="16" t="n">
        <f aca="false">Hedge_MID!G145</f>
        <v>0</v>
      </c>
      <c r="AG87" s="16" t="n">
        <f aca="false">IF(B87&gt;$C$27,-1*$H$27,(($C$27-B87)*$G$27)-$H$27)</f>
        <v>0</v>
      </c>
      <c r="AH87" s="16" t="n">
        <f aca="false">Hedge_MID!G175</f>
        <v>0</v>
      </c>
      <c r="AI87" s="16" t="n">
        <f aca="false">IF(B87&gt;$C$28,-1*$H$28,(($C$28-B87)*$G$28)-$H$28)</f>
        <v>-0</v>
      </c>
      <c r="AJ87" s="16" t="n">
        <f aca="false">Hedge_MID!G205</f>
        <v>0</v>
      </c>
      <c r="AK87" s="16" t="n">
        <f aca="false">IF(B87&gt;$C$29,-1*$H$29,(($C$29-B87)*$G$29)-$H$29)</f>
        <v>-0</v>
      </c>
      <c r="AL87" s="16" t="n">
        <f aca="false">Hedge_MID!G235</f>
        <v>0</v>
      </c>
      <c r="AM87" s="16" t="n">
        <f aca="false">IF(B87&gt;$C$30,-1*$H$30,(($C$30-B87)*$G$30)-$H$30)</f>
        <v>-0</v>
      </c>
      <c r="AN87" s="16" t="n">
        <f aca="false">Hedge_MID!G265</f>
        <v>0</v>
      </c>
      <c r="AO87" s="16" t="n">
        <f aca="false">IF(B87&gt;$C$31,-1*$H$31,(($C$31-B87)*$G$31)-$H$31)</f>
        <v>-0</v>
      </c>
      <c r="AP87" s="16" t="n">
        <f aca="false">Hedge_MID!G295</f>
        <v>0</v>
      </c>
      <c r="AQ87" s="16" t="n">
        <f aca="false">IF(B87&gt;$C$32,-1*$H$32,(($C$32-B87)*$G$32)-$H$32)</f>
        <v>-0</v>
      </c>
      <c r="AR87" s="2"/>
    </row>
    <row r="88" customFormat="false" ht="14.25" hidden="false" customHeight="true" outlineLevel="0" collapsed="false">
      <c r="B88" s="67" t="n">
        <f aca="false">B87-1</f>
        <v>71</v>
      </c>
      <c r="C88" s="68" t="n">
        <f aca="false">O88/$H$33</f>
        <v>2.62491601395114</v>
      </c>
      <c r="D88" s="68" t="n">
        <f aca="false">P88/$H$33</f>
        <v>1.73972602739726</v>
      </c>
      <c r="E88" s="16" t="n">
        <f aca="false">($C$2*B88)-$E$2</f>
        <v>-203.4835303315</v>
      </c>
      <c r="F88" s="69" t="n">
        <f aca="false">(E88/$E$2)</f>
        <v>-0.148980293076091</v>
      </c>
      <c r="M88" s="67" t="n">
        <f aca="false">M87-1</f>
        <v>71</v>
      </c>
      <c r="N88" s="68" t="n">
        <f aca="false">Hedge_MID!C326</f>
        <v>-5.54968698393666</v>
      </c>
      <c r="O88" s="16" t="n">
        <f aca="false">Hedge_MID!G326</f>
        <v>36.4075851135023</v>
      </c>
      <c r="P88" s="16" t="n">
        <f aca="false">Y88+AA88+AC88+AE88+AG88+AI88+AK88+AM88+AO88+AQ88</f>
        <v>24.13</v>
      </c>
      <c r="Q88" s="69" t="n">
        <f aca="false">S88/$E$2</f>
        <v>-0.122324510706059</v>
      </c>
      <c r="R88" s="69" t="n">
        <f aca="false">T88/$E$2</f>
        <v>-0.131313534169021</v>
      </c>
      <c r="S88" s="16" t="n">
        <f aca="false">E88+O88</f>
        <v>-167.075945217998</v>
      </c>
      <c r="T88" s="16" t="n">
        <f aca="false">E88+P88</f>
        <v>-179.3535303315</v>
      </c>
      <c r="U88" s="70" t="n">
        <f aca="false">O89-2*O88+O87</f>
        <v>0.339203123522569</v>
      </c>
      <c r="V88" s="71"/>
      <c r="W88" s="67" t="n">
        <f aca="false">W87-1</f>
        <v>71</v>
      </c>
      <c r="X88" s="16" t="n">
        <f aca="false">Hedge_MID!G29</f>
        <v>0</v>
      </c>
      <c r="Y88" s="16" t="n">
        <f aca="false">IF(B88&gt;$C$23,-1*$H$23,(($C$23-B88)*$G$23)-$H$23)</f>
        <v>0</v>
      </c>
      <c r="Z88" s="16" t="n">
        <f aca="false">Hedge_MID!G58</f>
        <v>10.3158450491444</v>
      </c>
      <c r="AA88" s="16" t="n">
        <f aca="false">IF(B88&gt;$C$24,-1*$H$24,(($C$24-B88)*$G$24)-$H$24)</f>
        <v>3.93</v>
      </c>
      <c r="AB88" s="16" t="n">
        <f aca="false">Hedge_MID!G87</f>
        <v>15.5811332722266</v>
      </c>
      <c r="AC88" s="16" t="n">
        <f aca="false">IF(B88&gt;$C$25,-1*$H$25,(($C$25-B88)*$G$25)-$H$25)</f>
        <v>11.4</v>
      </c>
      <c r="AD88" s="16" t="n">
        <f aca="false">Hedge_MID!G116</f>
        <v>10.5106067921313</v>
      </c>
      <c r="AE88" s="16" t="n">
        <f aca="false">IF(B88&gt;$C$26,-1*$H$26,(($C$26-B88)*$G$26)-$H$26)</f>
        <v>8.8</v>
      </c>
      <c r="AF88" s="16" t="n">
        <f aca="false">Hedge_MID!G146</f>
        <v>0</v>
      </c>
      <c r="AG88" s="16" t="n">
        <f aca="false">IF(B88&gt;$C$27,-1*$H$27,(($C$27-B88)*$G$27)-$H$27)</f>
        <v>0</v>
      </c>
      <c r="AH88" s="16" t="n">
        <f aca="false">Hedge_MID!G176</f>
        <v>0</v>
      </c>
      <c r="AI88" s="16" t="n">
        <f aca="false">IF(B88&gt;$C$28,-1*$H$28,(($C$28-B88)*$G$28)-$H$28)</f>
        <v>-0</v>
      </c>
      <c r="AJ88" s="16" t="n">
        <f aca="false">Hedge_MID!G206</f>
        <v>0</v>
      </c>
      <c r="AK88" s="16" t="n">
        <f aca="false">IF(B88&gt;$C$29,-1*$H$29,(($C$29-B88)*$G$29)-$H$29)</f>
        <v>-0</v>
      </c>
      <c r="AL88" s="16" t="n">
        <f aca="false">Hedge_MID!G236</f>
        <v>0</v>
      </c>
      <c r="AM88" s="16" t="n">
        <f aca="false">IF(B88&gt;$C$30,-1*$H$30,(($C$30-B88)*$G$30)-$H$30)</f>
        <v>-0</v>
      </c>
      <c r="AN88" s="16" t="n">
        <f aca="false">Hedge_MID!G266</f>
        <v>0</v>
      </c>
      <c r="AO88" s="16" t="n">
        <f aca="false">IF(B88&gt;$C$31,-1*$H$31,(($C$31-B88)*$G$31)-$H$31)</f>
        <v>-0</v>
      </c>
      <c r="AP88" s="16" t="n">
        <f aca="false">Hedge_MID!G296</f>
        <v>0</v>
      </c>
      <c r="AQ88" s="16" t="n">
        <f aca="false">IF(B88&gt;$C$32,-1*$H$32,(($C$32-B88)*$G$32)-$H$32)</f>
        <v>-0</v>
      </c>
      <c r="AR88" s="2"/>
    </row>
    <row r="89" customFormat="false" ht="14.25" hidden="false" customHeight="true" outlineLevel="0" collapsed="false">
      <c r="B89" s="67" t="n">
        <f aca="false">B88-1</f>
        <v>70</v>
      </c>
      <c r="C89" s="68" t="n">
        <f aca="false">O89/$H$33</f>
        <v>3.03706668058927</v>
      </c>
      <c r="D89" s="68" t="n">
        <f aca="false">P89/$H$33</f>
        <v>2.31651045421774</v>
      </c>
      <c r="E89" s="16" t="n">
        <f aca="false">($C$2*B89)-$E$2</f>
        <v>-219.8547753315</v>
      </c>
      <c r="F89" s="69" t="n">
        <f aca="false">(E89/$E$2)</f>
        <v>-0.160966486131358</v>
      </c>
      <c r="M89" s="67" t="n">
        <f aca="false">M88-1</f>
        <v>70</v>
      </c>
      <c r="N89" s="68" t="n">
        <f aca="false">Hedge_MID!C327</f>
        <v>-5.88025992181453</v>
      </c>
      <c r="O89" s="16" t="n">
        <f aca="false">Hedge_MID!G327</f>
        <v>42.1241148597731</v>
      </c>
      <c r="P89" s="16" t="n">
        <f aca="false">Y89+AA89+AC89+AE89+AG89+AI89+AK89+AM89+AO89+AQ89</f>
        <v>32.13</v>
      </c>
      <c r="Q89" s="69" t="n">
        <f aca="false">S89/$E$2</f>
        <v>-0.130125351386172</v>
      </c>
      <c r="R89" s="69" t="n">
        <f aca="false">T89/$E$2</f>
        <v>-0.137442534051616</v>
      </c>
      <c r="S89" s="16" t="n">
        <f aca="false">E89+O89</f>
        <v>-177.730660471727</v>
      </c>
      <c r="T89" s="16" t="n">
        <f aca="false">E89+P89</f>
        <v>-187.7247753315</v>
      </c>
      <c r="U89" s="70" t="n">
        <f aca="false">O90-2*O89+O88</f>
        <v>0.320589624057718</v>
      </c>
      <c r="V89" s="71"/>
      <c r="W89" s="67" t="n">
        <f aca="false">W88-1</f>
        <v>70</v>
      </c>
      <c r="X89" s="16" t="n">
        <f aca="false">Hedge_MID!G30</f>
        <v>0</v>
      </c>
      <c r="Y89" s="16" t="n">
        <f aca="false">IF(B89&gt;$C$23,-1*$H$23,(($C$23-B89)*$G$23)-$H$23)</f>
        <v>0</v>
      </c>
      <c r="Z89" s="16" t="n">
        <f aca="false">Hedge_MID!G59</f>
        <v>12.2263089730134</v>
      </c>
      <c r="AA89" s="16" t="n">
        <f aca="false">IF(B89&gt;$C$24,-1*$H$24,(($C$24-B89)*$G$24)-$H$24)</f>
        <v>6.93</v>
      </c>
      <c r="AB89" s="16" t="n">
        <f aca="false">Hedge_MID!G88</f>
        <v>17.7663351416121</v>
      </c>
      <c r="AC89" s="16" t="n">
        <f aca="false">IF(B89&gt;$C$25,-1*$H$25,(($C$25-B89)*$G$25)-$H$25)</f>
        <v>14.4</v>
      </c>
      <c r="AD89" s="16" t="n">
        <f aca="false">Hedge_MID!G117</f>
        <v>12.1314707451476</v>
      </c>
      <c r="AE89" s="16" t="n">
        <f aca="false">IF(B89&gt;$C$26,-1*$H$26,(($C$26-B89)*$G$26)-$H$26)</f>
        <v>10.8</v>
      </c>
      <c r="AF89" s="16" t="n">
        <f aca="false">Hedge_MID!G147</f>
        <v>0</v>
      </c>
      <c r="AG89" s="16" t="n">
        <f aca="false">IF(B89&gt;$C$27,-1*$H$27,(($C$27-B89)*$G$27)-$H$27)</f>
        <v>0</v>
      </c>
      <c r="AH89" s="16" t="n">
        <f aca="false">Hedge_MID!G177</f>
        <v>0</v>
      </c>
      <c r="AI89" s="16" t="n">
        <f aca="false">IF(B89&gt;$C$28,-1*$H$28,(($C$28-B89)*$G$28)-$H$28)</f>
        <v>-0</v>
      </c>
      <c r="AJ89" s="16" t="n">
        <f aca="false">Hedge_MID!G207</f>
        <v>0</v>
      </c>
      <c r="AK89" s="16" t="n">
        <f aca="false">IF(B89&gt;$C$29,-1*$H$29,(($C$29-B89)*$G$29)-$H$29)</f>
        <v>-0</v>
      </c>
      <c r="AL89" s="16" t="n">
        <f aca="false">Hedge_MID!G237</f>
        <v>0</v>
      </c>
      <c r="AM89" s="16" t="n">
        <f aca="false">IF(B89&gt;$C$30,-1*$H$30,(($C$30-B89)*$G$30)-$H$30)</f>
        <v>-0</v>
      </c>
      <c r="AN89" s="16" t="n">
        <f aca="false">Hedge_MID!G267</f>
        <v>0</v>
      </c>
      <c r="AO89" s="16" t="n">
        <f aca="false">IF(B89&gt;$C$31,-1*$H$31,(($C$31-B89)*$G$31)-$H$31)</f>
        <v>-0</v>
      </c>
      <c r="AP89" s="16" t="n">
        <f aca="false">Hedge_MID!G297</f>
        <v>0</v>
      </c>
      <c r="AQ89" s="16" t="n">
        <f aca="false">IF(B89&gt;$C$32,-1*$H$32,(($C$32-B89)*$G$32)-$H$32)</f>
        <v>0</v>
      </c>
      <c r="AR89" s="2"/>
    </row>
    <row r="90" customFormat="false" ht="14.25" hidden="false" customHeight="true" outlineLevel="0" collapsed="false">
      <c r="B90" s="67" t="n">
        <f aca="false">B89-1</f>
        <v>69</v>
      </c>
      <c r="C90" s="68" t="n">
        <f aca="false">O90/$H$33</f>
        <v>3.47233123504698</v>
      </c>
      <c r="D90" s="68" t="n">
        <f aca="false">P90/$H$33</f>
        <v>2.89329488103821</v>
      </c>
      <c r="E90" s="16" t="n">
        <f aca="false">($C$2*B90)-$E$2</f>
        <v>-236.2260203315</v>
      </c>
      <c r="F90" s="69" t="n">
        <f aca="false">(E90/$E$2)</f>
        <v>-0.172952679186624</v>
      </c>
      <c r="M90" s="67" t="n">
        <f aca="false">M89-1</f>
        <v>69</v>
      </c>
      <c r="N90" s="68" t="n">
        <f aca="false">Hedge_MID!C328</f>
        <v>-6.19024417613667</v>
      </c>
      <c r="O90" s="16" t="n">
        <f aca="false">Hedge_MID!G328</f>
        <v>48.1612342301016</v>
      </c>
      <c r="P90" s="16" t="n">
        <f aca="false">Y90+AA90+AC90+AE90+AG90+AI90+AK90+AM90+AO90+AQ90</f>
        <v>40.13</v>
      </c>
      <c r="Q90" s="69" t="n">
        <f aca="false">S90/$E$2</f>
        <v>-0.137691472646627</v>
      </c>
      <c r="R90" s="69" t="n">
        <f aca="false">T90/$E$2</f>
        <v>-0.143571533934211</v>
      </c>
      <c r="S90" s="16" t="n">
        <f aca="false">E90+O90</f>
        <v>-188.064786101398</v>
      </c>
      <c r="T90" s="16" t="n">
        <f aca="false">E90+P90</f>
        <v>-196.0960203315</v>
      </c>
      <c r="U90" s="70" t="n">
        <f aca="false">O91-2*O90+O89</f>
        <v>0.298259587503082</v>
      </c>
      <c r="V90" s="71"/>
      <c r="W90" s="67" t="n">
        <f aca="false">W89-1</f>
        <v>69</v>
      </c>
      <c r="X90" s="16" t="n">
        <f aca="false">Hedge_MID!G31</f>
        <v>0</v>
      </c>
      <c r="Y90" s="16" t="n">
        <f aca="false">IF(B90&gt;$C$23,-1*$H$23,(($C$23-B90)*$G$23)-$H$23)</f>
        <v>0</v>
      </c>
      <c r="Z90" s="16" t="n">
        <f aca="false">Hedge_MID!G60</f>
        <v>14.2693955789752</v>
      </c>
      <c r="AA90" s="16" t="n">
        <f aca="false">IF(B90&gt;$C$24,-1*$H$24,(($C$24-B90)*$G$24)-$H$24)</f>
        <v>9.93</v>
      </c>
      <c r="AB90" s="16" t="n">
        <f aca="false">Hedge_MID!G89</f>
        <v>20.072201607436</v>
      </c>
      <c r="AC90" s="16" t="n">
        <f aca="false">IF(B90&gt;$C$25,-1*$H$25,(($C$25-B90)*$G$25)-$H$25)</f>
        <v>17.4</v>
      </c>
      <c r="AD90" s="16" t="n">
        <f aca="false">Hedge_MID!G118</f>
        <v>13.8196370436905</v>
      </c>
      <c r="AE90" s="16" t="n">
        <f aca="false">IF(B90&gt;$C$26,-1*$H$26,(($C$26-B90)*$G$26)-$H$26)</f>
        <v>12.8</v>
      </c>
      <c r="AF90" s="16" t="n">
        <f aca="false">Hedge_MID!G148</f>
        <v>0</v>
      </c>
      <c r="AG90" s="16" t="n">
        <f aca="false">IF(B90&gt;$C$27,-1*$H$27,(($C$27-B90)*$G$27)-$H$27)</f>
        <v>0</v>
      </c>
      <c r="AH90" s="16" t="n">
        <f aca="false">Hedge_MID!G178</f>
        <v>0</v>
      </c>
      <c r="AI90" s="16" t="n">
        <f aca="false">IF(B90&gt;$C$28,-1*$H$28,(($C$28-B90)*$G$28)-$H$28)</f>
        <v>-0</v>
      </c>
      <c r="AJ90" s="16" t="n">
        <f aca="false">Hedge_MID!G208</f>
        <v>0</v>
      </c>
      <c r="AK90" s="16" t="n">
        <f aca="false">IF(B90&gt;$C$29,-1*$H$29,(($C$29-B90)*$G$29)-$H$29)</f>
        <v>-0</v>
      </c>
      <c r="AL90" s="16" t="n">
        <f aca="false">Hedge_MID!G238</f>
        <v>0</v>
      </c>
      <c r="AM90" s="16" t="n">
        <f aca="false">IF(B90&gt;$C$30,-1*$H$30,(($C$30-B90)*$G$30)-$H$30)</f>
        <v>-0</v>
      </c>
      <c r="AN90" s="16" t="n">
        <f aca="false">Hedge_MID!G268</f>
        <v>0</v>
      </c>
      <c r="AO90" s="16" t="n">
        <f aca="false">IF(B90&gt;$C$31,-1*$H$31,(($C$31-B90)*$G$31)-$H$31)</f>
        <v>-0</v>
      </c>
      <c r="AP90" s="16" t="n">
        <f aca="false">Hedge_MID!G298</f>
        <v>0</v>
      </c>
      <c r="AQ90" s="16" t="n">
        <f aca="false">IF(B90&gt;$C$32,-1*$H$32,(($C$32-B90)*$G$32)-$H$32)</f>
        <v>0</v>
      </c>
      <c r="AR90" s="2"/>
    </row>
    <row r="91" customFormat="false" ht="14.25" hidden="false" customHeight="true" outlineLevel="0" collapsed="false">
      <c r="B91" s="67" t="n">
        <f aca="false">B90-1</f>
        <v>68</v>
      </c>
      <c r="C91" s="68" t="n">
        <f aca="false">O91/$H$33</f>
        <v>3.92909972515741</v>
      </c>
      <c r="D91" s="68" t="n">
        <f aca="false">P91/$H$33</f>
        <v>3.47007930785869</v>
      </c>
      <c r="E91" s="16" t="n">
        <f aca="false">($C$2*B91)-$E$2</f>
        <v>-252.5972653315</v>
      </c>
      <c r="F91" s="69" t="n">
        <f aca="false">(E91/$E$2)</f>
        <v>-0.18493887224189</v>
      </c>
      <c r="M91" s="67" t="n">
        <f aca="false">M90-1</f>
        <v>68</v>
      </c>
      <c r="N91" s="68" t="n">
        <f aca="false">Hedge_MID!C329</f>
        <v>-6.47628641097666</v>
      </c>
      <c r="O91" s="16" t="n">
        <f aca="false">Hedge_MID!G329</f>
        <v>54.4966131879332</v>
      </c>
      <c r="P91" s="16" t="n">
        <f aca="false">Y91+AA91+AC91+AE91+AG91+AI91+AK91+AM91+AO91+AQ91</f>
        <v>48.13</v>
      </c>
      <c r="Q91" s="69" t="n">
        <f aca="false">S91/$E$2</f>
        <v>-0.145039223404631</v>
      </c>
      <c r="R91" s="69" t="n">
        <f aca="false">T91/$E$2</f>
        <v>-0.149700533816806</v>
      </c>
      <c r="S91" s="16" t="n">
        <f aca="false">E91+O91</f>
        <v>-198.100652143567</v>
      </c>
      <c r="T91" s="16" t="n">
        <f aca="false">E91+P91</f>
        <v>-204.4672653315</v>
      </c>
      <c r="U91" s="70" t="n">
        <f aca="false">O92-2*O91+O90</f>
        <v>0.272984652297524</v>
      </c>
      <c r="V91" s="71"/>
      <c r="W91" s="67" t="n">
        <f aca="false">W90-1</f>
        <v>68</v>
      </c>
      <c r="X91" s="16" t="n">
        <f aca="false">Hedge_MID!G32</f>
        <v>0</v>
      </c>
      <c r="Y91" s="16" t="n">
        <f aca="false">IF(B91&gt;$C$23,-1*$H$23,(($C$23-B91)*$G$23)-$H$23)</f>
        <v>0</v>
      </c>
      <c r="Z91" s="16" t="n">
        <f aca="false">Hedge_MID!G61</f>
        <v>16.439547474465</v>
      </c>
      <c r="AA91" s="16" t="n">
        <f aca="false">IF(B91&gt;$C$24,-1*$H$24,(($C$24-B91)*$G$24)-$H$24)</f>
        <v>12.93</v>
      </c>
      <c r="AB91" s="16" t="n">
        <f aca="false">Hedge_MID!G90</f>
        <v>22.4895633588378</v>
      </c>
      <c r="AC91" s="16" t="n">
        <f aca="false">IF(B91&gt;$C$25,-1*$H$25,(($C$25-B91)*$G$25)-$H$25)</f>
        <v>20.4</v>
      </c>
      <c r="AD91" s="16" t="n">
        <f aca="false">Hedge_MID!G119</f>
        <v>15.5675023546305</v>
      </c>
      <c r="AE91" s="16" t="n">
        <f aca="false">IF(B91&gt;$C$26,-1*$H$26,(($C$26-B91)*$G$26)-$H$26)</f>
        <v>14.8</v>
      </c>
      <c r="AF91" s="16" t="n">
        <f aca="false">Hedge_MID!G149</f>
        <v>0</v>
      </c>
      <c r="AG91" s="16" t="n">
        <f aca="false">IF(B91&gt;$C$27,-1*$H$27,(($C$27-B91)*$G$27)-$H$27)</f>
        <v>0</v>
      </c>
      <c r="AH91" s="16" t="n">
        <f aca="false">Hedge_MID!G179</f>
        <v>0</v>
      </c>
      <c r="AI91" s="16" t="n">
        <f aca="false">IF(B91&gt;$C$28,-1*$H$28,(($C$28-B91)*$G$28)-$H$28)</f>
        <v>-0</v>
      </c>
      <c r="AJ91" s="16" t="n">
        <f aca="false">Hedge_MID!G209</f>
        <v>0</v>
      </c>
      <c r="AK91" s="16" t="n">
        <f aca="false">IF(B91&gt;$C$29,-1*$H$29,(($C$29-B91)*$G$29)-$H$29)</f>
        <v>-0</v>
      </c>
      <c r="AL91" s="16" t="n">
        <f aca="false">Hedge_MID!G239</f>
        <v>0</v>
      </c>
      <c r="AM91" s="16" t="n">
        <f aca="false">IF(B91&gt;$C$30,-1*$H$30,(($C$30-B91)*$G$30)-$H$30)</f>
        <v>-0</v>
      </c>
      <c r="AN91" s="16" t="n">
        <f aca="false">Hedge_MID!G269</f>
        <v>0</v>
      </c>
      <c r="AO91" s="16" t="n">
        <f aca="false">IF(B91&gt;$C$31,-1*$H$31,(($C$31-B91)*$G$31)-$H$31)</f>
        <v>-0</v>
      </c>
      <c r="AP91" s="16" t="n">
        <f aca="false">Hedge_MID!G299</f>
        <v>0</v>
      </c>
      <c r="AQ91" s="16" t="n">
        <f aca="false">IF(B91&gt;$C$32,-1*$H$32,(($C$32-B91)*$G$32)-$H$32)</f>
        <v>0</v>
      </c>
      <c r="AR91" s="2"/>
    </row>
    <row r="92" customFormat="false" ht="14.25" hidden="false" customHeight="true" outlineLevel="0" collapsed="false">
      <c r="B92" s="67" t="n">
        <f aca="false">B91-1</f>
        <v>67</v>
      </c>
      <c r="C92" s="68" t="n">
        <f aca="false">O92/$H$33</f>
        <v>4.40554987729361</v>
      </c>
      <c r="D92" s="68" t="n">
        <f aca="false">P92/$H$33</f>
        <v>4.04686373467916</v>
      </c>
      <c r="E92" s="16" t="n">
        <f aca="false">($C$2*B92)-$E$2</f>
        <v>-268.9685103315</v>
      </c>
      <c r="F92" s="69" t="n">
        <f aca="false">(E92/$E$2)</f>
        <v>-0.196925065297157</v>
      </c>
      <c r="M92" s="67" t="n">
        <f aca="false">M91-1</f>
        <v>67</v>
      </c>
      <c r="N92" s="68" t="n">
        <f aca="false">Hedge_MID!C330</f>
        <v>-6.73586879403009</v>
      </c>
      <c r="O92" s="16" t="n">
        <f aca="false">Hedge_MID!G330</f>
        <v>61.1049767980624</v>
      </c>
      <c r="P92" s="16" t="n">
        <f aca="false">Y92+AA92+AC92+AE92+AG92+AI92+AK92+AM92+AO92+AQ92</f>
        <v>56.13</v>
      </c>
      <c r="Q92" s="69" t="n">
        <f aca="false">S92/$E$2</f>
        <v>-0.152187108682425</v>
      </c>
      <c r="R92" s="69" t="n">
        <f aca="false">T92/$E$2</f>
        <v>-0.155829533699401</v>
      </c>
      <c r="S92" s="16" t="n">
        <f aca="false">E92+O92</f>
        <v>-207.863533533438</v>
      </c>
      <c r="T92" s="16" t="n">
        <f aca="false">E92+P92</f>
        <v>-212.8385103315</v>
      </c>
      <c r="U92" s="70" t="n">
        <f aca="false">O93-2*O92+O91</f>
        <v>0.245647331305662</v>
      </c>
      <c r="V92" s="71"/>
      <c r="W92" s="67" t="n">
        <f aca="false">W91-1</f>
        <v>67</v>
      </c>
      <c r="X92" s="16" t="n">
        <f aca="false">Hedge_MID!G33</f>
        <v>0</v>
      </c>
      <c r="Y92" s="16" t="n">
        <f aca="false">IF(B92&gt;$C$23,-1*$H$23,(($C$23-B92)*$G$23)-$H$23)</f>
        <v>0</v>
      </c>
      <c r="Z92" s="16" t="n">
        <f aca="false">Hedge_MID!G62</f>
        <v>18.7295459923352</v>
      </c>
      <c r="AA92" s="16" t="n">
        <f aca="false">IF(B92&gt;$C$24,-1*$H$24,(($C$24-B92)*$G$24)-$H$24)</f>
        <v>15.93</v>
      </c>
      <c r="AB92" s="16" t="n">
        <f aca="false">Hedge_MID!G91</f>
        <v>25.0081436324622</v>
      </c>
      <c r="AC92" s="16" t="n">
        <f aca="false">IF(B92&gt;$C$25,-1*$H$25,(($C$25-B92)*$G$25)-$H$25)</f>
        <v>23.4</v>
      </c>
      <c r="AD92" s="16" t="n">
        <f aca="false">Hedge_MID!G120</f>
        <v>17.367287173265</v>
      </c>
      <c r="AE92" s="16" t="n">
        <f aca="false">IF(B92&gt;$C$26,-1*$H$26,(($C$26-B92)*$G$26)-$H$26)</f>
        <v>16.8</v>
      </c>
      <c r="AF92" s="16" t="n">
        <f aca="false">Hedge_MID!G150</f>
        <v>0</v>
      </c>
      <c r="AG92" s="16" t="n">
        <f aca="false">IF(B92&gt;$C$27,-1*$H$27,(($C$27-B92)*$G$27)-$H$27)</f>
        <v>0</v>
      </c>
      <c r="AH92" s="16" t="n">
        <f aca="false">Hedge_MID!G180</f>
        <v>0</v>
      </c>
      <c r="AI92" s="16" t="n">
        <f aca="false">IF(B92&gt;$C$28,-1*$H$28,(($C$28-B92)*$G$28)-$H$28)</f>
        <v>-0</v>
      </c>
      <c r="AJ92" s="16" t="n">
        <f aca="false">Hedge_MID!G210</f>
        <v>0</v>
      </c>
      <c r="AK92" s="16" t="n">
        <f aca="false">IF(B92&gt;$C$29,-1*$H$29,(($C$29-B92)*$G$29)-$H$29)</f>
        <v>-0</v>
      </c>
      <c r="AL92" s="16" t="n">
        <f aca="false">Hedge_MID!G240</f>
        <v>0</v>
      </c>
      <c r="AM92" s="16" t="n">
        <f aca="false">IF(B92&gt;$C$30,-1*$H$30,(($C$30-B92)*$G$30)-$H$30)</f>
        <v>-0</v>
      </c>
      <c r="AN92" s="16" t="n">
        <f aca="false">Hedge_MID!G270</f>
        <v>0</v>
      </c>
      <c r="AO92" s="16" t="n">
        <f aca="false">IF(B92&gt;$C$31,-1*$H$31,(($C$31-B92)*$G$31)-$H$31)</f>
        <v>-0</v>
      </c>
      <c r="AP92" s="16" t="n">
        <f aca="false">Hedge_MID!G300</f>
        <v>0</v>
      </c>
      <c r="AQ92" s="16" t="n">
        <f aca="false">IF(B92&gt;$C$32,-1*$H$32,(($C$32-B92)*$G$32)-$H$32)</f>
        <v>0</v>
      </c>
      <c r="AR92" s="2"/>
    </row>
    <row r="93" customFormat="false" ht="14.25" hidden="false" customHeight="true" outlineLevel="0" collapsed="false">
      <c r="B93" s="67" t="n">
        <f aca="false">B92-1</f>
        <v>66</v>
      </c>
      <c r="C93" s="68" t="n">
        <f aca="false">O93/$H$33</f>
        <v>4.8997107238282</v>
      </c>
      <c r="D93" s="68" t="n">
        <f aca="false">P93/$H$33</f>
        <v>4.62364816149964</v>
      </c>
      <c r="E93" s="16" t="n">
        <f aca="false">($C$2*B93)-$E$2</f>
        <v>-285.3397553315</v>
      </c>
      <c r="F93" s="69" t="n">
        <f aca="false">(E93/$E$2)</f>
        <v>-0.208911258352423</v>
      </c>
      <c r="M93" s="67" t="n">
        <f aca="false">M92-1</f>
        <v>66</v>
      </c>
      <c r="N93" s="68" t="n">
        <f aca="false">Hedge_MID!C331</f>
        <v>-6.96739391323553</v>
      </c>
      <c r="O93" s="16" t="n">
        <f aca="false">Hedge_MID!G331</f>
        <v>67.9589877394971</v>
      </c>
      <c r="P93" s="16" t="n">
        <f aca="false">Y93+AA93+AC93+AE93+AG93+AI93+AK93+AM93+AO93+AQ93</f>
        <v>64.13</v>
      </c>
      <c r="Q93" s="69" t="n">
        <f aca="false">S93/$E$2</f>
        <v>-0.159155143476243</v>
      </c>
      <c r="R93" s="69" t="n">
        <f aca="false">T93/$E$2</f>
        <v>-0.161958533581996</v>
      </c>
      <c r="S93" s="16" t="n">
        <f aca="false">E93+O93</f>
        <v>-217.380767592003</v>
      </c>
      <c r="T93" s="16" t="n">
        <f aca="false">E93+P93</f>
        <v>-221.2097553315</v>
      </c>
      <c r="U93" s="70" t="n">
        <f aca="false">O94-2*O93+O92</f>
        <v>0.217186883310092</v>
      </c>
      <c r="V93" s="71"/>
      <c r="W93" s="67" t="n">
        <f aca="false">W92-1</f>
        <v>66</v>
      </c>
      <c r="X93" s="16" t="n">
        <f aca="false">Hedge_MID!G34</f>
        <v>0</v>
      </c>
      <c r="Y93" s="16" t="n">
        <f aca="false">IF(B93&gt;$C$23,-1*$H$23,(($C$23-B93)*$G$23)-$H$23)</f>
        <v>0</v>
      </c>
      <c r="Z93" s="16" t="n">
        <f aca="false">Hedge_MID!G63</f>
        <v>21.1307475471761</v>
      </c>
      <c r="AA93" s="16" t="n">
        <f aca="false">IF(B93&gt;$C$24,-1*$H$24,(($C$24-B93)*$G$24)-$H$24)</f>
        <v>18.93</v>
      </c>
      <c r="AB93" s="16" t="n">
        <f aca="false">Hedge_MID!G92</f>
        <v>27.6169345918365</v>
      </c>
      <c r="AC93" s="16" t="n">
        <f aca="false">IF(B93&gt;$C$25,-1*$H$25,(($C$25-B93)*$G$25)-$H$25)</f>
        <v>26.4</v>
      </c>
      <c r="AD93" s="16" t="n">
        <f aca="false">Hedge_MID!G121</f>
        <v>19.2113056004845</v>
      </c>
      <c r="AE93" s="16" t="n">
        <f aca="false">IF(B93&gt;$C$26,-1*$H$26,(($C$26-B93)*$G$26)-$H$26)</f>
        <v>18.8</v>
      </c>
      <c r="AF93" s="16" t="n">
        <f aca="false">Hedge_MID!G151</f>
        <v>0</v>
      </c>
      <c r="AG93" s="16" t="n">
        <f aca="false">IF(B93&gt;$C$27,-1*$H$27,(($C$27-B93)*$G$27)-$H$27)</f>
        <v>0</v>
      </c>
      <c r="AH93" s="16" t="n">
        <f aca="false">Hedge_MID!G181</f>
        <v>0</v>
      </c>
      <c r="AI93" s="16" t="n">
        <f aca="false">IF(B93&gt;$C$28,-1*$H$28,(($C$28-B93)*$G$28)-$H$28)</f>
        <v>-0</v>
      </c>
      <c r="AJ93" s="16" t="n">
        <f aca="false">Hedge_MID!G211</f>
        <v>0</v>
      </c>
      <c r="AK93" s="16" t="n">
        <f aca="false">IF(B93&gt;$C$29,-1*$H$29,(($C$29-B93)*$G$29)-$H$29)</f>
        <v>-0</v>
      </c>
      <c r="AL93" s="16" t="n">
        <f aca="false">Hedge_MID!G241</f>
        <v>0</v>
      </c>
      <c r="AM93" s="16" t="n">
        <f aca="false">IF(B93&gt;$C$30,-1*$H$30,(($C$30-B93)*$G$30)-$H$30)</f>
        <v>-0</v>
      </c>
      <c r="AN93" s="16" t="n">
        <f aca="false">Hedge_MID!G271</f>
        <v>0</v>
      </c>
      <c r="AO93" s="16" t="n">
        <f aca="false">IF(B93&gt;$C$31,-1*$H$31,(($C$31-B93)*$G$31)-$H$31)</f>
        <v>-0</v>
      </c>
      <c r="AP93" s="16" t="n">
        <f aca="false">Hedge_MID!G301</f>
        <v>0</v>
      </c>
      <c r="AQ93" s="16" t="n">
        <f aca="false">IF(B93&gt;$C$32,-1*$H$32,(($C$32-B93)*$G$32)-$H$32)</f>
        <v>0</v>
      </c>
      <c r="AR93" s="2"/>
    </row>
    <row r="94" customFormat="false" ht="14.25" hidden="false" customHeight="true" outlineLevel="0" collapsed="false">
      <c r="B94" s="67" t="n">
        <f aca="false">B93-1</f>
        <v>65</v>
      </c>
      <c r="C94" s="68" t="n">
        <f aca="false">O94/$H$33</f>
        <v>5.40953032186316</v>
      </c>
      <c r="D94" s="68" t="n">
        <f aca="false">P94/$H$33</f>
        <v>5.20043258832012</v>
      </c>
      <c r="E94" s="16" t="n">
        <f aca="false">($C$2*B94)-$E$2</f>
        <v>-301.7110003315</v>
      </c>
      <c r="F94" s="69" t="n">
        <f aca="false">(E94/$E$2)</f>
        <v>-0.220897451407689</v>
      </c>
      <c r="M94" s="67" t="n">
        <f aca="false">M93-1</f>
        <v>65</v>
      </c>
      <c r="N94" s="68" t="n">
        <f aca="false">Hedge_MID!C332</f>
        <v>-7.1702126608975</v>
      </c>
      <c r="O94" s="16" t="n">
        <f aca="false">Hedge_MID!G332</f>
        <v>75.030185564242</v>
      </c>
      <c r="P94" s="16" t="n">
        <f aca="false">Y94+AA94+AC94+AE94+AG94+AI94+AK94+AM94+AO94+AQ94</f>
        <v>72.13</v>
      </c>
      <c r="Q94" s="69" t="n">
        <f aca="false">S94/$E$2</f>
        <v>-0.165964165078796</v>
      </c>
      <c r="R94" s="69" t="n">
        <f aca="false">T94/$E$2</f>
        <v>-0.168087533464591</v>
      </c>
      <c r="S94" s="16" t="n">
        <f aca="false">E94+O94</f>
        <v>-226.680814767258</v>
      </c>
      <c r="T94" s="16" t="n">
        <f aca="false">E94+P94</f>
        <v>-229.5810003315</v>
      </c>
      <c r="U94" s="70" t="n">
        <f aca="false">O95-2*O94+O93</f>
        <v>0.188541099161398</v>
      </c>
      <c r="V94" s="71"/>
      <c r="W94" s="67" t="n">
        <f aca="false">W93-1</f>
        <v>65</v>
      </c>
      <c r="X94" s="16" t="n">
        <f aca="false">Hedge_MID!G35</f>
        <v>0</v>
      </c>
      <c r="Y94" s="16" t="n">
        <f aca="false">IF(B94&gt;$C$23,-1*$H$23,(($C$23-B94)*$G$23)-$H$23)</f>
        <v>0</v>
      </c>
      <c r="Z94" s="16" t="n">
        <f aca="false">Hedge_MID!G64</f>
        <v>23.6333835557585</v>
      </c>
      <c r="AA94" s="16" t="n">
        <f aca="false">IF(B94&gt;$C$24,-1*$H$24,(($C$24-B94)*$G$24)-$H$24)</f>
        <v>21.93</v>
      </c>
      <c r="AB94" s="16" t="n">
        <f aca="false">Hedge_MID!G93</f>
        <v>30.3045934213779</v>
      </c>
      <c r="AC94" s="16" t="n">
        <f aca="false">IF(B94&gt;$C$25,-1*$H$25,(($C$25-B94)*$G$25)-$H$25)</f>
        <v>29.4</v>
      </c>
      <c r="AD94" s="16" t="n">
        <f aca="false">Hedge_MID!G122</f>
        <v>21.0922085871056</v>
      </c>
      <c r="AE94" s="16" t="n">
        <f aca="false">IF(B94&gt;$C$26,-1*$H$26,(($C$26-B94)*$G$26)-$H$26)</f>
        <v>20.8</v>
      </c>
      <c r="AF94" s="16" t="n">
        <f aca="false">Hedge_MID!G152</f>
        <v>0</v>
      </c>
      <c r="AG94" s="16" t="n">
        <f aca="false">IF(B94&gt;$C$27,-1*$H$27,(($C$27-B94)*$G$27)-$H$27)</f>
        <v>0</v>
      </c>
      <c r="AH94" s="16" t="n">
        <f aca="false">Hedge_MID!G182</f>
        <v>0</v>
      </c>
      <c r="AI94" s="16" t="n">
        <f aca="false">IF(B94&gt;$C$28,-1*$H$28,(($C$28-B94)*$G$28)-$H$28)</f>
        <v>-0</v>
      </c>
      <c r="AJ94" s="16" t="n">
        <f aca="false">Hedge_MID!G212</f>
        <v>0</v>
      </c>
      <c r="AK94" s="16" t="n">
        <f aca="false">IF(B94&gt;$C$29,-1*$H$29,(($C$29-B94)*$G$29)-$H$29)</f>
        <v>-0</v>
      </c>
      <c r="AL94" s="16" t="n">
        <f aca="false">Hedge_MID!G242</f>
        <v>0</v>
      </c>
      <c r="AM94" s="16" t="n">
        <f aca="false">IF(B94&gt;$C$30,-1*$H$30,(($C$30-B94)*$G$30)-$H$30)</f>
        <v>-0</v>
      </c>
      <c r="AN94" s="16" t="n">
        <f aca="false">Hedge_MID!G272</f>
        <v>0</v>
      </c>
      <c r="AO94" s="16" t="n">
        <f aca="false">IF(B94&gt;$C$31,-1*$H$31,(($C$31-B94)*$G$31)-$H$31)</f>
        <v>-0</v>
      </c>
      <c r="AP94" s="16" t="n">
        <f aca="false">Hedge_MID!G302</f>
        <v>0</v>
      </c>
      <c r="AQ94" s="16" t="n">
        <f aca="false">IF(B94&gt;$C$32,-1*$H$32,(($C$32-B94)*$G$32)-$H$32)</f>
        <v>0</v>
      </c>
      <c r="AR94" s="2"/>
    </row>
    <row r="95" customFormat="false" ht="14.25" hidden="false" customHeight="true" outlineLevel="0" collapsed="false">
      <c r="B95" s="67" t="n">
        <f aca="false">B94-1</f>
        <v>64</v>
      </c>
      <c r="C95" s="68" t="n">
        <f aca="false">O95/$H$33</f>
        <v>5.9329433661246</v>
      </c>
      <c r="D95" s="68" t="n">
        <f aca="false">P95/$H$33</f>
        <v>5.77721701514059</v>
      </c>
      <c r="E95" s="16" t="n">
        <f aca="false">($C$2*B95)-$E$2</f>
        <v>-318.0822453315</v>
      </c>
      <c r="F95" s="69" t="n">
        <f aca="false">(E95/$E$2)</f>
        <v>-0.232883644462956</v>
      </c>
      <c r="M95" s="67" t="n">
        <f aca="false">M94-1</f>
        <v>64</v>
      </c>
      <c r="N95" s="68" t="n">
        <f aca="false">Hedge_MID!C333</f>
        <v>-7.34459362431439</v>
      </c>
      <c r="O95" s="16" t="n">
        <f aca="false">Hedge_MID!G333</f>
        <v>82.2899244881483</v>
      </c>
      <c r="P95" s="16" t="n">
        <f aca="false">Y95+AA95+AC95+AE95+AG95+AI95+AK95+AM95+AO95+AQ95</f>
        <v>80.13</v>
      </c>
      <c r="Q95" s="69" t="n">
        <f aca="false">S95/$E$2</f>
        <v>-0.172635146476503</v>
      </c>
      <c r="R95" s="69" t="n">
        <f aca="false">T95/$E$2</f>
        <v>-0.174216533347186</v>
      </c>
      <c r="S95" s="16" t="n">
        <f aca="false">E95+O95</f>
        <v>-235.792320843352</v>
      </c>
      <c r="T95" s="16" t="n">
        <f aca="false">E95+P95</f>
        <v>-237.9522453315</v>
      </c>
      <c r="U95" s="70" t="n">
        <f aca="false">O96-2*O95+O94</f>
        <v>0.160589346812628</v>
      </c>
      <c r="V95" s="71"/>
      <c r="W95" s="67" t="n">
        <f aca="false">W94-1</f>
        <v>64</v>
      </c>
      <c r="X95" s="16" t="n">
        <f aca="false">Hedge_MID!G36</f>
        <v>0</v>
      </c>
      <c r="Y95" s="16" t="n">
        <f aca="false">IF(B95&gt;$C$23,-1*$H$23,(($C$23-B95)*$G$23)-$H$23)</f>
        <v>0</v>
      </c>
      <c r="Z95" s="16" t="n">
        <f aca="false">Hedge_MID!G65</f>
        <v>26.2269064093528</v>
      </c>
      <c r="AA95" s="16" t="n">
        <f aca="false">IF(B95&gt;$C$24,-1*$H$24,(($C$24-B95)*$G$24)-$H$24)</f>
        <v>24.93</v>
      </c>
      <c r="AB95" s="16" t="n">
        <f aca="false">Hedge_MID!G94</f>
        <v>33.0598320290753</v>
      </c>
      <c r="AC95" s="16" t="n">
        <f aca="false">IF(B95&gt;$C$25,-1*$H$25,(($C$25-B95)*$G$25)-$H$25)</f>
        <v>32.4</v>
      </c>
      <c r="AD95" s="16" t="n">
        <f aca="false">Hedge_MID!G123</f>
        <v>23.0031860497201</v>
      </c>
      <c r="AE95" s="16" t="n">
        <f aca="false">IF(B95&gt;$C$26,-1*$H$26,(($C$26-B95)*$G$26)-$H$26)</f>
        <v>22.8</v>
      </c>
      <c r="AF95" s="16" t="n">
        <f aca="false">Hedge_MID!G153</f>
        <v>0</v>
      </c>
      <c r="AG95" s="16" t="n">
        <f aca="false">IF(B95&gt;$C$27,-1*$H$27,(($C$27-B95)*$G$27)-$H$27)</f>
        <v>0</v>
      </c>
      <c r="AH95" s="16" t="n">
        <f aca="false">Hedge_MID!G183</f>
        <v>0</v>
      </c>
      <c r="AI95" s="16" t="n">
        <f aca="false">IF(B95&gt;$C$28,-1*$H$28,(($C$28-B95)*$G$28)-$H$28)</f>
        <v>-0</v>
      </c>
      <c r="AJ95" s="16" t="n">
        <f aca="false">Hedge_MID!G213</f>
        <v>0</v>
      </c>
      <c r="AK95" s="16" t="n">
        <f aca="false">IF(B95&gt;$C$29,-1*$H$29,(($C$29-B95)*$G$29)-$H$29)</f>
        <v>-0</v>
      </c>
      <c r="AL95" s="16" t="n">
        <f aca="false">Hedge_MID!G243</f>
        <v>0</v>
      </c>
      <c r="AM95" s="16" t="n">
        <f aca="false">IF(B95&gt;$C$30,-1*$H$30,(($C$30-B95)*$G$30)-$H$30)</f>
        <v>-0</v>
      </c>
      <c r="AN95" s="16" t="n">
        <f aca="false">Hedge_MID!G273</f>
        <v>0</v>
      </c>
      <c r="AO95" s="16" t="n">
        <f aca="false">IF(B95&gt;$C$31,-1*$H$31,(($C$31-B95)*$G$31)-$H$31)</f>
        <v>-0</v>
      </c>
      <c r="AP95" s="16" t="n">
        <f aca="false">Hedge_MID!G303</f>
        <v>0</v>
      </c>
      <c r="AQ95" s="16" t="n">
        <f aca="false">IF(B95&gt;$C$32,-1*$H$32,(($C$32-B95)*$G$32)-$H$32)</f>
        <v>0</v>
      </c>
      <c r="AR95" s="2"/>
    </row>
    <row r="96" customFormat="false" ht="14.25" hidden="false" customHeight="true" outlineLevel="0" collapsed="false">
      <c r="B96" s="67" t="n">
        <f aca="false">B95-1</f>
        <v>63</v>
      </c>
      <c r="C96" s="68" t="n">
        <f aca="false">O96/$H$33</f>
        <v>6.4679345896804</v>
      </c>
      <c r="D96" s="68" t="n">
        <f aca="false">P96/$H$33</f>
        <v>6.35400144196107</v>
      </c>
      <c r="E96" s="16" t="n">
        <f aca="false">($C$2*B96)-$E$2</f>
        <v>-334.4534903315</v>
      </c>
      <c r="F96" s="69" t="n">
        <f aca="false">(E96/$E$2)</f>
        <v>-0.244869837518222</v>
      </c>
      <c r="M96" s="67" t="n">
        <f aca="false">M95-1</f>
        <v>63</v>
      </c>
      <c r="N96" s="68" t="n">
        <f aca="false">Hedge_MID!C334</f>
        <v>-7.4916379534618</v>
      </c>
      <c r="O96" s="16" t="n">
        <f aca="false">Hedge_MID!G334</f>
        <v>89.7102527588672</v>
      </c>
      <c r="P96" s="16" t="n">
        <f aca="false">Y96+AA96+AC96+AE96+AG96+AI96+AK96+AM96+AO96+AQ96</f>
        <v>88.13</v>
      </c>
      <c r="Q96" s="69" t="n">
        <f aca="false">S96/$E$2</f>
        <v>-0.179188552520989</v>
      </c>
      <c r="R96" s="69" t="n">
        <f aca="false">T96/$E$2</f>
        <v>-0.180345533229781</v>
      </c>
      <c r="S96" s="16" t="n">
        <f aca="false">E96+O96</f>
        <v>-244.743237572633</v>
      </c>
      <c r="T96" s="16" t="n">
        <f aca="false">E96+P96</f>
        <v>-246.3234903315</v>
      </c>
      <c r="U96" s="70" t="n">
        <f aca="false">O97-2*O96+O95</f>
        <v>0.134102167378003</v>
      </c>
      <c r="V96" s="71"/>
      <c r="W96" s="67" t="n">
        <f aca="false">W95-1</f>
        <v>63</v>
      </c>
      <c r="X96" s="16" t="n">
        <f aca="false">Hedge_MID!G37</f>
        <v>0</v>
      </c>
      <c r="Y96" s="16" t="n">
        <f aca="false">IF(B96&gt;$C$23,-1*$H$23,(($C$23-B96)*$G$23)-$H$23)</f>
        <v>0</v>
      </c>
      <c r="Z96" s="16" t="n">
        <f aca="false">Hedge_MID!G66</f>
        <v>28.900359924472</v>
      </c>
      <c r="AA96" s="16" t="n">
        <f aca="false">IF(B96&gt;$C$24,-1*$H$24,(($C$24-B96)*$G$24)-$H$24)</f>
        <v>27.93</v>
      </c>
      <c r="AB96" s="16" t="n">
        <f aca="false">Hedge_MID!G95</f>
        <v>35.8717751641608</v>
      </c>
      <c r="AC96" s="16" t="n">
        <f aca="false">IF(B96&gt;$C$25,-1*$H$25,(($C$25-B96)*$G$25)-$H$25)</f>
        <v>35.4</v>
      </c>
      <c r="AD96" s="16" t="n">
        <f aca="false">Hedge_MID!G124</f>
        <v>24.9381176702345</v>
      </c>
      <c r="AE96" s="16" t="n">
        <f aca="false">IF(B96&gt;$C$26,-1*$H$26,(($C$26-B96)*$G$26)-$H$26)</f>
        <v>24.8</v>
      </c>
      <c r="AF96" s="16" t="n">
        <f aca="false">Hedge_MID!G154</f>
        <v>0</v>
      </c>
      <c r="AG96" s="16" t="n">
        <f aca="false">IF(B96&gt;$C$27,-1*$H$27,(($C$27-B96)*$G$27)-$H$27)</f>
        <v>0</v>
      </c>
      <c r="AH96" s="16" t="n">
        <f aca="false">Hedge_MID!G184</f>
        <v>0</v>
      </c>
      <c r="AI96" s="16" t="n">
        <f aca="false">IF(B96&gt;$C$28,-1*$H$28,(($C$28-B96)*$G$28)-$H$28)</f>
        <v>-0</v>
      </c>
      <c r="AJ96" s="16" t="n">
        <f aca="false">Hedge_MID!G214</f>
        <v>0</v>
      </c>
      <c r="AK96" s="16" t="n">
        <f aca="false">IF(B96&gt;$C$29,-1*$H$29,(($C$29-B96)*$G$29)-$H$29)</f>
        <v>-0</v>
      </c>
      <c r="AL96" s="16" t="n">
        <f aca="false">Hedge_MID!G244</f>
        <v>0</v>
      </c>
      <c r="AM96" s="16" t="n">
        <f aca="false">IF(B96&gt;$C$30,-1*$H$30,(($C$30-B96)*$G$30)-$H$30)</f>
        <v>-0</v>
      </c>
      <c r="AN96" s="16" t="n">
        <f aca="false">Hedge_MID!G274</f>
        <v>0</v>
      </c>
      <c r="AO96" s="16" t="n">
        <f aca="false">IF(B96&gt;$C$31,-1*$H$31,(($C$31-B96)*$G$31)-$H$31)</f>
        <v>-0</v>
      </c>
      <c r="AP96" s="16" t="n">
        <f aca="false">Hedge_MID!G304</f>
        <v>0</v>
      </c>
      <c r="AQ96" s="16" t="n">
        <f aca="false">IF(B96&gt;$C$32,-1*$H$32,(($C$32-B96)*$G$32)-$H$32)</f>
        <v>0</v>
      </c>
      <c r="AR96" s="2"/>
    </row>
    <row r="97" customFormat="false" ht="14.25" hidden="false" customHeight="true" outlineLevel="0" collapsed="false">
      <c r="B97" s="67" t="n">
        <f aca="false">B96-1</f>
        <v>62</v>
      </c>
      <c r="C97" s="68" t="n">
        <f aca="false">O97/$H$33</f>
        <v>7.01259431845451</v>
      </c>
      <c r="D97" s="68" t="n">
        <f aca="false">P97/$H$33</f>
        <v>6.93078586878154</v>
      </c>
      <c r="E97" s="16" t="n">
        <f aca="false">($C$2*B97)-$E$2</f>
        <v>-350.8247353315</v>
      </c>
      <c r="F97" s="69" t="n">
        <f aca="false">(E97/$E$2)</f>
        <v>-0.256856030573488</v>
      </c>
      <c r="M97" s="67" t="n">
        <f aca="false">M96-1</f>
        <v>62</v>
      </c>
      <c r="N97" s="68" t="n">
        <f aca="false">Hedge_MID!C335</f>
        <v>-7.6131487151353</v>
      </c>
      <c r="O97" s="16" t="n">
        <f aca="false">Hedge_MID!G335</f>
        <v>97.2646831969641</v>
      </c>
      <c r="P97" s="16" t="n">
        <f aca="false">Y97+AA97+AC97+AE97+AG97+AI97+AK97+AM97+AO97+AQ97</f>
        <v>96.13</v>
      </c>
      <c r="Q97" s="69" t="n">
        <f aca="false">S97/$E$2</f>
        <v>-0.185643775778075</v>
      </c>
      <c r="R97" s="69" t="n">
        <f aca="false">T97/$E$2</f>
        <v>-0.186474533112376</v>
      </c>
      <c r="S97" s="16" t="n">
        <f aca="false">E97+O97</f>
        <v>-253.560052134536</v>
      </c>
      <c r="T97" s="16" t="n">
        <f aca="false">E97+P97</f>
        <v>-254.6947353315</v>
      </c>
      <c r="U97" s="70" t="n">
        <f aca="false">O98-2*O97+O96</f>
        <v>0.109701990035347</v>
      </c>
      <c r="V97" s="71"/>
      <c r="W97" s="67" t="n">
        <f aca="false">W96-1</f>
        <v>62</v>
      </c>
      <c r="X97" s="16" t="n">
        <f aca="false">Hedge_MID!G38</f>
        <v>0</v>
      </c>
      <c r="Y97" s="16" t="n">
        <f aca="false">IF(B97&gt;$C$23,-1*$H$23,(($C$23-B97)*$G$23)-$H$23)</f>
        <v>0</v>
      </c>
      <c r="Z97" s="16" t="n">
        <f aca="false">Hedge_MID!G67</f>
        <v>31.6427505318411</v>
      </c>
      <c r="AA97" s="16" t="n">
        <f aca="false">IF(B97&gt;$C$24,-1*$H$24,(($C$24-B97)*$G$24)-$H$24)</f>
        <v>30.93</v>
      </c>
      <c r="AB97" s="16" t="n">
        <f aca="false">Hedge_MID!G96</f>
        <v>38.7302652049421</v>
      </c>
      <c r="AC97" s="16" t="n">
        <f aca="false">IF(B97&gt;$C$25,-1*$H$25,(($C$25-B97)*$G$25)-$H$25)</f>
        <v>38.4</v>
      </c>
      <c r="AD97" s="16" t="n">
        <f aca="false">Hedge_MID!G125</f>
        <v>26.8916674601809</v>
      </c>
      <c r="AE97" s="16" t="n">
        <f aca="false">IF(B97&gt;$C$26,-1*$H$26,(($C$26-B97)*$G$26)-$H$26)</f>
        <v>26.8</v>
      </c>
      <c r="AF97" s="16" t="n">
        <f aca="false">Hedge_MID!G155</f>
        <v>0</v>
      </c>
      <c r="AG97" s="16" t="n">
        <f aca="false">IF(B97&gt;$C$27,-1*$H$27,(($C$27-B97)*$G$27)-$H$27)</f>
        <v>0</v>
      </c>
      <c r="AH97" s="16" t="n">
        <f aca="false">Hedge_MID!G185</f>
        <v>0</v>
      </c>
      <c r="AI97" s="16" t="n">
        <f aca="false">IF(B97&gt;$C$28,-1*$H$28,(($C$28-B97)*$G$28)-$H$28)</f>
        <v>-0</v>
      </c>
      <c r="AJ97" s="16" t="n">
        <f aca="false">Hedge_MID!G215</f>
        <v>0</v>
      </c>
      <c r="AK97" s="16" t="n">
        <f aca="false">IF(B97&gt;$C$29,-1*$H$29,(($C$29-B97)*$G$29)-$H$29)</f>
        <v>-0</v>
      </c>
      <c r="AL97" s="16" t="n">
        <f aca="false">Hedge_MID!G245</f>
        <v>0</v>
      </c>
      <c r="AM97" s="16" t="n">
        <f aca="false">IF(B97&gt;$C$30,-1*$H$30,(($C$30-B97)*$G$30)-$H$30)</f>
        <v>-0</v>
      </c>
      <c r="AN97" s="16" t="n">
        <f aca="false">Hedge_MID!G275</f>
        <v>0</v>
      </c>
      <c r="AO97" s="16" t="n">
        <f aca="false">IF(B97&gt;$C$31,-1*$H$31,(($C$31-B97)*$G$31)-$H$31)</f>
        <v>-0</v>
      </c>
      <c r="AP97" s="16" t="n">
        <f aca="false">Hedge_MID!G305</f>
        <v>0</v>
      </c>
      <c r="AQ97" s="16" t="n">
        <f aca="false">IF(B97&gt;$C$32,-1*$H$32,(($C$32-B97)*$G$32)-$H$32)</f>
        <v>0</v>
      </c>
      <c r="AR97" s="2"/>
    </row>
    <row r="98" customFormat="false" ht="14.25" hidden="false" customHeight="true" outlineLevel="0" collapsed="false">
      <c r="B98" s="67" t="n">
        <f aca="false">B97-1</f>
        <v>61</v>
      </c>
      <c r="C98" s="68" t="n">
        <f aca="false">O98/$H$33</f>
        <v>7.56516334715907</v>
      </c>
      <c r="D98" s="68" t="n">
        <f aca="false">P98/$H$33</f>
        <v>7.50757029560202</v>
      </c>
      <c r="E98" s="16" t="n">
        <f aca="false">($C$2*B98)-$E$2</f>
        <v>-367.1959803315</v>
      </c>
      <c r="F98" s="69" t="n">
        <f aca="false">(E98/$E$2)</f>
        <v>-0.268842223628755</v>
      </c>
      <c r="M98" s="67" t="n">
        <f aca="false">M97-1</f>
        <v>61</v>
      </c>
      <c r="N98" s="68" t="n">
        <f aca="false">Hedge_MID!C336</f>
        <v>-7.71146773953779</v>
      </c>
      <c r="O98" s="16" t="n">
        <f aca="false">Hedge_MID!G336</f>
        <v>104.928815625096</v>
      </c>
      <c r="P98" s="16" t="n">
        <f aca="false">Y98+AA98+AC98+AE98+AG98+AI98+AK98+AM98+AO98+AQ98</f>
        <v>104.13</v>
      </c>
      <c r="Q98" s="69" t="n">
        <f aca="false">S98/$E$2</f>
        <v>-0.192018680816779</v>
      </c>
      <c r="R98" s="69" t="n">
        <f aca="false">T98/$E$2</f>
        <v>-0.192603532994971</v>
      </c>
      <c r="S98" s="16" t="n">
        <f aca="false">E98+O98</f>
        <v>-262.267164706404</v>
      </c>
      <c r="T98" s="16" t="n">
        <f aca="false">E98+P98</f>
        <v>-263.0659803315</v>
      </c>
      <c r="U98" s="70" t="n">
        <f aca="false">O99-2*O98+O97</f>
        <v>0.087838218297378</v>
      </c>
      <c r="V98" s="71"/>
      <c r="W98" s="67" t="n">
        <f aca="false">W97-1</f>
        <v>61</v>
      </c>
      <c r="X98" s="16" t="n">
        <f aca="false">Hedge_MID!G39</f>
        <v>0</v>
      </c>
      <c r="Y98" s="16" t="n">
        <f aca="false">IF(B98&gt;$C$23,-1*$H$23,(($C$23-B98)*$G$23)-$H$23)</f>
        <v>0</v>
      </c>
      <c r="Z98" s="16" t="n">
        <f aca="false">Hedge_MID!G68</f>
        <v>34.443395544184</v>
      </c>
      <c r="AA98" s="16" t="n">
        <f aca="false">IF(B98&gt;$C$24,-1*$H$24,(($C$24-B98)*$G$24)-$H$24)</f>
        <v>33.93</v>
      </c>
      <c r="AB98" s="16" t="n">
        <f aca="false">Hedge_MID!G97</f>
        <v>41.6260974714647</v>
      </c>
      <c r="AC98" s="16" t="n">
        <f aca="false">IF(B98&gt;$C$25,-1*$H$25,(($C$25-B98)*$G$25)-$H$25)</f>
        <v>41.4</v>
      </c>
      <c r="AD98" s="16" t="n">
        <f aca="false">Hedge_MID!G126</f>
        <v>28.8593226094476</v>
      </c>
      <c r="AE98" s="16" t="n">
        <f aca="false">IF(B98&gt;$C$26,-1*$H$26,(($C$26-B98)*$G$26)-$H$26)</f>
        <v>28.8</v>
      </c>
      <c r="AF98" s="16" t="n">
        <f aca="false">Hedge_MID!G156</f>
        <v>0</v>
      </c>
      <c r="AG98" s="16" t="n">
        <f aca="false">IF(B98&gt;$C$27,-1*$H$27,(($C$27-B98)*$G$27)-$H$27)</f>
        <v>0</v>
      </c>
      <c r="AH98" s="16" t="n">
        <f aca="false">Hedge_MID!G186</f>
        <v>0</v>
      </c>
      <c r="AI98" s="16" t="n">
        <f aca="false">IF(B98&gt;$C$28,-1*$H$28,(($C$28-B98)*$G$28)-$H$28)</f>
        <v>-0</v>
      </c>
      <c r="AJ98" s="16" t="n">
        <f aca="false">Hedge_MID!G216</f>
        <v>0</v>
      </c>
      <c r="AK98" s="16" t="n">
        <f aca="false">IF(B98&gt;$C$29,-1*$H$29,(($C$29-B98)*$G$29)-$H$29)</f>
        <v>-0</v>
      </c>
      <c r="AL98" s="16" t="n">
        <f aca="false">Hedge_MID!G246</f>
        <v>0</v>
      </c>
      <c r="AM98" s="16" t="n">
        <f aca="false">IF(B98&gt;$C$30,-1*$H$30,(($C$30-B98)*$G$30)-$H$30)</f>
        <v>-0</v>
      </c>
      <c r="AN98" s="16" t="n">
        <f aca="false">Hedge_MID!G276</f>
        <v>0</v>
      </c>
      <c r="AO98" s="16" t="n">
        <f aca="false">IF(B98&gt;$C$31,-1*$H$31,(($C$31-B98)*$G$31)-$H$31)</f>
        <v>-0</v>
      </c>
      <c r="AP98" s="16" t="n">
        <f aca="false">Hedge_MID!G306</f>
        <v>0</v>
      </c>
      <c r="AQ98" s="16" t="n">
        <f aca="false">IF(B98&gt;$C$32,-1*$H$32,(($C$32-B98)*$G$32)-$H$32)</f>
        <v>0</v>
      </c>
      <c r="AR98" s="2"/>
    </row>
    <row r="99" customFormat="false" ht="14.25" hidden="false" customHeight="true" outlineLevel="0" collapsed="false">
      <c r="B99" s="67" t="n">
        <f aca="false">B98-1</f>
        <v>60</v>
      </c>
      <c r="C99" s="68" t="n">
        <f aca="false">O99/$H$33</f>
        <v>8.12406534041283</v>
      </c>
      <c r="D99" s="68" t="n">
        <f aca="false">P99/$H$33</f>
        <v>8.0843547224225</v>
      </c>
      <c r="E99" s="16" t="n">
        <f aca="false">($C$2*B99)-$E$2</f>
        <v>-383.5672253315</v>
      </c>
      <c r="F99" s="69" t="n">
        <f aca="false">(E99/$E$2)</f>
        <v>-0.280828416684021</v>
      </c>
      <c r="M99" s="67" t="n">
        <f aca="false">M98-1</f>
        <v>60</v>
      </c>
      <c r="N99" s="68" t="n">
        <f aca="false">Hedge_MID!C337</f>
        <v>-7.78929540420669</v>
      </c>
      <c r="O99" s="16" t="n">
        <f aca="false">Hedge_MID!G337</f>
        <v>112.680786271526</v>
      </c>
      <c r="P99" s="16" t="n">
        <f aca="false">Y99+AA99+AC99+AE99+AG99+AI99+AK99+AM99+AO99+AQ99</f>
        <v>112.13</v>
      </c>
      <c r="Q99" s="69" t="n">
        <f aca="false">S99/$E$2</f>
        <v>-0.198329275178918</v>
      </c>
      <c r="R99" s="69" t="n">
        <f aca="false">T99/$E$2</f>
        <v>-0.198732532877566</v>
      </c>
      <c r="S99" s="16" t="n">
        <f aca="false">E99+O99</f>
        <v>-270.886439059974</v>
      </c>
      <c r="T99" s="16" t="n">
        <f aca="false">E99+P99</f>
        <v>-271.4372253315</v>
      </c>
      <c r="U99" s="70" t="n">
        <f aca="false">O100-2*O99+O98</f>
        <v>0.0687782150706795</v>
      </c>
      <c r="V99" s="71"/>
      <c r="W99" s="67" t="n">
        <f aca="false">W98-1</f>
        <v>60</v>
      </c>
      <c r="X99" s="16" t="n">
        <f aca="false">Hedge_MID!G40</f>
        <v>0</v>
      </c>
      <c r="Y99" s="16" t="n">
        <f aca="false">IF(B99&gt;$C$23,-1*$H$23,(($C$23-B99)*$G$23)-$H$23)</f>
        <v>0</v>
      </c>
      <c r="Z99" s="16" t="n">
        <f aca="false">Hedge_MID!G69</f>
        <v>37.2922272508171</v>
      </c>
      <c r="AA99" s="16" t="n">
        <f aca="false">IF(B99&gt;$C$24,-1*$H$24,(($C$24-B99)*$G$24)-$H$24)</f>
        <v>36.93</v>
      </c>
      <c r="AB99" s="16" t="n">
        <f aca="false">Hedge_MID!G98</f>
        <v>44.5511769718647</v>
      </c>
      <c r="AC99" s="16" t="n">
        <f aca="false">IF(B99&gt;$C$25,-1*$H$25,(($C$25-B99)*$G$25)-$H$25)</f>
        <v>44.4</v>
      </c>
      <c r="AD99" s="16" t="n">
        <f aca="false">Hedge_MID!G127</f>
        <v>30.8373820488442</v>
      </c>
      <c r="AE99" s="16" t="n">
        <f aca="false">IF(B99&gt;$C$26,-1*$H$26,(($C$26-B99)*$G$26)-$H$26)</f>
        <v>30.8</v>
      </c>
      <c r="AF99" s="16" t="n">
        <f aca="false">Hedge_MID!G157</f>
        <v>0</v>
      </c>
      <c r="AG99" s="16" t="n">
        <f aca="false">IF(B99&gt;$C$27,-1*$H$27,(($C$27-B99)*$G$27)-$H$27)</f>
        <v>0</v>
      </c>
      <c r="AH99" s="16" t="n">
        <f aca="false">Hedge_MID!G187</f>
        <v>0</v>
      </c>
      <c r="AI99" s="16" t="n">
        <f aca="false">IF(B99&gt;$C$28,-1*$H$28,(($C$28-B99)*$G$28)-$H$28)</f>
        <v>-0</v>
      </c>
      <c r="AJ99" s="16" t="n">
        <f aca="false">Hedge_MID!G217</f>
        <v>0</v>
      </c>
      <c r="AK99" s="16" t="n">
        <f aca="false">IF(B99&gt;$C$29,-1*$H$29,(($C$29-B99)*$G$29)-$H$29)</f>
        <v>-0</v>
      </c>
      <c r="AL99" s="16" t="n">
        <f aca="false">Hedge_MID!G247</f>
        <v>0</v>
      </c>
      <c r="AM99" s="16" t="n">
        <f aca="false">IF(B99&gt;$C$30,-1*$H$30,(($C$30-B99)*$G$30)-$H$30)</f>
        <v>0</v>
      </c>
      <c r="AN99" s="16" t="n">
        <f aca="false">Hedge_MID!G277</f>
        <v>0</v>
      </c>
      <c r="AO99" s="16" t="n">
        <f aca="false">IF(B99&gt;$C$31,-1*$H$31,(($C$31-B99)*$G$31)-$H$31)</f>
        <v>0</v>
      </c>
      <c r="AP99" s="16" t="n">
        <f aca="false">Hedge_MID!G307</f>
        <v>0</v>
      </c>
      <c r="AQ99" s="16" t="n">
        <f aca="false">IF(B99&gt;$C$32,-1*$H$32,(($C$32-B99)*$G$32)-$H$32)</f>
        <v>0</v>
      </c>
      <c r="AR99" s="2"/>
    </row>
    <row r="100" customFormat="false" ht="14.25" hidden="false" customHeight="true" outlineLevel="0" collapsed="false">
      <c r="B100" s="67" t="n">
        <f aca="false">B99-1</f>
        <v>59</v>
      </c>
      <c r="C100" s="68" t="n">
        <f aca="false">O100/$H$33</f>
        <v>8.68792610908625</v>
      </c>
      <c r="D100" s="68" t="n">
        <f aca="false">P100/$H$33</f>
        <v>8.66113914924297</v>
      </c>
      <c r="E100" s="16" t="n">
        <f aca="false">($C$2*B100)-$E$2</f>
        <v>-399.9384703315</v>
      </c>
      <c r="F100" s="69" t="n">
        <f aca="false">(E100/$E$2)</f>
        <v>-0.292814609739287</v>
      </c>
      <c r="M100" s="67" t="n">
        <f aca="false">M99-1</f>
        <v>59</v>
      </c>
      <c r="N100" s="68" t="n">
        <f aca="false">Hedge_MID!C338</f>
        <v>-7.84950938958687</v>
      </c>
      <c r="O100" s="16" t="n">
        <f aca="false">Hedge_MID!G338</f>
        <v>120.501535133026</v>
      </c>
      <c r="P100" s="16" t="n">
        <f aca="false">Y100+AA100+AC100+AE100+AG100+AI100+AK100+AM100+AO100+AQ100</f>
        <v>120.13</v>
      </c>
      <c r="Q100" s="69" t="n">
        <f aca="false">S100/$E$2</f>
        <v>-0.20458951362959</v>
      </c>
      <c r="R100" s="69" t="n">
        <f aca="false">T100/$E$2</f>
        <v>-0.204861532760161</v>
      </c>
      <c r="S100" s="16" t="n">
        <f aca="false">E100+O100</f>
        <v>-279.436935198474</v>
      </c>
      <c r="T100" s="16" t="n">
        <f aca="false">E100+P100</f>
        <v>-279.8084703315</v>
      </c>
      <c r="U100" s="70" t="n">
        <f aca="false">O101-2*O100+O99</f>
        <v>0.052613832612181</v>
      </c>
      <c r="V100" s="71"/>
      <c r="W100" s="67" t="n">
        <f aca="false">W99-1</f>
        <v>59</v>
      </c>
      <c r="X100" s="16" t="n">
        <f aca="false">Hedge_MID!G41</f>
        <v>0</v>
      </c>
      <c r="Y100" s="16" t="n">
        <f aca="false">IF(B100&gt;$C$23,-1*$H$23,(($C$23-B100)*$G$23)-$H$23)</f>
        <v>0</v>
      </c>
      <c r="Z100" s="16" t="n">
        <f aca="false">Hedge_MID!G70</f>
        <v>40.1800360904467</v>
      </c>
      <c r="AA100" s="16" t="n">
        <f aca="false">IF(B100&gt;$C$24,-1*$H$24,(($C$24-B100)*$G$24)-$H$24)</f>
        <v>39.93</v>
      </c>
      <c r="AB100" s="16" t="n">
        <f aca="false">Hedge_MID!G99</f>
        <v>47.4985950943971</v>
      </c>
      <c r="AC100" s="16" t="n">
        <f aca="false">IF(B100&gt;$C$25,-1*$H$25,(($C$25-B100)*$G$25)-$H$25)</f>
        <v>47.4</v>
      </c>
      <c r="AD100" s="16" t="n">
        <f aca="false">Hedge_MID!G128</f>
        <v>32.8229039481824</v>
      </c>
      <c r="AE100" s="16" t="n">
        <f aca="false">IF(B100&gt;$C$26,-1*$H$26,(($C$26-B100)*$G$26)-$H$26)</f>
        <v>32.8</v>
      </c>
      <c r="AF100" s="16" t="n">
        <f aca="false">Hedge_MID!G158</f>
        <v>0</v>
      </c>
      <c r="AG100" s="16" t="n">
        <f aca="false">IF(B100&gt;$C$27,-1*$H$27,(($C$27-B100)*$G$27)-$H$27)</f>
        <v>0</v>
      </c>
      <c r="AH100" s="16" t="n">
        <f aca="false">Hedge_MID!G188</f>
        <v>0</v>
      </c>
      <c r="AI100" s="16" t="n">
        <f aca="false">IF(B100&gt;$C$28,-1*$H$28,(($C$28-B100)*$G$28)-$H$28)</f>
        <v>-0</v>
      </c>
      <c r="AJ100" s="16" t="n">
        <f aca="false">Hedge_MID!G218</f>
        <v>0</v>
      </c>
      <c r="AK100" s="16" t="n">
        <f aca="false">IF(B100&gt;$C$29,-1*$H$29,(($C$29-B100)*$G$29)-$H$29)</f>
        <v>-0</v>
      </c>
      <c r="AL100" s="16" t="n">
        <f aca="false">Hedge_MID!G248</f>
        <v>0</v>
      </c>
      <c r="AM100" s="16" t="n">
        <f aca="false">IF(B100&gt;$C$30,-1*$H$30,(($C$30-B100)*$G$30)-$H$30)</f>
        <v>0</v>
      </c>
      <c r="AN100" s="16" t="n">
        <f aca="false">Hedge_MID!G278</f>
        <v>0</v>
      </c>
      <c r="AO100" s="16" t="n">
        <f aca="false">IF(B100&gt;$C$31,-1*$H$31,(($C$31-B100)*$G$31)-$H$31)</f>
        <v>0</v>
      </c>
      <c r="AP100" s="16" t="n">
        <f aca="false">Hedge_MID!G308</f>
        <v>0</v>
      </c>
      <c r="AQ100" s="16" t="n">
        <f aca="false">IF(B100&gt;$C$32,-1*$H$32,(($C$32-B100)*$G$32)-$H$32)</f>
        <v>0</v>
      </c>
      <c r="AR100" s="2"/>
    </row>
    <row r="101" customFormat="false" ht="14.25" hidden="false" customHeight="true" outlineLevel="0" collapsed="false">
      <c r="B101" s="67" t="n">
        <f aca="false">B100-1</f>
        <v>58</v>
      </c>
      <c r="C101" s="68" t="n">
        <f aca="false">O101/$H$33</f>
        <v>9.25558023267042</v>
      </c>
      <c r="D101" s="68" t="n">
        <f aca="false">P101/$H$33</f>
        <v>9.23792357606345</v>
      </c>
      <c r="E101" s="16" t="n">
        <f aca="false">($C$2*B101)-$E$2</f>
        <v>-416.3097153315</v>
      </c>
      <c r="F101" s="69" t="n">
        <f aca="false">(E101/$E$2)</f>
        <v>-0.304800802794554</v>
      </c>
      <c r="M101" s="67" t="n">
        <f aca="false">M100-1</f>
        <v>58</v>
      </c>
      <c r="N101" s="68" t="n">
        <f aca="false">Hedge_MID!C339</f>
        <v>-7.89499716470842</v>
      </c>
      <c r="O101" s="16" t="n">
        <f aca="false">Hedge_MID!G339</f>
        <v>128.374897827139</v>
      </c>
      <c r="P101" s="16" t="n">
        <f aca="false">Y101+AA101+AC101+AE101+AG101+AI101+AK101+AM101+AO101+AQ101</f>
        <v>128.13</v>
      </c>
      <c r="Q101" s="69" t="n">
        <f aca="false">S101/$E$2</f>
        <v>-0.210811230907616</v>
      </c>
      <c r="R101" s="69" t="n">
        <f aca="false">T101/$E$2</f>
        <v>-0.210990532642756</v>
      </c>
      <c r="S101" s="16" t="n">
        <f aca="false">E101+O101</f>
        <v>-287.934817504361</v>
      </c>
      <c r="T101" s="16" t="n">
        <f aca="false">E101+P101</f>
        <v>-288.1797153315</v>
      </c>
      <c r="U101" s="70" t="n">
        <f aca="false">O102-2*O101+O100</f>
        <v>0.0392813779213981</v>
      </c>
      <c r="V101" s="71"/>
      <c r="W101" s="67" t="n">
        <f aca="false">W100-1</f>
        <v>58</v>
      </c>
      <c r="X101" s="16" t="n">
        <f aca="false">Hedge_MID!G42</f>
        <v>0</v>
      </c>
      <c r="Y101" s="16" t="n">
        <f aca="false">IF(B101&gt;$C$23,-1*$H$23,(($C$23-B101)*$G$23)-$H$23)</f>
        <v>0</v>
      </c>
      <c r="Z101" s="16" t="n">
        <f aca="false">Hedge_MID!G71</f>
        <v>43.0986422271146</v>
      </c>
      <c r="AA101" s="16" t="n">
        <f aca="false">IF(B101&gt;$C$24,-1*$H$24,(($C$24-B101)*$G$24)-$H$24)</f>
        <v>42.93</v>
      </c>
      <c r="AB101" s="16" t="n">
        <f aca="false">Hedge_MID!G100</f>
        <v>50.46263193694</v>
      </c>
      <c r="AC101" s="16" t="n">
        <f aca="false">IF(B101&gt;$C$25,-1*$H$25,(($C$25-B101)*$G$25)-$H$25)</f>
        <v>50.4</v>
      </c>
      <c r="AD101" s="16" t="n">
        <f aca="false">Hedge_MID!G129</f>
        <v>34.8136236630842</v>
      </c>
      <c r="AE101" s="16" t="n">
        <f aca="false">IF(B101&gt;$C$26,-1*$H$26,(($C$26-B101)*$G$26)-$H$26)</f>
        <v>34.8</v>
      </c>
      <c r="AF101" s="16" t="n">
        <f aca="false">Hedge_MID!G159</f>
        <v>0</v>
      </c>
      <c r="AG101" s="16" t="n">
        <f aca="false">IF(B101&gt;$C$27,-1*$H$27,(($C$27-B101)*$G$27)-$H$27)</f>
        <v>0</v>
      </c>
      <c r="AH101" s="16" t="n">
        <f aca="false">Hedge_MID!G189</f>
        <v>0</v>
      </c>
      <c r="AI101" s="16" t="n">
        <f aca="false">IF(B101&gt;$C$28,-1*$H$28,(($C$28-B101)*$G$28)-$H$28)</f>
        <v>-0</v>
      </c>
      <c r="AJ101" s="16" t="n">
        <f aca="false">Hedge_MID!G219</f>
        <v>0</v>
      </c>
      <c r="AK101" s="16" t="n">
        <f aca="false">IF(B101&gt;$C$29,-1*$H$29,(($C$29-B101)*$G$29)-$H$29)</f>
        <v>-0</v>
      </c>
      <c r="AL101" s="16" t="n">
        <f aca="false">Hedge_MID!G249</f>
        <v>0</v>
      </c>
      <c r="AM101" s="16" t="n">
        <f aca="false">IF(B101&gt;$C$30,-1*$H$30,(($C$30-B101)*$G$30)-$H$30)</f>
        <v>0</v>
      </c>
      <c r="AN101" s="16" t="n">
        <f aca="false">Hedge_MID!G279</f>
        <v>0</v>
      </c>
      <c r="AO101" s="16" t="n">
        <f aca="false">IF(B101&gt;$C$31,-1*$H$31,(($C$31-B101)*$G$31)-$H$31)</f>
        <v>0</v>
      </c>
      <c r="AP101" s="16" t="n">
        <f aca="false">Hedge_MID!G309</f>
        <v>0</v>
      </c>
      <c r="AQ101" s="16" t="n">
        <f aca="false">IF(B101&gt;$C$32,-1*$H$32,(($C$32-B101)*$G$32)-$H$32)</f>
        <v>0</v>
      </c>
      <c r="AR101" s="2"/>
    </row>
    <row r="102" customFormat="false" ht="14.25" hidden="false" customHeight="true" outlineLevel="0" collapsed="false">
      <c r="B102" s="67" t="n">
        <f aca="false">B101-1</f>
        <v>57</v>
      </c>
      <c r="C102" s="68" t="n">
        <f aca="false">O102/$H$33</f>
        <v>9.82606646713573</v>
      </c>
      <c r="D102" s="68" t="n">
        <f aca="false">P102/$H$33</f>
        <v>9.81470800288392</v>
      </c>
      <c r="E102" s="16" t="n">
        <f aca="false">($C$2*B102)-$E$2</f>
        <v>-432.6809603315</v>
      </c>
      <c r="F102" s="69" t="n">
        <f aca="false">(E102/$E$2)</f>
        <v>-0.31678699584982</v>
      </c>
      <c r="M102" s="67" t="n">
        <f aca="false">M101-1</f>
        <v>57</v>
      </c>
      <c r="N102" s="68" t="n">
        <f aca="false">Hedge_MID!C340</f>
        <v>-7.92851408367323</v>
      </c>
      <c r="O102" s="16" t="n">
        <f aca="false">Hedge_MID!G340</f>
        <v>136.287541899173</v>
      </c>
      <c r="P102" s="16" t="n">
        <f aca="false">Y102+AA102+AC102+AE102+AG102+AI102+AK102+AM102+AO102+AQ102</f>
        <v>136.13</v>
      </c>
      <c r="Q102" s="69" t="n">
        <f aca="false">S102/$E$2</f>
        <v>-0.21700418835832</v>
      </c>
      <c r="R102" s="69" t="n">
        <f aca="false">T102/$E$2</f>
        <v>-0.21711953252535</v>
      </c>
      <c r="S102" s="16" t="n">
        <f aca="false">E102+O102</f>
        <v>-296.393418432327</v>
      </c>
      <c r="T102" s="16" t="n">
        <f aca="false">E102+P102</f>
        <v>-296.5509603315</v>
      </c>
      <c r="U102" s="15"/>
      <c r="W102" s="67" t="n">
        <f aca="false">W101-1</f>
        <v>57</v>
      </c>
      <c r="X102" s="16" t="n">
        <f aca="false">Hedge_MID!G43</f>
        <v>0</v>
      </c>
      <c r="Y102" s="16" t="n">
        <f aca="false">IF(B102&gt;$C$23,-1*$H$23,(($C$23-B102)*$G$23)-$H$23)</f>
        <v>0</v>
      </c>
      <c r="Z102" s="16" t="n">
        <f aca="false">Hedge_MID!G72</f>
        <v>46.0409917444613</v>
      </c>
      <c r="AA102" s="16" t="n">
        <f aca="false">IF(B102&gt;$C$24,-1*$H$24,(($C$24-B102)*$G$24)-$H$24)</f>
        <v>45.93</v>
      </c>
      <c r="AB102" s="16" t="n">
        <f aca="false">Hedge_MID!G101</f>
        <v>53.4386958437693</v>
      </c>
      <c r="AC102" s="16" t="n">
        <f aca="false">IF(B102&gt;$C$25,-1*$H$25,(($C$25-B102)*$G$25)-$H$25)</f>
        <v>53.4</v>
      </c>
      <c r="AD102" s="16" t="n">
        <f aca="false">Hedge_MID!G130</f>
        <v>36.807854310942</v>
      </c>
      <c r="AE102" s="16" t="n">
        <f aca="false">IF(B102&gt;$C$26,-1*$H$26,(($C$26-B102)*$G$26)-$H$26)</f>
        <v>36.8</v>
      </c>
      <c r="AF102" s="16" t="n">
        <f aca="false">Hedge_MID!G160</f>
        <v>0</v>
      </c>
      <c r="AG102" s="16" t="n">
        <f aca="false">IF(B102&gt;$C$27,-1*$H$27,(($C$27-B102)*$G$27)-$H$27)</f>
        <v>0</v>
      </c>
      <c r="AH102" s="16" t="n">
        <f aca="false">Hedge_MID!G190</f>
        <v>0</v>
      </c>
      <c r="AI102" s="16" t="n">
        <f aca="false">IF(B102&gt;$C$28,-1*$H$28,(($C$28-B102)*$G$28)-$H$28)</f>
        <v>-0</v>
      </c>
      <c r="AJ102" s="16" t="n">
        <f aca="false">Hedge_MID!G220</f>
        <v>0</v>
      </c>
      <c r="AK102" s="16" t="n">
        <f aca="false">IF(B102&gt;$C$29,-1*$H$29,(($C$29-B102)*$G$29)-$H$29)</f>
        <v>-0</v>
      </c>
      <c r="AL102" s="16" t="n">
        <f aca="false">Hedge_MID!G250</f>
        <v>0</v>
      </c>
      <c r="AM102" s="16" t="n">
        <f aca="false">IF(B102&gt;$C$30,-1*$H$30,(($C$30-B102)*$G$30)-$H$30)</f>
        <v>0</v>
      </c>
      <c r="AN102" s="16" t="n">
        <f aca="false">Hedge_MID!G280</f>
        <v>0</v>
      </c>
      <c r="AO102" s="16" t="n">
        <f aca="false">IF(B102&gt;$C$31,-1*$H$31,(($C$31-B102)*$G$31)-$H$31)</f>
        <v>0</v>
      </c>
      <c r="AP102" s="16" t="n">
        <f aca="false">Hedge_MID!G310</f>
        <v>0</v>
      </c>
      <c r="AQ102" s="16" t="n">
        <f aca="false">IF(B102&gt;$C$32,-1*$H$32,(($C$32-B102)*$G$32)-$H$32)</f>
        <v>0</v>
      </c>
      <c r="AR102" s="2"/>
    </row>
    <row r="103" customFormat="false" ht="14.2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3">
    <mergeCell ref="I7:K7"/>
    <mergeCell ref="B74:F74"/>
    <mergeCell ref="M74:T74"/>
    <mergeCell ref="X74:Y74"/>
    <mergeCell ref="Z74:AA74"/>
    <mergeCell ref="AB74:AC74"/>
    <mergeCell ref="AD74:AE74"/>
    <mergeCell ref="AF74:AG74"/>
    <mergeCell ref="AH74:AI74"/>
    <mergeCell ref="AJ74:AK74"/>
    <mergeCell ref="AL74:AM74"/>
    <mergeCell ref="AN74:AO74"/>
    <mergeCell ref="AP74:AQ7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.53515625" defaultRowHeight="13.5" zeroHeight="false" outlineLevelRow="0" outlineLevelCol="0"/>
  <cols>
    <col collapsed="false" customWidth="true" hidden="false" outlineLevel="0" max="1" min="1" style="2" width="23.97"/>
    <col collapsed="false" customWidth="true" hidden="false" outlineLevel="0" max="13" min="13" style="2" width="19.73"/>
  </cols>
  <sheetData>
    <row r="1" customFormat="false" ht="15" hidden="false" customHeight="true" outlineLevel="0" collapsed="false">
      <c r="A1" s="19" t="s">
        <v>0</v>
      </c>
      <c r="B1" s="19" t="s">
        <v>12</v>
      </c>
      <c r="C1" s="19" t="s">
        <v>13</v>
      </c>
      <c r="D1" s="19" t="s">
        <v>14</v>
      </c>
      <c r="E1" s="19" t="s">
        <v>15</v>
      </c>
      <c r="F1" s="19" t="s">
        <v>16</v>
      </c>
      <c r="G1" s="19" t="s">
        <v>17</v>
      </c>
      <c r="H1" s="19" t="s">
        <v>18</v>
      </c>
      <c r="I1" s="19" t="s">
        <v>19</v>
      </c>
      <c r="J1" s="19" t="s">
        <v>20</v>
      </c>
      <c r="K1" s="19" t="s">
        <v>21</v>
      </c>
      <c r="L1" s="19" t="s">
        <v>22</v>
      </c>
      <c r="M1" s="19" t="s">
        <v>23</v>
      </c>
      <c r="N1" s="19" t="s">
        <v>151</v>
      </c>
      <c r="O1" s="19" t="s">
        <v>152</v>
      </c>
      <c r="P1" s="19" t="s">
        <v>153</v>
      </c>
      <c r="R1" s="2" t="s">
        <v>154</v>
      </c>
      <c r="S1" s="2" t="s">
        <v>155</v>
      </c>
    </row>
    <row r="2" customFormat="false" ht="13.5" hidden="false" customHeight="true" outlineLevel="0" collapsed="false">
      <c r="A2" s="2" t="str">
        <f aca="false">'Mid_laeyr(test)'!B9</f>
        <v>SOL-29MAY26-60-P-USDT</v>
      </c>
      <c r="B2" s="2" t="n">
        <f aca="false">VLOOKUP(A2,OptionBoard!$A$2:$M$86,2,FALSE())</f>
        <v>60</v>
      </c>
      <c r="C2" s="2" t="n">
        <f aca="false">VLOOKUP(A2,OptionBoard!$A$2:$M$86,3,0)</f>
        <v>-0.05332898</v>
      </c>
      <c r="D2" s="2" t="n">
        <f aca="false">VLOOKUP(A2,OptionBoard!$A$2:$M$86,4,0)</f>
        <v>0.00539004</v>
      </c>
      <c r="E2" s="2" t="n">
        <f aca="false">VLOOKUP(A2,OptionBoard!$A$2:$M$86,5,0)</f>
        <v>0.03060818</v>
      </c>
      <c r="F2" s="2" t="n">
        <f aca="false">VLOOKUP(A2,OptionBoard!$A$2:$M$86,6,0)</f>
        <v>-0.02746493</v>
      </c>
      <c r="G2" s="2" t="n">
        <v>0.61</v>
      </c>
      <c r="H2" s="2" t="n">
        <f aca="false">VLOOKUP(A2,OptionBoard!$A$2:$M$86,8,0)</f>
        <v>0.7144</v>
      </c>
      <c r="I2" s="2" t="n">
        <f aca="false">VLOOKUP(A2,OptionBoard!$A$2:$M$86,9,0)</f>
        <v>39</v>
      </c>
      <c r="J2" s="2" t="n">
        <f aca="false">VLOOKUP(A2,OptionBoard!$A$2:$M$86,10,0)</f>
        <v>0.106849315068493</v>
      </c>
      <c r="K2" s="2" t="str">
        <f aca="false">VLOOKUP(A2,OptionBoard!$A$2:$M$86,11,FALSE())</f>
        <v>PUT</v>
      </c>
      <c r="L2" s="2" t="n">
        <f aca="false">VLOOKUP(A2,OptionBoard!$A$2:$M$86,12,0)</f>
        <v>85.58</v>
      </c>
      <c r="M2" s="2" t="n">
        <f aca="false">VLOOKUP(A2,OptionBoard!$A$2:$M$86,13,0)</f>
        <v>0.0127552992307692</v>
      </c>
      <c r="N2" s="20" t="n">
        <f aca="false">G2*P2</f>
        <v>4.27</v>
      </c>
      <c r="O2" s="21" t="s">
        <v>156</v>
      </c>
      <c r="P2" s="21" t="n">
        <f aca="false">'Mid_laeyr(test)'!G9</f>
        <v>7</v>
      </c>
      <c r="R2" s="2" t="n">
        <f aca="false">G2</f>
        <v>0.61</v>
      </c>
      <c r="S2" s="2" t="n">
        <f aca="false">VLOOKUP(A2,OptionBoard!$A$2:$G$93,7,FALSE())</f>
        <v>0.49745667</v>
      </c>
      <c r="U2" s="2" t="n">
        <f aca="false">R2-S2</f>
        <v>0.11254333</v>
      </c>
    </row>
    <row r="3" customFormat="false" ht="13.5" hidden="false" customHeight="true" outlineLevel="0" collapsed="false">
      <c r="A3" s="2" t="str">
        <f aca="false">'Mid_laeyr(test)'!B10</f>
        <v>SOL-29MAY26-70-P-USDT</v>
      </c>
      <c r="B3" s="2" t="n">
        <f aca="false">VLOOKUP(A3,OptionBoard!$A$2:$M$86,2,FALSE())</f>
        <v>70</v>
      </c>
      <c r="C3" s="2" t="n">
        <f aca="false">VLOOKUP(A3,OptionBoard!$A$2:$M$86,3,0)</f>
        <v>-0.15294325</v>
      </c>
      <c r="D3" s="2" t="n">
        <f aca="false">VLOOKUP(A3,OptionBoard!$A$2:$M$86,4,0)</f>
        <v>0.01274985</v>
      </c>
      <c r="E3" s="2" t="n">
        <f aca="false">VLOOKUP(A3,OptionBoard!$A$2:$M$86,5,0)</f>
        <v>0.06659421</v>
      </c>
      <c r="F3" s="2" t="n">
        <f aca="false">VLOOKUP(A3,OptionBoard!$A$2:$M$86,6,0)</f>
        <v>-0.0549621</v>
      </c>
      <c r="G3" s="2" t="n">
        <v>0.59</v>
      </c>
      <c r="H3" s="2" t="n">
        <f aca="false">VLOOKUP(A3,OptionBoard!$A$2:$M$86,8,0)</f>
        <v>0.6571</v>
      </c>
      <c r="I3" s="2" t="n">
        <f aca="false">VLOOKUP(A3,OptionBoard!$A$2:$M$86,9,0)</f>
        <v>39</v>
      </c>
      <c r="J3" s="2" t="n">
        <f aca="false">VLOOKUP(A3,OptionBoard!$A$2:$M$86,10,0)</f>
        <v>0.106849315068493</v>
      </c>
      <c r="K3" s="2" t="str">
        <f aca="false">VLOOKUP(A3,OptionBoard!$A$2:$M$86,11,FALSE())</f>
        <v>PUT</v>
      </c>
      <c r="L3" s="2" t="n">
        <f aca="false">VLOOKUP(A3,OptionBoard!$A$2:$M$86,12,0)</f>
        <v>85.58</v>
      </c>
      <c r="M3" s="2" t="n">
        <f aca="false">VLOOKUP(A3,OptionBoard!$A$2:$M$86,13,0)</f>
        <v>0.0418368223076923</v>
      </c>
      <c r="N3" s="20" t="n">
        <f aca="false">G3*P3</f>
        <v>1.18</v>
      </c>
      <c r="O3" s="21" t="s">
        <v>156</v>
      </c>
      <c r="P3" s="21" t="n">
        <f aca="false">'Mid_laeyr(test)'!G10</f>
        <v>2</v>
      </c>
      <c r="R3" s="2" t="n">
        <f aca="false">G3</f>
        <v>0.59</v>
      </c>
      <c r="S3" s="2" t="n">
        <f aca="false">VLOOKUP(A3,OptionBoard!$A$2:$G$93,7,FALSE())</f>
        <v>1.63163607</v>
      </c>
      <c r="U3" s="2" t="n">
        <f aca="false">R3-S3</f>
        <v>-1.04163607</v>
      </c>
    </row>
    <row r="4" customFormat="false" ht="13.5" hidden="false" customHeight="true" outlineLevel="0" collapsed="false">
      <c r="A4" s="2" t="str">
        <f aca="false">'Mid_laeyr(test)'!B11</f>
        <v>SOL-1MAY26-60-P-USDT</v>
      </c>
      <c r="B4" s="2" t="n">
        <f aca="false">VLOOKUP(A4,OptionBoard!$A$2:$M$86,2,FALSE())</f>
        <v>60</v>
      </c>
      <c r="C4" s="2" t="n">
        <f aca="false">VLOOKUP(A4,OptionBoard!$A$2:$M$86,3,0)</f>
        <v>-0.0159575</v>
      </c>
      <c r="D4" s="2" t="n">
        <f aca="false">VLOOKUP(A4,OptionBoard!$A$2:$M$86,4,0)</f>
        <v>0.00271988</v>
      </c>
      <c r="E4" s="2" t="n">
        <f aca="false">VLOOKUP(A4,OptionBoard!$A$2:$M$86,5,0)</f>
        <v>0.00613836</v>
      </c>
      <c r="F4" s="2" t="n">
        <f aca="false">VLOOKUP(A4,OptionBoard!$A$2:$M$86,6,0)</f>
        <v>-0.02483851</v>
      </c>
      <c r="G4" s="2" t="n">
        <v>1.74</v>
      </c>
      <c r="H4" s="2" t="n">
        <f aca="false">VLOOKUP(A4,OptionBoard!$A$2:$M$86,8,0)</f>
        <v>0.9553</v>
      </c>
      <c r="I4" s="2" t="n">
        <f aca="false">VLOOKUP(A4,OptionBoard!$A$2:$M$86,9,0)</f>
        <v>11</v>
      </c>
      <c r="J4" s="2" t="n">
        <f aca="false">VLOOKUP(A4,OptionBoard!$A$2:$M$86,10,0)</f>
        <v>0.0301369863013699</v>
      </c>
      <c r="K4" s="2" t="str">
        <f aca="false">VLOOKUP(A4,OptionBoard!$A$2:$M$86,11,FALSE())</f>
        <v>PUT</v>
      </c>
      <c r="L4" s="2" t="n">
        <f aca="false">VLOOKUP(A4,OptionBoard!$A$2:$M$86,12,0)</f>
        <v>85.58</v>
      </c>
      <c r="M4" s="2" t="n">
        <f aca="false">VLOOKUP(A4,OptionBoard!$A$2:$M$86,13,0)</f>
        <v>0.0080595</v>
      </c>
      <c r="N4" s="20" t="n">
        <f aca="false">G4*P4</f>
        <v>1.74</v>
      </c>
      <c r="O4" s="21" t="s">
        <v>156</v>
      </c>
      <c r="P4" s="21" t="n">
        <f aca="false">'Mid_laeyr(test)'!G11</f>
        <v>1</v>
      </c>
      <c r="R4" s="2" t="n">
        <f aca="false">G4</f>
        <v>1.74</v>
      </c>
      <c r="S4" s="2" t="n">
        <f aca="false">VLOOKUP(A4,OptionBoard!$A$2:$G$93,7,FALSE())</f>
        <v>0.0886545</v>
      </c>
      <c r="U4" s="2" t="n">
        <f aca="false">R4-S4</f>
        <v>1.6513455</v>
      </c>
    </row>
    <row r="5" customFormat="false" ht="13.5" hidden="false" customHeight="true" outlineLevel="0" collapsed="false">
      <c r="A5" s="2" t="str">
        <f aca="false">'Mid_laeyr(test)'!B12</f>
        <v>SOL-1MAY26-70-P-USDT</v>
      </c>
      <c r="B5" s="2" t="n">
        <f aca="false">VLOOKUP(A5,OptionBoard!$A$2:$M$86,2,FALSE())</f>
        <v>70</v>
      </c>
      <c r="C5" s="2" t="n">
        <f aca="false">VLOOKUP(A5,OptionBoard!$A$2:$M$86,3,0)</f>
        <v>-0.06118015</v>
      </c>
      <c r="D5" s="2" t="n">
        <f aca="false">VLOOKUP(A5,OptionBoard!$A$2:$M$86,4,0)</f>
        <v>0.01047067</v>
      </c>
      <c r="E5" s="2" t="n">
        <f aca="false">VLOOKUP(A5,OptionBoard!$A$2:$M$86,5,0)</f>
        <v>0.01859074</v>
      </c>
      <c r="F5" s="2" t="n">
        <f aca="false">VLOOKUP(A5,OptionBoard!$A$2:$M$86,6,0)</f>
        <v>-0.05918201</v>
      </c>
      <c r="G5" s="2" t="n">
        <v>0.98</v>
      </c>
      <c r="H5" s="2" t="n">
        <f aca="false">VLOOKUP(A5,OptionBoard!$A$2:$M$86,8,0)</f>
        <v>0.7516</v>
      </c>
      <c r="I5" s="2" t="n">
        <f aca="false">VLOOKUP(A5,OptionBoard!$A$2:$M$86,9,0)</f>
        <v>11</v>
      </c>
      <c r="J5" s="2" t="n">
        <f aca="false">VLOOKUP(A5,OptionBoard!$A$2:$M$86,10,0)</f>
        <v>0.0301369863013699</v>
      </c>
      <c r="K5" s="2" t="str">
        <f aca="false">VLOOKUP(A5,OptionBoard!$A$2:$M$86,11,FALSE())</f>
        <v>PUT</v>
      </c>
      <c r="L5" s="2" t="n">
        <f aca="false">VLOOKUP(A5,OptionBoard!$A$2:$M$86,12,0)</f>
        <v>85.58</v>
      </c>
      <c r="M5" s="2" t="n">
        <f aca="false">VLOOKUP(A5,OptionBoard!$A$2:$M$86,13,0)</f>
        <v>0.0292728490909091</v>
      </c>
      <c r="N5" s="20" t="n">
        <f aca="false">G5*P5</f>
        <v>2.94</v>
      </c>
      <c r="O5" s="21" t="s">
        <v>156</v>
      </c>
      <c r="P5" s="21" t="n">
        <f aca="false">'Mid_laeyr(test)'!G12</f>
        <v>3</v>
      </c>
      <c r="R5" s="2" t="n">
        <f aca="false">G5</f>
        <v>0.98</v>
      </c>
      <c r="S5" s="2" t="n">
        <f aca="false">VLOOKUP(A5,OptionBoard!$A$2:$G$93,7,FALSE())</f>
        <v>0.32200134</v>
      </c>
      <c r="U5" s="2" t="n">
        <f aca="false">R5-S5</f>
        <v>0.65799866</v>
      </c>
    </row>
    <row r="6" customFormat="false" ht="13.5" hidden="false" customHeight="true" outlineLevel="0" collapsed="false">
      <c r="A6" s="2" t="str">
        <f aca="false">'Mid_laeyr(test)'!B13</f>
        <v>SOL-24APR26-60-P-USDT</v>
      </c>
      <c r="B6" s="2" t="e">
        <f aca="false">VLOOKUP(A6,OptionBoard!$A$2:$M$86,2,FALSE())</f>
        <v>#N/A</v>
      </c>
      <c r="C6" s="2" t="e">
        <f aca="false">VLOOKUP(A6,OptionBoard!$A$2:$M$86,3,0)</f>
        <v>#N/A</v>
      </c>
      <c r="D6" s="2" t="e">
        <f aca="false">VLOOKUP(A6,OptionBoard!$A$2:$M$86,4,0)</f>
        <v>#N/A</v>
      </c>
      <c r="E6" s="2" t="e">
        <f aca="false">VLOOKUP(A6,OptionBoard!$A$2:$M$86,5,0)</f>
        <v>#N/A</v>
      </c>
      <c r="F6" s="2" t="e">
        <f aca="false">VLOOKUP(A6,OptionBoard!$A$2:$M$86,6,0)</f>
        <v>#N/A</v>
      </c>
      <c r="G6" s="2" t="n">
        <v>1.51</v>
      </c>
      <c r="H6" s="2" t="e">
        <f aca="false">VLOOKUP(A6,OptionBoard!$A$2:$M$86,8,0)</f>
        <v>#N/A</v>
      </c>
      <c r="I6" s="2" t="e">
        <f aca="false">VLOOKUP(A6,OptionBoard!$A$2:$M$86,9,0)</f>
        <v>#N/A</v>
      </c>
      <c r="J6" s="2" t="e">
        <f aca="false">VLOOKUP(A6,OptionBoard!$A$2:$M$86,10,0)</f>
        <v>#N/A</v>
      </c>
      <c r="K6" s="2" t="e">
        <f aca="false">VLOOKUP(A6,OptionBoard!$A$2:$M$86,11,FALSE())</f>
        <v>#N/A</v>
      </c>
      <c r="L6" s="2" t="e">
        <f aca="false">VLOOKUP(A6,OptionBoard!$A$2:$M$86,12,0)</f>
        <v>#N/A</v>
      </c>
      <c r="M6" s="2" t="e">
        <f aca="false">VLOOKUP(A6,OptionBoard!$A$2:$M$86,13,0)</f>
        <v>#N/A</v>
      </c>
      <c r="N6" s="20" t="n">
        <f aca="false">G6*P6</f>
        <v>9.06</v>
      </c>
      <c r="O6" s="21" t="s">
        <v>156</v>
      </c>
      <c r="P6" s="21" t="n">
        <f aca="false">'Mid_laeyr(test)'!G13</f>
        <v>6</v>
      </c>
      <c r="R6" s="2" t="n">
        <f aca="false">G6</f>
        <v>1.51</v>
      </c>
      <c r="S6" s="2" t="e">
        <f aca="false">VLOOKUP(A6,OptionBoard!$A$2:$G$93,7,FALSE())</f>
        <v>#N/A</v>
      </c>
      <c r="U6" s="2" t="e">
        <f aca="false">R6-S6</f>
        <v>#N/A</v>
      </c>
    </row>
    <row r="7" customFormat="false" ht="13.5" hidden="false" customHeight="true" outlineLevel="0" collapsed="false">
      <c r="A7" s="2" t="str">
        <f aca="false">'Mid_laeyr(test)'!B14</f>
        <v>SOL-24APR26-65-P-USDT</v>
      </c>
      <c r="B7" s="2" t="n">
        <f aca="false">VLOOKUP(A7,OptionBoard!$A$2:$M$86,2,FALSE())</f>
        <v>65</v>
      </c>
      <c r="C7" s="2" t="n">
        <f aca="false">VLOOKUP(A7,OptionBoard!$A$2:$M$86,3,0)</f>
        <v>-0.0119375</v>
      </c>
      <c r="D7" s="2" t="n">
        <f aca="false">VLOOKUP(A7,OptionBoard!$A$2:$M$86,4,0)</f>
        <v>0.00290932</v>
      </c>
      <c r="E7" s="2" t="n">
        <f aca="false">VLOOKUP(A7,OptionBoard!$A$2:$M$86,5,0)</f>
        <v>0.00305095</v>
      </c>
      <c r="F7" s="2" t="n">
        <f aca="false">VLOOKUP(A7,OptionBoard!$A$2:$M$86,6,0)</f>
        <v>-0.03458466</v>
      </c>
      <c r="G7" s="2" t="n">
        <v>3.15</v>
      </c>
      <c r="H7" s="2" t="n">
        <f aca="false">VLOOKUP(A7,OptionBoard!$A$2:$M$86,8,0)</f>
        <v>1.0892</v>
      </c>
      <c r="I7" s="2" t="n">
        <f aca="false">VLOOKUP(A7,OptionBoard!$A$2:$M$86,9,0)</f>
        <v>4</v>
      </c>
      <c r="J7" s="2" t="n">
        <f aca="false">VLOOKUP(A7,OptionBoard!$A$2:$M$86,10,0)</f>
        <v>0.010958904109589</v>
      </c>
      <c r="K7" s="2" t="str">
        <f aca="false">VLOOKUP(A7,OptionBoard!$A$2:$M$86,11,FALSE())</f>
        <v>PUT</v>
      </c>
      <c r="L7" s="2" t="n">
        <f aca="false">VLOOKUP(A7,OptionBoard!$A$2:$M$86,12,0)</f>
        <v>85.58</v>
      </c>
      <c r="M7" s="2" t="n">
        <f aca="false">VLOOKUP(A7,OptionBoard!$A$2:$M$86,13,0)</f>
        <v>0.011473365</v>
      </c>
      <c r="N7" s="20" t="n">
        <f aca="false">G7*P7</f>
        <v>15.75</v>
      </c>
      <c r="O7" s="21" t="s">
        <v>156</v>
      </c>
      <c r="P7" s="21" t="n">
        <f aca="false">'Mid_laeyr(test)'!G14</f>
        <v>5</v>
      </c>
      <c r="R7" s="2"/>
      <c r="S7" s="2" t="n">
        <f aca="false">VLOOKUP(A7,OptionBoard!$A$2:$G$93,7,FALSE())</f>
        <v>0.04589346</v>
      </c>
      <c r="U7" s="2" t="n">
        <f aca="false">R7-S7</f>
        <v>-0.04589346</v>
      </c>
    </row>
    <row r="8" customFormat="false" ht="13.5" hidden="false" customHeight="true" outlineLevel="0" collapsed="false">
      <c r="A8" s="2" t="str">
        <f aca="false">'Mid_laeyr(test)'!B15</f>
        <v>SOL-24APR26-75-P-USDT</v>
      </c>
      <c r="B8" s="2" t="n">
        <f aca="false">VLOOKUP(A8,OptionBoard!$A$2:$M$86,2,FALSE())</f>
        <v>75</v>
      </c>
      <c r="C8" s="2" t="n">
        <f aca="false">VLOOKUP(A8,OptionBoard!$A$2:$M$86,3,0)</f>
        <v>-0.06935478</v>
      </c>
      <c r="D8" s="2" t="n">
        <f aca="false">VLOOKUP(A8,OptionBoard!$A$2:$M$86,4,0)</f>
        <v>0.01702286</v>
      </c>
      <c r="E8" s="2" t="n">
        <f aca="false">VLOOKUP(A8,OptionBoard!$A$2:$M$86,5,0)</f>
        <v>0.01308139</v>
      </c>
      <c r="F8" s="2" t="n">
        <f aca="false">VLOOKUP(A8,OptionBoard!$A$2:$M$86,6,0)</f>
        <v>-0.10866239</v>
      </c>
      <c r="G8" s="2" t="n">
        <v>1.2</v>
      </c>
      <c r="H8" s="2" t="n">
        <f aca="false">VLOOKUP(A8,OptionBoard!$A$2:$M$86,8,0)</f>
        <v>0.7982</v>
      </c>
      <c r="I8" s="2" t="n">
        <f aca="false">VLOOKUP(A8,OptionBoard!$A$2:$M$86,9,0)</f>
        <v>4</v>
      </c>
      <c r="J8" s="2" t="n">
        <f aca="false">VLOOKUP(A8,OptionBoard!$A$2:$M$86,10,0)</f>
        <v>0.010958904109589</v>
      </c>
      <c r="K8" s="2" t="str">
        <f aca="false">VLOOKUP(A8,OptionBoard!$A$2:$M$86,11,FALSE())</f>
        <v>PUT</v>
      </c>
      <c r="L8" s="2" t="n">
        <f aca="false">VLOOKUP(A8,OptionBoard!$A$2:$M$86,12,0)</f>
        <v>85.58</v>
      </c>
      <c r="M8" s="2" t="n">
        <f aca="false">VLOOKUP(A8,OptionBoard!$A$2:$M$86,13,0)</f>
        <v>0.062187265</v>
      </c>
      <c r="N8" s="20" t="n">
        <f aca="false">G8*P8</f>
        <v>3.6</v>
      </c>
      <c r="O8" s="21" t="s">
        <v>156</v>
      </c>
      <c r="P8" s="21" t="n">
        <f aca="false">'Mid_laeyr(test)'!G15</f>
        <v>3</v>
      </c>
      <c r="R8" s="2"/>
      <c r="S8" s="2" t="n">
        <f aca="false">VLOOKUP(A8,OptionBoard!$A$2:$G$93,7,FALSE())</f>
        <v>0.24874906</v>
      </c>
      <c r="U8" s="2" t="n">
        <f aca="false">R8-S8</f>
        <v>-0.24874906</v>
      </c>
    </row>
    <row r="9" customFormat="false" ht="13.5" hidden="false" customHeight="true" outlineLevel="0" collapsed="false">
      <c r="A9" s="2" t="str">
        <f aca="false">'Mid_laeyr(test)'!B16</f>
        <v>SOL-24APR26-78-P-USDT</v>
      </c>
      <c r="B9" s="2" t="n">
        <f aca="false">VLOOKUP(A9,OptionBoard!$A$2:$M$86,2,FALSE())</f>
        <v>78</v>
      </c>
      <c r="C9" s="2" t="n">
        <f aca="false">VLOOKUP(A9,OptionBoard!$A$2:$M$86,3,0)</f>
        <v>-0.12393151</v>
      </c>
      <c r="D9" s="2" t="n">
        <f aca="false">VLOOKUP(A9,OptionBoard!$A$2:$M$86,4,0)</f>
        <v>0.02892419</v>
      </c>
      <c r="E9" s="2" t="n">
        <f aca="false">VLOOKUP(A9,OptionBoard!$A$2:$M$86,5,0)</f>
        <v>0.02007839</v>
      </c>
      <c r="F9" s="2" t="n">
        <f aca="false">VLOOKUP(A9,OptionBoard!$A$2:$M$86,6,0)</f>
        <v>-0.15066111</v>
      </c>
      <c r="G9" s="2" t="n">
        <v>1.74</v>
      </c>
      <c r="H9" s="2" t="n">
        <f aca="false">VLOOKUP(A9,OptionBoard!$A$2:$M$86,8,0)</f>
        <v>0.721</v>
      </c>
      <c r="I9" s="2" t="n">
        <f aca="false">VLOOKUP(A9,OptionBoard!$A$2:$M$86,9,0)</f>
        <v>4</v>
      </c>
      <c r="J9" s="2" t="n">
        <f aca="false">VLOOKUP(A9,OptionBoard!$A$2:$M$86,10,0)</f>
        <v>0.010958904109589</v>
      </c>
      <c r="K9" s="2" t="str">
        <f aca="false">VLOOKUP(A9,OptionBoard!$A$2:$M$86,11,FALSE())</f>
        <v>PUT</v>
      </c>
      <c r="L9" s="2" t="n">
        <f aca="false">VLOOKUP(A9,OptionBoard!$A$2:$M$86,12,0)</f>
        <v>85.58</v>
      </c>
      <c r="M9" s="2" t="n">
        <f aca="false">VLOOKUP(A9,OptionBoard!$A$2:$M$86,13,0)</f>
        <v>0.11261539</v>
      </c>
      <c r="N9" s="20" t="n">
        <f aca="false">G9*P9</f>
        <v>5.22</v>
      </c>
      <c r="O9" s="21" t="s">
        <v>156</v>
      </c>
      <c r="P9" s="21" t="n">
        <f aca="false">'Mid_laeyr(test)'!G16</f>
        <v>3</v>
      </c>
      <c r="R9" s="2"/>
      <c r="S9" s="2" t="n">
        <f aca="false">VLOOKUP(A9,OptionBoard!$A$2:$G$93,7,FALSE())</f>
        <v>0.45046156</v>
      </c>
      <c r="U9" s="2" t="n">
        <f aca="false">R9-S9</f>
        <v>-0.45046156</v>
      </c>
    </row>
    <row r="10" customFormat="false" ht="13.5" hidden="false" customHeight="true" outlineLevel="0" collapsed="false">
      <c r="A10" s="2" t="str">
        <f aca="false">'Mid_laeyr(test)'!B17</f>
        <v>SOL-24APR26-80-P-USDT</v>
      </c>
      <c r="B10" s="2" t="n">
        <f aca="false">VLOOKUP(A10,OptionBoard!$A$2:$M$86,2,FALSE())</f>
        <v>80</v>
      </c>
      <c r="C10" s="2" t="n">
        <f aca="false">VLOOKUP(A10,OptionBoard!$A$2:$M$86,3,0)</f>
        <v>-0.18348904</v>
      </c>
      <c r="D10" s="2" t="n">
        <f aca="false">VLOOKUP(A10,OptionBoard!$A$2:$M$86,4,0)</f>
        <v>0.04011022</v>
      </c>
      <c r="E10" s="2" t="n">
        <f aca="false">VLOOKUP(A10,OptionBoard!$A$2:$M$86,5,0)</f>
        <v>0.02605899</v>
      </c>
      <c r="F10" s="2" t="n">
        <f aca="false">VLOOKUP(A10,OptionBoard!$A$2:$M$86,6,0)</f>
        <v>-0.18300563</v>
      </c>
      <c r="G10" s="2" t="n">
        <v>1.91</v>
      </c>
      <c r="H10" s="2" t="n">
        <f aca="false">VLOOKUP(A10,OptionBoard!$A$2:$M$86,8,0)</f>
        <v>0.6748</v>
      </c>
      <c r="I10" s="2" t="n">
        <f aca="false">VLOOKUP(A10,OptionBoard!$A$2:$M$86,9,0)</f>
        <v>4</v>
      </c>
      <c r="J10" s="2" t="n">
        <f aca="false">VLOOKUP(A10,OptionBoard!$A$2:$M$86,10,0)</f>
        <v>0.010958904109589</v>
      </c>
      <c r="K10" s="2" t="str">
        <f aca="false">VLOOKUP(A10,OptionBoard!$A$2:$M$86,11,FALSE())</f>
        <v>PUT</v>
      </c>
      <c r="L10" s="2" t="n">
        <f aca="false">VLOOKUP(A10,OptionBoard!$A$2:$M$86,12,0)</f>
        <v>85.58</v>
      </c>
      <c r="M10" s="2" t="n">
        <f aca="false">VLOOKUP(A10,OptionBoard!$A$2:$M$86,13,0)</f>
        <v>0.17175696</v>
      </c>
      <c r="N10" s="20" t="n">
        <f aca="false">G10*P10</f>
        <v>3.82</v>
      </c>
      <c r="O10" s="21" t="s">
        <v>156</v>
      </c>
      <c r="P10" s="21" t="n">
        <f aca="false">'Mid_laeyr(test)'!G17</f>
        <v>2</v>
      </c>
      <c r="R10" s="2"/>
      <c r="S10" s="2" t="n">
        <f aca="false">VLOOKUP(A10,OptionBoard!$A$2:$G$93,7,FALSE())</f>
        <v>0.68702784</v>
      </c>
      <c r="U10" s="2" t="n">
        <f aca="false">R10-S10</f>
        <v>-0.68702784</v>
      </c>
    </row>
    <row r="11" customFormat="false" ht="13.5" hidden="false" customHeight="true" outlineLevel="0" collapsed="false">
      <c r="A11" s="2" t="str">
        <f aca="false">'Mid_laeyr(test)'!B18</f>
        <v>SOL-1MAY26-80-P-USDT</v>
      </c>
      <c r="B11" s="2" t="n">
        <f aca="false">VLOOKUP(A11,OptionBoard!$A$2:$M$86,2,FALSE())</f>
        <v>80</v>
      </c>
      <c r="C11" s="2" t="n">
        <f aca="false">VLOOKUP(A11,OptionBoard!$A$2:$M$86,3,0)</f>
        <v>-0.25249976</v>
      </c>
      <c r="D11" s="2" t="n">
        <f aca="false">VLOOKUP(A11,OptionBoard!$A$2:$M$86,4,0)</f>
        <v>0.03462278</v>
      </c>
      <c r="E11" s="2" t="n">
        <f aca="false">VLOOKUP(A11,OptionBoard!$A$2:$M$86,5,0)</f>
        <v>0.04910098</v>
      </c>
      <c r="F11" s="2" t="n">
        <f aca="false">VLOOKUP(A11,OptionBoard!$A$2:$M$86,6,0)</f>
        <v>-0.12485019</v>
      </c>
      <c r="G11" s="2" t="n">
        <v>3.77</v>
      </c>
      <c r="H11" s="2" t="n">
        <f aca="false">VLOOKUP(A11,OptionBoard!$A$2:$M$86,8,0)</f>
        <v>0.6003</v>
      </c>
      <c r="I11" s="2" t="n">
        <f aca="false">VLOOKUP(A11,OptionBoard!$A$2:$M$86,9,0)</f>
        <v>11</v>
      </c>
      <c r="J11" s="2" t="n">
        <f aca="false">VLOOKUP(A11,OptionBoard!$A$2:$M$86,10,0)</f>
        <v>0.0301369863013699</v>
      </c>
      <c r="K11" s="2" t="str">
        <f aca="false">VLOOKUP(A11,OptionBoard!$A$2:$M$86,11,FALSE())</f>
        <v>PUT</v>
      </c>
      <c r="L11" s="2" t="n">
        <f aca="false">VLOOKUP(A11,OptionBoard!$A$2:$M$86,12,0)</f>
        <v>85.58</v>
      </c>
      <c r="M11" s="2" t="n">
        <f aca="false">VLOOKUP(A11,OptionBoard!$A$2:$M$86,13,0)</f>
        <v>0.133974944545455</v>
      </c>
      <c r="N11" s="20" t="n">
        <f aca="false">G11*P11</f>
        <v>0</v>
      </c>
      <c r="O11" s="21" t="s">
        <v>156</v>
      </c>
      <c r="P11" s="21" t="n">
        <f aca="false">'Mid_laeyr(test)'!G18</f>
        <v>0</v>
      </c>
      <c r="R11" s="2"/>
      <c r="S11" s="2" t="n">
        <f aca="false">VLOOKUP(A11,OptionBoard!$A$2:$G$93,7,FALSE())</f>
        <v>1.47372439</v>
      </c>
      <c r="U11" s="2" t="n">
        <f aca="false">R11-S11</f>
        <v>-1.47372439</v>
      </c>
    </row>
    <row r="12" customFormat="false" ht="13.5" hidden="false" customHeight="true" outlineLevel="0" collapsed="false">
      <c r="A12" s="2" t="str">
        <f aca="false">'Mid_laeyr(test)'!B19</f>
        <v>SOL-29MAY26-78-P-USDT</v>
      </c>
      <c r="B12" s="2" t="n">
        <f aca="false">VLOOKUP(A12,OptionBoard!$A$2:$M$86,2,FALSE())</f>
        <v>78</v>
      </c>
      <c r="C12" s="2" t="n">
        <f aca="false">VLOOKUP(A12,OptionBoard!$A$2:$M$86,3,0)</f>
        <v>-0.29435913</v>
      </c>
      <c r="D12" s="2" t="n">
        <f aca="false">VLOOKUP(A12,OptionBoard!$A$2:$M$86,4,0)</f>
        <v>0.01953014</v>
      </c>
      <c r="E12" s="2" t="n">
        <f aca="false">VLOOKUP(A12,OptionBoard!$A$2:$M$86,5,0)</f>
        <v>0.09718529</v>
      </c>
      <c r="F12" s="2" t="n">
        <f aca="false">VLOOKUP(A12,OptionBoard!$A$2:$M$86,6,0)</f>
        <v>-0.07641718</v>
      </c>
      <c r="G12" s="2" t="n">
        <v>5.27</v>
      </c>
      <c r="H12" s="2" t="n">
        <f aca="false">VLOOKUP(A12,OptionBoard!$A$2:$M$86,8,0)</f>
        <v>0.626</v>
      </c>
      <c r="I12" s="2" t="n">
        <f aca="false">VLOOKUP(A12,OptionBoard!$A$2:$M$86,9,0)</f>
        <v>39</v>
      </c>
      <c r="J12" s="2" t="n">
        <f aca="false">VLOOKUP(A12,OptionBoard!$A$2:$M$86,10,0)</f>
        <v>0.106849315068493</v>
      </c>
      <c r="K12" s="2" t="str">
        <f aca="false">VLOOKUP(A12,OptionBoard!$A$2:$M$86,11,FALSE())</f>
        <v>PUT</v>
      </c>
      <c r="L12" s="2" t="n">
        <f aca="false">VLOOKUP(A12,OptionBoard!$A$2:$M$86,12,0)</f>
        <v>85.58</v>
      </c>
      <c r="M12" s="2" t="n">
        <f aca="false">VLOOKUP(A12,OptionBoard!$A$2:$M$86,13,0)</f>
        <v>0.0939727212820513</v>
      </c>
      <c r="N12" s="20" t="n">
        <f aca="false">G12*P12</f>
        <v>0</v>
      </c>
      <c r="O12" s="21" t="s">
        <v>156</v>
      </c>
      <c r="P12" s="21" t="n">
        <f aca="false">'Mid_laeyr(test)'!G19</f>
        <v>0</v>
      </c>
      <c r="R12" s="2"/>
      <c r="S12" s="2" t="n">
        <f aca="false">VLOOKUP(A12,OptionBoard!$A$2:$G$93,7,FALSE())</f>
        <v>3.66493613</v>
      </c>
      <c r="U12" s="2"/>
    </row>
    <row r="13" customFormat="false" ht="13.5" hidden="false" customHeight="true" outlineLevel="0" collapsed="false">
      <c r="A13" s="2" t="str">
        <f aca="false">'Mid_laeyr(test)'!B20</f>
        <v>SOL-29MAY26-80-P-USDT</v>
      </c>
      <c r="B13" s="2" t="n">
        <f aca="false">VLOOKUP(A13,OptionBoard!$A$2:$M$86,2,FALSE())</f>
        <v>80</v>
      </c>
      <c r="C13" s="2" t="n">
        <f aca="false">VLOOKUP(A13,OptionBoard!$A$2:$M$86,3,0)</f>
        <v>-0.33717089</v>
      </c>
      <c r="D13" s="2" t="n">
        <f aca="false">VLOOKUP(A13,OptionBoard!$A$2:$M$86,4,0)</f>
        <v>0.02088712</v>
      </c>
      <c r="E13" s="2" t="n">
        <f aca="false">VLOOKUP(A13,OptionBoard!$A$2:$M$86,5,0)</f>
        <v>0.10297765</v>
      </c>
      <c r="F13" s="2" t="n">
        <f aca="false">VLOOKUP(A13,OptionBoard!$A$2:$M$86,6,0)</f>
        <v>-0.08022369</v>
      </c>
      <c r="G13" s="2" t="n">
        <v>6.05</v>
      </c>
      <c r="H13" s="2" t="n">
        <f aca="false">VLOOKUP(A13,OptionBoard!$A$2:$M$86,8,0)</f>
        <v>0.6202</v>
      </c>
      <c r="I13" s="2" t="n">
        <f aca="false">VLOOKUP(A13,OptionBoard!$A$2:$M$86,9,0)</f>
        <v>39</v>
      </c>
      <c r="J13" s="2" t="n">
        <f aca="false">VLOOKUP(A13,OptionBoard!$A$2:$M$86,10,0)</f>
        <v>0.106849315068493</v>
      </c>
      <c r="K13" s="2" t="str">
        <f aca="false">VLOOKUP(A13,OptionBoard!$A$2:$M$86,11,FALSE())</f>
        <v>PUT</v>
      </c>
      <c r="L13" s="2" t="n">
        <f aca="false">VLOOKUP(A13,OptionBoard!$A$2:$M$86,12,0)</f>
        <v>85.58</v>
      </c>
      <c r="M13" s="2" t="n">
        <f aca="false">VLOOKUP(A13,OptionBoard!$A$2:$M$86,13,0)</f>
        <v>0.112583123076923</v>
      </c>
      <c r="N13" s="20" t="n">
        <f aca="false">G13*P13</f>
        <v>0</v>
      </c>
      <c r="O13" s="21" t="s">
        <v>156</v>
      </c>
      <c r="P13" s="21" t="n">
        <f aca="false">'Mid_laeyr(test)'!G20</f>
        <v>0</v>
      </c>
      <c r="R13" s="2"/>
      <c r="S13" s="2" t="n">
        <f aca="false">VLOOKUP(A13,OptionBoard!$A$2:$G$93,7,FALSE())</f>
        <v>4.3907418</v>
      </c>
      <c r="U13" s="2"/>
    </row>
    <row r="14" customFormat="false" ht="13.5" hidden="false" customHeight="true" outlineLevel="0" collapsed="false">
      <c r="N14" s="20"/>
      <c r="O14" s="21"/>
      <c r="P14" s="21"/>
    </row>
    <row r="15" customFormat="false" ht="13.5" hidden="false" customHeight="true" outlineLevel="0" collapsed="false">
      <c r="B15" s="3"/>
      <c r="C15" s="22"/>
      <c r="D15" s="22"/>
      <c r="E15" s="22"/>
      <c r="F15" s="22"/>
      <c r="G15" s="22"/>
      <c r="H15" s="3"/>
      <c r="I15" s="3"/>
      <c r="J15" s="22"/>
      <c r="K15" s="3"/>
      <c r="L15" s="3"/>
      <c r="M15" s="3"/>
      <c r="N15" s="3"/>
      <c r="O15" s="3"/>
      <c r="P15" s="3"/>
    </row>
    <row r="16" customFormat="false" ht="13.5" hidden="false" customHeight="true" outlineLevel="0" collapsed="false">
      <c r="A16" s="2" t="s">
        <v>157</v>
      </c>
      <c r="C16" s="2" t="e">
        <f aca="false"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>#N/A</v>
      </c>
      <c r="D16" s="2" t="e">
        <f aca="false"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>#N/A</v>
      </c>
      <c r="E16" s="2" t="e">
        <f aca="false"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>#N/A</v>
      </c>
      <c r="F16" s="2" t="e">
        <f aca="false"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>#N/A</v>
      </c>
      <c r="G16" s="2" t="n">
        <f aca="false"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>47.58</v>
      </c>
      <c r="H16" s="2"/>
      <c r="M16" s="2" t="e">
        <f aca="false">M2*P2+M3*P3+M5*P5+M4*P4+M6*P6+M7*P7+M8*P8+M9*P9+M10*P10+M11*P11+M12*P12+M13*P13</f>
        <v>#N/A</v>
      </c>
      <c r="S16" s="2" t="e">
        <f aca="false">F16/C16</f>
        <v>#N/A</v>
      </c>
    </row>
    <row r="18" customFormat="false" ht="17.25" hidden="false" customHeight="true" outlineLevel="0" collapsed="false">
      <c r="A18" s="2" t="str">
        <f aca="false">A2</f>
        <v>SOL-29MAY26-60-P-USDT</v>
      </c>
      <c r="B18" s="23"/>
      <c r="C18" s="19" t="s">
        <v>13</v>
      </c>
      <c r="D18" s="19" t="s">
        <v>14</v>
      </c>
      <c r="E18" s="19" t="s">
        <v>15</v>
      </c>
      <c r="F18" s="19" t="s">
        <v>16</v>
      </c>
      <c r="G18" s="19" t="s">
        <v>17</v>
      </c>
      <c r="I18" s="19" t="s">
        <v>158</v>
      </c>
      <c r="J18" s="19" t="s">
        <v>159</v>
      </c>
    </row>
    <row r="19" customFormat="false" ht="13.5" hidden="false" customHeight="true" outlineLevel="0" collapsed="false">
      <c r="B19" s="24" t="n">
        <f aca="false">Portfolio!B28</f>
        <v>83</v>
      </c>
      <c r="C19" s="25" t="n">
        <f aca="false">IF($O$2="sell",-1,1) *  IF($K$2="call",  NORMDIST(I19,0,1,1),  NORMDIST(I19,0,1,1)-1  ) * $P$2</f>
        <v>-0.4619331247266</v>
      </c>
      <c r="D19" s="25" t="n">
        <f aca="false">IF($O$2="sell",-1,1) * NORMDIST(I19,0,1,0)/(B19*$H$2*SQRT($J$2)) * $P$2</f>
        <v>0.0463324247468739</v>
      </c>
      <c r="E19" s="25" t="n">
        <f aca="false">IF($O$2="sell",-1,1) * (B19*NORMDIST(I19,0,1,0)*SQRT($J$2)/365) * $P$2</f>
        <v>0.0667515781454018</v>
      </c>
      <c r="F19" s="25" t="n">
        <f aca="false">IF($O$2="sell",-1,1) * (-(B19*NORMDIST(I19,0,1,0)*$H$2)/(2*SQRT($J$2))/365) *$P$2</f>
        <v>-0.223152237319005</v>
      </c>
      <c r="G19" s="25" t="n">
        <f aca="false">IF($O$2="buy",1,-1)*( IF($K$2="call",B19*NORMDIST(I19,0,1,1) - $B$2*NORMDIST(J19,0,1,1),$B$2*NORMDIST(-J19,0,1,1) - B19*NORMDIST(-I19,0,1,1) ) - $G$2) * $P$2</f>
        <v>0.0371681514398162</v>
      </c>
      <c r="I19" s="26" t="n">
        <f aca="false">(LN(B19/$B$2)+($H$2^2/2)*($J$2))/($H$2*SQRT($J$2))</f>
        <v>1.50633618803496</v>
      </c>
      <c r="J19" s="26" t="n">
        <f aca="false">I19 - $H$2*SQRT($J$2)</f>
        <v>1.27281444847028</v>
      </c>
    </row>
    <row r="20" customFormat="false" ht="13.5" hidden="false" customHeight="true" outlineLevel="0" collapsed="false">
      <c r="B20" s="24" t="n">
        <f aca="false">Portfolio!B29</f>
        <v>82</v>
      </c>
      <c r="C20" s="25" t="n">
        <f aca="false">IF($O$2="sell",-1,1) *  IF($K$2="call",  NORMDIST(I20,0,1,1),  NORMDIST(I20,0,1,1)-1  ) * $P$2</f>
        <v>-0.510395516358415</v>
      </c>
      <c r="D20" s="25" t="n">
        <f aca="false">IF($O$2="sell",-1,1) * NORMDIST(I20,0,1,0)/(B20*$H$2*SQRT($J$2)) * $P$2</f>
        <v>0.0506432165014909</v>
      </c>
      <c r="E20" s="25" t="n">
        <f aca="false">IF($O$2="sell",-1,1) * (B20*NORMDIST(I20,0,1,0)*SQRT($J$2)/365) * $P$2</f>
        <v>0.0712146443900413</v>
      </c>
      <c r="F20" s="25" t="n">
        <f aca="false">IF($O$2="sell",-1,1) * (-(B20*NORMDIST(I20,0,1,0)*$H$2)/(2*SQRT($J$2))/365) *$P$2</f>
        <v>-0.238072382212431</v>
      </c>
      <c r="G20" s="25" t="n">
        <f aca="false">IF($O$2="buy",1,-1)*( IF($K$2="call",B20*NORMDIST(I20,0,1,1) - $B$2*NORMDIST(J20,0,1,1),$B$2*NORMDIST(-J20,0,1,1) - B20*NORMDIST(-I20,0,1,1) ) - $G$2) * $P$2</f>
        <v>0.522973252855641</v>
      </c>
      <c r="I20" s="26" t="n">
        <f aca="false">(LN(B20/$B$2)+($H$2^2/2)*($J$2))/($H$2*SQRT($J$2))</f>
        <v>1.45442941243907</v>
      </c>
      <c r="J20" s="26" t="n">
        <f aca="false">I20 - $H$2*SQRT($J$2)</f>
        <v>1.22090767287439</v>
      </c>
      <c r="L20" s="2"/>
    </row>
    <row r="21" customFormat="false" ht="13.5" hidden="false" customHeight="true" outlineLevel="0" collapsed="false">
      <c r="B21" s="24" t="n">
        <f aca="false">Portfolio!B30</f>
        <v>81</v>
      </c>
      <c r="C21" s="25" t="n">
        <f aca="false">IF($O$2="sell",-1,1) *  IF($K$2="call",  NORMDIST(I21,0,1,1),  NORMDIST(I21,0,1,1)-1  ) * $P$2</f>
        <v>-0.563322805473309</v>
      </c>
      <c r="D21" s="25" t="n">
        <f aca="false">IF($O$2="sell",-1,1) * NORMDIST(I21,0,1,0)/(B21*$H$2*SQRT($J$2)) * $P$2</f>
        <v>0.0552636874358834</v>
      </c>
      <c r="E21" s="25" t="n">
        <f aca="false">IF($O$2="sell",-1,1) * (B21*NORMDIST(I21,0,1,0)*SQRT($J$2)/365) * $P$2</f>
        <v>0.0758281082386875</v>
      </c>
      <c r="F21" s="25" t="n">
        <f aca="false">IF($O$2="sell",-1,1) * (-(B21*NORMDIST(I21,0,1,0)*$H$2)/(2*SQRT($J$2))/365) *$P$2</f>
        <v>-0.2534953101524</v>
      </c>
      <c r="G21" s="25" t="n">
        <f aca="false">IF($O$2="buy",1,-1)*( IF($K$2="call",B21*NORMDIST(I21,0,1,1) - $B$2*NORMDIST(J21,0,1,1),$B$2*NORMDIST(-J21,0,1,1) - B21*NORMDIST(-I21,0,1,1) ) - $G$2) * $P$2</f>
        <v>1.05944738537698</v>
      </c>
      <c r="I21" s="26" t="n">
        <f aca="false">(LN(B21/$B$2)+($H$2^2/2)*($J$2))/($H$2*SQRT($J$2))</f>
        <v>1.40188572800657</v>
      </c>
      <c r="J21" s="26" t="n">
        <f aca="false">I21 - $H$2*SQRT($J$2)</f>
        <v>1.16836398844189</v>
      </c>
      <c r="L21" s="2"/>
      <c r="M21" s="27"/>
    </row>
    <row r="22" customFormat="false" ht="13.5" hidden="false" customHeight="true" outlineLevel="0" collapsed="false">
      <c r="B22" s="24" t="n">
        <f aca="false">Portfolio!B31</f>
        <v>80</v>
      </c>
      <c r="C22" s="25" t="n">
        <f aca="false">IF($O$2="sell",-1,1) *  IF($K$2="call",  NORMDIST(I22,0,1,1),  NORMDIST(I22,0,1,1)-1  ) * $P$2</f>
        <v>-0.621028731670164</v>
      </c>
      <c r="D22" s="25" t="n">
        <f aca="false">IF($O$2="sell",-1,1) * NORMDIST(I22,0,1,0)/(B22*$H$2*SQRT($J$2)) * $P$2</f>
        <v>0.0602016003247905</v>
      </c>
      <c r="E22" s="25" t="n">
        <f aca="false">IF($O$2="sell",-1,1) * (B22*NORMDIST(I22,0,1,0)*SQRT($J$2)/365) * $P$2</f>
        <v>0.0805764879617097</v>
      </c>
      <c r="F22" s="25" t="n">
        <f aca="false">IF($O$2="sell",-1,1) * (-(B22*NORMDIST(I22,0,1,0)*$H$2)/(2*SQRT($J$2))/365) *$P$2</f>
        <v>-0.269369265319789</v>
      </c>
      <c r="G22" s="25" t="n">
        <f aca="false">IF($O$2="buy",1,-1)*( IF($K$2="call",B22*NORMDIST(I22,0,1,1) - $B$2*NORMDIST(J22,0,1,1),$B$2*NORMDIST(-J22,0,1,1) - B22*NORMDIST(-I22,0,1,1) ) - $G$2) * $P$2</f>
        <v>1.65121166875037</v>
      </c>
      <c r="I22" s="26" t="n">
        <f aca="false">(LN(B22/$B$2)+($H$2^2/2)*($J$2))/($H$2*SQRT($J$2))</f>
        <v>1.34868931031238</v>
      </c>
      <c r="J22" s="26" t="n">
        <f aca="false">I22 - $H$2*SQRT($J$2)</f>
        <v>1.1151675707477</v>
      </c>
      <c r="L22" s="2"/>
      <c r="M22" s="27"/>
      <c r="N22" s="27"/>
    </row>
    <row r="23" customFormat="false" ht="13.5" hidden="false" customHeight="true" outlineLevel="0" collapsed="false">
      <c r="B23" s="24" t="n">
        <f aca="false">Portfolio!B32</f>
        <v>79</v>
      </c>
      <c r="C23" s="25" t="n">
        <f aca="false">IF($O$2="sell",-1,1) *  IF($K$2="call",  NORMDIST(I23,0,1,1),  NORMDIST(I23,0,1,1)-1  ) * $P$2</f>
        <v>-0.683833644351512</v>
      </c>
      <c r="D23" s="25" t="n">
        <f aca="false">IF($O$2="sell",-1,1) * NORMDIST(I23,0,1,0)/(B23*$H$2*SQRT($J$2)) * $P$2</f>
        <v>0.065462331760472</v>
      </c>
      <c r="E23" s="25" t="n">
        <f aca="false">IF($O$2="sell",-1,1) * (B23*NORMDIST(I23,0,1,0)*SQRT($J$2)/365) * $P$2</f>
        <v>0.0854409320576963</v>
      </c>
      <c r="F23" s="25" t="n">
        <f aca="false">IF($O$2="sell",-1,1) * (-(B23*NORMDIST(I23,0,1,0)*$H$2)/(2*SQRT($J$2))/365) *$P$2</f>
        <v>-0.285631226662008</v>
      </c>
      <c r="G23" s="25" t="n">
        <f aca="false">IF($O$2="buy",1,-1)*( IF($K$2="call",B23*NORMDIST(I23,0,1,1) - $B$2*NORMDIST(J23,0,1,1),$B$2*NORMDIST(-J23,0,1,1) - B23*NORMDIST(-I23,0,1,1) ) - $G$2) * $P$2</f>
        <v>2.30320446601081</v>
      </c>
      <c r="I23" s="26" t="n">
        <f aca="false">(LN(B23/$B$2)+($H$2^2/2)*($J$2))/($H$2*SQRT($J$2))</f>
        <v>1.29482373775238</v>
      </c>
      <c r="J23" s="26" t="n">
        <f aca="false">I23 - $H$2*SQRT($J$2)</f>
        <v>1.06130199818769</v>
      </c>
      <c r="L23" s="2"/>
      <c r="M23" s="27"/>
      <c r="N23" s="27"/>
    </row>
    <row r="24" customFormat="false" ht="13.5" hidden="false" customHeight="true" outlineLevel="0" collapsed="false">
      <c r="B24" s="24" t="n">
        <f aca="false">Portfolio!B33</f>
        <v>78</v>
      </c>
      <c r="C24" s="25" t="n">
        <f aca="false">IF($O$2="sell",-1,1) *  IF($K$2="call",  NORMDIST(I24,0,1,1),  NORMDIST(I24,0,1,1)-1  ) * $P$2</f>
        <v>-0.752061868644482</v>
      </c>
      <c r="D24" s="25" t="n">
        <f aca="false">IF($O$2="sell",-1,1) * NORMDIST(I24,0,1,0)/(B24*$H$2*SQRT($J$2)) * $P$2</f>
        <v>0.0710483692781321</v>
      </c>
      <c r="E24" s="25" t="n">
        <f aca="false">IF($O$2="sell",-1,1) * (B24*NORMDIST(I24,0,1,0)*SQRT($J$2)/365) * $P$2</f>
        <v>0.090399003621677</v>
      </c>
      <c r="F24" s="25" t="n">
        <f aca="false">IF($O$2="sell",-1,1) * (-(B24*NORMDIST(I24,0,1,0)*$H$2)/(2*SQRT($J$2))/365) *$P$2</f>
        <v>-0.302206187030436</v>
      </c>
      <c r="G24" s="25" t="n">
        <f aca="false">IF($O$2="buy",1,-1)*( IF($K$2="call",B24*NORMDIST(I24,0,1,1) - $B$2*NORMDIST(J24,0,1,1),$B$2*NORMDIST(-J24,0,1,1) - B24*NORMDIST(-I24,0,1,1) ) - $G$2) * $P$2</f>
        <v>3.02068671815603</v>
      </c>
      <c r="I24" s="26" t="n">
        <f aca="false">(LN(B24/$B$2)+($H$2^2/2)*($J$2))/($H$2*SQRT($J$2))</f>
        <v>1.24027196111189</v>
      </c>
      <c r="J24" s="26" t="n">
        <f aca="false">I24 - $H$2*SQRT($J$2)</f>
        <v>1.00675022154721</v>
      </c>
      <c r="L24" s="2"/>
      <c r="M24" s="27"/>
      <c r="N24" s="27"/>
    </row>
    <row r="25" customFormat="false" ht="13.5" hidden="false" customHeight="true" outlineLevel="0" collapsed="false">
      <c r="B25" s="24" t="n">
        <f aca="false">Portfolio!B34</f>
        <v>77</v>
      </c>
      <c r="C25" s="25" t="n">
        <f aca="false">IF($O$2="sell",-1,1) *  IF($K$2="call",  NORMDIST(I25,0,1,1),  NORMDIST(I25,0,1,1)-1  ) * $P$2</f>
        <v>-0.826038547766945</v>
      </c>
      <c r="D25" s="25" t="n">
        <f aca="false">IF($O$2="sell",-1,1) * NORMDIST(I25,0,1,0)/(B25*$H$2*SQRT($J$2)) * $P$2</f>
        <v>0.0769587677492967</v>
      </c>
      <c r="E25" s="25" t="n">
        <f aca="false">IF($O$2="sell",-1,1) * (B25*NORMDIST(I25,0,1,0)*SQRT($J$2)/365) * $P$2</f>
        <v>0.0954244970425419</v>
      </c>
      <c r="F25" s="25" t="n">
        <f aca="false">IF($O$2="sell",-1,1) * (-(B25*NORMDIST(I25,0,1,0)*$H$2)/(2*SQRT($J$2))/365) *$P$2</f>
        <v>-0.319006540395193</v>
      </c>
      <c r="G25" s="25" t="n">
        <f aca="false">IF($O$2="buy",1,-1)*( IF($K$2="call",B25*NORMDIST(I25,0,1,1) - $B$2*NORMDIST(J25,0,1,1),$B$2*NORMDIST(-J25,0,1,1) - B25*NORMDIST(-I25,0,1,1) ) - $G$2) * $P$2</f>
        <v>3.80924438636137</v>
      </c>
      <c r="I25" s="26" t="n">
        <f aca="false">(LN(B25/$B$2)+($H$2^2/2)*($J$2))/($H$2*SQRT($J$2))</f>
        <v>1.18501627117073</v>
      </c>
      <c r="J25" s="26" t="n">
        <f aca="false">I25 - $H$2*SQRT($J$2)</f>
        <v>0.951494531606045</v>
      </c>
      <c r="L25" s="2"/>
      <c r="M25" s="27"/>
      <c r="N25" s="27"/>
    </row>
    <row r="26" customFormat="false" ht="13.5" hidden="false" customHeight="true" outlineLevel="0" collapsed="false">
      <c r="B26" s="24" t="n">
        <f aca="false">Portfolio!B35</f>
        <v>76</v>
      </c>
      <c r="C26" s="25" t="n">
        <f aca="false">IF($O$2="sell",-1,1) *  IF($K$2="call",  NORMDIST(I26,0,1,1),  NORMDIST(I26,0,1,1)-1  ) * $P$2</f>
        <v>-0.906085923331129</v>
      </c>
      <c r="D26" s="25" t="n">
        <f aca="false">IF($O$2="sell",-1,1) * NORMDIST(I26,0,1,0)/(B26*$H$2*SQRT($J$2)) * $P$2</f>
        <v>0.0831885698425578</v>
      </c>
      <c r="E26" s="25" t="n">
        <f aca="false">IF($O$2="sell",-1,1) * (B26*NORMDIST(I26,0,1,0)*SQRT($J$2)/365) * $P$2</f>
        <v>0.100487297533247</v>
      </c>
      <c r="F26" s="25" t="n">
        <f aca="false">IF($O$2="sell",-1,1) * (-(B26*NORMDIST(I26,0,1,0)*$H$2)/(2*SQRT($J$2))/365) *$P$2</f>
        <v>-0.335931612251016</v>
      </c>
      <c r="G26" s="25" t="n">
        <f aca="false">IF($O$2="buy",1,-1)*( IF($K$2="call",B26*NORMDIST(I26,0,1,1) - $B$2*NORMDIST(J26,0,1,1),$B$2*NORMDIST(-J26,0,1,1) - B26*NORMDIST(-I26,0,1,1) ) - $G$2) * $P$2</f>
        <v>4.67478745852696</v>
      </c>
      <c r="I26" s="26" t="n">
        <f aca="false">(LN(B26/$B$2)+($H$2^2/2)*($J$2))/($H$2*SQRT($J$2))</f>
        <v>1.12903826419064</v>
      </c>
      <c r="J26" s="26" t="n">
        <f aca="false">I26 - $H$2*SQRT($J$2)</f>
        <v>0.895516524625962</v>
      </c>
      <c r="L26" s="2"/>
      <c r="M26" s="27"/>
      <c r="N26" s="27"/>
    </row>
    <row r="27" customFormat="false" ht="13.5" hidden="false" customHeight="true" outlineLevel="0" collapsed="false">
      <c r="B27" s="24" t="n">
        <f aca="false">Portfolio!B36</f>
        <v>75</v>
      </c>
      <c r="C27" s="25" t="n">
        <f aca="false">IF($O$2="sell",-1,1) *  IF($K$2="call",  NORMDIST(I27,0,1,1),  NORMDIST(I27,0,1,1)-1  ) * $P$2</f>
        <v>-0.992519020987439</v>
      </c>
      <c r="D27" s="25" t="n">
        <f aca="false">IF($O$2="sell",-1,1) * NORMDIST(I27,0,1,0)/(B27*$H$2*SQRT($J$2)) * $P$2</f>
        <v>0.0897281976321296</v>
      </c>
      <c r="E27" s="25" t="n">
        <f aca="false">IF($O$2="sell",-1,1) * (B27*NORMDIST(I27,0,1,0)*SQRT($J$2)/365) * $P$2</f>
        <v>0.105553294991209</v>
      </c>
      <c r="F27" s="25" t="n">
        <f aca="false">IF($O$2="sell",-1,1) * (-(B27*NORMDIST(I27,0,1,0)*$H$2)/(2*SQRT($J$2))/365) *$P$2</f>
        <v>-0.352867371650355</v>
      </c>
      <c r="G27" s="25" t="n">
        <f aca="false">IF($O$2="buy",1,-1)*( IF($K$2="call",B27*NORMDIST(I27,0,1,1) - $B$2*NORMDIST(J27,0,1,1),$B$2*NORMDIST(-J27,0,1,1) - B27*NORMDIST(-I27,0,1,1) ) - $G$2) * $P$2</f>
        <v>5.62354494120675</v>
      </c>
      <c r="I27" s="26" t="n">
        <f aca="false">(LN(B27/$B$2)+($H$2^2/2)*($J$2))/($H$2*SQRT($J$2))</f>
        <v>1.0723188051171</v>
      </c>
      <c r="J27" s="26" t="n">
        <f aca="false">I27 - $H$2*SQRT($J$2)</f>
        <v>0.838797065552423</v>
      </c>
      <c r="L27" s="2"/>
      <c r="M27" s="27"/>
      <c r="N27" s="27"/>
    </row>
    <row r="28" customFormat="false" ht="13.5" hidden="false" customHeight="true" outlineLevel="0" collapsed="false">
      <c r="B28" s="24" t="n">
        <f aca="false">Portfolio!B37</f>
        <v>74</v>
      </c>
      <c r="C28" s="25" t="n">
        <f aca="false">IF($O$2="sell",-1,1) *  IF($K$2="call",  NORMDIST(I28,0,1,1),  NORMDIST(I28,0,1,1)-1  ) * $P$2</f>
        <v>-1.08564071718017</v>
      </c>
      <c r="D28" s="25" t="n">
        <f aca="false">IF($O$2="sell",-1,1) * NORMDIST(I28,0,1,0)/(B28*$H$2*SQRT($J$2)) * $P$2</f>
        <v>0.0965628250707844</v>
      </c>
      <c r="E28" s="25" t="n">
        <f aca="false">IF($O$2="sell",-1,1) * (B28*NORMDIST(I28,0,1,0)*SQRT($J$2)/365) * $P$2</f>
        <v>0.11058436451934</v>
      </c>
      <c r="F28" s="25" t="n">
        <f aca="false">IF($O$2="sell",-1,1) * (-(B28*NORMDIST(I28,0,1,0)*$H$2)/(2*SQRT($J$2))/365) *$P$2</f>
        <v>-0.369686366084681</v>
      </c>
      <c r="G28" s="25" t="n">
        <f aca="false">IF($O$2="buy",1,-1)*( IF($K$2="call",B28*NORMDIST(I28,0,1,1) - $B$2*NORMDIST(J28,0,1,1),$B$2*NORMDIST(-J28,0,1,1) - B28*NORMDIST(-I28,0,1,1) ) - $G$2) * $P$2</f>
        <v>6.66205522933602</v>
      </c>
      <c r="I28" s="26" t="n">
        <f aca="false">(LN(B28/$B$2)+($H$2^2/2)*($J$2))/($H$2*SQRT($J$2))</f>
        <v>1.01483798831108</v>
      </c>
      <c r="J28" s="26" t="n">
        <f aca="false">I28 - $H$2*SQRT($J$2)</f>
        <v>0.781316248746403</v>
      </c>
      <c r="L28" s="2"/>
      <c r="M28" s="27"/>
      <c r="N28" s="27"/>
    </row>
    <row r="29" customFormat="false" ht="13.5" hidden="false" customHeight="true" outlineLevel="0" collapsed="false">
      <c r="B29" s="24" t="n">
        <f aca="false">Portfolio!B38</f>
        <v>73</v>
      </c>
      <c r="C29" s="25" t="n">
        <f aca="false">IF($O$2="sell",-1,1) *  IF($K$2="call",  NORMDIST(I29,0,1,1),  NORMDIST(I29,0,1,1)-1  ) * $P$2</f>
        <v>-1.18573617396677</v>
      </c>
      <c r="D29" s="25" t="n">
        <f aca="false">IF($O$2="sell",-1,1) * NORMDIST(I29,0,1,0)/(B29*$H$2*SQRT($J$2)) * $P$2</f>
        <v>0.103671744026634</v>
      </c>
      <c r="E29" s="25" t="n">
        <f aca="false">IF($O$2="sell",-1,1) * (B29*NORMDIST(I29,0,1,0)*SQRT($J$2)/365) * $P$2</f>
        <v>0.115538426534899</v>
      </c>
      <c r="F29" s="25" t="n">
        <f aca="false">IF($O$2="sell",-1,1) * (-(B29*NORMDIST(I29,0,1,0)*$H$2)/(2*SQRT($J$2))/365) *$P$2</f>
        <v>-0.386247922429924</v>
      </c>
      <c r="G29" s="25" t="n">
        <f aca="false">IF($O$2="buy",1,-1)*( IF($K$2="call",B29*NORMDIST(I29,0,1,1) - $B$2*NORMDIST(J29,0,1,1),$B$2*NORMDIST(-J29,0,1,1) - B29*NORMDIST(-I29,0,1,1) ) - $G$2) * $P$2</f>
        <v>7.79715122728755</v>
      </c>
      <c r="I29" s="26" t="n">
        <f aca="false">(LN(B29/$B$2)+($H$2^2/2)*($J$2))/($H$2*SQRT($J$2))</f>
        <v>0.956575095609353</v>
      </c>
      <c r="J29" s="26" t="n">
        <f aca="false">I29 - $H$2*SQRT($J$2)</f>
        <v>0.723053356044671</v>
      </c>
      <c r="L29" s="2"/>
      <c r="M29" s="27"/>
      <c r="N29" s="27"/>
    </row>
    <row r="30" customFormat="false" ht="13.5" hidden="false" customHeight="true" outlineLevel="0" collapsed="false">
      <c r="B30" s="24" t="n">
        <f aca="false">Portfolio!B39</f>
        <v>72</v>
      </c>
      <c r="C30" s="25" t="n">
        <f aca="false">IF($O$2="sell",-1,1) *  IF($K$2="call",  NORMDIST(I30,0,1,1),  NORMDIST(I30,0,1,1)-1  ) * $P$2</f>
        <v>-1.29306664317779</v>
      </c>
      <c r="D30" s="25" t="n">
        <f aca="false">IF($O$2="sell",-1,1) * NORMDIST(I30,0,1,0)/(B30*$H$2*SQRT($J$2)) * $P$2</f>
        <v>0.111027739884787</v>
      </c>
      <c r="E30" s="25" t="n">
        <f aca="false">IF($O$2="sell",-1,1) * (B30*NORMDIST(I30,0,1,0)*SQRT($J$2)/365) * $P$2</f>
        <v>0.120369599667807</v>
      </c>
      <c r="F30" s="25" t="n">
        <f aca="false">IF($O$2="sell",-1,1) * (-(B30*NORMDIST(I30,0,1,0)*$H$2)/(2*SQRT($J$2))/365) *$P$2</f>
        <v>-0.40239865808947</v>
      </c>
      <c r="G30" s="25" t="n">
        <f aca="false">IF($O$2="buy",1,-1)*( IF($K$2="call",B30*NORMDIST(I30,0,1,1) - $B$2*NORMDIST(J30,0,1,1),$B$2*NORMDIST(-J30,0,1,1) - B30*NORMDIST(-I30,0,1,1) ) - $G$2) * $P$2</f>
        <v>9.03593958862474</v>
      </c>
      <c r="I30" s="26" t="n">
        <f aca="false">(LN(B30/$B$2)+($H$2^2/2)*($J$2))/($H$2*SQRT($J$2))</f>
        <v>0.897508551492096</v>
      </c>
      <c r="J30" s="26" t="n">
        <f aca="false">I30 - $H$2*SQRT($J$2)</f>
        <v>0.663986811927415</v>
      </c>
      <c r="L30" s="2"/>
      <c r="M30" s="27"/>
      <c r="N30" s="27"/>
    </row>
    <row r="31" customFormat="false" ht="13.5" hidden="false" customHeight="true" outlineLevel="0" collapsed="false">
      <c r="B31" s="24" t="n">
        <f aca="false">Portfolio!B40</f>
        <v>71</v>
      </c>
      <c r="C31" s="25" t="n">
        <f aca="false">IF($O$2="sell",-1,1) *  IF($K$2="call",  NORMDIST(I31,0,1,1),  NORMDIST(I31,0,1,1)-1  ) * $P$2</f>
        <v>-1.40786265896007</v>
      </c>
      <c r="D31" s="25" t="n">
        <f aca="false">IF($O$2="sell",-1,1) * NORMDIST(I31,0,1,0)/(B31*$H$2*SQRT($J$2)) * $P$2</f>
        <v>0.118596496281805</v>
      </c>
      <c r="E31" s="25" t="n">
        <f aca="false">IF($O$2="sell",-1,1) * (B31*NORMDIST(I31,0,1,0)*SQRT($J$2)/365) * $P$2</f>
        <v>0.12502845950684</v>
      </c>
      <c r="F31" s="25" t="n">
        <f aca="false">IF($O$2="sell",-1,1) * (-(B31*NORMDIST(I31,0,1,0)*$H$2)/(2*SQRT($J$2))/365) *$P$2</f>
        <v>-0.417973345989301</v>
      </c>
      <c r="G31" s="25" t="n">
        <f aca="false">IF($O$2="buy",1,-1)*( IF($K$2="call",B31*NORMDIST(I31,0,1,1) - $B$2*NORMDIST(J31,0,1,1),$B$2*NORMDIST(-J31,0,1,1) - B31*NORMDIST(-I31,0,1,1) ) - $G$2) * $P$2</f>
        <v>10.3857734517844</v>
      </c>
      <c r="I31" s="26" t="n">
        <f aca="false">(LN(B31/$B$2)+($H$2^2/2)*($J$2))/($H$2*SQRT($J$2))</f>
        <v>0.837615875115104</v>
      </c>
      <c r="J31" s="26" t="n">
        <f aca="false">I31 - $H$2*SQRT($J$2)</f>
        <v>0.604094135550422</v>
      </c>
      <c r="L31" s="2"/>
      <c r="M31" s="27"/>
      <c r="N31" s="27"/>
    </row>
    <row r="32" customFormat="false" ht="13.5" hidden="false" customHeight="true" outlineLevel="0" collapsed="false">
      <c r="B32" s="24" t="n">
        <f aca="false">Portfolio!B41</f>
        <v>70</v>
      </c>
      <c r="C32" s="25" t="n">
        <f aca="false">IF($O$2="sell",-1,1) *  IF($K$2="call",  NORMDIST(I32,0,1,1),  NORMDIST(I32,0,1,1)-1  ) * $P$2</f>
        <v>-1.53031665917688</v>
      </c>
      <c r="D32" s="25" t="n">
        <f aca="false">IF($O$2="sell",-1,1) * NORMDIST(I32,0,1,0)/(B32*$H$2*SQRT($J$2)) * $P$2</f>
        <v>0.126336052288939</v>
      </c>
      <c r="E32" s="25" t="n">
        <f aca="false">IF($O$2="sell",-1,1) * (B32*NORMDIST(I32,0,1,0)*SQRT($J$2)/365) * $P$2</f>
        <v>0.129462415588832</v>
      </c>
      <c r="F32" s="25" t="n">
        <f aca="false">IF($O$2="sell",-1,1) * (-(B32*NORMDIST(I32,0,1,0)*$H$2)/(2*SQRT($J$2))/365) *$P$2</f>
        <v>-0.432796174862583</v>
      </c>
      <c r="G32" s="25" t="n">
        <f aca="false">IF($O$2="buy",1,-1)*( IF($K$2="call",B32*NORMDIST(I32,0,1,1) - $B$2*NORMDIST(J32,0,1,1),$B$2*NORMDIST(-J32,0,1,1) - B32*NORMDIST(-I32,0,1,1) ) - $G$2) * $P$2</f>
        <v>11.8542180783657</v>
      </c>
      <c r="I32" s="26" t="n">
        <f aca="false">(LN(B32/$B$2)+($H$2^2/2)*($J$2))/($H$2*SQRT($J$2))</f>
        <v>0.776873628939657</v>
      </c>
      <c r="J32" s="26" t="n">
        <f aca="false">I32 - $H$2*SQRT($J$2)</f>
        <v>0.543351889374975</v>
      </c>
      <c r="L32" s="2"/>
      <c r="M32" s="27"/>
      <c r="N32" s="27"/>
    </row>
    <row r="33" customFormat="false" ht="13.5" hidden="false" customHeight="true" outlineLevel="0" collapsed="false">
      <c r="B33" s="24" t="n">
        <f aca="false">Portfolio!B42</f>
        <v>69</v>
      </c>
      <c r="C33" s="25" t="n">
        <f aca="false">IF($O$2="sell",-1,1) *  IF($K$2="call",  NORMDIST(I33,0,1,1),  NORMDIST(I33,0,1,1)-1  ) * $P$2</f>
        <v>-1.66057510136004</v>
      </c>
      <c r="D33" s="25" t="n">
        <f aca="false">IF($O$2="sell",-1,1) * NORMDIST(I33,0,1,0)/(B33*$H$2*SQRT($J$2)) * $P$2</f>
        <v>0.134196339168508</v>
      </c>
      <c r="E33" s="25" t="n">
        <f aca="false">IF($O$2="sell",-1,1) * (B33*NORMDIST(I33,0,1,0)*SQRT($J$2)/365) * $P$2</f>
        <v>0.133616217736906</v>
      </c>
      <c r="F33" s="25" t="n">
        <f aca="false">IF($O$2="sell",-1,1) * (-(B33*NORMDIST(I33,0,1,0)*$H$2)/(2*SQRT($J$2))/365) *$P$2</f>
        <v>-0.446682441951342</v>
      </c>
      <c r="G33" s="25" t="n">
        <f aca="false">IF($O$2="buy",1,-1)*( IF($K$2="call",B33*NORMDIST(I33,0,1,1) - $B$2*NORMDIST(J33,0,1,1),$B$2*NORMDIST(-J33,0,1,1) - B33*NORMDIST(-I33,0,1,1) ) - $G$2) * $P$2</f>
        <v>13.4490088534684</v>
      </c>
      <c r="I33" s="26" t="n">
        <f aca="false">(LN(B33/$B$2)+($H$2^2/2)*($J$2))/($H$2*SQRT($J$2))</f>
        <v>0.715257363666358</v>
      </c>
      <c r="J33" s="26" t="n">
        <f aca="false">I33 - $H$2*SQRT($J$2)</f>
        <v>0.481735624101676</v>
      </c>
      <c r="L33" s="2"/>
      <c r="M33" s="27"/>
      <c r="N33" s="27"/>
    </row>
    <row r="34" customFormat="false" ht="13.5" hidden="false" customHeight="true" outlineLevel="0" collapsed="false">
      <c r="B34" s="24" t="n">
        <f aca="false">Portfolio!B43</f>
        <v>68</v>
      </c>
      <c r="C34" s="25" t="n">
        <f aca="false">IF($O$2="sell",-1,1) *  IF($K$2="call",  NORMDIST(I34,0,1,1),  NORMDIST(I34,0,1,1)-1  ) * $P$2</f>
        <v>-1.79873016790291</v>
      </c>
      <c r="D34" s="25" t="n">
        <f aca="false">IF($O$2="sell",-1,1) * NORMDIST(I34,0,1,0)/(B34*$H$2*SQRT($J$2)) * $P$2</f>
        <v>0.142118827533299</v>
      </c>
      <c r="E34" s="25" t="n">
        <f aca="false">IF($O$2="sell",-1,1) * (B34*NORMDIST(I34,0,1,0)*SQRT($J$2)/365) * $P$2</f>
        <v>0.137432600834175</v>
      </c>
      <c r="F34" s="25" t="n">
        <f aca="false">IF($O$2="sell",-1,1) * (-(B34*NORMDIST(I34,0,1,0)*$H$2)/(2*SQRT($J$2))/365) *$P$2</f>
        <v>-0.459440708501488</v>
      </c>
      <c r="G34" s="25" t="n">
        <f aca="false">IF($O$2="buy",1,-1)*( IF($K$2="call",B34*NORMDIST(I34,0,1,1) - $B$2*NORMDIST(J34,0,1,1),$B$2*NORMDIST(-J34,0,1,1) - B34*NORMDIST(-I34,0,1,1) ) - $G$2) * $P$2</f>
        <v>15.1780011874101</v>
      </c>
      <c r="I34" s="26" t="n">
        <f aca="false">(LN(B34/$B$2)+($H$2^2/2)*($J$2))/($H$2*SQRT($J$2))</f>
        <v>0.652741559149113</v>
      </c>
      <c r="J34" s="26" t="n">
        <f aca="false">I34 - $H$2*SQRT($J$2)</f>
        <v>0.419219819584431</v>
      </c>
      <c r="L34" s="2"/>
      <c r="M34" s="27"/>
      <c r="N34" s="27"/>
    </row>
    <row r="35" customFormat="false" ht="13.5" hidden="false" customHeight="true" outlineLevel="0" collapsed="false">
      <c r="B35" s="24" t="n">
        <f aca="false">Portfolio!B44</f>
        <v>67</v>
      </c>
      <c r="C35" s="25" t="n">
        <f aca="false">IF($O$2="sell",-1,1) *  IF($K$2="call",  NORMDIST(I35,0,1,1),  NORMDIST(I35,0,1,1)-1  ) * $P$2</f>
        <v>-1.94481118774514</v>
      </c>
      <c r="D35" s="25" t="n">
        <f aca="false">IF($O$2="sell",-1,1) * NORMDIST(I35,0,1,0)/(B35*$H$2*SQRT($J$2)) * $P$2</f>
        <v>0.150036319131405</v>
      </c>
      <c r="E35" s="25" t="n">
        <f aca="false">IF($O$2="sell",-1,1) * (B35*NORMDIST(I35,0,1,0)*SQRT($J$2)/365) * $P$2</f>
        <v>0.14085307427286</v>
      </c>
      <c r="F35" s="25" t="n">
        <f aca="false">IF($O$2="sell",-1,1) * (-(B35*NORMDIST(I35,0,1,0)*$H$2)/(2*SQRT($J$2))/365) *$P$2</f>
        <v>-0.470875438911459</v>
      </c>
      <c r="G35" s="25" t="n">
        <f aca="false">IF($O$2="buy",1,-1)*( IF($K$2="call",B35*NORMDIST(I35,0,1,1) - $B$2*NORMDIST(J35,0,1,1),$B$2*NORMDIST(-J35,0,1,1) - B35*NORMDIST(-I35,0,1,1) ) - $G$2) * $P$2</f>
        <v>17.0491119688317</v>
      </c>
      <c r="I35" s="26" t="n">
        <f aca="false">(LN(B35/$B$2)+($H$2^2/2)*($J$2))/($H$2*SQRT($J$2))</f>
        <v>0.58929956093191</v>
      </c>
      <c r="J35" s="26" t="n">
        <f aca="false">I35 - $H$2*SQRT($J$2)</f>
        <v>0.355777821367229</v>
      </c>
      <c r="L35" s="2"/>
      <c r="M35" s="27"/>
      <c r="N35" s="27"/>
    </row>
    <row r="36" customFormat="false" ht="13.5" hidden="false" customHeight="true" outlineLevel="0" collapsed="false">
      <c r="B36" s="24" t="n">
        <f aca="false">Portfolio!B45</f>
        <v>66</v>
      </c>
      <c r="C36" s="25" t="n">
        <f aca="false">IF($O$2="sell",-1,1) *  IF($K$2="call",  NORMDIST(I36,0,1,1),  NORMDIST(I36,0,1,1)-1  ) * $P$2</f>
        <v>-2.09877593749212</v>
      </c>
      <c r="D36" s="25" t="n">
        <f aca="false">IF($O$2="sell",-1,1) * NORMDIST(I36,0,1,0)/(B36*$H$2*SQRT($J$2)) * $P$2</f>
        <v>0.157872920297899</v>
      </c>
      <c r="E36" s="25" t="n">
        <f aca="false">IF($O$2="sell",-1,1) * (B36*NORMDIST(I36,0,1,0)*SQRT($J$2)/365) * $P$2</f>
        <v>0.143818858564722</v>
      </c>
      <c r="F36" s="25" t="n">
        <f aca="false">IF($O$2="sell",-1,1) * (-(B36*NORMDIST(I36,0,1,0)*$H$2)/(2*SQRT($J$2))/365) *$P$2</f>
        <v>-0.480790131844905</v>
      </c>
      <c r="G36" s="25" t="n">
        <f aca="false">IF($O$2="buy",1,-1)*( IF($K$2="call",B36*NORMDIST(I36,0,1,1) - $B$2*NORMDIST(J36,0,1,1),$B$2*NORMDIST(-J36,0,1,1) - B36*NORMDIST(-I36,0,1,1) ) - $G$2) * $P$2</f>
        <v>19.0702523640711</v>
      </c>
      <c r="I36" s="26" t="n">
        <f aca="false">(LN(B36/$B$2)+($H$2^2/2)*($J$2))/($H$2*SQRT($J$2))</f>
        <v>0.524903512013411</v>
      </c>
      <c r="J36" s="26" t="n">
        <f aca="false">I36 - $H$2*SQRT($J$2)</f>
        <v>0.291381772448729</v>
      </c>
      <c r="L36" s="2"/>
      <c r="M36" s="27"/>
      <c r="N36" s="27"/>
    </row>
    <row r="37" customFormat="false" ht="13.5" hidden="false" customHeight="true" outlineLevel="0" collapsed="false">
      <c r="B37" s="24" t="n">
        <f aca="false">Portfolio!B46</f>
        <v>65</v>
      </c>
      <c r="C37" s="25" t="n">
        <f aca="false">IF($O$2="sell",-1,1) *  IF($K$2="call",  NORMDIST(I37,0,1,1),  NORMDIST(I37,0,1,1)-1  ) * $P$2</f>
        <v>-2.26050202300861</v>
      </c>
      <c r="D37" s="25" t="n">
        <f aca="false">IF($O$2="sell",-1,1) * NORMDIST(I37,0,1,0)/(B37*$H$2*SQRT($J$2)) * $P$2</f>
        <v>0.165544236048341</v>
      </c>
      <c r="E37" s="25" t="n">
        <f aca="false">IF($O$2="sell",-1,1) * (B37*NORMDIST(I37,0,1,0)*SQRT($J$2)/365) * $P$2</f>
        <v>0.146271966882581</v>
      </c>
      <c r="F37" s="25" t="n">
        <f aca="false">IF($O$2="sell",-1,1) * (-(B37*NORMDIST(I37,0,1,0)*$H$2)/(2*SQRT($J$2))/365) *$P$2</f>
        <v>-0.488990935851721</v>
      </c>
      <c r="G37" s="25" t="n">
        <f aca="false">IF($O$2="buy",1,-1)*( IF($K$2="call",B37*NORMDIST(I37,0,1,1) - $B$2*NORMDIST(J37,0,1,1),$B$2*NORMDIST(-J37,0,1,1) - B37*NORMDIST(-I37,0,1,1) ) - $G$2) * $P$2</f>
        <v>21.2492519395061</v>
      </c>
      <c r="I37" s="26" t="n">
        <f aca="false">(LN(B37/$B$2)+($H$2^2/2)*($J$2))/($H$2*SQRT($J$2))</f>
        <v>0.459524279402137</v>
      </c>
      <c r="J37" s="26" t="n">
        <f aca="false">I37 - $H$2*SQRT($J$2)</f>
        <v>0.226002539837455</v>
      </c>
      <c r="L37" s="2"/>
      <c r="M37" s="27"/>
      <c r="N37" s="27"/>
    </row>
    <row r="38" customFormat="false" ht="13.5" hidden="false" customHeight="true" outlineLevel="0" collapsed="false">
      <c r="B38" s="24" t="n">
        <f aca="false">Portfolio!B47</f>
        <v>64</v>
      </c>
      <c r="C38" s="25" t="n">
        <f aca="false">IF($O$2="sell",-1,1) *  IF($K$2="call",  NORMDIST(I38,0,1,1),  NORMDIST(I38,0,1,1)-1  ) * $P$2</f>
        <v>-2.42977858196428</v>
      </c>
      <c r="D38" s="25" t="n">
        <f aca="false">IF($O$2="sell",-1,1) * NORMDIST(I38,0,1,0)/(B38*$H$2*SQRT($J$2)) * $P$2</f>
        <v>0.172957824476549</v>
      </c>
      <c r="E38" s="25" t="n">
        <f aca="false">IF($O$2="sell",-1,1) * (B38*NORMDIST(I38,0,1,0)*SQRT($J$2)/365) * $P$2</f>
        <v>0.14815642360741</v>
      </c>
      <c r="F38" s="25" t="n">
        <f aca="false">IF($O$2="sell",-1,1) * (-(B38*NORMDIST(I38,0,1,0)*$H$2)/(2*SQRT($J$2))/365) *$P$2</f>
        <v>-0.495290723002227</v>
      </c>
      <c r="G38" s="25" t="n">
        <f aca="false">IF($O$2="buy",1,-1)*( IF($K$2="call",B38*NORMDIST(I38,0,1,1) - $B$2*NORMDIST(J38,0,1,1),$B$2*NORMDIST(-J38,0,1,1) - B38*NORMDIST(-I38,0,1,1) ) - $G$2) * $P$2</f>
        <v>23.5937743042742</v>
      </c>
      <c r="I38" s="26" t="n">
        <f aca="false">(LN(B38/$B$2)+($H$2^2/2)*($J$2))/($H$2*SQRT($J$2))</f>
        <v>0.393131374977619</v>
      </c>
      <c r="J38" s="26" t="n">
        <f aca="false">I38 - $H$2*SQRT($J$2)</f>
        <v>0.159609635412937</v>
      </c>
      <c r="L38" s="2"/>
      <c r="M38" s="27"/>
      <c r="N38" s="27"/>
    </row>
    <row r="39" customFormat="false" ht="13.5" hidden="false" customHeight="true" outlineLevel="0" collapsed="false">
      <c r="B39" s="24" t="n">
        <f aca="false">Portfolio!B48</f>
        <v>63</v>
      </c>
      <c r="C39" s="25" t="n">
        <f aca="false">IF($O$2="sell",-1,1) *  IF($K$2="call",  NORMDIST(I39,0,1,1),  NORMDIST(I39,0,1,1)-1  ) * $P$2</f>
        <v>-2.60629858714639</v>
      </c>
      <c r="D39" s="25" t="n">
        <f aca="false">IF($O$2="sell",-1,1) * NORMDIST(I39,0,1,0)/(B39*$H$2*SQRT($J$2)) * $P$2</f>
        <v>0.180013950157868</v>
      </c>
      <c r="E39" s="25" t="n">
        <f aca="false">IF($O$2="sell",-1,1) * (B39*NORMDIST(I39,0,1,0)*SQRT($J$2)/365) * $P$2</f>
        <v>0.149419605314232</v>
      </c>
      <c r="F39" s="25" t="n">
        <f aca="false">IF($O$2="sell",-1,1) * (-(B39*NORMDIST(I39,0,1,0)*$H$2)/(2*SQRT($J$2))/365) *$P$2</f>
        <v>-0.499513571837409</v>
      </c>
      <c r="G39" s="25" t="n">
        <f aca="false">IF($O$2="buy",1,-1)*( IF($K$2="call",B39*NORMDIST(I39,0,1,1) - $B$2*NORMDIST(J39,0,1,1),$B$2*NORMDIST(-J39,0,1,1) - B39*NORMDIST(-I39,0,1,1) ) - $G$2) * $P$2</f>
        <v>26.1112247310003</v>
      </c>
      <c r="I39" s="26" t="n">
        <f aca="false">(LN(B39/$B$2)+($H$2^2/2)*($J$2))/($H$2*SQRT($J$2))</f>
        <v>0.325692870119371</v>
      </c>
      <c r="J39" s="26" t="n">
        <f aca="false">I39 - $H$2*SQRT($J$2)</f>
        <v>0.0921711305546896</v>
      </c>
      <c r="L39" s="2"/>
      <c r="M39" s="27"/>
      <c r="N39" s="27"/>
    </row>
    <row r="40" customFormat="false" ht="13.5" hidden="false" customHeight="true" outlineLevel="0" collapsed="false">
      <c r="B40" s="24" t="n">
        <f aca="false">Portfolio!B49</f>
        <v>62</v>
      </c>
      <c r="C40" s="25" t="n">
        <f aca="false">IF($O$2="sell",-1,1) *  IF($K$2="call",  NORMDIST(I40,0,1,1),  NORMDIST(I40,0,1,1)-1  ) * $P$2</f>
        <v>-2.78965206772648</v>
      </c>
      <c r="D40" s="25" t="n">
        <f aca="false">IF($O$2="sell",-1,1) * NORMDIST(I40,0,1,0)/(B40*$H$2*SQRT($J$2)) * $P$2</f>
        <v>0.186606672217655</v>
      </c>
      <c r="E40" s="25" t="n">
        <f aca="false">IF($O$2="sell",-1,1) * (B40*NORMDIST(I40,0,1,0)*SQRT($J$2)/365) * $P$2</f>
        <v>0.150013682139889</v>
      </c>
      <c r="F40" s="25" t="n">
        <f aca="false">IF($O$2="sell",-1,1) * (-(B40*NORMDIST(I40,0,1,0)*$H$2)/(2*SQRT($J$2))/365) *$P$2</f>
        <v>-0.50149958589832</v>
      </c>
      <c r="G40" s="25" t="n">
        <f aca="false">IF($O$2="buy",1,-1)*( IF($K$2="call",B40*NORMDIST(I40,0,1,1) - $B$2*NORMDIST(J40,0,1,1),$B$2*NORMDIST(-J40,0,1,1) - B40*NORMDIST(-I40,0,1,1) ) - $G$2) * $P$2</f>
        <v>28.8086505109173</v>
      </c>
      <c r="I40" s="26" t="n">
        <f aca="false">(LN(B40/$B$2)+($H$2^2/2)*($J$2))/($H$2*SQRT($J$2))</f>
        <v>0.257175303505368</v>
      </c>
      <c r="J40" s="26" t="n">
        <f aca="false">I40 - $H$2*SQRT($J$2)</f>
        <v>0.023653563940686</v>
      </c>
      <c r="L40" s="2"/>
      <c r="M40" s="27"/>
      <c r="N40" s="27"/>
    </row>
    <row r="41" customFormat="false" ht="13.5" hidden="false" customHeight="true" outlineLevel="0" collapsed="false">
      <c r="B41" s="24" t="n">
        <f aca="false">Portfolio!B50</f>
        <v>61</v>
      </c>
      <c r="C41" s="25" t="n">
        <f aca="false">IF($O$2="sell",-1,1) *  IF($K$2="call",  NORMDIST(I41,0,1,1),  NORMDIST(I41,0,1,1)-1  ) * $P$2</f>
        <v>-2.97932059877541</v>
      </c>
      <c r="D41" s="25" t="n">
        <f aca="false">IF($O$2="sell",-1,1) * NORMDIST(I41,0,1,0)/(B41*$H$2*SQRT($J$2)) * $P$2</f>
        <v>0.192625297162963</v>
      </c>
      <c r="E41" s="25" t="n">
        <f aca="false">IF($O$2="sell",-1,1) * (B41*NORMDIST(I41,0,1,0)*SQRT($J$2)/365) * $P$2</f>
        <v>0.149897129311164</v>
      </c>
      <c r="F41" s="25" t="n">
        <f aca="false">IF($O$2="sell",-1,1) * (-(B41*NORMDIST(I41,0,1,0)*$H$2)/(2*SQRT($J$2))/365) *$P$2</f>
        <v>-0.501109946803359</v>
      </c>
      <c r="G41" s="25" t="n">
        <f aca="false">IF($O$2="buy",1,-1)*( IF($K$2="call",B41*NORMDIST(I41,0,1,1) - $B$2*NORMDIST(J41,0,1,1),$B$2*NORMDIST(-J41,0,1,1) - B41*NORMDIST(-I41,0,1,1) ) - $G$2) * $P$2</f>
        <v>31.6926351339693</v>
      </c>
      <c r="I41" s="26" t="n">
        <f aca="false">(LN(B41/$B$2)+($H$2^2/2)*($J$2))/($H$2*SQRT($J$2))</f>
        <v>0.187543581413487</v>
      </c>
      <c r="J41" s="26" t="n">
        <f aca="false">I41 - $H$2*SQRT($J$2)</f>
        <v>-0.0459781581511947</v>
      </c>
      <c r="L41" s="2"/>
      <c r="M41" s="27"/>
      <c r="N41" s="27"/>
    </row>
    <row r="42" customFormat="false" ht="13.5" hidden="false" customHeight="true" outlineLevel="0" collapsed="false">
      <c r="B42" s="24" t="n">
        <f aca="false">Portfolio!B51</f>
        <v>60</v>
      </c>
      <c r="C42" s="25" t="n">
        <f aca="false">IF($O$2="sell",-1,1) *  IF($K$2="call",  NORMDIST(I42,0,1,1),  NORMDIST(I42,0,1,1)-1  ) * $P$2</f>
        <v>-3.17467343542882</v>
      </c>
      <c r="D42" s="25" t="n">
        <f aca="false">IF($O$2="sell",-1,1) * NORMDIST(I42,0,1,0)/(B42*$H$2*SQRT($J$2)) * $P$2</f>
        <v>0.197956218073099</v>
      </c>
      <c r="E42" s="25" t="n">
        <f aca="false">IF($O$2="sell",-1,1) * (B42*NORMDIST(I42,0,1,0)*SQRT($J$2)/365) * $P$2</f>
        <v>0.149036270036972</v>
      </c>
      <c r="F42" s="25" t="n">
        <f aca="false">IF($O$2="sell",-1,1) * (-(B42*NORMDIST(I42,0,1,0)*$H$2)/(2*SQRT($J$2))/365) *$P$2</f>
        <v>-0.49823207217642</v>
      </c>
      <c r="G42" s="25" t="n">
        <f aca="false">IF($O$2="buy",1,-1)*( IF($K$2="call",B42*NORMDIST(I42,0,1,1) - $B$2*NORMDIST(J42,0,1,1),$B$2*NORMDIST(-J42,0,1,1) - B42*NORMDIST(-I42,0,1,1) ) - $G$2) * $P$2</f>
        <v>34.7691877485418</v>
      </c>
      <c r="I42" s="26" t="n">
        <f aca="false">(LN(B42/$B$2)+($H$2^2/2)*($J$2))/($H$2*SQRT($J$2))</f>
        <v>0.116760869782341</v>
      </c>
      <c r="J42" s="26" t="n">
        <f aca="false">I42 - $H$2*SQRT($J$2)</f>
        <v>-0.116760869782341</v>
      </c>
      <c r="L42" s="2"/>
      <c r="M42" s="27"/>
      <c r="N42" s="27"/>
    </row>
    <row r="43" customFormat="false" ht="13.5" hidden="false" customHeight="true" outlineLevel="0" collapsed="false">
      <c r="B43" s="24" t="n">
        <f aca="false">Portfolio!B52</f>
        <v>59</v>
      </c>
      <c r="C43" s="25" t="n">
        <f aca="false">IF($O$2="sell",-1,1) *  IF($K$2="call",  NORMDIST(I43,0,1,1),  NORMDIST(I43,0,1,1)-1  ) * $P$2</f>
        <v>-3.37496568408669</v>
      </c>
      <c r="D43" s="25" t="n">
        <f aca="false">IF($O$2="sell",-1,1) * NORMDIST(I43,0,1,0)/(B43*$H$2*SQRT($J$2)) * $P$2</f>
        <v>0.20248514994009</v>
      </c>
      <c r="E43" s="25" t="n">
        <f aca="false">IF($O$2="sell",-1,1) * (B43*NORMDIST(I43,0,1,0)*SQRT($J$2)/365) * $P$2</f>
        <v>0.147406802347007</v>
      </c>
      <c r="F43" s="25" t="n">
        <f aca="false">IF($O$2="sell",-1,1) * (-(B43*NORMDIST(I43,0,1,0)*$H$2)/(2*SQRT($J$2))/365) *$P$2</f>
        <v>-0.492784719907642</v>
      </c>
      <c r="G43" s="25" t="n">
        <f aca="false">IF($O$2="buy",1,-1)*( IF($K$2="call",B43*NORMDIST(I43,0,1,1) - $B$2*NORMDIST(J43,0,1,1),$B$2*NORMDIST(-J43,0,1,1) - B43*NORMDIST(-I43,0,1,1) ) - $G$2) * $P$2</f>
        <v>38.0436297408405</v>
      </c>
      <c r="I43" s="26" t="n">
        <f aca="false">(LN(B43/$B$2)+($H$2^2/2)*($J$2))/($H$2*SQRT($J$2))</f>
        <v>0.044788477200339</v>
      </c>
      <c r="J43" s="26" t="n">
        <f aca="false">I43 - $H$2*SQRT($J$2)</f>
        <v>-0.188733262364343</v>
      </c>
      <c r="L43" s="2"/>
      <c r="M43" s="27"/>
      <c r="N43" s="27"/>
    </row>
    <row r="44" customFormat="false" ht="13.5" hidden="false" customHeight="true" outlineLevel="0" collapsed="false">
      <c r="B44" s="24" t="n">
        <f aca="false">Portfolio!B53</f>
        <v>58</v>
      </c>
      <c r="C44" s="25" t="n">
        <f aca="false">IF($O$2="sell",-1,1) *  IF($K$2="call",  NORMDIST(I44,0,1,1),  NORMDIST(I44,0,1,1)-1  ) * $P$2</f>
        <v>-3.57933890544344</v>
      </c>
      <c r="D44" s="25" t="n">
        <f aca="false">IF($O$2="sell",-1,1) * NORMDIST(I44,0,1,0)/(B44*$H$2*SQRT($J$2)) * $P$2</f>
        <v>0.206099755587497</v>
      </c>
      <c r="E44" s="25" t="n">
        <f aca="false">IF($O$2="sell",-1,1) * (B44*NORMDIST(I44,0,1,0)*SQRT($J$2)/365) * $P$2</f>
        <v>0.144995254259565</v>
      </c>
      <c r="F44" s="25" t="n">
        <f aca="false">IF($O$2="sell",-1,1) * (-(B44*NORMDIST(I44,0,1,0)*$H$2)/(2*SQRT($J$2))/365) *$P$2</f>
        <v>-0.484722852816758</v>
      </c>
      <c r="G44" s="25" t="n">
        <f aca="false">IF($O$2="buy",1,-1)*( IF($K$2="call",B44*NORMDIST(I44,0,1,1) - $B$2*NORMDIST(J44,0,1,1),$B$2*NORMDIST(-J44,0,1,1) - B44*NORMDIST(-I44,0,1,1) ) - $G$2) * $P$2</f>
        <v>41.520480668811</v>
      </c>
      <c r="I44" s="26" t="n">
        <f aca="false">(LN(B44/$B$2)+($H$2^2/2)*($J$2))/($H$2*SQRT($J$2))</f>
        <v>-0.0284142721075693</v>
      </c>
      <c r="J44" s="26" t="n">
        <f aca="false">I44 - $H$2*SQRT($J$2)</f>
        <v>-0.261936011672251</v>
      </c>
      <c r="L44" s="2"/>
      <c r="M44" s="27"/>
      <c r="N44" s="27"/>
    </row>
    <row r="45" customFormat="false" ht="13.5" hidden="false" customHeight="true" outlineLevel="0" collapsed="false">
      <c r="B45" s="24" t="n">
        <f aca="false">Portfolio!B54</f>
        <v>57</v>
      </c>
      <c r="C45" s="25" t="n">
        <f aca="false">IF($O$2="sell",-1,1) *  IF($K$2="call",  NORMDIST(I45,0,1,1),  NORMDIST(I45,0,1,1)-1  ) * $P$2</f>
        <v>-3.78682452936989</v>
      </c>
      <c r="D45" s="25" t="n">
        <f aca="false">IF($O$2="sell",-1,1) * NORMDIST(I45,0,1,0)/(B45*$H$2*SQRT($J$2)) * $P$2</f>
        <v>0.20869263758367</v>
      </c>
      <c r="E45" s="25" t="n">
        <f aca="false">IF($O$2="sell",-1,1) * (B45*NORMDIST(I45,0,1,0)*SQRT($J$2)/365) * $P$2</f>
        <v>0.141800304454401</v>
      </c>
      <c r="F45" s="25" t="n">
        <f aca="false">IF($O$2="sell",-1,1) * (-(B45*NORMDIST(I45,0,1,0)*$H$2)/(2*SQRT($J$2))/365) *$P$2</f>
        <v>-0.474042053696303</v>
      </c>
      <c r="G45" s="25" t="n">
        <f aca="false">IF($O$2="buy",1,-1)*( IF($K$2="call",B45*NORMDIST(I45,0,1,1) - $B$2*NORMDIST(J45,0,1,1),$B$2*NORMDIST(-J45,0,1,1) - B45*NORMDIST(-I45,0,1,1) ) - $G$2) * $P$2</f>
        <v>45.2033461744824</v>
      </c>
      <c r="I45" s="26" t="n">
        <f aca="false">(LN(B45/$B$2)+($H$2^2/2)*($J$2))/($H$2*SQRT($J$2))</f>
        <v>-0.102890176339398</v>
      </c>
      <c r="J45" s="26" t="n">
        <f aca="false">I45 - $H$2*SQRT($J$2)</f>
        <v>-0.33641191590408</v>
      </c>
      <c r="L45" s="2"/>
      <c r="M45" s="27"/>
      <c r="N45" s="27"/>
    </row>
    <row r="47" customFormat="false" ht="17.25" hidden="false" customHeight="true" outlineLevel="0" collapsed="false">
      <c r="A47" s="2" t="str">
        <f aca="false">A3</f>
        <v>SOL-29MAY26-70-P-USDT</v>
      </c>
      <c r="B47" s="23"/>
      <c r="C47" s="19" t="s">
        <v>13</v>
      </c>
      <c r="D47" s="19" t="s">
        <v>14</v>
      </c>
      <c r="E47" s="19" t="s">
        <v>15</v>
      </c>
      <c r="F47" s="19" t="s">
        <v>16</v>
      </c>
      <c r="G47" s="19" t="s">
        <v>17</v>
      </c>
      <c r="I47" s="19" t="s">
        <v>158</v>
      </c>
      <c r="J47" s="19" t="s">
        <v>159</v>
      </c>
    </row>
    <row r="48" customFormat="false" ht="13.5" hidden="false" customHeight="true" outlineLevel="0" collapsed="false">
      <c r="B48" s="24" t="n">
        <f aca="false">B19</f>
        <v>83</v>
      </c>
      <c r="C48" s="25" t="n">
        <f aca="false">IF($O$3="sell",-1,1) *  IF($K$3="call",  NORMDIST(I48,0,1,1),  NORMDIST(I48,0,1,1)-1  ) * $P$3</f>
        <v>-0.367870990754713</v>
      </c>
      <c r="D48" s="25" t="n">
        <f aca="false">IF($O$3="sell",-1,1) * NORMDIST(I48,0,1,0)/(B48*$H$3*SQRT($J$3)) * $P$3</f>
        <v>0.0298381714051566</v>
      </c>
      <c r="E48" s="25" t="n">
        <f aca="false">IF($O$3="sell",-1,1) * (B48*NORMDIST(I48,0,1,0)*SQRT($J$3)/365) * $P$3</f>
        <v>0.0395401884167293</v>
      </c>
      <c r="F48" s="25" t="n">
        <f aca="false">IF($O$3="sell",-1,1) * (-(B48*NORMDIST(I48,0,1,0)*$H$3)/(2*SQRT($J$3))/365) *$P$3</f>
        <v>-0.121581770514756</v>
      </c>
      <c r="G48" s="25" t="n">
        <f aca="false">IF($O$3="buy",1,-1)*( IF($K$3="call",B48*NORMDIST(I48,0,1,1) - $B$3*NORMDIST(J48,0,1,1),$B$3*NORMDIST(-J48,0,1,1) - B48*NORMDIST(-I48,0,1,1) ) - $G$3) * $P$3</f>
        <v>2.7908909020179</v>
      </c>
      <c r="I48" s="73" t="n">
        <f aca="false">(LN(B48/$B$3)+($H$3^2/2)*($J$3))/($H$3*SQRT($J$3))</f>
        <v>0.900468482375407</v>
      </c>
      <c r="J48" s="26" t="n">
        <f aca="false">I48 - $H$3*SQRT($J$3)</f>
        <v>0.685676859939863</v>
      </c>
    </row>
    <row r="49" customFormat="false" ht="13.5" hidden="false" customHeight="true" outlineLevel="0" collapsed="false">
      <c r="B49" s="24" t="n">
        <f aca="false">B20</f>
        <v>82</v>
      </c>
      <c r="C49" s="25" t="n">
        <f aca="false">IF($O$3="sell",-1,1) *  IF($K$3="call",  NORMDIST(I49,0,1,1),  NORMDIST(I49,0,1,1)-1  ) * $P$3</f>
        <v>-0.398649643051374</v>
      </c>
      <c r="D49" s="25" t="n">
        <f aca="false">IF($O$3="sell",-1,1) * NORMDIST(I49,0,1,0)/(B49*$H$3*SQRT($J$3)) * $P$3</f>
        <v>0.0317259116113829</v>
      </c>
      <c r="E49" s="25" t="n">
        <f aca="false">IF($O$3="sell",-1,1) * (B49*NORMDIST(I49,0,1,0)*SQRT($J$3)/365) * $P$3</f>
        <v>0.041034784784963</v>
      </c>
      <c r="F49" s="25" t="n">
        <f aca="false">IF($O$3="sell",-1,1) * (-(B49*NORMDIST(I49,0,1,0)*$H$3)/(2*SQRT($J$3))/365) *$P$3</f>
        <v>-0.126177491474393</v>
      </c>
      <c r="G49" s="25" t="n">
        <f aca="false">IF($O$3="buy",1,-1)*( IF($K$3="call",B49*NORMDIST(I49,0,1,1) - $B$3*NORMDIST(J49,0,1,1),$B$3*NORMDIST(-J49,0,1,1) - B49*NORMDIST(-I49,0,1,1) ) - $G$3) * $P$3</f>
        <v>3.17399389372204</v>
      </c>
      <c r="I49" s="73" t="n">
        <f aca="false">(LN(B49/$B$3)+($H$3^2/2)*($J$3))/($H$3*SQRT($J$3))</f>
        <v>0.844035366433084</v>
      </c>
      <c r="J49" s="26" t="n">
        <f aca="false">I49 - $H$3*SQRT($J$3)</f>
        <v>0.62924374399754</v>
      </c>
      <c r="L49" s="2"/>
    </row>
    <row r="50" customFormat="false" ht="13.5" hidden="false" customHeight="true" outlineLevel="0" collapsed="false">
      <c r="B50" s="24" t="n">
        <f aca="false">B21</f>
        <v>81</v>
      </c>
      <c r="C50" s="25" t="n">
        <f aca="false">IF($O$3="sell",-1,1) *  IF($K$3="call",  NORMDIST(I50,0,1,1),  NORMDIST(I50,0,1,1)-1  ) * $P$3</f>
        <v>-0.431334668895632</v>
      </c>
      <c r="D50" s="25" t="n">
        <f aca="false">IF($O$3="sell",-1,1) * NORMDIST(I50,0,1,0)/(B50*$H$3*SQRT($J$3)) * $P$3</f>
        <v>0.0336491626591481</v>
      </c>
      <c r="E50" s="25" t="n">
        <f aca="false">IF($O$3="sell",-1,1) * (B50*NORMDIST(I50,0,1,0)*SQRT($J$3)/365) * $P$3</f>
        <v>0.0424672994550026</v>
      </c>
      <c r="F50" s="25" t="n">
        <f aca="false">IF($O$3="sell",-1,1) * (-(B50*NORMDIST(I50,0,1,0)*$H$3)/(2*SQRT($J$3))/365) *$P$3</f>
        <v>-0.130582317977398</v>
      </c>
      <c r="G50" s="25" t="n">
        <f aca="false">IF($O$3="buy",1,-1)*( IF($K$3="call",B50*NORMDIST(I50,0,1,1) - $B$3*NORMDIST(J50,0,1,1),$B$3*NORMDIST(-J50,0,1,1) - B50*NORMDIST(-I50,0,1,1) ) - $G$3) * $P$3</f>
        <v>3.58882576301384</v>
      </c>
      <c r="I50" s="73" t="n">
        <f aca="false">(LN(B50/$B$3)+($H$3^2/2)*($J$3))/($H$3*SQRT($J$3))</f>
        <v>0.786909802350637</v>
      </c>
      <c r="J50" s="26" t="n">
        <f aca="false">I50 - $H$3*SQRT($J$3)</f>
        <v>0.572118179915094</v>
      </c>
      <c r="L50" s="2"/>
      <c r="M50" s="27"/>
    </row>
    <row r="51" customFormat="false" ht="13.5" hidden="false" customHeight="true" outlineLevel="0" collapsed="false">
      <c r="B51" s="24" t="n">
        <f aca="false">B22</f>
        <v>80</v>
      </c>
      <c r="C51" s="25" t="n">
        <f aca="false">IF($O$3="sell",-1,1) *  IF($K$3="call",  NORMDIST(I51,0,1,1),  NORMDIST(I51,0,1,1)-1  ) * $P$3</f>
        <v>-0.465956039527081</v>
      </c>
      <c r="D51" s="25" t="n">
        <f aca="false">IF($O$3="sell",-1,1) * NORMDIST(I51,0,1,0)/(B51*$H$3*SQRT($J$3)) * $P$3</f>
        <v>0.035596571770675</v>
      </c>
      <c r="E51" s="25" t="n">
        <f aca="false">IF($O$3="sell",-1,1) * (B51*NORMDIST(I51,0,1,0)*SQRT($J$3)/365) * $P$3</f>
        <v>0.0438226355766818</v>
      </c>
      <c r="F51" s="25" t="n">
        <f aca="false">IF($O$3="sell",-1,1) * (-(B51*NORMDIST(I51,0,1,0)*$H$3)/(2*SQRT($J$3))/365) *$P$3</f>
        <v>-0.134749828854676</v>
      </c>
      <c r="G51" s="25" t="n">
        <f aca="false">IF($O$3="buy",1,-1)*( IF($K$3="call",B51*NORMDIST(I51,0,1,1) - $B$3*NORMDIST(J51,0,1,1),$B$3*NORMDIST(-J51,0,1,1) - B51*NORMDIST(-I51,0,1,1) ) - $G$3) * $P$3</f>
        <v>4.0373088150633</v>
      </c>
      <c r="I51" s="73" t="n">
        <f aca="false">(LN(B51/$B$3)+($H$3^2/2)*($J$3))/($H$3*SQRT($J$3))</f>
        <v>0.729074585791923</v>
      </c>
      <c r="J51" s="26" t="n">
        <f aca="false">I51 - $H$3*SQRT($J$3)</f>
        <v>0.514282963356379</v>
      </c>
      <c r="L51" s="2"/>
      <c r="M51" s="27"/>
      <c r="N51" s="27"/>
    </row>
    <row r="52" customFormat="false" ht="13.5" hidden="false" customHeight="true" outlineLevel="0" collapsed="false">
      <c r="B52" s="24" t="n">
        <f aca="false">B23</f>
        <v>79</v>
      </c>
      <c r="C52" s="25" t="n">
        <f aca="false">IF($O$3="sell",-1,1) *  IF($K$3="call",  NORMDIST(I52,0,1,1),  NORMDIST(I52,0,1,1)-1  ) * $P$3</f>
        <v>-0.502531546548169</v>
      </c>
      <c r="D52" s="25" t="n">
        <f aca="false">IF($O$3="sell",-1,1) * NORMDIST(I52,0,1,0)/(B52*$H$3*SQRT($J$3)) * $P$3</f>
        <v>0.0375551272445676</v>
      </c>
      <c r="E52" s="25" t="n">
        <f aca="false">IF($O$3="sell",-1,1) * (B52*NORMDIST(I52,0,1,0)*SQRT($J$3)/365) * $P$3</f>
        <v>0.0450851756163284</v>
      </c>
      <c r="F52" s="25" t="n">
        <f aca="false">IF($O$3="sell",-1,1) * (-(B52*NORMDIST(I52,0,1,0)*$H$3)/(2*SQRT($J$3))/365) *$P$3</f>
        <v>-0.138632001892098</v>
      </c>
      <c r="G52" s="25" t="n">
        <f aca="false">IF($O$3="buy",1,-1)*( IF($K$3="call",B52*NORMDIST(I52,0,1,1) - $B$3*NORMDIST(J52,0,1,1),$B$3*NORMDIST(-J52,0,1,1) - B52*NORMDIST(-I52,0,1,1) ) - $G$3) * $P$3</f>
        <v>4.52138937474393</v>
      </c>
      <c r="I52" s="73" t="n">
        <f aca="false">(LN(B52/$B$3)+($H$3^2/2)*($J$3))/($H$3*SQRT($J$3))</f>
        <v>0.670511863166953</v>
      </c>
      <c r="J52" s="26" t="n">
        <f aca="false">I52 - $H$3*SQRT($J$3)</f>
        <v>0.455720240731409</v>
      </c>
      <c r="L52" s="2"/>
      <c r="M52" s="27"/>
      <c r="N52" s="27"/>
    </row>
    <row r="53" customFormat="false" ht="13.5" hidden="false" customHeight="true" outlineLevel="0" collapsed="false">
      <c r="B53" s="24" t="n">
        <f aca="false">B24</f>
        <v>78</v>
      </c>
      <c r="C53" s="25" t="n">
        <f aca="false">IF($O$3="sell",-1,1) *  IF($K$3="call",  NORMDIST(I53,0,1,1),  NORMDIST(I53,0,1,1)-1  ) * $P$3</f>
        <v>-0.54106513232926</v>
      </c>
      <c r="D53" s="25" t="n">
        <f aca="false">IF($O$3="sell",-1,1) * NORMDIST(I53,0,1,0)/(B53*$H$3*SQRT($J$3)) * $P$3</f>
        <v>0.0395101422438699</v>
      </c>
      <c r="E53" s="25" t="n">
        <f aca="false">IF($O$3="sell",-1,1) * (B53*NORMDIST(I53,0,1,0)*SQRT($J$3)/365) * $P$3</f>
        <v>0.0462389692070948</v>
      </c>
      <c r="F53" s="25" t="n">
        <f aca="false">IF($O$3="sell",-1,1) * (-(B53*NORMDIST(I53,0,1,0)*$H$3)/(2*SQRT($J$3))/365) *$P$3</f>
        <v>-0.142179791449788</v>
      </c>
      <c r="G53" s="25" t="n">
        <f aca="false">IF($O$3="buy",1,-1)*( IF($K$3="call",B53*NORMDIST(I53,0,1,1) - $B$3*NORMDIST(J53,0,1,1),$B$3*NORMDIST(-J53,0,1,1) - B53*NORMDIST(-I53,0,1,1) ) - $G$3) * $P$3</f>
        <v>5.04302477355693</v>
      </c>
      <c r="I53" s="73" t="n">
        <f aca="false">(LN(B53/$B$3)+($H$3^2/2)*($J$3))/($H$3*SQRT($J$3))</f>
        <v>0.61120309854671</v>
      </c>
      <c r="J53" s="26" t="n">
        <f aca="false">I53 - $H$3*SQRT($J$3)</f>
        <v>0.396411476111166</v>
      </c>
      <c r="L53" s="2"/>
      <c r="M53" s="27"/>
      <c r="N53" s="27"/>
    </row>
    <row r="54" customFormat="false" ht="13.5" hidden="false" customHeight="true" outlineLevel="0" collapsed="false">
      <c r="B54" s="24" t="n">
        <f aca="false">B25</f>
        <v>77</v>
      </c>
      <c r="C54" s="25" t="n">
        <f aca="false">IF($O$3="sell",-1,1) *  IF($K$3="call",  NORMDIST(I54,0,1,1),  NORMDIST(I54,0,1,1)-1  ) * $P$3</f>
        <v>-0.581545220537015</v>
      </c>
      <c r="D54" s="25" t="n">
        <f aca="false">IF($O$3="sell",-1,1) * NORMDIST(I54,0,1,0)/(B54*$H$3*SQRT($J$3)) * $P$3</f>
        <v>0.0414452722007651</v>
      </c>
      <c r="E54" s="25" t="n">
        <f aca="false">IF($O$3="sell",-1,1) * (B54*NORMDIST(I54,0,1,0)*SQRT($J$3)/365) * $P$3</f>
        <v>0.0472679526657401</v>
      </c>
      <c r="F54" s="25" t="n">
        <f aca="false">IF($O$3="sell",-1,1) * (-(B54*NORMDIST(I54,0,1,0)*$H$3)/(2*SQRT($J$3))/365) *$P$3</f>
        <v>-0.145343803452309</v>
      </c>
      <c r="G54" s="25" t="n">
        <f aca="false">IF($O$3="buy",1,-1)*( IF($K$3="call",B54*NORMDIST(I54,0,1,1) - $B$3*NORMDIST(J54,0,1,1),$B$3*NORMDIST(-J54,0,1,1) - B54*NORMDIST(-I54,0,1,1) ) - $G$3) * $P$3</f>
        <v>5.60416866422089</v>
      </c>
      <c r="I54" s="73" t="n">
        <f aca="false">(LN(B54/$B$3)+($H$3^2/2)*($J$3))/($H$3*SQRT($J$3))</f>
        <v>0.551129038443272</v>
      </c>
      <c r="J54" s="26" t="n">
        <f aca="false">I54 - $H$3*SQRT($J$3)</f>
        <v>0.336337416007728</v>
      </c>
      <c r="L54" s="2"/>
      <c r="M54" s="27"/>
      <c r="N54" s="27"/>
    </row>
    <row r="55" customFormat="false" ht="13.5" hidden="false" customHeight="true" outlineLevel="0" collapsed="false">
      <c r="B55" s="24" t="n">
        <f aca="false">B26</f>
        <v>76</v>
      </c>
      <c r="C55" s="25" t="n">
        <f aca="false">IF($O$3="sell",-1,1) *  IF($K$3="call",  NORMDIST(I55,0,1,1),  NORMDIST(I55,0,1,1)-1  ) * $P$3</f>
        <v>-0.62394308324655</v>
      </c>
      <c r="D55" s="25" t="n">
        <f aca="false">IF($O$3="sell",-1,1) * NORMDIST(I55,0,1,0)/(B55*$H$3*SQRT($J$3)) * $P$3</f>
        <v>0.0433425715244934</v>
      </c>
      <c r="E55" s="25" t="n">
        <f aca="false">IF($O$3="sell",-1,1) * (B55*NORMDIST(I55,0,1,0)*SQRT($J$3)/365) * $P$3</f>
        <v>0.048156199437472</v>
      </c>
      <c r="F55" s="25" t="n">
        <f aca="false">IF($O$3="sell",-1,1) * (-(B55*NORMDIST(I55,0,1,0)*$H$3)/(2*SQRT($J$3))/365) *$P$3</f>
        <v>-0.148075065479262</v>
      </c>
      <c r="G55" s="25" t="n">
        <f aca="false">IF($O$3="buy",1,-1)*( IF($K$3="call",B55*NORMDIST(I55,0,1,1) - $B$3*NORMDIST(J55,0,1,1),$B$3*NORMDIST(-J55,0,1,1) - B55*NORMDIST(-I55,0,1,1) ) - $G$3) * $P$3</f>
        <v>6.20675468080624</v>
      </c>
      <c r="I55" s="73" t="n">
        <f aca="false">(LN(B55/$B$3)+($H$3^2/2)*($J$3))/($H$3*SQRT($J$3))</f>
        <v>0.490269674287783</v>
      </c>
      <c r="J55" s="26" t="n">
        <f aca="false">I55 - $H$3*SQRT($J$3)</f>
        <v>0.27547805185224</v>
      </c>
      <c r="L55" s="2"/>
      <c r="M55" s="27"/>
      <c r="N55" s="27"/>
    </row>
    <row r="56" customFormat="false" ht="13.5" hidden="false" customHeight="true" outlineLevel="0" collapsed="false">
      <c r="B56" s="24" t="n">
        <f aca="false">B27</f>
        <v>75</v>
      </c>
      <c r="C56" s="25" t="n">
        <f aca="false">IF($O$3="sell",-1,1) *  IF($K$3="call",  NORMDIST(I56,0,1,1),  NORMDIST(I56,0,1,1)-1  ) * $P$3</f>
        <v>-0.668211286746353</v>
      </c>
      <c r="D56" s="25" t="n">
        <f aca="false">IF($O$3="sell",-1,1) * NORMDIST(I56,0,1,0)/(B56*$H$3*SQRT($J$3)) * $P$3</f>
        <v>0.0451825951865571</v>
      </c>
      <c r="E56" s="25" t="n">
        <f aca="false">IF($O$3="sell",-1,1) * (B56*NORMDIST(I56,0,1,0)*SQRT($J$3)/365) * $P$3</f>
        <v>0.0488881996494531</v>
      </c>
      <c r="F56" s="25" t="n">
        <f aca="false">IF($O$3="sell",-1,1) * (-(B56*NORMDIST(I56,0,1,0)*$H$3)/(2*SQRT($J$3))/365) *$P$3</f>
        <v>-0.15032588636185</v>
      </c>
      <c r="G56" s="25" t="n">
        <f aca="false">IF($O$3="buy",1,-1)*( IF($K$3="call",B56*NORMDIST(I56,0,1,1) - $B$3*NORMDIST(J56,0,1,1),$B$3*NORMDIST(-J56,0,1,1) - B56*NORMDIST(-I56,0,1,1) ) - $G$3) * $P$3</f>
        <v>6.85267850158802</v>
      </c>
      <c r="I56" s="73" t="n">
        <f aca="false">(LN(B56/$B$3)+($H$3^2/2)*($J$3))/($H$3*SQRT($J$3))</f>
        <v>0.428604202423324</v>
      </c>
      <c r="J56" s="26" t="n">
        <f aca="false">I56 - $H$3*SQRT($J$3)</f>
        <v>0.21381257998778</v>
      </c>
      <c r="L56" s="2"/>
      <c r="M56" s="27"/>
      <c r="N56" s="27"/>
    </row>
    <row r="57" customFormat="false" ht="13.5" hidden="false" customHeight="true" outlineLevel="0" collapsed="false">
      <c r="B57" s="24" t="n">
        <f aca="false">B28</f>
        <v>74</v>
      </c>
      <c r="C57" s="25" t="n">
        <f aca="false">IF($O$3="sell",-1,1) *  IF($K$3="call",  NORMDIST(I57,0,1,1),  NORMDIST(I57,0,1,1)-1  ) * $P$3</f>
        <v>-0.71428226356426</v>
      </c>
      <c r="D57" s="25" t="n">
        <f aca="false">IF($O$3="sell",-1,1) * NORMDIST(I57,0,1,0)/(B57*$H$3*SQRT($J$3)) * $P$3</f>
        <v>0.0469445504038817</v>
      </c>
      <c r="E57" s="25" t="n">
        <f aca="false">IF($O$3="sell",-1,1) * (B57*NORMDIST(I57,0,1,0)*SQRT($J$3)/365) * $P$3</f>
        <v>0.0494491657266198</v>
      </c>
      <c r="F57" s="25" t="n">
        <f aca="false">IF($O$3="sell",-1,1) * (-(B57*NORMDIST(I57,0,1,0)*$H$3)/(2*SQRT($J$3))/365) *$P$3</f>
        <v>-0.152050795918219</v>
      </c>
      <c r="G57" s="25" t="n">
        <f aca="false">IF($O$3="buy",1,-1)*( IF($K$3="call",B57*NORMDIST(I57,0,1,1) - $B$3*NORMDIST(J57,0,1,1),$B$3*NORMDIST(-J57,0,1,1) - B57*NORMDIST(-I57,0,1,1) ) - $G$3) * $P$3</f>
        <v>7.54377841663842</v>
      </c>
      <c r="I57" s="73" t="n">
        <f aca="false">(LN(B57/$B$3)+($H$3^2/2)*($J$3))/($H$3*SQRT($J$3))</f>
        <v>0.366110981412487</v>
      </c>
      <c r="J57" s="26" t="n">
        <f aca="false">I57 - $H$3*SQRT($J$3)</f>
        <v>0.151319358976944</v>
      </c>
      <c r="L57" s="2"/>
      <c r="M57" s="27"/>
      <c r="N57" s="27"/>
    </row>
    <row r="58" customFormat="false" ht="13.5" hidden="false" customHeight="true" outlineLevel="0" collapsed="false">
      <c r="B58" s="24" t="n">
        <f aca="false">B29</f>
        <v>73</v>
      </c>
      <c r="C58" s="25" t="n">
        <f aca="false">IF($O$3="sell",-1,1) *  IF($K$3="call",  NORMDIST(I58,0,1,1),  NORMDIST(I58,0,1,1)-1  ) * $P$3</f>
        <v>-0.762067063169536</v>
      </c>
      <c r="D58" s="25" t="n">
        <f aca="false">IF($O$3="sell",-1,1) * NORMDIST(I58,0,1,0)/(B58*$H$3*SQRT($J$3)) * $P$3</f>
        <v>0.0486065030015316</v>
      </c>
      <c r="E58" s="25" t="n">
        <f aca="false">IF($O$3="sell",-1,1) * (B58*NORMDIST(I58,0,1,0)*SQRT($J$3)/365) * $P$3</f>
        <v>0.049825359670798</v>
      </c>
      <c r="F58" s="25" t="n">
        <f aca="false">IF($O$3="sell",-1,1) * (-(B58*NORMDIST(I58,0,1,0)*$H$3)/(2*SQRT($J$3))/365) *$P$3</f>
        <v>-0.153207551301073</v>
      </c>
      <c r="G58" s="25" t="n">
        <f aca="false">IF($O$3="buy",1,-1)*( IF($K$3="call",B58*NORMDIST(I58,0,1,1) - $B$3*NORMDIST(J58,0,1,1),$B$3*NORMDIST(-J58,0,1,1) - B58*NORMDIST(-I58,0,1,1) ) - $G$3) * $P$3</f>
        <v>8.2818145522253</v>
      </c>
      <c r="I58" s="73" t="n">
        <f aca="false">(LN(B58/$B$3)+($H$3^2/2)*($J$3))/($H$3*SQRT($J$3))</f>
        <v>0.302767486440464</v>
      </c>
      <c r="J58" s="26" t="n">
        <f aca="false">I58 - $H$3*SQRT($J$3)</f>
        <v>0.0879758640049204</v>
      </c>
      <c r="L58" s="2"/>
      <c r="M58" s="27"/>
      <c r="N58" s="27"/>
    </row>
    <row r="59" customFormat="false" ht="13.5" hidden="false" customHeight="true" outlineLevel="0" collapsed="false">
      <c r="B59" s="24" t="n">
        <f aca="false">B30</f>
        <v>72</v>
      </c>
      <c r="C59" s="25" t="n">
        <f aca="false">IF($O$3="sell",-1,1) *  IF($K$3="call",  NORMDIST(I59,0,1,1),  NORMDIST(I59,0,1,1)-1  ) * $P$3</f>
        <v>-0.811454337933196</v>
      </c>
      <c r="D59" s="25" t="n">
        <f aca="false">IF($O$3="sell",-1,1) * NORMDIST(I59,0,1,0)/(B59*$H$3*SQRT($J$3)) * $P$3</f>
        <v>0.0501456420695234</v>
      </c>
      <c r="E59" s="25" t="n">
        <f aca="false">IF($O$3="sell",-1,1) * (B59*NORMDIST(I59,0,1,0)*SQRT($J$3)/365) * $P$3</f>
        <v>0.0500044361571148</v>
      </c>
      <c r="F59" s="25" t="n">
        <f aca="false">IF($O$3="sell",-1,1) * (-(B59*NORMDIST(I59,0,1,0)*$H$3)/(2*SQRT($J$3))/365) *$P$3</f>
        <v>-0.153758191981752</v>
      </c>
      <c r="G59" s="25" t="n">
        <f aca="false">IF($O$3="buy",1,-1)*( IF($K$3="call",B59*NORMDIST(I59,0,1,1) - $B$3*NORMDIST(J59,0,1,1),$B$3*NORMDIST(-J59,0,1,1) - B59*NORMDIST(-I59,0,1,1) ) - $G$3) * $P$3</f>
        <v>9.06844695868235</v>
      </c>
      <c r="I59" s="73" t="n">
        <f aca="false">(LN(B59/$B$3)+($H$3^2/2)*($J$3))/($H$3*SQRT($J$3))</f>
        <v>0.238550260573216</v>
      </c>
      <c r="J59" s="26" t="n">
        <f aca="false">I59 - $H$3*SQRT($J$3)</f>
        <v>0.0237586381376724</v>
      </c>
      <c r="L59" s="2"/>
      <c r="M59" s="27"/>
      <c r="N59" s="27"/>
    </row>
    <row r="60" customFormat="false" ht="13.5" hidden="false" customHeight="true" outlineLevel="0" collapsed="false">
      <c r="B60" s="24" t="n">
        <f aca="false">B31</f>
        <v>71</v>
      </c>
      <c r="C60" s="25" t="n">
        <f aca="false">IF($O$3="sell",-1,1) *  IF($K$3="call",  NORMDIST(I60,0,1,1),  NORMDIST(I60,0,1,1)-1  ) * $P$3</f>
        <v>-0.862309623909053</v>
      </c>
      <c r="D60" s="25" t="n">
        <f aca="false">IF($O$3="sell",-1,1) * NORMDIST(I60,0,1,0)/(B60*$H$3*SQRT($J$3)) * $P$3</f>
        <v>0.0515386051966414</v>
      </c>
      <c r="E60" s="25" t="n">
        <f aca="false">IF($O$3="sell",-1,1) * (B60*NORMDIST(I60,0,1,0)*SQRT($J$3)/365) * $P$3</f>
        <v>0.0499757941040429</v>
      </c>
      <c r="F60" s="25" t="n">
        <f aca="false">IF($O$3="sell",-1,1) * (-(B60*NORMDIST(I60,0,1,0)*$H$3)/(2*SQRT($J$3))/365) *$P$3</f>
        <v>-0.153670120789805</v>
      </c>
      <c r="G60" s="25" t="n">
        <f aca="false">IF($O$3="buy",1,-1)*( IF($K$3="call",B60*NORMDIST(I60,0,1,1) - $B$3*NORMDIST(J60,0,1,1),$B$3*NORMDIST(-J60,0,1,1) - B60*NORMDIST(-I60,0,1,1) ) - $G$3) * $P$3</f>
        <v>9.9052128265993</v>
      </c>
      <c r="I60" s="73" t="n">
        <f aca="false">(LN(B60/$B$3)+($H$3^2/2)*($J$3))/($H$3*SQRT($J$3))</f>
        <v>0.173434862606813</v>
      </c>
      <c r="J60" s="26" t="n">
        <f aca="false">I60 - $H$3*SQRT($J$3)</f>
        <v>-0.0413567598287308</v>
      </c>
      <c r="L60" s="2"/>
      <c r="M60" s="27"/>
      <c r="N60" s="27"/>
    </row>
    <row r="61" customFormat="false" ht="13.5" hidden="false" customHeight="true" outlineLevel="0" collapsed="false">
      <c r="B61" s="24" t="n">
        <f aca="false">B32</f>
        <v>70</v>
      </c>
      <c r="C61" s="25" t="n">
        <f aca="false">IF($O$3="sell",-1,1) *  IF($K$3="call",  NORMDIST(I61,0,1,1),  NORMDIST(I61,0,1,1)-1  ) * $P$3</f>
        <v>-0.914474977452753</v>
      </c>
      <c r="D61" s="25" t="n">
        <f aca="false">IF($O$3="sell",-1,1) * NORMDIST(I61,0,1,0)/(B61*$H$3*SQRT($J$3)) * $P$3</f>
        <v>0.0527618648409658</v>
      </c>
      <c r="E61" s="25" t="n">
        <f aca="false">IF($O$3="sell",-1,1) * (B61*NORMDIST(I61,0,1,0)*SQRT($J$3)/365) * $P$3</f>
        <v>0.0497309278818198</v>
      </c>
      <c r="F61" s="25" t="n">
        <f aca="false">IF($O$3="sell",-1,1) * (-(B61*NORMDIST(I61,0,1,0)*$H$3)/(2*SQRT($J$3))/365) *$P$3</f>
        <v>-0.152917183840609</v>
      </c>
      <c r="G61" s="25" t="n">
        <f aca="false">IF($O$3="buy",1,-1)*( IF($K$3="call",B61*NORMDIST(I61,0,1,1) - $B$3*NORMDIST(J61,0,1,1),$B$3*NORMDIST(-J61,0,1,1) - B61*NORMDIST(-I61,0,1,1) ) - $G$3) * $P$3</f>
        <v>10.7935031566146</v>
      </c>
      <c r="I61" s="73" t="n">
        <f aca="false">(LN(B61/$B$3)+($H$3^2/2)*($J$3))/($H$3*SQRT($J$3))</f>
        <v>0.107395811217772</v>
      </c>
      <c r="J61" s="26" t="n">
        <f aca="false">I61 - $H$3*SQRT($J$3)</f>
        <v>-0.107395811217772</v>
      </c>
      <c r="L61" s="2"/>
      <c r="M61" s="27"/>
      <c r="N61" s="27"/>
    </row>
    <row r="62" customFormat="false" ht="13.5" hidden="false" customHeight="true" outlineLevel="0" collapsed="false">
      <c r="B62" s="24" t="n">
        <f aca="false">B33</f>
        <v>69</v>
      </c>
      <c r="C62" s="25" t="n">
        <f aca="false">IF($O$3="sell",-1,1) *  IF($K$3="call",  NORMDIST(I62,0,1,1),  NORMDIST(I62,0,1,1)-1  ) * $P$3</f>
        <v>-0.967769028225748</v>
      </c>
      <c r="D62" s="25" t="n">
        <f aca="false">IF($O$3="sell",-1,1) * NORMDIST(I62,0,1,0)/(B62*$H$3*SQRT($J$3)) * $P$3</f>
        <v>0.05379217426934</v>
      </c>
      <c r="E62" s="25" t="n">
        <f aca="false">IF($O$3="sell",-1,1) * (B62*NORMDIST(I62,0,1,0)*SQRT($J$3)/365) * $P$3</f>
        <v>0.0492637679084078</v>
      </c>
      <c r="F62" s="25" t="n">
        <f aca="false">IF($O$3="sell",-1,1) * (-(B62*NORMDIST(I62,0,1,0)*$H$3)/(2*SQRT($J$3))/365) *$P$3</f>
        <v>-0.151480717830825</v>
      </c>
      <c r="G62" s="25" t="n">
        <f aca="false">IF($O$3="buy",1,-1)*( IF($K$3="call",B62*NORMDIST(I62,0,1,1) - $B$3*NORMDIST(J62,0,1,1),$B$3*NORMDIST(-J62,0,1,1) - B62*NORMDIST(-I62,0,1,1) ) - $G$3) * $P$3</f>
        <v>11.7345392690521</v>
      </c>
      <c r="I62" s="73" t="n">
        <f aca="false">(LN(B62/$B$3)+($H$3^2/2)*($J$3))/($H$3*SQRT($J$3))</f>
        <v>0.0404065250950441</v>
      </c>
      <c r="J62" s="26" t="n">
        <f aca="false">I62 - $H$3*SQRT($J$3)</f>
        <v>-0.1743850973405</v>
      </c>
      <c r="L62" s="2"/>
      <c r="M62" s="27"/>
      <c r="N62" s="27"/>
    </row>
    <row r="63" customFormat="false" ht="13.5" hidden="false" customHeight="true" outlineLevel="0" collapsed="false">
      <c r="B63" s="24" t="n">
        <f aca="false">B34</f>
        <v>68</v>
      </c>
      <c r="C63" s="25" t="n">
        <f aca="false">IF($O$3="sell",-1,1) *  IF($K$3="call",  NORMDIST(I63,0,1,1),  NORMDIST(I63,0,1,1)-1  ) * $P$3</f>
        <v>-1.02198750633302</v>
      </c>
      <c r="D63" s="25" t="n">
        <f aca="false">IF($O$3="sell",-1,1) * NORMDIST(I63,0,1,0)/(B63*$H$3*SQRT($J$3)) * $P$3</f>
        <v>0.0546070689727305</v>
      </c>
      <c r="E63" s="25" t="n">
        <f aca="false">IF($O$3="sell",-1,1) * (B63*NORMDIST(I63,0,1,0)*SQRT($J$3)/365) * $P$3</f>
        <v>0.0485709991251192</v>
      </c>
      <c r="F63" s="25" t="n">
        <f aca="false">IF($O$3="sell",-1,1) * (-(B63*NORMDIST(I63,0,1,0)*$H$3)/(2*SQRT($J$3))/365) *$P$3</f>
        <v>-0.149350529316247</v>
      </c>
      <c r="G63" s="25" t="n">
        <f aca="false">IF($O$3="buy",1,-1)*( IF($K$3="call",B63*NORMDIST(I63,0,1,1) - $B$3*NORMDIST(J63,0,1,1),$B$3*NORMDIST(-J63,0,1,1) - B63*NORMDIST(-I63,0,1,1) ) - $G$3) * $P$3</f>
        <v>12.7293495990012</v>
      </c>
      <c r="I63" s="73" t="n">
        <f aca="false">(LN(B63/$B$3)+($H$3^2/2)*($J$3))/($H$3*SQRT($J$3))</f>
        <v>-0.0275607412983818</v>
      </c>
      <c r="J63" s="26" t="n">
        <f aca="false">I63 - $H$3*SQRT($J$3)</f>
        <v>-0.242352363733926</v>
      </c>
      <c r="L63" s="2"/>
      <c r="M63" s="27"/>
      <c r="N63" s="27"/>
    </row>
    <row r="64" customFormat="false" ht="13.5" hidden="false" customHeight="true" outlineLevel="0" collapsed="false">
      <c r="B64" s="24" t="n">
        <f aca="false">B35</f>
        <v>67</v>
      </c>
      <c r="C64" s="25" t="n">
        <f aca="false">IF($O$3="sell",-1,1) *  IF($K$3="call",  NORMDIST(I64,0,1,1),  NORMDIST(I64,0,1,1)-1  ) * $P$3</f>
        <v>-1.07690429583291</v>
      </c>
      <c r="D64" s="25" t="n">
        <f aca="false">IF($O$3="sell",-1,1) * NORMDIST(I64,0,1,0)/(B64*$H$3*SQRT($J$3)) * $P$3</f>
        <v>0.0551854165725119</v>
      </c>
      <c r="E64" s="25" t="n">
        <f aca="false">IF($O$3="sell",-1,1) * (B64*NORMDIST(I64,0,1,0)*SQRT($J$3)/365) * $P$3</f>
        <v>0.0476523448388657</v>
      </c>
      <c r="F64" s="25" t="n">
        <f aca="false">IF($O$3="sell",-1,1) * (-(B64*NORMDIST(I64,0,1,0)*$H$3)/(2*SQRT($J$3))/365) *$P$3</f>
        <v>-0.14652576749578</v>
      </c>
      <c r="G64" s="25" t="n">
        <f aca="false">IF($O$3="buy",1,-1)*( IF($K$3="call",B64*NORMDIST(I64,0,1,1) - $B$3*NORMDIST(J64,0,1,1),$B$3*NORMDIST(-J64,0,1,1) - B64*NORMDIST(-I64,0,1,1) ) - $G$3) * $P$3</f>
        <v>13.7787472776759</v>
      </c>
      <c r="I64" s="73" t="n">
        <f aca="false">(LN(B64/$B$3)+($H$3^2/2)*($J$3))/($H$3*SQRT($J$3))</f>
        <v>-0.0965349667227761</v>
      </c>
      <c r="J64" s="26" t="n">
        <f aca="false">I64 - $H$3*SQRT($J$3)</f>
        <v>-0.31132658915832</v>
      </c>
      <c r="L64" s="2"/>
      <c r="M64" s="27"/>
      <c r="N64" s="27"/>
    </row>
    <row r="65" customFormat="false" ht="13.5" hidden="false" customHeight="true" outlineLevel="0" collapsed="false">
      <c r="B65" s="24" t="n">
        <f aca="false">B36</f>
        <v>66</v>
      </c>
      <c r="C65" s="25" t="n">
        <f aca="false">IF($O$3="sell",-1,1) *  IF($K$3="call",  NORMDIST(I65,0,1,1),  NORMDIST(I65,0,1,1)-1  ) * $P$3</f>
        <v>-1.13227305829561</v>
      </c>
      <c r="D65" s="25" t="n">
        <f aca="false">IF($O$3="sell",-1,1) * NORMDIST(I65,0,1,0)/(B65*$H$3*SQRT($J$3)) * $P$3</f>
        <v>0.0555080050351541</v>
      </c>
      <c r="E65" s="25" t="n">
        <f aca="false">IF($O$3="sell",-1,1) * (B65*NORMDIST(I65,0,1,0)*SQRT($J$3)/365) * $P$3</f>
        <v>0.0465108027659175</v>
      </c>
      <c r="F65" s="25" t="n">
        <f aca="false">IF($O$3="sell",-1,1) * (-(B65*NORMDIST(I65,0,1,0)*$H$3)/(2*SQRT($J$3))/365) *$P$3</f>
        <v>-0.14301565002028</v>
      </c>
      <c r="G65" s="25" t="n">
        <f aca="false">IF($O$3="buy",1,-1)*( IF($K$3="call",B65*NORMDIST(I65,0,1,1) - $B$3*NORMDIST(J65,0,1,1),$B$3*NORMDIST(-J65,0,1,1) - B65*NORMDIST(-I65,0,1,1) ) - $G$3) * $P$3</f>
        <v>14.8833090491105</v>
      </c>
      <c r="I65" s="73" t="n">
        <f aca="false">(LN(B65/$B$3)+($H$3^2/2)*($J$3))/($H$3*SQRT($J$3))</f>
        <v>-0.166546437347303</v>
      </c>
      <c r="J65" s="26" t="n">
        <f aca="false">I65 - $H$3*SQRT($J$3)</f>
        <v>-0.381338059782847</v>
      </c>
      <c r="L65" s="2"/>
      <c r="M65" s="27"/>
      <c r="N65" s="27"/>
    </row>
    <row r="66" customFormat="false" ht="13.5" hidden="false" customHeight="true" outlineLevel="0" collapsed="false">
      <c r="B66" s="24" t="n">
        <f aca="false">B37</f>
        <v>65</v>
      </c>
      <c r="C66" s="25" t="n">
        <f aca="false">IF($O$3="sell",-1,1) *  IF($K$3="call",  NORMDIST(I66,0,1,1),  NORMDIST(I66,0,1,1)-1  ) * $P$3</f>
        <v>-1.18782945821323</v>
      </c>
      <c r="D66" s="25" t="n">
        <f aca="false">IF($O$3="sell",-1,1) * NORMDIST(I66,0,1,0)/(B66*$H$3*SQRT($J$3)) * $P$3</f>
        <v>0.0555581556053242</v>
      </c>
      <c r="E66" s="25" t="n">
        <f aca="false">IF($O$3="sell",-1,1) * (B66*NORMDIST(I66,0,1,0)*SQRT($J$3)/365) * $P$3</f>
        <v>0.0451528199178218</v>
      </c>
      <c r="F66" s="25" t="n">
        <f aca="false">IF($O$3="sell",-1,1) * (-(B66*NORMDIST(I66,0,1,0)*$H$3)/(2*SQRT($J$3))/365) *$P$3</f>
        <v>-0.138840000747695</v>
      </c>
      <c r="G66" s="25" t="n">
        <f aca="false">IF($O$3="buy",1,-1)*( IF($K$3="call",B66*NORMDIST(I66,0,1,1) - $B$3*NORMDIST(J66,0,1,1),$B$3*NORMDIST(-J66,0,1,1) - B66*NORMDIST(-I66,0,1,1) ) - $G$3) * $P$3</f>
        <v>16.0433561092752</v>
      </c>
      <c r="I66" s="73" t="n">
        <f aca="false">(LN(B66/$B$3)+($H$3^2/2)*($J$3))/($H$3*SQRT($J$3))</f>
        <v>-0.237626826599309</v>
      </c>
      <c r="J66" s="26" t="n">
        <f aca="false">I66 - $H$3*SQRT($J$3)</f>
        <v>-0.452418449034853</v>
      </c>
      <c r="L66" s="2"/>
      <c r="M66" s="27"/>
      <c r="N66" s="27"/>
    </row>
    <row r="67" customFormat="false" ht="13.5" hidden="false" customHeight="true" outlineLevel="0" collapsed="false">
      <c r="B67" s="24" t="n">
        <f aca="false">B38</f>
        <v>64</v>
      </c>
      <c r="C67" s="25" t="n">
        <f aca="false">IF($O$3="sell",-1,1) *  IF($K$3="call",  NORMDIST(I67,0,1,1),  NORMDIST(I67,0,1,1)-1  ) * $P$3</f>
        <v>-1.24329400673245</v>
      </c>
      <c r="D67" s="25" t="n">
        <f aca="false">IF($O$3="sell",-1,1) * NORMDIST(I67,0,1,0)/(B67*$H$3*SQRT($J$3)) * $P$3</f>
        <v>0.0553223433841305</v>
      </c>
      <c r="E67" s="25" t="n">
        <f aca="false">IF($O$3="sell",-1,1) * (B67*NORMDIST(I67,0,1,0)*SQRT($J$3)/365) * $P$3</f>
        <v>0.0435883933361118</v>
      </c>
      <c r="F67" s="25" t="n">
        <f aca="false">IF($O$3="sell",-1,1) * (-(B67*NORMDIST(I67,0,1,0)*$H$3)/(2*SQRT($J$3))/365) *$P$3</f>
        <v>-0.134029559491321</v>
      </c>
      <c r="G67" s="25" t="n">
        <f aca="false">IF($O$3="buy",1,-1)*( IF($K$3="call",B67*NORMDIST(I67,0,1,1) - $B$3*NORMDIST(J67,0,1,1),$B$3*NORMDIST(-J67,0,1,1) - B67*NORMDIST(-I67,0,1,1) ) - $G$3) * $P$3</f>
        <v>17.2589374791208</v>
      </c>
      <c r="I67" s="73" t="n">
        <f aca="false">(LN(B67/$B$3)+($H$3^2/2)*($J$3))/($H$3*SQRT($J$3))</f>
        <v>-0.309809281204204</v>
      </c>
      <c r="J67" s="26" t="n">
        <f aca="false">I67 - $H$3*SQRT($J$3)</f>
        <v>-0.524600903639748</v>
      </c>
      <c r="L67" s="2"/>
      <c r="M67" s="27"/>
      <c r="N67" s="27"/>
    </row>
    <row r="68" customFormat="false" ht="13.5" hidden="false" customHeight="true" outlineLevel="0" collapsed="false">
      <c r="B68" s="24" t="n">
        <f aca="false">B39</f>
        <v>63</v>
      </c>
      <c r="C68" s="25" t="n">
        <f aca="false">IF($O$3="sell",-1,1) *  IF($K$3="call",  NORMDIST(I68,0,1,1),  NORMDIST(I68,0,1,1)-1  ) * $P$3</f>
        <v>-1.29837552139826</v>
      </c>
      <c r="D68" s="25" t="n">
        <f aca="false">IF($O$3="sell",-1,1) * NORMDIST(I68,0,1,0)/(B68*$H$3*SQRT($J$3)) * $P$3</f>
        <v>0.0547908050945587</v>
      </c>
      <c r="E68" s="25" t="n">
        <f aca="false">IF($O$3="sell",-1,1) * (B68*NORMDIST(I68,0,1,0)*SQRT($J$3)/365) * $P$3</f>
        <v>0.0418310847013366</v>
      </c>
      <c r="F68" s="25" t="n">
        <f aca="false">IF($O$3="sell",-1,1) * (-(B68*NORMDIST(I68,0,1,0)*$H$3)/(2*SQRT($J$3))/365) *$P$3</f>
        <v>-0.12862602694097</v>
      </c>
      <c r="G68" s="25" t="n">
        <f aca="false">IF($O$3="buy",1,-1)*( IF($K$3="call",B68*NORMDIST(I68,0,1,1) - $B$3*NORMDIST(J68,0,1,1),$B$3*NORMDIST(-J68,0,1,1) - B68*NORMDIST(-I68,0,1,1) ) - $G$3) * $P$3</f>
        <v>18.5298165304252</v>
      </c>
      <c r="I68" s="73" t="n">
        <f aca="false">(LN(B68/$B$3)+($H$3^2/2)*($J$3))/($H$3*SQRT($J$3))</f>
        <v>-0.383128514000935</v>
      </c>
      <c r="J68" s="26" t="n">
        <f aca="false">I68 - $H$3*SQRT($J$3)</f>
        <v>-0.597920136436479</v>
      </c>
      <c r="L68" s="2"/>
      <c r="M68" s="27"/>
      <c r="N68" s="27"/>
    </row>
    <row r="69" customFormat="false" ht="13.5" hidden="false" customHeight="true" outlineLevel="0" collapsed="false">
      <c r="B69" s="24" t="n">
        <f aca="false">B40</f>
        <v>62</v>
      </c>
      <c r="C69" s="25" t="n">
        <f aca="false">IF($O$3="sell",-1,1) *  IF($K$3="call",  NORMDIST(I69,0,1,1),  NORMDIST(I69,0,1,1)-1  ) * $P$3</f>
        <v>-1.35277517756796</v>
      </c>
      <c r="D69" s="25" t="n">
        <f aca="false">IF($O$3="sell",-1,1) * NORMDIST(I69,0,1,0)/(B69*$H$3*SQRT($J$3)) * $P$3</f>
        <v>0.0539581105041387</v>
      </c>
      <c r="E69" s="25" t="n">
        <f aca="false">IF($O$3="sell",-1,1) * (B69*NORMDIST(I69,0,1,0)*SQRT($J$3)/365) * $P$3</f>
        <v>0.0398979385880263</v>
      </c>
      <c r="F69" s="25" t="n">
        <f aca="false">IF($O$3="sell",-1,1) * (-(B69*NORMDIST(I69,0,1,0)*$H$3)/(2*SQRT($J$3))/365) *$P$3</f>
        <v>-0.122681813305899</v>
      </c>
      <c r="G69" s="25" t="n">
        <f aca="false">IF($O$3="buy",1,-1)*( IF($K$3="call",B69*NORMDIST(I69,0,1,1) - $B$3*NORMDIST(J69,0,1,1),$B$3*NORMDIST(-J69,0,1,1) - B69*NORMDIST(-I69,0,1,1) ) - $G$3) * $P$3</f>
        <v>19.8554612702444</v>
      </c>
      <c r="I69" s="73" t="n">
        <f aca="false">(LN(B69/$B$3)+($H$3^2/2)*($J$3))/($H$3*SQRT($J$3))</f>
        <v>-0.457620904183623</v>
      </c>
      <c r="J69" s="26" t="n">
        <f aca="false">I69 - $H$3*SQRT($J$3)</f>
        <v>-0.672412526619167</v>
      </c>
      <c r="L69" s="2"/>
      <c r="M69" s="27"/>
      <c r="N69" s="27"/>
    </row>
    <row r="70" customFormat="false" ht="13.5" hidden="false" customHeight="true" outlineLevel="0" collapsed="false">
      <c r="B70" s="24" t="n">
        <f aca="false">B41</f>
        <v>61</v>
      </c>
      <c r="C70" s="25" t="n">
        <f aca="false">IF($O$3="sell",-1,1) *  IF($K$3="call",  NORMDIST(I70,0,1,1),  NORMDIST(I70,0,1,1)-1  ) * $P$3</f>
        <v>-1.40619110231107</v>
      </c>
      <c r="D70" s="25" t="n">
        <f aca="false">IF($O$3="sell",-1,1) * NORMDIST(I70,0,1,0)/(B70*$H$3*SQRT($J$3)) * $P$3</f>
        <v>0.0528236714651783</v>
      </c>
      <c r="E70" s="25" t="n">
        <f aca="false">IF($O$3="sell",-1,1) * (B70*NORMDIST(I70,0,1,0)*SQRT($J$3)/365) * $P$3</f>
        <v>0.0378092966565908</v>
      </c>
      <c r="F70" s="25" t="n">
        <f aca="false">IF($O$3="sell",-1,1) * (-(B70*NORMDIST(I70,0,1,0)*$H$3)/(2*SQRT($J$3))/365) *$P$3</f>
        <v>-0.11625946697515</v>
      </c>
      <c r="G70" s="25" t="n">
        <f aca="false">IF($O$3="buy",1,-1)*( IF($K$3="call",B70*NORMDIST(I70,0,1,1) - $B$3*NORMDIST(J70,0,1,1),$B$3*NORMDIST(-J70,0,1,1) - B70*NORMDIST(-I70,0,1,1) ) - $G$3) * $P$3</f>
        <v>21.2350389532152</v>
      </c>
      <c r="I70" s="73" t="n">
        <f aca="false">(LN(B70/$B$3)+($H$3^2/2)*($J$3))/($H$3*SQRT($J$3))</f>
        <v>-0.533324605693955</v>
      </c>
      <c r="J70" s="26" t="n">
        <f aca="false">I70 - $H$3*SQRT($J$3)</f>
        <v>-0.748116228129498</v>
      </c>
      <c r="L70" s="2"/>
      <c r="M70" s="27"/>
      <c r="N70" s="27"/>
    </row>
    <row r="71" customFormat="false" ht="13.5" hidden="false" customHeight="true" outlineLevel="0" collapsed="false">
      <c r="B71" s="24" t="n">
        <f aca="false">B42</f>
        <v>60</v>
      </c>
      <c r="C71" s="25" t="n">
        <f aca="false">IF($O$3="sell",-1,1) *  IF($K$3="call",  NORMDIST(I71,0,1,1),  NORMDIST(I71,0,1,1)-1  ) * $P$3</f>
        <v>-1.45832343465447</v>
      </c>
      <c r="D71" s="25" t="n">
        <f aca="false">IF($O$3="sell",-1,1) * NORMDIST(I71,0,1,0)/(B71*$H$3*SQRT($J$3)) * $P$3</f>
        <v>0.0513921608623614</v>
      </c>
      <c r="E71" s="25" t="n">
        <f aca="false">IF($O$3="sell",-1,1) * (B71*NORMDIST(I71,0,1,0)*SQRT($J$3)/365) * $P$3</f>
        <v>0.0355885033734895</v>
      </c>
      <c r="F71" s="25" t="n">
        <f aca="false">IF($O$3="sell",-1,1) * (-(B71*NORMDIST(I71,0,1,0)*$H$3)/(2*SQRT($J$3))/365) *$P$3</f>
        <v>-0.109430769639138</v>
      </c>
      <c r="G71" s="25" t="n">
        <f aca="false">IF($O$3="buy",1,-1)*( IF($K$3="call",B71*NORMDIST(I71,0,1,1) - $B$3*NORMDIST(J71,0,1,1),$B$3*NORMDIST(-J71,0,1,1) - B71*NORMDIST(-I71,0,1,1) ) - $G$3) * $P$3</f>
        <v>22.6674155284393</v>
      </c>
      <c r="I71" s="73" t="n">
        <f aca="false">(LN(B71/$B$3)+($H$3^2/2)*($J$3))/($H$3*SQRT($J$3))</f>
        <v>-0.610279664572803</v>
      </c>
      <c r="J71" s="26" t="n">
        <f aca="false">I71 - $H$3*SQRT($J$3)</f>
        <v>-0.825071287008347</v>
      </c>
      <c r="L71" s="2"/>
      <c r="M71" s="27"/>
      <c r="N71" s="27"/>
    </row>
    <row r="72" customFormat="false" ht="13.5" hidden="false" customHeight="true" outlineLevel="0" collapsed="false">
      <c r="B72" s="24" t="n">
        <f aca="false">B43</f>
        <v>59</v>
      </c>
      <c r="C72" s="25" t="n">
        <f aca="false">IF($O$3="sell",-1,1) *  IF($K$3="call",  NORMDIST(I72,0,1,1),  NORMDIST(I72,0,1,1)-1  ) * $P$3</f>
        <v>-1.50887974794485</v>
      </c>
      <c r="D72" s="25" t="n">
        <f aca="false">IF($O$3="sell",-1,1) * NORMDIST(I72,0,1,0)/(B72*$H$3*SQRT($J$3)) * $P$3</f>
        <v>0.0496738132168889</v>
      </c>
      <c r="E72" s="25" t="n">
        <f aca="false">IF($O$3="sell",-1,1) * (B72*NORMDIST(I72,0,1,0)*SQRT($J$3)/365) * $P$3</f>
        <v>0.0332615028914467</v>
      </c>
      <c r="F72" s="25" t="n">
        <f aca="false">IF($O$3="sell",-1,1) * (-(B72*NORMDIST(I72,0,1,0)*$H$3)/(2*SQRT($J$3))/365) *$P$3</f>
        <v>-0.102275496740243</v>
      </c>
      <c r="G72" s="25" t="n">
        <f aca="false">IF($O$3="buy",1,-1)*( IF($K$3="call",B72*NORMDIST(I72,0,1,1) - $B$3*NORMDIST(J72,0,1,1),$B$3*NORMDIST(-J72,0,1,1) - B72*NORMDIST(-I72,0,1,1) ) - $G$3) * $P$3</f>
        <v>24.1511603375322</v>
      </c>
      <c r="I72" s="73" t="n">
        <f aca="false">(LN(B72/$B$3)+($H$3^2/2)*($J$3))/($H$3*SQRT($J$3))</f>
        <v>-0.688528146174663</v>
      </c>
      <c r="J72" s="26" t="n">
        <f aca="false">I72 - $H$3*SQRT($J$3)</f>
        <v>-0.903319768610206</v>
      </c>
      <c r="L72" s="2"/>
      <c r="M72" s="27"/>
      <c r="N72" s="27"/>
    </row>
    <row r="73" customFormat="false" ht="13.5" hidden="false" customHeight="true" outlineLevel="0" collapsed="false">
      <c r="B73" s="24" t="n">
        <f aca="false">B44</f>
        <v>58</v>
      </c>
      <c r="C73" s="25" t="n">
        <f aca="false">IF($O$3="sell",-1,1) *  IF($K$3="call",  NORMDIST(I73,0,1,1),  NORMDIST(I73,0,1,1)-1  ) * $P$3</f>
        <v>-1.55758070215819</v>
      </c>
      <c r="D73" s="25" t="n">
        <f aca="false">IF($O$3="sell",-1,1) * NORMDIST(I73,0,1,0)/(B73*$H$3*SQRT($J$3)) * $P$3</f>
        <v>0.0476845795715324</v>
      </c>
      <c r="E73" s="25" t="n">
        <f aca="false">IF($O$3="sell",-1,1) * (B73*NORMDIST(I73,0,1,0)*SQRT($J$3)/365) * $P$3</f>
        <v>0.0308563314038192</v>
      </c>
      <c r="F73" s="25" t="n">
        <f aca="false">IF($O$3="sell",-1,1) * (-(B73*NORMDIST(I73,0,1,0)*$H$3)/(2*SQRT($J$3))/365) *$P$3</f>
        <v>-0.0948798565178089</v>
      </c>
      <c r="G73" s="25" t="n">
        <f aca="false">IF($O$3="buy",1,-1)*( IF($K$3="call",B73*NORMDIST(I73,0,1,1) - $B$3*NORMDIST(J73,0,1,1),$B$3*NORMDIST(-J73,0,1,1) - B73*NORMDIST(-I73,0,1,1) ) - $G$3) * $P$3</f>
        <v>25.6845563621566</v>
      </c>
      <c r="I73" s="73" t="n">
        <f aca="false">(LN(B73/$B$3)+($H$3^2/2)*($J$3))/($H$3*SQRT($J$3))</f>
        <v>-0.768114273256643</v>
      </c>
      <c r="J73" s="26" t="n">
        <f aca="false">I73 - $H$3*SQRT($J$3)</f>
        <v>-0.982905895692187</v>
      </c>
      <c r="L73" s="2"/>
      <c r="M73" s="27"/>
      <c r="N73" s="27"/>
    </row>
    <row r="74" customFormat="false" ht="13.5" hidden="false" customHeight="true" outlineLevel="0" collapsed="false">
      <c r="B74" s="24" t="n">
        <f aca="false">B45</f>
        <v>57</v>
      </c>
      <c r="C74" s="25" t="n">
        <f aca="false">IF($O$3="sell",-1,1) *  IF($K$3="call",  NORMDIST(I74,0,1,1),  NORMDIST(I74,0,1,1)-1  ) * $P$3</f>
        <v>-1.60416576773549</v>
      </c>
      <c r="D74" s="25" t="n">
        <f aca="false">IF($O$3="sell",-1,1) * NORMDIST(I74,0,1,0)/(B74*$H$3*SQRT($J$3)) * $P$3</f>
        <v>0.0454461118287512</v>
      </c>
      <c r="E74" s="25" t="n">
        <f aca="false">IF($O$3="sell",-1,1) * (B74*NORMDIST(I74,0,1,0)*SQRT($J$3)/365) * $P$3</f>
        <v>0.0284025144493564</v>
      </c>
      <c r="F74" s="25" t="n">
        <f aca="false">IF($O$3="sell",-1,1) * (-(B74*NORMDIST(I74,0,1,0)*$H$3)/(2*SQRT($J$3))/365) *$P$3</f>
        <v>-0.0873346367859656</v>
      </c>
      <c r="G74" s="25" t="n">
        <f aca="false">IF($O$3="buy",1,-1)*( IF($K$3="call",B74*NORMDIST(I74,0,1,1) - $B$3*NORMDIST(J74,0,1,1),$B$3*NORMDIST(-J74,0,1,1) - B74*NORMDIST(-I74,0,1,1) ) - $G$3) * $P$3</f>
        <v>27.2656161738461</v>
      </c>
      <c r="I74" s="73" t="n">
        <f aca="false">(LN(B74/$B$3)+($H$3^2/2)*($J$3))/($H$3*SQRT($J$3))</f>
        <v>-0.849084576076942</v>
      </c>
      <c r="J74" s="26" t="n">
        <f aca="false">I74 - $H$3*SQRT($J$3)</f>
        <v>-1.06387619851249</v>
      </c>
      <c r="L74" s="2"/>
      <c r="M74" s="27"/>
      <c r="N74" s="27"/>
    </row>
    <row r="76" customFormat="false" ht="17.25" hidden="false" customHeight="true" outlineLevel="0" collapsed="false">
      <c r="B76" s="23"/>
      <c r="C76" s="19" t="s">
        <v>13</v>
      </c>
      <c r="D76" s="19" t="s">
        <v>14</v>
      </c>
      <c r="E76" s="19" t="s">
        <v>15</v>
      </c>
      <c r="F76" s="19" t="s">
        <v>16</v>
      </c>
      <c r="G76" s="19" t="s">
        <v>17</v>
      </c>
      <c r="I76" s="19" t="s">
        <v>158</v>
      </c>
      <c r="J76" s="19" t="s">
        <v>159</v>
      </c>
    </row>
    <row r="77" customFormat="false" ht="13.5" hidden="false" customHeight="true" outlineLevel="0" collapsed="false">
      <c r="A77" s="2" t="str">
        <f aca="false">A4</f>
        <v>SOL-1MAY26-60-P-USDT</v>
      </c>
      <c r="B77" s="29" t="n">
        <f aca="false">B48</f>
        <v>83</v>
      </c>
      <c r="C77" s="25" t="n">
        <f aca="false">IF($O$4="sell",-1,1) *  IF($K$4="call",  NORMDIST(I77,0,1,1),  NORMDIST(I77,0,1,1)-1  ) * $P$4</f>
        <v>-0.020695106394759</v>
      </c>
      <c r="D77" s="25" t="n">
        <f aca="false">IF($O$4="sell",-1,1) * NORMDIST(I77,0,1,0)/(B77*$H$4*SQRT($J$4)) * $P$4</f>
        <v>0.00362090349456947</v>
      </c>
      <c r="E77" s="25" t="n">
        <f aca="false">IF($O$4="sell",-1,1) * (B77*NORMDIST(I77,0,1,0)*SQRT($J$4)/365) * $P$4</f>
        <v>0.00196752323049413</v>
      </c>
      <c r="F77" s="25" t="n">
        <f aca="false">IF($O$4="sell",-1,1) * (-(B77*NORMDIST(I77,0,1,0)*$H$4)/(2*SQRT($J$4))/365) *$P$4</f>
        <v>-0.0311838569937832</v>
      </c>
      <c r="G77" s="25" t="n">
        <f aca="false">IF($O$4="buy",1,-1)*( IF($K$4="call",B77*NORMDIST(I77,0,1,1) - $B$4*NORMDIST(J77,0,1,1),$B$4*NORMDIST(-J77,0,1,1) - B77*NORMDIST(-I77,0,1,1) ) - $G$4) * $P$4</f>
        <v>-1.62878656773891</v>
      </c>
      <c r="I77" s="26" t="n">
        <f aca="false">(LN(B77/$B$4)+($H$4^2/2)*($J$4))/($H$4*SQRT($J$4))</f>
        <v>2.03959969172735</v>
      </c>
      <c r="J77" s="26" t="n">
        <f aca="false">I77 - $H$4*SQRT($J$4)</f>
        <v>1.87375953936072</v>
      </c>
    </row>
    <row r="78" customFormat="false" ht="13.5" hidden="false" customHeight="true" outlineLevel="0" collapsed="false">
      <c r="B78" s="29" t="n">
        <f aca="false">B49</f>
        <v>82</v>
      </c>
      <c r="C78" s="25" t="n">
        <f aca="false">IF($O$4="sell",-1,1) *  IF($K$4="call",  NORMDIST(I78,0,1,1),  NORMDIST(I78,0,1,1)-1  ) * $P$4</f>
        <v>-0.0246199180696086</v>
      </c>
      <c r="D78" s="25" t="n">
        <f aca="false">IF($O$4="sell",-1,1) * NORMDIST(I78,0,1,0)/(B78*$H$4*SQRT($J$4)) * $P$4</f>
        <v>0.00424291035212492</v>
      </c>
      <c r="E78" s="25" t="n">
        <f aca="false">IF($O$4="sell",-1,1) * (B78*NORMDIST(I78,0,1,0)*SQRT($J$4)/365) * $P$4</f>
        <v>0.00225028898564944</v>
      </c>
      <c r="F78" s="25" t="n">
        <f aca="false">IF($O$4="sell",-1,1) * (-(B78*NORMDIST(I78,0,1,0)*$H$4)/(2*SQRT($J$4))/365) *$P$4</f>
        <v>-0.0356654949916674</v>
      </c>
      <c r="G78" s="25" t="n">
        <f aca="false">IF($O$4="buy",1,-1)*( IF($K$4="call",B78*NORMDIST(I78,0,1,1) - $B$4*NORMDIST(J78,0,1,1),$B$4*NORMDIST(-J78,0,1,1) - B78*NORMDIST(-I78,0,1,1) ) - $G$4) * $P$4</f>
        <v>-1.60618087738082</v>
      </c>
      <c r="I78" s="26" t="n">
        <f aca="false">(LN(B78/$B$4)+($H$4^2/2)*($J$4))/($H$4*SQRT($J$4))</f>
        <v>1.96650906584835</v>
      </c>
      <c r="J78" s="26" t="n">
        <f aca="false">I78 - $H$4*SQRT($J$4)</f>
        <v>1.80066891348172</v>
      </c>
    </row>
    <row r="79" customFormat="false" ht="13.5" hidden="false" customHeight="true" outlineLevel="0" collapsed="false">
      <c r="B79" s="29" t="n">
        <f aca="false">B50</f>
        <v>81</v>
      </c>
      <c r="C79" s="25" t="n">
        <f aca="false">IF($O$4="sell",-1,1) *  IF($K$4="call",  NORMDIST(I79,0,1,1),  NORMDIST(I79,0,1,1)-1  ) * $P$4</f>
        <v>-0.0292107592433745</v>
      </c>
      <c r="D79" s="25" t="n">
        <f aca="false">IF($O$4="sell",-1,1) * NORMDIST(I79,0,1,0)/(B79*$H$4*SQRT($J$4)) * $P$4</f>
        <v>0.00495441689020419</v>
      </c>
      <c r="E79" s="25" t="n">
        <f aca="false">IF($O$4="sell",-1,1) * (B79*NORMDIST(I79,0,1,0)*SQRT($J$4)/365) * $P$4</f>
        <v>0.0025639486281637</v>
      </c>
      <c r="F79" s="25" t="n">
        <f aca="false">IF($O$4="sell",-1,1) * (-(B79*NORMDIST(I79,0,1,0)*$H$4)/(2*SQRT($J$4))/365) *$P$4</f>
        <v>-0.0406367793380431</v>
      </c>
      <c r="G79" s="25" t="n">
        <f aca="false">IF($O$4="buy",1,-1)*( IF($K$4="call",B79*NORMDIST(I79,0,1,1) - $B$4*NORMDIST(J79,0,1,1),$B$4*NORMDIST(-J79,0,1,1) - B79*NORMDIST(-I79,0,1,1) ) - $G$4) * $P$4</f>
        <v>-1.57932481877074</v>
      </c>
      <c r="I79" s="26" t="n">
        <f aca="false">(LN(B79/$B$4)+($H$4^2/2)*($J$4))/($H$4*SQRT($J$4))</f>
        <v>1.89252160010671</v>
      </c>
      <c r="J79" s="26" t="n">
        <f aca="false">I79 - $H$4*SQRT($J$4)</f>
        <v>1.72668144774008</v>
      </c>
    </row>
    <row r="80" customFormat="false" ht="13.5" hidden="false" customHeight="true" outlineLevel="0" collapsed="false">
      <c r="B80" s="29" t="n">
        <f aca="false">B51</f>
        <v>80</v>
      </c>
      <c r="C80" s="25" t="n">
        <f aca="false">IF($O$4="sell",-1,1) *  IF($K$4="call",  NORMDIST(I80,0,1,1),  NORMDIST(I80,0,1,1)-1  ) * $P$4</f>
        <v>-0.0345614977797097</v>
      </c>
      <c r="D80" s="25" t="n">
        <f aca="false">IF($O$4="sell",-1,1) * NORMDIST(I80,0,1,0)/(B80*$H$4*SQRT($J$4)) * $P$4</f>
        <v>0.0057641565482766</v>
      </c>
      <c r="E80" s="25" t="n">
        <f aca="false">IF($O$4="sell",-1,1) * (B80*NORMDIST(I80,0,1,0)*SQRT($J$4)/365) * $P$4</f>
        <v>0.00290979554918395</v>
      </c>
      <c r="F80" s="25" t="n">
        <f aca="false">IF($O$4="sell",-1,1) * (-(B80*NORMDIST(I80,0,1,0)*$H$4)/(2*SQRT($J$4))/365) *$P$4</f>
        <v>-0.0461182093713378</v>
      </c>
      <c r="G80" s="25" t="n">
        <f aca="false">IF($O$4="buy",1,-1)*( IF($K$4="call",B80*NORMDIST(I80,0,1,1) - $B$4*NORMDIST(J80,0,1,1),$B$4*NORMDIST(-J80,0,1,1) - B80*NORMDIST(-I80,0,1,1) ) - $G$4) * $P$4</f>
        <v>-1.5475061565945</v>
      </c>
      <c r="I80" s="26" t="n">
        <f aca="false">(LN(B80/$B$4)+($H$4^2/2)*($J$4))/($H$4*SQRT($J$4))</f>
        <v>1.81761501191754</v>
      </c>
      <c r="J80" s="26" t="n">
        <f aca="false">I80 - $H$4*SQRT($J$4)</f>
        <v>1.65177485955091</v>
      </c>
    </row>
    <row r="81" customFormat="false" ht="13.5" hidden="false" customHeight="true" outlineLevel="0" collapsed="false">
      <c r="B81" s="29" t="n">
        <f aca="false">B52</f>
        <v>79</v>
      </c>
      <c r="C81" s="25" t="n">
        <f aca="false">IF($O$4="sell",-1,1) *  IF($K$4="call",  NORMDIST(I81,0,1,1),  NORMDIST(I81,0,1,1)-1  ) * $P$4</f>
        <v>-0.0407746836111016</v>
      </c>
      <c r="D81" s="25" t="n">
        <f aca="false">IF($O$4="sell",-1,1) * NORMDIST(I81,0,1,0)/(B81*$H$4*SQRT($J$4)) * $P$4</f>
        <v>0.00668071539146093</v>
      </c>
      <c r="E81" s="25" t="n">
        <f aca="false">IF($O$4="sell",-1,1) * (B81*NORMDIST(I81,0,1,0)*SQRT($J$4)/365) * $P$4</f>
        <v>0.00328869718912834</v>
      </c>
      <c r="F81" s="25" t="n">
        <f aca="false">IF($O$4="sell",-1,1) * (-(B81*NORMDIST(I81,0,1,0)*$H$4)/(2*SQRT($J$4))/365) *$P$4</f>
        <v>-0.0521235334110282</v>
      </c>
      <c r="G81" s="25" t="n">
        <f aca="false">IF($O$4="buy",1,-1)*( IF($K$4="call",B81*NORMDIST(I81,0,1,1) - $B$4*NORMDIST(J81,0,1,1),$B$4*NORMDIST(-J81,0,1,1) - B81*NORMDIST(-I81,0,1,1) ) - $G$4) * $P$4</f>
        <v>-1.50991443444377</v>
      </c>
      <c r="I81" s="26" t="n">
        <f aca="false">(LN(B81/$B$4)+($H$4^2/2)*($J$4))/($H$4*SQRT($J$4))</f>
        <v>1.74176617780014</v>
      </c>
      <c r="J81" s="26" t="n">
        <f aca="false">I81 - $H$4*SQRT($J$4)</f>
        <v>1.57592602543351</v>
      </c>
    </row>
    <row r="82" customFormat="false" ht="13.5" hidden="false" customHeight="true" outlineLevel="0" collapsed="false">
      <c r="B82" s="29" t="n">
        <f aca="false">B53</f>
        <v>78</v>
      </c>
      <c r="C82" s="25" t="n">
        <f aca="false">IF($O$4="sell",-1,1) *  IF($K$4="call",  NORMDIST(I82,0,1,1),  NORMDIST(I82,0,1,1)-1  ) * $P$4</f>
        <v>-0.0479612570117667</v>
      </c>
      <c r="D82" s="25" t="n">
        <f aca="false">IF($O$4="sell",-1,1) * NORMDIST(I82,0,1,0)/(B82*$H$4*SQRT($J$4)) * $P$4</f>
        <v>0.00771223280530542</v>
      </c>
      <c r="E82" s="25" t="n">
        <f aca="false">IF($O$4="sell",-1,1) * (B82*NORMDIST(I82,0,1,0)*SQRT($J$4)/365) * $P$4</f>
        <v>0.00370097430835757</v>
      </c>
      <c r="F82" s="25" t="n">
        <f aca="false">IF($O$4="sell",-1,1) * (-(B82*NORMDIST(I82,0,1,0)*$H$4)/(2*SQRT($J$4))/365) *$P$4</f>
        <v>-0.0586578352828411</v>
      </c>
      <c r="G82" s="25" t="n">
        <f aca="false">IF($O$4="buy",1,-1)*( IF($K$4="call",B82*NORMDIST(I82,0,1,1) - $B$4*NORMDIST(J82,0,1,1),$B$4*NORMDIST(-J82,0,1,1) - B82*NORMDIST(-I82,0,1,1) ) - $G$4) * $P$4</f>
        <v>-1.46563241367472</v>
      </c>
      <c r="I82" s="26" t="n">
        <f aca="false">(LN(B82/$B$4)+($H$4^2/2)*($J$4))/($H$4*SQRT($J$4))</f>
        <v>1.66495109052702</v>
      </c>
      <c r="J82" s="26" t="n">
        <f aca="false">I82 - $H$4*SQRT($J$4)</f>
        <v>1.49911093816039</v>
      </c>
    </row>
    <row r="83" customFormat="false" ht="13.5" hidden="false" customHeight="true" outlineLevel="0" collapsed="false">
      <c r="B83" s="29" t="n">
        <f aca="false">B54</f>
        <v>77</v>
      </c>
      <c r="C83" s="25" t="n">
        <f aca="false">IF($O$4="sell",-1,1) *  IF($K$4="call",  NORMDIST(I83,0,1,1),  NORMDIST(I83,0,1,1)-1  ) * $P$4</f>
        <v>-0.056239925141526</v>
      </c>
      <c r="D83" s="25" t="n">
        <f aca="false">IF($O$4="sell",-1,1) * NORMDIST(I83,0,1,0)/(B83*$H$4*SQRT($J$4)) * $P$4</f>
        <v>0.00886603679554047</v>
      </c>
      <c r="E83" s="25" t="n">
        <f aca="false">IF($O$4="sell",-1,1) * (B83*NORMDIST(I83,0,1,0)*SQRT($J$4)/365) * $P$4</f>
        <v>0.00414627128215356</v>
      </c>
      <c r="F83" s="25" t="n">
        <f aca="false">IF($O$4="sell",-1,1) * (-(B83*NORMDIST(I83,0,1,0)*$H$4)/(2*SQRT($J$4))/365) *$P$4</f>
        <v>-0.0657154785855488</v>
      </c>
      <c r="G83" s="25" t="n">
        <f aca="false">IF($O$4="buy",1,-1)*( IF($K$4="call",B83*NORMDIST(I83,0,1,1) - $B$4*NORMDIST(J83,0,1,1),$B$4*NORMDIST(-J83,0,1,1) - B83*NORMDIST(-I83,0,1,1) ) - $G$4) * $P$4</f>
        <v>-1.41362796440556</v>
      </c>
      <c r="I83" s="26" t="n">
        <f aca="false">(LN(B83/$B$4)+($H$4^2/2)*($J$4))/($H$4*SQRT($J$4))</f>
        <v>1.58714481350804</v>
      </c>
      <c r="J83" s="26" t="n">
        <f aca="false">I83 - $H$4*SQRT($J$4)</f>
        <v>1.42130466114141</v>
      </c>
    </row>
    <row r="84" customFormat="false" ht="13.5" hidden="false" customHeight="true" outlineLevel="0" collapsed="false">
      <c r="B84" s="29" t="n">
        <f aca="false">B55</f>
        <v>76</v>
      </c>
      <c r="C84" s="25" t="n">
        <f aca="false">IF($O$4="sell",-1,1) *  IF($K$4="call",  NORMDIST(I84,0,1,1),  NORMDIST(I84,0,1,1)-1  ) * $P$4</f>
        <v>-0.0657361402558754</v>
      </c>
      <c r="D84" s="25" t="n">
        <f aca="false">IF($O$4="sell",-1,1) * NORMDIST(I84,0,1,0)/(B84*$H$4*SQRT($J$4)) * $P$4</f>
        <v>0.010148211937572</v>
      </c>
      <c r="E84" s="25" t="n">
        <f aca="false">IF($O$4="sell",-1,1) * (B84*NORMDIST(I84,0,1,0)*SQRT($J$4)/365) * $P$4</f>
        <v>0.00462342106202832</v>
      </c>
      <c r="F84" s="25" t="n">
        <f aca="false">IF($O$4="sell",-1,1) * (-(B84*NORMDIST(I84,0,1,0)*$H$4)/(2*SQRT($J$4))/365) *$P$4</f>
        <v>-0.0732779664228551</v>
      </c>
      <c r="G84" s="25" t="n">
        <f aca="false">IF($O$4="buy",1,-1)*( IF($K$4="call",B84*NORMDIST(I84,0,1,1) - $B$4*NORMDIST(J84,0,1,1),$B$4*NORMDIST(-J84,0,1,1) - B84*NORMDIST(-I84,0,1,1) ) - $G$4) * $P$4</f>
        <v>-1.35274677351998</v>
      </c>
      <c r="I84" s="26" t="n">
        <f aca="false">(LN(B84/$B$4)+($H$4^2/2)*($J$4))/($H$4*SQRT($J$4))</f>
        <v>1.50832143219292</v>
      </c>
      <c r="J84" s="26" t="n">
        <f aca="false">I84 - $H$4*SQRT($J$4)</f>
        <v>1.34248127982629</v>
      </c>
    </row>
    <row r="85" customFormat="false" ht="13.5" hidden="false" customHeight="true" outlineLevel="0" collapsed="false">
      <c r="B85" s="29" t="n">
        <f aca="false">B56</f>
        <v>75</v>
      </c>
      <c r="C85" s="25" t="n">
        <f aca="false">IF($O$4="sell",-1,1) *  IF($K$4="call",  NORMDIST(I85,0,1,1),  NORMDIST(I85,0,1,1)-1  ) * $P$4</f>
        <v>-0.0765806125794956</v>
      </c>
      <c r="D85" s="25" t="n">
        <f aca="false">IF($O$4="sell",-1,1) * NORMDIST(I85,0,1,0)/(B85*$H$4*SQRT($J$4)) * $P$4</f>
        <v>0.011563101302884</v>
      </c>
      <c r="E85" s="25" t="n">
        <f aca="false">IF($O$4="sell",-1,1) * (B85*NORMDIST(I85,0,1,0)*SQRT($J$4)/365) * $P$4</f>
        <v>0.00513030979916429</v>
      </c>
      <c r="F85" s="25" t="n">
        <f aca="false">IF($O$4="sell",-1,1) * (-(B85*NORMDIST(I85,0,1,0)*$H$4)/(2*SQRT($J$4))/365) *$P$4</f>
        <v>-0.0813117957803045</v>
      </c>
      <c r="G85" s="25" t="n">
        <f aca="false">IF($O$4="buy",1,-1)*( IF($K$4="call",B85*NORMDIST(I85,0,1,1) - $B$4*NORMDIST(J85,0,1,1),$B$4*NORMDIST(-J85,0,1,1) - B85*NORMDIST(-I85,0,1,1) ) - $G$4) * $P$4</f>
        <v>-1.28170630162091</v>
      </c>
      <c r="I85" s="26" t="n">
        <f aca="false">(LN(B85/$B$4)+($H$4^2/2)*($J$4))/($H$4*SQRT($J$4))</f>
        <v>1.42845400225509</v>
      </c>
      <c r="J85" s="26" t="n">
        <f aca="false">I85 - $H$4*SQRT($J$4)</f>
        <v>1.26261384988846</v>
      </c>
    </row>
    <row r="86" customFormat="false" ht="13.5" hidden="false" customHeight="true" outlineLevel="0" collapsed="false">
      <c r="B86" s="29" t="n">
        <f aca="false">B57</f>
        <v>74</v>
      </c>
      <c r="C86" s="25" t="n">
        <f aca="false">IF($O$4="sell",-1,1) *  IF($K$4="call",  NORMDIST(I86,0,1,1),  NORMDIST(I86,0,1,1)-1  ) * $P$4</f>
        <v>-0.0889072942434879</v>
      </c>
      <c r="D86" s="25" t="n">
        <f aca="false">IF($O$4="sell",-1,1) * NORMDIST(I86,0,1,0)/(B86*$H$4*SQRT($J$4)) * $P$4</f>
        <v>0.0131127480223719</v>
      </c>
      <c r="E86" s="25" t="n">
        <f aca="false">IF($O$4="sell",-1,1) * (B86*NORMDIST(I86,0,1,0)*SQRT($J$4)/365) * $P$4</f>
        <v>0.00566374757499086</v>
      </c>
      <c r="F86" s="25" t="n">
        <f aca="false">IF($O$4="sell",-1,1) * (-(B86*NORMDIST(I86,0,1,0)*$H$4)/(2*SQRT($J$4))/365) *$P$4</f>
        <v>-0.0897664086959955</v>
      </c>
      <c r="G86" s="25" t="n">
        <f aca="false">IF($O$4="buy",1,-1)*( IF($K$4="call",B86*NORMDIST(I86,0,1,1) - $B$4*NORMDIST(J86,0,1,1),$B$4*NORMDIST(-J86,0,1,1) - B86*NORMDIST(-I86,0,1,1) ) - $G$4) * $P$4</f>
        <v>-1.19909148654107</v>
      </c>
      <c r="I86" s="26" t="n">
        <f aca="false">(LN(B86/$B$4)+($H$4^2/2)*($J$4))/($H$4*SQRT($J$4))</f>
        <v>1.34751449429765</v>
      </c>
      <c r="J86" s="26" t="n">
        <f aca="false">I86 - $H$4*SQRT($J$4)</f>
        <v>1.18167434193103</v>
      </c>
    </row>
    <row r="87" customFormat="false" ht="13.5" hidden="false" customHeight="true" outlineLevel="0" collapsed="false">
      <c r="B87" s="29" t="n">
        <f aca="false">B58</f>
        <v>73</v>
      </c>
      <c r="C87" s="25" t="n">
        <f aca="false">IF($O$4="sell",-1,1) *  IF($K$4="call",  NORMDIST(I87,0,1,1),  NORMDIST(I87,0,1,1)-1  ) * $P$4</f>
        <v>-0.102850778970761</v>
      </c>
      <c r="D87" s="25" t="n">
        <f aca="false">IF($O$4="sell",-1,1) * NORMDIST(I87,0,1,0)/(B87*$H$4*SQRT($J$4)) * $P$4</f>
        <v>0.0147962875782343</v>
      </c>
      <c r="E87" s="25" t="n">
        <f aca="false">IF($O$4="sell",-1,1) * (B87*NORMDIST(I87,0,1,0)*SQRT($J$4)/365) * $P$4</f>
        <v>0.00621935315033439</v>
      </c>
      <c r="F87" s="25" t="n">
        <f aca="false">IF($O$4="sell",-1,1) * (-(B87*NORMDIST(I87,0,1,0)*$H$4)/(2*SQRT($J$4))/365) *$P$4</f>
        <v>-0.0985723656158078</v>
      </c>
      <c r="G87" s="25" t="n">
        <f aca="false">IF($O$4="buy",1,-1)*( IF($K$4="call",B87*NORMDIST(I87,0,1,1) - $B$4*NORMDIST(J87,0,1,1),$B$4*NORMDIST(-J87,0,1,1) - B87*NORMDIST(-I87,0,1,1) ) - $G$4) * $P$4</f>
        <v>-1.10335275092724</v>
      </c>
      <c r="I87" s="26" t="n">
        <f aca="false">(LN(B87/$B$4)+($H$4^2/2)*($J$4))/($H$4*SQRT($J$4))</f>
        <v>1.2654737347975</v>
      </c>
      <c r="J87" s="26" t="n">
        <f aca="false">I87 - $H$4*SQRT($J$4)</f>
        <v>1.09963358243088</v>
      </c>
    </row>
    <row r="88" customFormat="false" ht="13.5" hidden="false" customHeight="true" outlineLevel="0" collapsed="false">
      <c r="B88" s="29" t="n">
        <f aca="false">B59</f>
        <v>72</v>
      </c>
      <c r="C88" s="25" t="n">
        <f aca="false">IF($O$4="sell",-1,1) *  IF($K$4="call",  NORMDIST(I88,0,1,1),  NORMDIST(I88,0,1,1)-1  ) * $P$4</f>
        <v>-0.118543076449926</v>
      </c>
      <c r="D88" s="25" t="n">
        <f aca="false">IF($O$4="sell",-1,1) * NORMDIST(I88,0,1,0)/(B88*$H$4*SQRT($J$4)) * $P$4</f>
        <v>0.0166093084144058</v>
      </c>
      <c r="E88" s="25" t="n">
        <f aca="false">IF($O$4="sell",-1,1) * (B88*NORMDIST(I88,0,1,0)*SQRT($J$4)/365) * $P$4</f>
        <v>0.00679146202025103</v>
      </c>
      <c r="F88" s="25" t="n">
        <f aca="false">IF($O$4="sell",-1,1) * (-(B88*NORMDIST(I88,0,1,0)*$H$4)/(2*SQRT($J$4))/365) *$P$4</f>
        <v>-0.107639888127283</v>
      </c>
      <c r="G88" s="25" t="n">
        <f aca="false">IF($O$4="buy",1,-1)*( IF($K$4="call",B88*NORMDIST(I88,0,1,1) - $B$4*NORMDIST(J88,0,1,1),$B$4*NORMDIST(-J88,0,1,1) - B88*NORMDIST(-I88,0,1,1) ) - $G$4) * $P$4</f>
        <v>-0.992806920144364</v>
      </c>
      <c r="I88" s="26" t="n">
        <f aca="false">(LN(B88/$B$4)+($H$4^2/2)*($J$4))/($H$4*SQRT($J$4))</f>
        <v>1.18230134297624</v>
      </c>
      <c r="J88" s="26" t="n">
        <f aca="false">I88 - $H$4*SQRT($J$4)</f>
        <v>1.01646119060961</v>
      </c>
    </row>
    <row r="89" customFormat="false" ht="13.5" hidden="false" customHeight="true" outlineLevel="0" collapsed="false">
      <c r="B89" s="29" t="n">
        <f aca="false">B60</f>
        <v>71</v>
      </c>
      <c r="C89" s="25" t="n">
        <f aca="false">IF($O$4="sell",-1,1) *  IF($K$4="call",  NORMDIST(I89,0,1,1),  NORMDIST(I89,0,1,1)-1  ) * $P$4</f>
        <v>-0.136109741571552</v>
      </c>
      <c r="D89" s="25" t="n">
        <f aca="false">IF($O$4="sell",-1,1) * NORMDIST(I89,0,1,0)/(B89*$H$4*SQRT($J$4)) * $P$4</f>
        <v>0.0185432058774798</v>
      </c>
      <c r="E89" s="25" t="n">
        <f aca="false">IF($O$4="sell",-1,1) * (B89*NORMDIST(I89,0,1,0)*SQRT($J$4)/365) * $P$4</f>
        <v>0.00737306820788004</v>
      </c>
      <c r="F89" s="25" t="n">
        <f aca="false">IF($O$4="sell",-1,1) * (-(B89*NORMDIST(I89,0,1,0)*$H$4)/(2*SQRT($J$4))/365) *$P$4</f>
        <v>-0.116857936433207</v>
      </c>
      <c r="G89" s="25" t="n">
        <f aca="false">IF($O$4="buy",1,-1)*( IF($K$4="call",B89*NORMDIST(I89,0,1,1) - $B$4*NORMDIST(J89,0,1,1),$B$4*NORMDIST(-J89,0,1,1) - B89*NORMDIST(-I89,0,1,1) ) - $G$4) * $P$4</f>
        <v>-0.865641687807633</v>
      </c>
      <c r="I89" s="26" t="n">
        <f aca="false">(LN(B89/$B$4)+($H$4^2/2)*($J$4))/($H$4*SQRT($J$4))</f>
        <v>1.09796566325604</v>
      </c>
      <c r="J89" s="26" t="n">
        <f aca="false">I89 - $H$4*SQRT($J$4)</f>
        <v>0.932125510889417</v>
      </c>
    </row>
    <row r="90" customFormat="false" ht="13.5" hidden="false" customHeight="true" outlineLevel="0" collapsed="false">
      <c r="B90" s="29" t="n">
        <f aca="false">B61</f>
        <v>70</v>
      </c>
      <c r="C90" s="25" t="n">
        <f aca="false">IF($O$4="sell",-1,1) *  IF($K$4="call",  NORMDIST(I90,0,1,1),  NORMDIST(I90,0,1,1)-1  ) * $P$4</f>
        <v>-0.155665367705423</v>
      </c>
      <c r="D90" s="25" t="n">
        <f aca="false">IF($O$4="sell",-1,1) * NORMDIST(I90,0,1,0)/(B90*$H$4*SQRT($J$4)) * $P$4</f>
        <v>0.0205845625593966</v>
      </c>
      <c r="E90" s="25" t="n">
        <f aca="false">IF($O$4="sell",-1,1) * (B90*NORMDIST(I90,0,1,0)*SQRT($J$4)/365) * $P$4</f>
        <v>0.00795581098022329</v>
      </c>
      <c r="F90" s="25" t="n">
        <f aca="false">IF($O$4="sell",-1,1) * (-(B90*NORMDIST(I90,0,1,0)*$H$4)/(2*SQRT($J$4))/365) *$P$4</f>
        <v>-0.126093998806076</v>
      </c>
      <c r="G90" s="25" t="n">
        <f aca="false">IF($O$4="buy",1,-1)*( IF($K$4="call",B90*NORMDIST(I90,0,1,1) - $B$4*NORMDIST(J90,0,1,1),$B$4*NORMDIST(-J90,0,1,1) - B90*NORMDIST(-I90,0,1,1) ) - $G$4) * $P$4</f>
        <v>-0.719924272246263</v>
      </c>
      <c r="I90" s="26" t="n">
        <f aca="false">(LN(B90/$B$4)+($H$4^2/2)*($J$4))/($H$4*SQRT($J$4))</f>
        <v>1.01243369292477</v>
      </c>
      <c r="J90" s="26" t="n">
        <f aca="false">I90 - $H$4*SQRT($J$4)</f>
        <v>0.846593540558142</v>
      </c>
    </row>
    <row r="91" customFormat="false" ht="13.5" hidden="false" customHeight="true" outlineLevel="0" collapsed="false">
      <c r="B91" s="29" t="n">
        <f aca="false">B62</f>
        <v>69</v>
      </c>
      <c r="C91" s="25" t="n">
        <f aca="false">IF($O$4="sell",-1,1) *  IF($K$4="call",  NORMDIST(I91,0,1,1),  NORMDIST(I91,0,1,1)-1  ) * $P$4</f>
        <v>-0.177308490396886</v>
      </c>
      <c r="D91" s="25" t="n">
        <f aca="false">IF($O$4="sell",-1,1) * NORMDIST(I91,0,1,0)/(B91*$H$4*SQRT($J$4)) * $P$4</f>
        <v>0.0227145963510342</v>
      </c>
      <c r="E91" s="25" t="n">
        <f aca="false">IF($O$4="sell",-1,1) * (B91*NORMDIST(I91,0,1,0)*SQRT($J$4)/365) * $P$4</f>
        <v>0.00853001783216485</v>
      </c>
      <c r="F91" s="25" t="n">
        <f aca="false">IF($O$4="sell",-1,1) * (-(B91*NORMDIST(I91,0,1,0)*$H$4)/(2*SQRT($J$4))/365) *$P$4</f>
        <v>-0.135194772854522</v>
      </c>
      <c r="G91" s="25" t="n">
        <f aca="false">IF($O$4="buy",1,-1)*( IF($K$4="call",B91*NORMDIST(I91,0,1,1) - $B$4*NORMDIST(J91,0,1,1),$B$4*NORMDIST(-J91,0,1,1) - B91*NORMDIST(-I91,0,1,1) ) - $G$4) * $P$4</f>
        <v>-0.553614880112279</v>
      </c>
      <c r="I91" s="26" t="n">
        <f aca="false">(LN(B91/$B$4)+($H$4^2/2)*($J$4))/($H$4*SQRT($J$4))</f>
        <v>0.925671004596493</v>
      </c>
      <c r="J91" s="26" t="n">
        <f aca="false">I91 - $H$4*SQRT($J$4)</f>
        <v>0.759830852229865</v>
      </c>
    </row>
    <row r="92" customFormat="false" ht="13.5" hidden="false" customHeight="true" outlineLevel="0" collapsed="false">
      <c r="B92" s="29" t="n">
        <f aca="false">B63</f>
        <v>68</v>
      </c>
      <c r="C92" s="25" t="n">
        <f aca="false">IF($O$4="sell",-1,1) *  IF($K$4="call",  NORMDIST(I92,0,1,1),  NORMDIST(I92,0,1,1)-1  ) * $P$4</f>
        <v>-0.201115993123181</v>
      </c>
      <c r="D92" s="25" t="n">
        <f aca="false">IF($O$4="sell",-1,1) * NORMDIST(I92,0,1,0)/(B92*$H$4*SQRT($J$4)) * $P$4</f>
        <v>0.0249087252787857</v>
      </c>
      <c r="E92" s="25" t="n">
        <f aca="false">IF($O$4="sell",-1,1) * (B92*NORMDIST(I92,0,1,0)*SQRT($J$4)/365) * $P$4</f>
        <v>0.00908481446188645</v>
      </c>
      <c r="F92" s="25" t="n">
        <f aca="false">IF($O$4="sell",-1,1) * (-(B92*NORMDIST(I92,0,1,0)*$H$4)/(2*SQRT($J$4))/365) *$P$4</f>
        <v>-0.143987908556166</v>
      </c>
      <c r="G92" s="25" t="n">
        <f aca="false">IF($O$4="buy",1,-1)*( IF($K$4="call",B92*NORMDIST(I92,0,1,1) - $B$4*NORMDIST(J92,0,1,1),$B$4*NORMDIST(-J92,0,1,1) - B92*NORMDIST(-I92,0,1,1) ) - $G$4) * $P$4</f>
        <v>-0.36458552498572</v>
      </c>
      <c r="I92" s="26" t="n">
        <f aca="false">(LN(B92/$B$4)+($H$4^2/2)*($J$4))/($H$4*SQRT($J$4))</f>
        <v>0.83764166301172</v>
      </c>
      <c r="J92" s="26" t="n">
        <f aca="false">I92 - $H$4*SQRT($J$4)</f>
        <v>0.671801510645092</v>
      </c>
    </row>
    <row r="93" customFormat="false" ht="13.5" hidden="false" customHeight="true" outlineLevel="0" collapsed="false">
      <c r="B93" s="29" t="n">
        <f aca="false">B64</f>
        <v>67</v>
      </c>
      <c r="C93" s="25" t="n">
        <f aca="false">IF($O$4="sell",-1,1) *  IF($K$4="call",  NORMDIST(I93,0,1,1),  NORMDIST(I93,0,1,1)-1  ) * $P$4</f>
        <v>-0.22713715919051</v>
      </c>
      <c r="D93" s="25" t="n">
        <f aca="false">IF($O$4="sell",-1,1) * NORMDIST(I93,0,1,0)/(B93*$H$4*SQRT($J$4)) * $P$4</f>
        <v>0.0271363046282021</v>
      </c>
      <c r="E93" s="25" t="n">
        <f aca="false">IF($O$4="sell",-1,1) * (B93*NORMDIST(I93,0,1,0)*SQRT($J$4)/365) * $P$4</f>
        <v>0.00960831085705567</v>
      </c>
      <c r="F93" s="25" t="n">
        <f aca="false">IF($O$4="sell",-1,1) * (-(B93*NORMDIST(I93,0,1,0)*$H$4)/(2*SQRT($J$4))/365) *$P$4</f>
        <v>-0.152284957592592</v>
      </c>
      <c r="G93" s="25" t="n">
        <f aca="false">IF($O$4="buy",1,-1)*( IF($K$4="call",B93*NORMDIST(I93,0,1,1) - $B$4*NORMDIST(J93,0,1,1),$B$4*NORMDIST(-J93,0,1,1) - B93*NORMDIST(-I93,0,1,1) ) - $G$4) * $P$4</f>
        <v>-0.150644631504585</v>
      </c>
      <c r="I93" s="26" t="n">
        <f aca="false">(LN(B93/$B$4)+($H$4^2/2)*($J$4))/($H$4*SQRT($J$4))</f>
        <v>0.748308135673971</v>
      </c>
      <c r="J93" s="26" t="n">
        <f aca="false">I93 - $H$4*SQRT($J$4)</f>
        <v>0.582467983307344</v>
      </c>
    </row>
    <row r="94" customFormat="false" ht="13.5" hidden="false" customHeight="true" outlineLevel="0" collapsed="false">
      <c r="B94" s="29" t="n">
        <f aca="false">B65</f>
        <v>66</v>
      </c>
      <c r="C94" s="25" t="n">
        <f aca="false">IF($O$4="sell",-1,1) *  IF($K$4="call",  NORMDIST(I94,0,1,1),  NORMDIST(I94,0,1,1)-1  ) * $P$4</f>
        <v>-0.255387571630566</v>
      </c>
      <c r="D94" s="25" t="n">
        <f aca="false">IF($O$4="sell",-1,1) * NORMDIST(I94,0,1,0)/(B94*$H$4*SQRT($J$4)) * $P$4</f>
        <v>0.029360595914888</v>
      </c>
      <c r="E94" s="25" t="n">
        <f aca="false">IF($O$4="sell",-1,1) * (B94*NORMDIST(I94,0,1,0)*SQRT($J$4)/365) * $P$4</f>
        <v>0.0100878698624758</v>
      </c>
      <c r="F94" s="25" t="n">
        <f aca="false">IF($O$4="sell",-1,1) * (-(B94*NORMDIST(I94,0,1,0)*$H$4)/(2*SQRT($J$4))/365) *$P$4</f>
        <v>-0.159885629957383</v>
      </c>
      <c r="G94" s="25" t="n">
        <f aca="false">IF($O$4="buy",1,-1)*( IF($K$4="call",B94*NORMDIST(I94,0,1,1) - $B$4*NORMDIST(J94,0,1,1),$B$4*NORMDIST(-J94,0,1,1) - B94*NORMDIST(-I94,0,1,1) ) - $G$4) * $P$4</f>
        <v>0.090432317082277</v>
      </c>
      <c r="I94" s="26" t="n">
        <f aca="false">(LN(B94/$B$4)+($H$4^2/2)*($J$4))/($H$4*SQRT($J$4))</f>
        <v>0.657631196766584</v>
      </c>
      <c r="J94" s="26" t="n">
        <f aca="false">I94 - $H$4*SQRT($J$4)</f>
        <v>0.491791044399957</v>
      </c>
    </row>
    <row r="95" customFormat="false" ht="13.5" hidden="false" customHeight="true" outlineLevel="0" collapsed="false">
      <c r="B95" s="29" t="n">
        <f aca="false">B66</f>
        <v>65</v>
      </c>
      <c r="C95" s="25" t="n">
        <f aca="false">IF($O$4="sell",-1,1) *  IF($K$4="call",  NORMDIST(I95,0,1,1),  NORMDIST(I95,0,1,1)-1  ) * $P$4</f>
        <v>-0.285843123109818</v>
      </c>
      <c r="D95" s="25" t="n">
        <f aca="false">IF($O$4="sell",-1,1) * NORMDIST(I95,0,1,0)/(B95*$H$4*SQRT($J$4)) * $P$4</f>
        <v>0.0315390277530375</v>
      </c>
      <c r="E95" s="25" t="n">
        <f aca="false">IF($O$4="sell",-1,1) * (B95*NORMDIST(I95,0,1,0)*SQRT($J$4)/365) * $P$4</f>
        <v>0.0105104606008621</v>
      </c>
      <c r="F95" s="25" t="n">
        <f aca="false">IF($O$4="sell",-1,1) * (-(B95*NORMDIST(I95,0,1,0)*$H$4)/(2*SQRT($J$4))/365) *$P$4</f>
        <v>-0.166583395426423</v>
      </c>
      <c r="G95" s="25" t="n">
        <f aca="false">IF($O$4="buy",1,-1)*( IF($K$4="call",B95*NORMDIST(I95,0,1,1) - $B$4*NORMDIST(J95,0,1,1),$B$4*NORMDIST(-J95,0,1,1) - B95*NORMDIST(-I95,0,1,1) ) - $G$4) * $P$4</f>
        <v>0.360866061934504</v>
      </c>
      <c r="I95" s="26" t="n">
        <f aca="false">(LN(B95/$B$4)+($H$4^2/2)*($J$4))/($H$4*SQRT($J$4))</f>
        <v>0.565569823734097</v>
      </c>
      <c r="J95" s="26" t="n">
        <f aca="false">I95 - $H$4*SQRT($J$4)</f>
        <v>0.39972967136747</v>
      </c>
    </row>
    <row r="96" customFormat="false" ht="13.5" hidden="false" customHeight="true" outlineLevel="0" collapsed="false">
      <c r="B96" s="29" t="n">
        <f aca="false">B67</f>
        <v>64</v>
      </c>
      <c r="C96" s="25" t="n">
        <f aca="false">IF($O$4="sell",-1,1) *  IF($K$4="call",  NORMDIST(I96,0,1,1),  NORMDIST(I96,0,1,1)-1  ) * $P$4</f>
        <v>-0.318434456203909</v>
      </c>
      <c r="D96" s="25" t="n">
        <f aca="false">IF($O$4="sell",-1,1) * NORMDIST(I96,0,1,0)/(B96*$H$4*SQRT($J$4)) * $P$4</f>
        <v>0.0336238043427337</v>
      </c>
      <c r="E96" s="25" t="n">
        <f aca="false">IF($O$4="sell",-1,1) * (B96*NORMDIST(I96,0,1,0)*SQRT($J$4)/365) * $P$4</f>
        <v>0.010863093855686</v>
      </c>
      <c r="F96" s="25" t="n">
        <f aca="false">IF($O$4="sell",-1,1) * (-(B96*NORMDIST(I96,0,1,0)*$H$4)/(2*SQRT($J$4))/365) *$P$4</f>
        <v>-0.172172384069225</v>
      </c>
      <c r="G96" s="25" t="n">
        <f aca="false">IF($O$4="buy",1,-1)*( IF($K$4="call",B96*NORMDIST(I96,0,1,1) - $B$4*NORMDIST(J96,0,1,1),$B$4*NORMDIST(-J96,0,1,1) - B96*NORMDIST(-I96,0,1,1) ) - $G$4) * $P$4</f>
        <v>0.662831047749071</v>
      </c>
      <c r="I96" s="26" t="n">
        <f aca="false">(LN(B96/$B$4)+($H$4^2/2)*($J$4))/($H$4*SQRT($J$4))</f>
        <v>0.472081085845762</v>
      </c>
      <c r="J96" s="26" t="n">
        <f aca="false">I96 - $H$4*SQRT($J$4)</f>
        <v>0.306240933479135</v>
      </c>
    </row>
    <row r="97" customFormat="false" ht="13.5" hidden="false" customHeight="true" outlineLevel="0" collapsed="false">
      <c r="B97" s="29" t="n">
        <f aca="false">B68</f>
        <v>63</v>
      </c>
      <c r="C97" s="25" t="n">
        <f aca="false">IF($O$4="sell",-1,1) *  IF($K$4="call",  NORMDIST(I97,0,1,1),  NORMDIST(I97,0,1,1)-1  ) * $P$4</f>
        <v>-0.353042205486428</v>
      </c>
      <c r="D97" s="25" t="n">
        <f aca="false">IF($O$4="sell",-1,1) * NORMDIST(I97,0,1,0)/(B97*$H$4*SQRT($J$4)) * $P$4</f>
        <v>0.0355629069565685</v>
      </c>
      <c r="E97" s="25" t="n">
        <f aca="false">IF($O$4="sell",-1,1) * (B97*NORMDIST(I97,0,1,0)*SQRT($J$4)/365) * $P$4</f>
        <v>0.0111333301117396</v>
      </c>
      <c r="F97" s="25" t="n">
        <f aca="false">IF($O$4="sell",-1,1) * (-(B97*NORMDIST(I97,0,1,0)*$H$4)/(2*SQRT($J$4))/365) *$P$4</f>
        <v>-0.176455438333949</v>
      </c>
      <c r="G97" s="25" t="n">
        <f aca="false">IF($O$4="buy",1,-1)*( IF($K$4="call",B97*NORMDIST(I97,0,1,1) - $B$4*NORMDIST(J97,0,1,1),$B$4*NORMDIST(-J97,0,1,1) - B97*NORMDIST(-I97,0,1,1) ) - $G$4) * $P$4</f>
        <v>0.998407710296677</v>
      </c>
      <c r="I97" s="26" t="n">
        <f aca="false">(LN(B97/$B$4)+($H$4^2/2)*($J$4))/($H$4*SQRT($J$4))</f>
        <v>0.377120023983471</v>
      </c>
      <c r="J97" s="26" t="n">
        <f aca="false">I97 - $H$4*SQRT($J$4)</f>
        <v>0.211279871616844</v>
      </c>
    </row>
    <row r="98" customFormat="false" ht="13.5" hidden="false" customHeight="true" outlineLevel="0" collapsed="false">
      <c r="B98" s="29" t="n">
        <f aca="false">B69</f>
        <v>62</v>
      </c>
      <c r="C98" s="25" t="n">
        <f aca="false">IF($O$4="sell",-1,1) *  IF($K$4="call",  NORMDIST(I98,0,1,1),  NORMDIST(I98,0,1,1)-1  ) * $P$4</f>
        <v>-0.389493450216931</v>
      </c>
      <c r="D98" s="25" t="n">
        <f aca="false">IF($O$4="sell",-1,1) * NORMDIST(I98,0,1,0)/(B98*$H$4*SQRT($J$4)) * $P$4</f>
        <v>0.0373015164944114</v>
      </c>
      <c r="E98" s="25" t="n">
        <f aca="false">IF($O$4="sell",-1,1) * (B98*NORMDIST(I98,0,1,0)*SQRT($J$4)/365) * $P$4</f>
        <v>0.0113098436561568</v>
      </c>
      <c r="F98" s="25" t="n">
        <f aca="false">IF($O$4="sell",-1,1) * (-(B98*NORMDIST(I98,0,1,0)*$H$4)/(2*SQRT($J$4))/365) *$P$4</f>
        <v>-0.179253053651146</v>
      </c>
      <c r="G98" s="25" t="n">
        <f aca="false">IF($O$4="buy",1,-1)*( IF($K$4="call",B98*NORMDIST(I98,0,1,1) - $B$4*NORMDIST(J98,0,1,1),$B$4*NORMDIST(-J98,0,1,1) - B98*NORMDIST(-I98,0,1,1) ) - $G$4) * $P$4</f>
        <v>1.36953057622315</v>
      </c>
      <c r="I98" s="26" t="n">
        <f aca="false">(LN(B98/$B$4)+($H$4^2/2)*($J$4))/($H$4*SQRT($J$4))</f>
        <v>0.280639520811546</v>
      </c>
      <c r="J98" s="26" t="n">
        <f aca="false">I98 - $H$4*SQRT($J$4)</f>
        <v>0.114799368444918</v>
      </c>
    </row>
    <row r="99" customFormat="false" ht="13.5" hidden="false" customHeight="true" outlineLevel="0" collapsed="false">
      <c r="B99" s="29" t="n">
        <f aca="false">B70</f>
        <v>61</v>
      </c>
      <c r="C99" s="25" t="n">
        <f aca="false">IF($O$4="sell",-1,1) *  IF($K$4="call",  NORMDIST(I99,0,1,1),  NORMDIST(I99,0,1,1)-1  ) * $P$4</f>
        <v>-0.427559802711356</v>
      </c>
      <c r="D99" s="25" t="n">
        <f aca="false">IF($O$4="sell",-1,1) * NORMDIST(I99,0,1,0)/(B99*$H$4*SQRT($J$4)) * $P$4</f>
        <v>0.0387838603747462</v>
      </c>
      <c r="E99" s="25" t="n">
        <f aca="false">IF($O$4="sell",-1,1) * (B99*NORMDIST(I99,0,1,0)*SQRT($J$4)/365) * $P$4</f>
        <v>0.0113830184210959</v>
      </c>
      <c r="F99" s="25" t="n">
        <f aca="false">IF($O$4="sell",-1,1) * (-(B99*NORMDIST(I99,0,1,0)*$H$4)/(2*SQRT($J$4))/365) *$P$4</f>
        <v>-0.180412822120482</v>
      </c>
      <c r="G99" s="25" t="n">
        <f aca="false">IF($O$4="buy",1,-1)*( IF($K$4="call",B99*NORMDIST(I99,0,1,1) - $B$4*NORMDIST(J99,0,1,1),$B$4*NORMDIST(-J99,0,1,1) - B99*NORMDIST(-I99,0,1,1) ) - $G$4) * $P$4</f>
        <v>1.77793359797389</v>
      </c>
      <c r="I99" s="26" t="n">
        <f aca="false">(LN(B99/$B$4)+($H$4^2/2)*($J$4))/($H$4*SQRT($J$4))</f>
        <v>0.182590160389874</v>
      </c>
      <c r="J99" s="26" t="n">
        <f aca="false">I99 - $H$4*SQRT($J$4)</f>
        <v>0.016750008023246</v>
      </c>
    </row>
    <row r="100" customFormat="false" ht="13.5" hidden="false" customHeight="true" outlineLevel="0" collapsed="false">
      <c r="B100" s="29" t="n">
        <f aca="false">B71</f>
        <v>60</v>
      </c>
      <c r="C100" s="25" t="n">
        <f aca="false">IF($O$4="sell",-1,1) *  IF($K$4="call",  NORMDIST(I100,0,1,1),  NORMDIST(I100,0,1,1)-1  ) * $P$4</f>
        <v>-0.466957545263714</v>
      </c>
      <c r="D100" s="25" t="n">
        <f aca="false">IF($O$4="sell",-1,1) * NORMDIST(I100,0,1,0)/(B100*$H$4*SQRT($J$4)) * $P$4</f>
        <v>0.0399554549026526</v>
      </c>
      <c r="E100" s="25" t="n">
        <f aca="false">IF($O$4="sell",-1,1) * (B100*NORMDIST(I100,0,1,0)*SQRT($J$4)/365) * $P$4</f>
        <v>0.0113455437366317</v>
      </c>
      <c r="F100" s="25" t="n">
        <f aca="false">IF($O$4="sell",-1,1) * (-(B100*NORMDIST(I100,0,1,0)*$H$4)/(2*SQRT($J$4))/365) *$P$4</f>
        <v>-0.179818874774344</v>
      </c>
      <c r="G100" s="25" t="n">
        <f aca="false">IF($O$4="buy",1,-1)*( IF($K$4="call",B100*NORMDIST(I100,0,1,1) - $B$4*NORMDIST(J100,0,1,1),$B$4*NORMDIST(-J100,0,1,1) - B100*NORMDIST(-I100,0,1,1) ) - $G$4) * $P$4</f>
        <v>2.2250945683543</v>
      </c>
      <c r="I100" s="26" t="n">
        <f aca="false">(LN(B100/$B$4)+($H$4^2/2)*($J$4))/($H$4*SQRT($J$4))</f>
        <v>0.0829200761833139</v>
      </c>
      <c r="J100" s="26" t="n">
        <f aca="false">I100 - $H$4*SQRT($J$4)</f>
        <v>-0.0829200761833139</v>
      </c>
    </row>
    <row r="101" customFormat="false" ht="13.5" hidden="false" customHeight="true" outlineLevel="0" collapsed="false">
      <c r="B101" s="29" t="n">
        <f aca="false">B72</f>
        <v>59</v>
      </c>
      <c r="C101" s="25" t="n">
        <f aca="false">IF($O$4="sell",-1,1) *  IF($K$4="call",  NORMDIST(I101,0,1,1),  NORMDIST(I101,0,1,1)-1  ) * $P$4</f>
        <v>-0.507350180885546</v>
      </c>
      <c r="D101" s="25" t="n">
        <f aca="false">IF($O$4="sell",-1,1) * NORMDIST(I101,0,1,0)/(B101*$H$4*SQRT($J$4)) * $P$4</f>
        <v>0.040765675873205</v>
      </c>
      <c r="E101" s="25" t="n">
        <f aca="false">IF($O$4="sell",-1,1) * (B101*NORMDIST(I101,0,1,0)*SQRT($J$4)/365) * $P$4</f>
        <v>0.0111929716655328</v>
      </c>
      <c r="F101" s="25" t="n">
        <f aca="false">IF($O$4="sell",-1,1) * (-(B101*NORMDIST(I101,0,1,0)*$H$4)/(2*SQRT($J$4))/365) *$P$4</f>
        <v>-0.177400714941385</v>
      </c>
      <c r="G101" s="25" t="n">
        <f aca="false">IF($O$4="buy",1,-1)*( IF($K$4="call",B101*NORMDIST(I101,0,1,1) - $B$4*NORMDIST(J101,0,1,1),$B$4*NORMDIST(-J101,0,1,1) - B101*NORMDIST(-I101,0,1,1) ) - $G$4) * $P$4</f>
        <v>2.7121808515085</v>
      </c>
      <c r="I101" s="26" t="n">
        <f aca="false">(LN(B101/$B$4)+($H$4^2/2)*($J$4))/($H$4*SQRT($J$4))</f>
        <v>-0.0184252137029695</v>
      </c>
      <c r="J101" s="26" t="n">
        <f aca="false">I101 - $H$4*SQRT($J$4)</f>
        <v>-0.184265366069597</v>
      </c>
    </row>
    <row r="102" customFormat="false" ht="13.5" hidden="false" customHeight="true" outlineLevel="0" collapsed="false">
      <c r="B102" s="29" t="n">
        <f aca="false">B73</f>
        <v>58</v>
      </c>
      <c r="C102" s="25" t="n">
        <f aca="false">IF($O$4="sell",-1,1) *  IF($K$4="call",  NORMDIST(I102,0,1,1),  NORMDIST(I102,0,1,1)-1  ) * $P$4</f>
        <v>-0.548353674880525</v>
      </c>
      <c r="D102" s="25" t="n">
        <f aca="false">IF($O$4="sell",-1,1) * NORMDIST(I102,0,1,0)/(B102*$H$4*SQRT($J$4)) * $P$4</f>
        <v>0.0411705477219228</v>
      </c>
      <c r="E102" s="25" t="n">
        <f aca="false">IF($O$4="sell",-1,1) * (B102*NORMDIST(I102,0,1,0)*SQRT($J$4)/365) * $P$4</f>
        <v>0.0109241930398259</v>
      </c>
      <c r="F102" s="25" t="n">
        <f aca="false">IF($O$4="sell",-1,1) * (-(B102*NORMDIST(I102,0,1,0)*$H$4)/(2*SQRT($J$4))/365) *$P$4</f>
        <v>-0.17314076309069</v>
      </c>
      <c r="G102" s="25" t="n">
        <f aca="false">IF($O$4="buy",1,-1)*( IF($K$4="call",B102*NORMDIST(I102,0,1,1) - $B$4*NORMDIST(J102,0,1,1),$B$4*NORMDIST(-J102,0,1,1) - B102*NORMDIST(-I102,0,1,1) ) - $G$4) * $P$4</f>
        <v>3.23999899178206</v>
      </c>
      <c r="I102" s="26" t="n">
        <f aca="false">(LN(B102/$B$4)+($H$4^2/2)*($J$4))/($H$4*SQRT($J$4))</f>
        <v>-0.121502985372576</v>
      </c>
      <c r="J102" s="26" t="n">
        <f aca="false">I102 - $H$4*SQRT($J$4)</f>
        <v>-0.287343137739204</v>
      </c>
    </row>
    <row r="103" customFormat="false" ht="13.5" hidden="false" customHeight="true" outlineLevel="0" collapsed="false">
      <c r="B103" s="29" t="n">
        <f aca="false">B74</f>
        <v>57</v>
      </c>
      <c r="C103" s="25" t="n">
        <f aca="false">IF($O$4="sell",-1,1) *  IF($K$4="call",  NORMDIST(I103,0,1,1),  NORMDIST(I103,0,1,1)-1  ) * $P$4</f>
        <v>-0.589544532911845</v>
      </c>
      <c r="D103" s="25" t="n">
        <f aca="false">IF($O$4="sell",-1,1) * NORMDIST(I103,0,1,0)/(B103*$H$4*SQRT($J$4)) * $P$4</f>
        <v>0.0411355984308814</v>
      </c>
      <c r="E103" s="25" t="n">
        <f aca="false">IF($O$4="sell",-1,1) * (B103*NORMDIST(I103,0,1,0)*SQRT($J$4)/365) * $P$4</f>
        <v>0.0105417876825859</v>
      </c>
      <c r="F103" s="25" t="n">
        <f aca="false">IF($O$4="sell",-1,1) * (-(B103*NORMDIST(I103,0,1,0)*$H$4)/(2*SQRT($J$4))/365) *$P$4</f>
        <v>-0.167079907600392</v>
      </c>
      <c r="G103" s="25" t="n">
        <f aca="false">IF($O$4="buy",1,-1)*( IF($K$4="call",B103*NORMDIST(I103,0,1,1) - $B$4*NORMDIST(J103,0,1,1),$B$4*NORMDIST(-J103,0,1,1) - B103*NORMDIST(-I103,0,1,1) ) - $G$4) * $P$4</f>
        <v>3.8089509768711</v>
      </c>
      <c r="I103" s="26" t="n">
        <f aca="false">(LN(B103/$B$4)+($H$4^2/2)*($J$4))/($H$4*SQRT($J$4))</f>
        <v>-0.226373503541305</v>
      </c>
      <c r="J103" s="26" t="n">
        <f aca="false">I103 - $H$4*SQRT($J$4)</f>
        <v>-0.392213655907933</v>
      </c>
    </row>
    <row r="104" customFormat="false" ht="13.5" hidden="false" customHeight="true" outlineLevel="0" collapsed="false">
      <c r="B104" s="30"/>
      <c r="C104" s="22"/>
      <c r="D104" s="22"/>
      <c r="E104" s="22"/>
      <c r="F104" s="22"/>
      <c r="G104" s="22"/>
      <c r="I104" s="31"/>
      <c r="J104" s="31"/>
    </row>
    <row r="105" customFormat="false" ht="17.25" hidden="false" customHeight="true" outlineLevel="0" collapsed="false">
      <c r="B105" s="23"/>
      <c r="C105" s="19" t="s">
        <v>13</v>
      </c>
      <c r="D105" s="19" t="s">
        <v>14</v>
      </c>
      <c r="E105" s="19" t="s">
        <v>15</v>
      </c>
      <c r="F105" s="19" t="s">
        <v>16</v>
      </c>
      <c r="G105" s="19" t="s">
        <v>17</v>
      </c>
      <c r="I105" s="19" t="s">
        <v>158</v>
      </c>
      <c r="J105" s="19" t="s">
        <v>159</v>
      </c>
    </row>
    <row r="106" customFormat="false" ht="13.5" hidden="false" customHeight="true" outlineLevel="0" collapsed="false">
      <c r="A106" s="2" t="str">
        <f aca="false">A5</f>
        <v>SOL-1MAY26-70-P-USDT</v>
      </c>
      <c r="B106" s="29" t="n">
        <f aca="false">B77</f>
        <v>83</v>
      </c>
      <c r="C106" s="25" t="n">
        <f aca="false">IF($O$5="sell",-1,1) *  IF($K$5="call",  NORMDIST(I106,0,1,1),  NORMDIST(I106,0,1,1)-1  ) * $P$5</f>
        <v>-0.255660968416624</v>
      </c>
      <c r="D106" s="25" t="n">
        <f aca="false">IF($O$5="sell",-1,1) * NORMDIST(I106,0,1,0)/(B106*$H$5*SQRT($J$5)) * $P$5</f>
        <v>0.043189992701953</v>
      </c>
      <c r="E106" s="25" t="n">
        <f aca="false">IF($O$5="sell",-1,1) * (B106*NORMDIST(I106,0,1,0)*SQRT($J$5)/365) * $P$5</f>
        <v>0.0184643083043881</v>
      </c>
      <c r="F106" s="25" t="n">
        <f aca="false">IF($O$5="sell",-1,1) * (-(B106*NORMDIST(I106,0,1,0)*$H$5)/(2*SQRT($J$5))/365) *$P$5</f>
        <v>-0.230244888835274</v>
      </c>
      <c r="G106" s="25" t="n">
        <f aca="false">IF($O$5="buy",1,-1)*( IF($K$5="call",B106*NORMDIST(I106,0,1,1) - $B$5*NORMDIST(J106,0,1,1),$B$5*NORMDIST(-J106,0,1,1) - B106*NORMDIST(-I106,0,1,1) ) - $G$5) * $P$5</f>
        <v>-1.5995388976207</v>
      </c>
      <c r="I106" s="26" t="n">
        <f aca="false">(LN(B106/$B$5)+($H$5^2/2)*($J$5))/($H$5*SQRT($J$5))</f>
        <v>1.37078930582833</v>
      </c>
      <c r="J106" s="26" t="n">
        <f aca="false">I106 - $H$5*SQRT($J$5)</f>
        <v>1.24031148889254</v>
      </c>
    </row>
    <row r="107" customFormat="false" ht="13.5" hidden="false" customHeight="true" outlineLevel="0" collapsed="false">
      <c r="B107" s="29" t="n">
        <f aca="false">B78</f>
        <v>82</v>
      </c>
      <c r="C107" s="25" t="n">
        <f aca="false">IF($O$5="sell",-1,1) *  IF($K$5="call",  NORMDIST(I107,0,1,1),  NORMDIST(I107,0,1,1)-1  ) * $P$5</f>
        <v>-0.301932572773638</v>
      </c>
      <c r="D107" s="25" t="n">
        <f aca="false">IF($O$5="sell",-1,1) * NORMDIST(I107,0,1,0)/(B107*$H$5*SQRT($J$5)) * $P$5</f>
        <v>0.0494400596339757</v>
      </c>
      <c r="E107" s="25" t="n">
        <f aca="false">IF($O$5="sell",-1,1) * (B107*NORMDIST(I107,0,1,0)*SQRT($J$5)/365) * $P$5</f>
        <v>0.0206300565463596</v>
      </c>
      <c r="F107" s="25" t="n">
        <f aca="false">IF($O$5="sell",-1,1) * (-(B107*NORMDIST(I107,0,1,0)*$H$5)/(2*SQRT($J$5))/365) *$P$5</f>
        <v>-0.257251178754047</v>
      </c>
      <c r="G107" s="25" t="n">
        <f aca="false">IF($O$5="buy",1,-1)*( IF($K$5="call",B107*NORMDIST(I107,0,1,1) - $B$5*NORMDIST(J107,0,1,1),$B$5*NORMDIST(-J107,0,1,1) - B107*NORMDIST(-I107,0,1,1) ) - $G$5) * $P$5</f>
        <v>-1.32126300711901</v>
      </c>
      <c r="I107" s="26" t="n">
        <f aca="false">(LN(B107/$B$5)+($H$5^2/2)*($J$5))/($H$5*SQRT($J$5))</f>
        <v>1.27788952549011</v>
      </c>
      <c r="J107" s="26" t="n">
        <f aca="false">I107 - $H$5*SQRT($J$5)</f>
        <v>1.14741170855432</v>
      </c>
    </row>
    <row r="108" customFormat="false" ht="13.5" hidden="false" customHeight="true" outlineLevel="0" collapsed="false">
      <c r="B108" s="29" t="n">
        <f aca="false">B79</f>
        <v>81</v>
      </c>
      <c r="C108" s="25" t="n">
        <f aca="false">IF($O$5="sell",-1,1) *  IF($K$5="call",  NORMDIST(I108,0,1,1),  NORMDIST(I108,0,1,1)-1  ) * $P$5</f>
        <v>-0.354708762201267</v>
      </c>
      <c r="D108" s="25" t="n">
        <f aca="false">IF($O$5="sell",-1,1) * NORMDIST(I108,0,1,0)/(B108*$H$5*SQRT($J$5)) * $P$5</f>
        <v>0.056192410723145</v>
      </c>
      <c r="E108" s="25" t="n">
        <f aca="false">IF($O$5="sell",-1,1) * (B108*NORMDIST(I108,0,1,0)*SQRT($J$5)/365) * $P$5</f>
        <v>0.0228792313430959</v>
      </c>
      <c r="F108" s="25" t="n">
        <f aca="false">IF($O$5="sell",-1,1) * (-(B108*NORMDIST(I108,0,1,0)*$H$5)/(2*SQRT($J$5))/365) *$P$5</f>
        <v>-0.28529777505804</v>
      </c>
      <c r="G108" s="25" t="n">
        <f aca="false">IF($O$5="buy",1,-1)*( IF($K$5="call",B108*NORMDIST(I108,0,1,1) - $B$5*NORMDIST(J108,0,1,1),$B$5*NORMDIST(-J108,0,1,1) - B108*NORMDIST(-I108,0,1,1) ) - $G$5) * $P$5</f>
        <v>-0.993505107539179</v>
      </c>
      <c r="I108" s="26" t="n">
        <f aca="false">(LN(B108/$B$5)+($H$5^2/2)*($J$5))/($H$5*SQRT($J$5))</f>
        <v>1.18384984211732</v>
      </c>
      <c r="J108" s="26" t="n">
        <f aca="false">I108 - $H$5*SQRT($J$5)</f>
        <v>1.05337202518153</v>
      </c>
    </row>
    <row r="109" customFormat="false" ht="13.5" hidden="false" customHeight="true" outlineLevel="0" collapsed="false">
      <c r="B109" s="29" t="n">
        <f aca="false">B80</f>
        <v>80</v>
      </c>
      <c r="C109" s="25" t="n">
        <f aca="false">IF($O$5="sell",-1,1) *  IF($K$5="call",  NORMDIST(I109,0,1,1),  NORMDIST(I109,0,1,1)-1  ) * $P$5</f>
        <v>-0.414467725508769</v>
      </c>
      <c r="D109" s="25" t="n">
        <f aca="false">IF($O$5="sell",-1,1) * NORMDIST(I109,0,1,0)/(B109*$H$5*SQRT($J$5)) * $P$5</f>
        <v>0.0633949256587249</v>
      </c>
      <c r="E109" s="25" t="n">
        <f aca="false">IF($O$5="sell",-1,1) * (B109*NORMDIST(I109,0,1,0)*SQRT($J$5)/365) * $P$5</f>
        <v>0.02517840404734</v>
      </c>
      <c r="F109" s="25" t="n">
        <f aca="false">IF($O$5="sell",-1,1) * (-(B109*NORMDIST(I109,0,1,0)*$H$5)/(2*SQRT($J$5))/365) *$P$5</f>
        <v>-0.313967831632862</v>
      </c>
      <c r="G109" s="25" t="n">
        <f aca="false">IF($O$5="buy",1,-1)*( IF($K$5="call",B109*NORMDIST(I109,0,1,1) - $B$5*NORMDIST(J109,0,1,1),$B$5*NORMDIST(-J109,0,1,1) - B109*NORMDIST(-I109,0,1,1) ) - $G$5) * $P$5</f>
        <v>-0.609517179817902</v>
      </c>
      <c r="I109" s="26" t="n">
        <f aca="false">(LN(B109/$B$5)+($H$5^2/2)*($J$5))/($H$5*SQRT($J$5))</f>
        <v>1.08864193405835</v>
      </c>
      <c r="J109" s="26" t="n">
        <f aca="false">I109 - $H$5*SQRT($J$5)</f>
        <v>0.958164117122566</v>
      </c>
    </row>
    <row r="110" customFormat="false" ht="13.5" hidden="false" customHeight="true" outlineLevel="0" collapsed="false">
      <c r="B110" s="29" t="n">
        <f aca="false">B81</f>
        <v>79</v>
      </c>
      <c r="C110" s="25" t="n">
        <f aca="false">IF($O$5="sell",-1,1) *  IF($K$5="call",  NORMDIST(I110,0,1,1),  NORMDIST(I110,0,1,1)-1  ) * $P$5</f>
        <v>-0.481623322005088</v>
      </c>
      <c r="D110" s="25" t="n">
        <f aca="false">IF($O$5="sell",-1,1) * NORMDIST(I110,0,1,0)/(B110*$H$5*SQRT($J$5)) * $P$5</f>
        <v>0.0709706695166593</v>
      </c>
      <c r="E110" s="25" t="n">
        <f aca="false">IF($O$5="sell",-1,1) * (B110*NORMDIST(I110,0,1,0)*SQRT($J$5)/365) * $P$5</f>
        <v>0.0274869664600031</v>
      </c>
      <c r="F110" s="25" t="n">
        <f aca="false">IF($O$5="sell",-1,1) * (-(B110*NORMDIST(I110,0,1,0)*$H$5)/(2*SQRT($J$5))/365) *$P$5</f>
        <v>-0.342754975310841</v>
      </c>
      <c r="G110" s="25" t="n">
        <f aca="false">IF($O$5="buy",1,-1)*( IF($K$5="call",B110*NORMDIST(I110,0,1,1) - $B$5*NORMDIST(J110,0,1,1),$B$5*NORMDIST(-J110,0,1,1) - B110*NORMDIST(-I110,0,1,1) ) - $G$5) * $P$5</f>
        <v>-0.162103111943287</v>
      </c>
      <c r="I110" s="26" t="n">
        <f aca="false">(LN(B110/$B$5)+($H$5^2/2)*($J$5))/($H$5*SQRT($J$5))</f>
        <v>0.992236410864701</v>
      </c>
      <c r="J110" s="26" t="n">
        <f aca="false">I110 - $H$5*SQRT($J$5)</f>
        <v>0.861758593928914</v>
      </c>
    </row>
    <row r="111" customFormat="false" ht="13.5" hidden="false" customHeight="true" outlineLevel="0" collapsed="false">
      <c r="B111" s="29" t="n">
        <f aca="false">B82</f>
        <v>78</v>
      </c>
      <c r="C111" s="25" t="n">
        <f aca="false">IF($O$5="sell",-1,1) *  IF($K$5="call",  NORMDIST(I111,0,1,1),  NORMDIST(I111,0,1,1)-1  ) * $P$5</f>
        <v>-0.556499214821419</v>
      </c>
      <c r="D111" s="25" t="n">
        <f aca="false">IF($O$5="sell",-1,1) * NORMDIST(I111,0,1,0)/(B111*$H$5*SQRT($J$5)) * $P$5</f>
        <v>0.0788159361277654</v>
      </c>
      <c r="E111" s="25" t="n">
        <f aca="false">IF($O$5="sell",-1,1) * (B111*NORMDIST(I111,0,1,0)*SQRT($J$5)/365) * $P$5</f>
        <v>0.0297575362461699</v>
      </c>
      <c r="F111" s="25" t="n">
        <f aca="false">IF($O$5="sell",-1,1) * (-(B111*NORMDIST(I111,0,1,0)*$H$5)/(2*SQRT($J$5))/365) *$P$5</f>
        <v>-0.371068361298036</v>
      </c>
      <c r="G111" s="25" t="n">
        <f aca="false">IF($O$5="buy",1,-1)*( IF($K$5="call",B111*NORMDIST(I111,0,1,1) - $B$5*NORMDIST(J111,0,1,1),$B$5*NORMDIST(-J111,0,1,1) - B111*NORMDIST(-I111,0,1,1) ) - $G$5) * $P$5</f>
        <v>0.356304201710909</v>
      </c>
      <c r="I111" s="26" t="n">
        <f aca="false">(LN(B111/$B$5)+($H$5^2/2)*($J$5))/($H$5*SQRT($J$5))</f>
        <v>0.89460275882637</v>
      </c>
      <c r="J111" s="26" t="n">
        <f aca="false">I111 - $H$5*SQRT($J$5)</f>
        <v>0.764124941890583</v>
      </c>
    </row>
    <row r="112" customFormat="false" ht="13.5" hidden="false" customHeight="true" outlineLevel="0" collapsed="false">
      <c r="B112" s="29" t="n">
        <f aca="false">B83</f>
        <v>77</v>
      </c>
      <c r="C112" s="25" t="n">
        <f aca="false">IF($O$5="sell",-1,1) *  IF($K$5="call",  NORMDIST(I112,0,1,1),  NORMDIST(I112,0,1,1)-1  ) * $P$5</f>
        <v>-0.639301544977997</v>
      </c>
      <c r="D112" s="25" t="n">
        <f aca="false">IF($O$5="sell",-1,1) * NORMDIST(I112,0,1,0)/(B112*$H$5*SQRT($J$5)) * $P$5</f>
        <v>0.0867993412981071</v>
      </c>
      <c r="E112" s="25" t="n">
        <f aca="false">IF($O$5="sell",-1,1) * (B112*NORMDIST(I112,0,1,0)*SQRT($J$5)/365) * $P$5</f>
        <v>0.0319368153580419</v>
      </c>
      <c r="F112" s="25" t="n">
        <f aca="false">IF($O$5="sell",-1,1) * (-(B112*NORMDIST(I112,0,1,0)*$H$5)/(2*SQRT($J$5))/365) *$P$5</f>
        <v>-0.39824337747423</v>
      </c>
      <c r="G112" s="25" t="n">
        <f aca="false">IF($O$5="buy",1,-1)*( IF($K$5="call",B112*NORMDIST(I112,0,1,1) - $B$5*NORMDIST(J112,0,1,1),$B$5*NORMDIST(-J112,0,1,1) - B112*NORMDIST(-I112,0,1,1) ) - $G$5) * $P$5</f>
        <v>0.953539077266606</v>
      </c>
      <c r="I112" s="26" t="n">
        <f aca="false">(LN(B112/$B$5)+($H$5^2/2)*($J$5))/($H$5*SQRT($J$5))</f>
        <v>0.795709282993171</v>
      </c>
      <c r="J112" s="26" t="n">
        <f aca="false">I112 - $H$5*SQRT($J$5)</f>
        <v>0.665231466057384</v>
      </c>
    </row>
    <row r="113" customFormat="false" ht="13.5" hidden="false" customHeight="true" outlineLevel="0" collapsed="false">
      <c r="B113" s="29" t="n">
        <f aca="false">B84</f>
        <v>76</v>
      </c>
      <c r="C113" s="25" t="n">
        <f aca="false">IF($O$5="sell",-1,1) *  IF($K$5="call",  NORMDIST(I113,0,1,1),  NORMDIST(I113,0,1,1)-1  ) * $P$5</f>
        <v>-0.730091361012</v>
      </c>
      <c r="D113" s="25" t="n">
        <f aca="false">IF($O$5="sell",-1,1) * NORMDIST(I113,0,1,0)/(B113*$H$5*SQRT($J$5)) * $P$5</f>
        <v>0.0947622944855789</v>
      </c>
      <c r="E113" s="25" t="n">
        <f aca="false">IF($O$5="sell",-1,1) * (B113*NORMDIST(I113,0,1,0)*SQRT($J$5)/365) * $P$5</f>
        <v>0.0339669443742143</v>
      </c>
      <c r="F113" s="25" t="n">
        <f aca="false">IF($O$5="sell",-1,1) * (-(B113*NORMDIST(I113,0,1,0)*$H$5)/(2*SQRT($J$5))/365) *$P$5</f>
        <v>-0.42355853263435</v>
      </c>
      <c r="G113" s="25" t="n">
        <f aca="false">IF($O$5="buy",1,-1)*( IF($K$5="call",B113*NORMDIST(I113,0,1,1) - $B$5*NORMDIST(J113,0,1,1),$B$5*NORMDIST(-J113,0,1,1) - B113*NORMDIST(-I113,0,1,1) ) - $G$5) * $P$5</f>
        <v>1.63757169516648</v>
      </c>
      <c r="I113" s="26" t="n">
        <f aca="false">(LN(B113/$B$5)+($H$5^2/2)*($J$5))/($H$5*SQRT($J$5))</f>
        <v>0.695523045406239</v>
      </c>
      <c r="J113" s="26" t="n">
        <f aca="false">I113 - $H$5*SQRT($J$5)</f>
        <v>0.565045228470452</v>
      </c>
    </row>
    <row r="114" customFormat="false" ht="13.5" hidden="false" customHeight="true" outlineLevel="0" collapsed="false">
      <c r="B114" s="29" t="n">
        <f aca="false">B85</f>
        <v>75</v>
      </c>
      <c r="C114" s="25" t="n">
        <f aca="false">IF($O$5="sell",-1,1) *  IF($K$5="call",  NORMDIST(I114,0,1,1),  NORMDIST(I114,0,1,1)-1  ) * $P$5</f>
        <v>-0.828758338295588</v>
      </c>
      <c r="D114" s="25" t="n">
        <f aca="false">IF($O$5="sell",-1,1) * NORMDIST(I114,0,1,0)/(B114*$H$5*SQRT($J$5)) * $P$5</f>
        <v>0.102521153402883</v>
      </c>
      <c r="E114" s="25" t="n">
        <f aca="false">IF($O$5="sell",-1,1) * (B114*NORMDIST(I114,0,1,0)*SQRT($J$5)/365) * $P$5</f>
        <v>0.0357873662547528</v>
      </c>
      <c r="F114" s="25" t="n">
        <f aca="false">IF($O$5="sell",-1,1) * (-(B114*NORMDIST(I114,0,1,0)*$H$5)/(2*SQRT($J$5))/365) *$P$5</f>
        <v>-0.446258697005971</v>
      </c>
      <c r="G114" s="25" t="n">
        <f aca="false">IF($O$5="buy",1,-1)*( IF($K$5="call",B114*NORMDIST(I114,0,1,1) - $B$5*NORMDIST(J114,0,1,1),$B$5*NORMDIST(-J114,0,1,1) - B114*NORMDIST(-I114,0,1,1) ) - $G$5) * $P$5</f>
        <v>2.41634968814452</v>
      </c>
      <c r="I114" s="26" t="n">
        <f aca="false">(LN(B114/$B$5)+($H$5^2/2)*($J$5))/($H$5*SQRT($J$5))</f>
        <v>0.594009799238586</v>
      </c>
      <c r="J114" s="26" t="n">
        <f aca="false">I114 - $H$5*SQRT($J$5)</f>
        <v>0.463531982302798</v>
      </c>
    </row>
    <row r="115" customFormat="false" ht="13.5" hidden="false" customHeight="true" outlineLevel="0" collapsed="false">
      <c r="B115" s="29" t="n">
        <f aca="false">B86</f>
        <v>74</v>
      </c>
      <c r="C115" s="25" t="n">
        <f aca="false">IF($O$5="sell",-1,1) *  IF($K$5="call",  NORMDIST(I115,0,1,1),  NORMDIST(I115,0,1,1)-1  ) * $P$5</f>
        <v>-0.934997599622171</v>
      </c>
      <c r="D115" s="25" t="n">
        <f aca="false">IF($O$5="sell",-1,1) * NORMDIST(I115,0,1,0)/(B115*$H$5*SQRT($J$5)) * $P$5</f>
        <v>0.109871305417775</v>
      </c>
      <c r="E115" s="25" t="n">
        <f aca="false">IF($O$5="sell",-1,1) * (B115*NORMDIST(I115,0,1,0)*SQRT($J$5)/365) * $P$5</f>
        <v>0.0373371746863116</v>
      </c>
      <c r="F115" s="25" t="n">
        <f aca="false">IF($O$5="sell",-1,1) * (-(B115*NORMDIST(I115,0,1,0)*$H$5)/(2*SQRT($J$5))/365) *$P$5</f>
        <v>-0.465584385472482</v>
      </c>
      <c r="G115" s="25" t="n">
        <f aca="false">IF($O$5="buy",1,-1)*( IF($K$5="call",B115*NORMDIST(I115,0,1,1) - $B$5*NORMDIST(J115,0,1,1),$B$5*NORMDIST(-J115,0,1,1) - B115*NORMDIST(-I115,0,1,1) ) - $G$5) * $P$5</f>
        <v>3.29761483844116</v>
      </c>
      <c r="I115" s="26" t="n">
        <f aca="false">(LN(B115/$B$5)+($H$5^2/2)*($J$5))/($H$5*SQRT($J$5))</f>
        <v>0.491133918515147</v>
      </c>
      <c r="J115" s="26" t="n">
        <f aca="false">I115 - $H$5*SQRT($J$5)</f>
        <v>0.36065610157936</v>
      </c>
    </row>
    <row r="116" customFormat="false" ht="13.5" hidden="false" customHeight="true" outlineLevel="0" collapsed="false">
      <c r="B116" s="29" t="n">
        <f aca="false">B87</f>
        <v>73</v>
      </c>
      <c r="C116" s="25" t="n">
        <f aca="false">IF($O$5="sell",-1,1) *  IF($K$5="call",  NORMDIST(I116,0,1,1),  NORMDIST(I116,0,1,1)-1  ) * $P$5</f>
        <v>-1.04829164517192</v>
      </c>
      <c r="D116" s="25" t="n">
        <f aca="false">IF($O$5="sell",-1,1) * NORMDIST(I116,0,1,0)/(B116*$H$5*SQRT($J$5)) * $P$5</f>
        <v>0.116593317863968</v>
      </c>
      <c r="E116" s="25" t="n">
        <f aca="false">IF($O$5="sell",-1,1) * (B116*NORMDIST(I116,0,1,0)*SQRT($J$5)/365) * $P$5</f>
        <v>0.0385578765908857</v>
      </c>
      <c r="F116" s="25" t="n">
        <f aca="false">IF($O$5="sell",-1,1) * (-(B116*NORMDIST(I116,0,1,0)*$H$5)/(2*SQRT($J$5))/365) *$P$5</f>
        <v>-0.480806205303819</v>
      </c>
      <c r="G116" s="25" t="n">
        <f aca="false">IF($O$5="buy",1,-1)*( IF($K$5="call",B116*NORMDIST(I116,0,1,1) - $B$5*NORMDIST(J116,0,1,1),$B$5*NORMDIST(-J116,0,1,1) - B116*NORMDIST(-I116,0,1,1) ) - $G$5) * $P$5</f>
        <v>4.28869897768482</v>
      </c>
      <c r="I116" s="26" t="n">
        <f aca="false">(LN(B116/$B$5)+($H$5^2/2)*($J$5))/($H$5*SQRT($J$5))</f>
        <v>0.38685832305148</v>
      </c>
      <c r="J116" s="26" t="n">
        <f aca="false">I116 - $H$5*SQRT($J$5)</f>
        <v>0.256380506115693</v>
      </c>
    </row>
    <row r="117" customFormat="false" ht="13.5" hidden="false" customHeight="true" outlineLevel="0" collapsed="false">
      <c r="B117" s="29" t="n">
        <f aca="false">B88</f>
        <v>72</v>
      </c>
      <c r="C117" s="25" t="n">
        <f aca="false">IF($O$5="sell",-1,1) *  IF($K$5="call",  NORMDIST(I117,0,1,1),  NORMDIST(I117,0,1,1)-1  ) * $P$5</f>
        <v>-1.16789947353244</v>
      </c>
      <c r="D117" s="25" t="n">
        <f aca="false">IF($O$5="sell",-1,1) * NORMDIST(I117,0,1,0)/(B117*$H$5*SQRT($J$5)) * $P$5</f>
        <v>0.122461155402162</v>
      </c>
      <c r="E117" s="25" t="n">
        <f aca="false">IF($O$5="sell",-1,1) * (B117*NORMDIST(I117,0,1,0)*SQRT($J$5)/365) * $P$5</f>
        <v>0.0393964485203281</v>
      </c>
      <c r="F117" s="25" t="n">
        <f aca="false">IF($O$5="sell",-1,1) * (-(B117*NORMDIST(I117,0,1,0)*$H$5)/(2*SQRT($J$5))/365) *$P$5</f>
        <v>-0.491262968562531</v>
      </c>
      <c r="G117" s="25" t="n">
        <f aca="false">IF($O$5="buy",1,-1)*( IF($K$5="call",B117*NORMDIST(I117,0,1,1) - $B$5*NORMDIST(J117,0,1,1),$B$5*NORMDIST(-J117,0,1,1) - B117*NORMDIST(-I117,0,1,1) ) - $G$5) * $P$5</f>
        <v>5.39630523975742</v>
      </c>
      <c r="I117" s="26" t="n">
        <f aca="false">(LN(B117/$B$5)+($H$5^2/2)*($J$5))/($H$5*SQRT($J$5))</f>
        <v>0.28114439821532</v>
      </c>
      <c r="J117" s="26" t="n">
        <f aca="false">I117 - $H$5*SQRT($J$5)</f>
        <v>0.150666581279533</v>
      </c>
    </row>
    <row r="118" customFormat="false" ht="13.5" hidden="false" customHeight="true" outlineLevel="0" collapsed="false">
      <c r="B118" s="29" t="n">
        <f aca="false">B89</f>
        <v>71</v>
      </c>
      <c r="C118" s="25" t="n">
        <f aca="false">IF($O$5="sell",-1,1) *  IF($K$5="call",  NORMDIST(I118,0,1,1),  NORMDIST(I118,0,1,1)-1  ) * $P$5</f>
        <v>-1.29285488536228</v>
      </c>
      <c r="D118" s="25" t="n">
        <f aca="false">IF($O$5="sell",-1,1) * NORMDIST(I118,0,1,0)/(B118*$H$5*SQRT($J$5)) * $P$5</f>
        <v>0.1272522804006</v>
      </c>
      <c r="E118" s="25" t="n">
        <f aca="false">IF($O$5="sell",-1,1) * (B118*NORMDIST(I118,0,1,0)*SQRT($J$5)/365) * $P$5</f>
        <v>0.039808516992239</v>
      </c>
      <c r="F118" s="25" t="n">
        <f aca="false">IF($O$5="sell",-1,1) * (-(B118*NORMDIST(I118,0,1,0)*$H$5)/(2*SQRT($J$5))/365) *$P$5</f>
        <v>-0.49640135002495</v>
      </c>
      <c r="G118" s="25" t="n">
        <f aca="false">IF($O$5="buy",1,-1)*( IF($K$5="call",B118*NORMDIST(I118,0,1,1) - $B$5*NORMDIST(J118,0,1,1),$B$5*NORMDIST(-J118,0,1,1) - B118*NORMDIST(-I118,0,1,1) ) - $G$5) * $P$5</f>
        <v>6.62628286878964</v>
      </c>
      <c r="I118" s="26" t="n">
        <f aca="false">(LN(B118/$B$5)+($H$5^2/2)*($J$5))/($H$5*SQRT($J$5))</f>
        <v>0.17395190907655</v>
      </c>
      <c r="J118" s="26" t="n">
        <f aca="false">I118 - $H$5*SQRT($J$5)</f>
        <v>0.0434740921407629</v>
      </c>
    </row>
    <row r="119" customFormat="false" ht="13.5" hidden="false" customHeight="true" outlineLevel="0" collapsed="false">
      <c r="B119" s="29" t="n">
        <f aca="false">B90</f>
        <v>70</v>
      </c>
      <c r="C119" s="25" t="n">
        <f aca="false">IF($O$5="sell",-1,1) *  IF($K$5="call",  NORMDIST(I119,0,1,1),  NORMDIST(I119,0,1,1)-1  ) * $P$5</f>
        <v>-1.42197567392949</v>
      </c>
      <c r="D119" s="25" t="n">
        <f aca="false">IF($O$5="sell",-1,1) * NORMDIST(I119,0,1,0)/(B119*$H$5*SQRT($J$5)) * $P$5</f>
        <v>0.13075924222002</v>
      </c>
      <c r="E119" s="25" t="n">
        <f aca="false">IF($O$5="sell",-1,1) * (B119*NORMDIST(I119,0,1,0)*SQRT($J$5)/365) * $P$5</f>
        <v>0.0397614490057674</v>
      </c>
      <c r="F119" s="25" t="n">
        <f aca="false">IF($O$5="sell",-1,1) * (-(B119*NORMDIST(I119,0,1,0)*$H$5)/(2*SQRT($J$5))/365) *$P$5</f>
        <v>-0.495814425070372</v>
      </c>
      <c r="G119" s="25" t="n">
        <f aca="false">IF($O$5="buy",1,-1)*( IF($K$5="call",B119*NORMDIST(I119,0,1,1) - $B$5*NORMDIST(J119,0,1,1),$B$5*NORMDIST(-J119,0,1,1) - B119*NORMDIST(-I119,0,1,1) ) - $G$5) * $P$5</f>
        <v>7.98340564987151</v>
      </c>
      <c r="I119" s="26" t="n">
        <f aca="false">(LN(B119/$B$5)+($H$5^2/2)*($J$5))/($H$5*SQRT($J$5))</f>
        <v>0.0652389084678935</v>
      </c>
      <c r="J119" s="26" t="n">
        <f aca="false">I119 - $H$5*SQRT($J$5)</f>
        <v>-0.0652389084678935</v>
      </c>
    </row>
    <row r="120" customFormat="false" ht="13.5" hidden="false" customHeight="true" outlineLevel="0" collapsed="false">
      <c r="B120" s="29" t="n">
        <f aca="false">B91</f>
        <v>69</v>
      </c>
      <c r="C120" s="25" t="n">
        <f aca="false">IF($O$5="sell",-1,1) *  IF($K$5="call",  NORMDIST(I120,0,1,1),  NORMDIST(I120,0,1,1)-1  ) * $P$5</f>
        <v>-1.55388490222017</v>
      </c>
      <c r="D120" s="25" t="n">
        <f aca="false">IF($O$5="sell",-1,1) * NORMDIST(I120,0,1,0)/(B120*$H$5*SQRT($J$5)) * $P$5</f>
        <v>0.132802140439103</v>
      </c>
      <c r="E120" s="25" t="n">
        <f aca="false">IF($O$5="sell",-1,1) * (B120*NORMDIST(I120,0,1,0)*SQRT($J$5)/365) * $P$5</f>
        <v>0.0392371074658458</v>
      </c>
      <c r="F120" s="25" t="n">
        <f aca="false">IF($O$5="sell",-1,1) * (-(B120*NORMDIST(I120,0,1,0)*$H$5)/(2*SQRT($J$5))/365) *$P$5</f>
        <v>-0.489276029069788</v>
      </c>
      <c r="G120" s="25" t="n">
        <f aca="false">IF($O$5="buy",1,-1)*( IF($K$5="call",B120*NORMDIST(I120,0,1,1) - $B$5*NORMDIST(J120,0,1,1),$B$5*NORMDIST(-J120,0,1,1) - B120*NORMDIST(-I120,0,1,1) ) - $G$5) * $P$5</f>
        <v>9.47116550046494</v>
      </c>
      <c r="I120" s="26" t="n">
        <f aca="false">(LN(B120/$B$5)+($H$5^2/2)*($J$5))/($H$5*SQRT($J$5))</f>
        <v>-0.0450383615693633</v>
      </c>
      <c r="J120" s="26" t="n">
        <f aca="false">I120 - $H$5*SQRT($J$5)</f>
        <v>-0.17551617850515</v>
      </c>
    </row>
    <row r="121" customFormat="false" ht="13.5" hidden="false" customHeight="true" outlineLevel="0" collapsed="false">
      <c r="B121" s="29" t="n">
        <f aca="false">B92</f>
        <v>68</v>
      </c>
      <c r="C121" s="25" t="n">
        <f aca="false">IF($O$5="sell",-1,1) *  IF($K$5="call",  NORMDIST(I121,0,1,1),  NORMDIST(I121,0,1,1)-1  ) * $P$5</f>
        <v>-1.68704474518073</v>
      </c>
      <c r="D121" s="25" t="n">
        <f aca="false">IF($O$5="sell",-1,1) * NORMDIST(I121,0,1,0)/(B121*$H$5*SQRT($J$5)) * $P$5</f>
        <v>0.133241139160304</v>
      </c>
      <c r="E121" s="25" t="n">
        <f aca="false">IF($O$5="sell",-1,1) * (B121*NORMDIST(I121,0,1,0)*SQRT($J$5)/365) * $P$5</f>
        <v>0.0382340135888225</v>
      </c>
      <c r="F121" s="25" t="n">
        <f aca="false">IF($O$5="sell",-1,1) * (-(B121*NORMDIST(I121,0,1,0)*$H$5)/(2*SQRT($J$5))/365) *$P$5</f>
        <v>-0.476767721994365</v>
      </c>
      <c r="G121" s="25" t="n">
        <f aca="false">IF($O$5="buy",1,-1)*( IF($K$5="call",B121*NORMDIST(I121,0,1,1) - $B$5*NORMDIST(J121,0,1,1),$B$5*NORMDIST(-J121,0,1,1) - B121*NORMDIST(-I121,0,1,1) ) - $G$5) * $P$5</f>
        <v>11.0915936169997</v>
      </c>
      <c r="I121" s="26" t="n">
        <f aca="false">(LN(B121/$B$5)+($H$5^2/2)*($J$5))/($H$5*SQRT($J$5))</f>
        <v>-0.15692557553415</v>
      </c>
      <c r="J121" s="26" t="n">
        <f aca="false">I121 - $H$5*SQRT($J$5)</f>
        <v>-0.287403392469938</v>
      </c>
    </row>
    <row r="122" customFormat="false" ht="13.5" hidden="false" customHeight="true" outlineLevel="0" collapsed="false">
      <c r="B122" s="29" t="n">
        <f aca="false">B93</f>
        <v>67</v>
      </c>
      <c r="C122" s="25" t="n">
        <f aca="false">IF($O$5="sell",-1,1) *  IF($K$5="call",  NORMDIST(I122,0,1,1),  NORMDIST(I122,0,1,1)-1  ) * $P$5</f>
        <v>-1.81980246495281</v>
      </c>
      <c r="D122" s="25" t="n">
        <f aca="false">IF($O$5="sell",-1,1) * NORMDIST(I122,0,1,0)/(B122*$H$5*SQRT($J$5)) * $P$5</f>
        <v>0.131988043370928</v>
      </c>
      <c r="E122" s="25" t="n">
        <f aca="false">IF($O$5="sell",-1,1) * (B122*NORMDIST(I122,0,1,0)*SQRT($J$5)/365) * $P$5</f>
        <v>0.0367686702597828</v>
      </c>
      <c r="F122" s="25" t="n">
        <f aca="false">IF($O$5="sell",-1,1) * (-(B122*NORMDIST(I122,0,1,0)*$H$5)/(2*SQRT($J$5))/365) *$P$5</f>
        <v>-0.45849529032033</v>
      </c>
      <c r="G122" s="25" t="n">
        <f aca="false">IF($O$5="buy",1,-1)*( IF($K$5="call",B122*NORMDIST(I122,0,1,1) - $B$5*NORMDIST(J122,0,1,1),$B$5*NORMDIST(-J122,0,1,1) - B122*NORMDIST(-I122,0,1,1) ) - $G$5) * $P$5</f>
        <v>12.8451216082355</v>
      </c>
      <c r="I122" s="26" t="n">
        <f aca="false">(LN(B122/$B$5)+($H$5^2/2)*($J$5))/($H$5*SQRT($J$5))</f>
        <v>-0.270470438048455</v>
      </c>
      <c r="J122" s="26" t="n">
        <f aca="false">I122 - $H$5*SQRT($J$5)</f>
        <v>-0.400948254984242</v>
      </c>
    </row>
    <row r="123" customFormat="false" ht="13.5" hidden="false" customHeight="true" outlineLevel="0" collapsed="false">
      <c r="B123" s="29" t="n">
        <f aca="false">B94</f>
        <v>66</v>
      </c>
      <c r="C123" s="25" t="n">
        <f aca="false">IF($O$5="sell",-1,1) *  IF($K$5="call",  NORMDIST(I123,0,1,1),  NORMDIST(I123,0,1,1)-1  ) * $P$5</f>
        <v>-1.95044704386699</v>
      </c>
      <c r="D123" s="25" t="n">
        <f aca="false">IF($O$5="sell",-1,1) * NORMDIST(I123,0,1,0)/(B123*$H$5*SQRT($J$5)) * $P$5</f>
        <v>0.129015854863381</v>
      </c>
      <c r="E123" s="25" t="n">
        <f aca="false">IF($O$5="sell",-1,1) * (B123*NORMDIST(I123,0,1,0)*SQRT($J$5)/365) * $P$5</f>
        <v>0.0348758405265374</v>
      </c>
      <c r="F123" s="25" t="n">
        <f aca="false">IF($O$5="sell",-1,1) * (-(B123*NORMDIST(I123,0,1,0)*$H$5)/(2*SQRT($J$5))/365) *$P$5</f>
        <v>-0.434892219773051</v>
      </c>
      <c r="G123" s="25" t="n">
        <f aca="false">IF($O$5="buy",1,-1)*( IF($K$5="call",B123*NORMDIST(I123,0,1,1) - $B$5*NORMDIST(J123,0,1,1),$B$5*NORMDIST(-J123,0,1,1) - B123*NORMDIST(-I123,0,1,1) ) - $G$5) * $P$5</f>
        <v>14.730494101117</v>
      </c>
      <c r="I123" s="26" t="n">
        <f aca="false">(LN(B123/$B$5)+($H$5^2/2)*($J$5))/($H$5*SQRT($J$5))</f>
        <v>-0.385722805981169</v>
      </c>
      <c r="J123" s="26" t="n">
        <f aca="false">I123 - $H$5*SQRT($J$5)</f>
        <v>-0.516200622916956</v>
      </c>
    </row>
    <row r="124" customFormat="false" ht="13.5" hidden="false" customHeight="true" outlineLevel="0" collapsed="false">
      <c r="B124" s="29" t="n">
        <f aca="false">B95</f>
        <v>65</v>
      </c>
      <c r="C124" s="25" t="n">
        <f aca="false">IF($O$5="sell",-1,1) *  IF($K$5="call",  NORMDIST(I124,0,1,1),  NORMDIST(I124,0,1,1)-1  ) * $P$5</f>
        <v>-2.07727391201952</v>
      </c>
      <c r="D124" s="25" t="n">
        <f aca="false">IF($O$5="sell",-1,1) * NORMDIST(I124,0,1,0)/(B124*$H$5*SQRT($J$5)) * $P$5</f>
        <v>0.124365233381203</v>
      </c>
      <c r="E124" s="25" t="n">
        <f aca="false">IF($O$5="sell",-1,1) * (B124*NORMDIST(I124,0,1,0)*SQRT($J$5)/365) * $P$5</f>
        <v>0.0326076446973</v>
      </c>
      <c r="F124" s="25" t="n">
        <f aca="false">IF($O$5="sell",-1,1) * (-(B124*NORMDIST(I124,0,1,0)*$H$5)/(2*SQRT($J$5))/365) *$P$5</f>
        <v>-0.406608436381322</v>
      </c>
      <c r="G124" s="25" t="n">
        <f aca="false">IF($O$5="buy",1,-1)*( IF($K$5="call",B124*NORMDIST(I124,0,1,1) - $B$5*NORMDIST(J124,0,1,1),$B$5*NORMDIST(-J124,0,1,1) - B124*NORMDIST(-I124,0,1,1) ) - $G$5) * $P$5</f>
        <v>16.7447422849923</v>
      </c>
      <c r="I124" s="26" t="n">
        <f aca="false">(LN(B124/$B$5)+($H$5^2/2)*($J$5))/($H$5*SQRT($J$5))</f>
        <v>-0.502734819895397</v>
      </c>
      <c r="J124" s="26" t="n">
        <f aca="false">I124 - $H$5*SQRT($J$5)</f>
        <v>-0.633212636831184</v>
      </c>
    </row>
    <row r="125" customFormat="false" ht="13.5" hidden="false" customHeight="true" outlineLevel="0" collapsed="false">
      <c r="B125" s="29" t="n">
        <f aca="false">B96</f>
        <v>64</v>
      </c>
      <c r="C125" s="25" t="n">
        <f aca="false">IF($O$5="sell",-1,1) *  IF($K$5="call",  NORMDIST(I125,0,1,1),  NORMDIST(I125,0,1,1)-1  ) * $P$5</f>
        <v>-2.19865418679019</v>
      </c>
      <c r="D125" s="25" t="n">
        <f aca="false">IF($O$5="sell",-1,1) * NORMDIST(I125,0,1,0)/(B125*$H$5*SQRT($J$5)) * $P$5</f>
        <v>0.118146920168599</v>
      </c>
      <c r="E125" s="25" t="n">
        <f aca="false">IF($O$5="sell",-1,1) * (B125*NORMDIST(I125,0,1,0)*SQRT($J$5)/365) * $P$5</f>
        <v>0.0300314347198609</v>
      </c>
      <c r="F125" s="25" t="n">
        <f aca="false">IF($O$5="sell",-1,1) * (-(B125*NORMDIST(I125,0,1,0)*$H$5)/(2*SQRT($J$5))/365) *$P$5</f>
        <v>-0.374483800565378</v>
      </c>
      <c r="G125" s="25" t="n">
        <f aca="false">IF($O$5="buy",1,-1)*( IF($K$5="call",B125*NORMDIST(I125,0,1,1) - $B$5*NORMDIST(J125,0,1,1),$B$5*NORMDIST(-J125,0,1,1) - B125*NORMDIST(-I125,0,1,1) ) - $G$5) * $P$5</f>
        <v>18.8832247762132</v>
      </c>
      <c r="I125" s="26" t="n">
        <f aca="false">(LN(B125/$B$5)+($H$5^2/2)*($J$5))/($H$5*SQRT($J$5))</f>
        <v>-0.621561045686678</v>
      </c>
      <c r="J125" s="26" t="n">
        <f aca="false">I125 - $H$5*SQRT($J$5)</f>
        <v>-0.752038862622465</v>
      </c>
    </row>
    <row r="126" customFormat="false" ht="13.5" hidden="false" customHeight="true" outlineLevel="0" collapsed="false">
      <c r="B126" s="29" t="n">
        <f aca="false">B97</f>
        <v>63</v>
      </c>
      <c r="C126" s="25" t="n">
        <f aca="false">IF($O$5="sell",-1,1) *  IF($K$5="call",  NORMDIST(I126,0,1,1),  NORMDIST(I126,0,1,1)-1  ) * $P$5</f>
        <v>-2.31310401978414</v>
      </c>
      <c r="D126" s="25" t="n">
        <f aca="false">IF($O$5="sell",-1,1) * NORMDIST(I126,0,1,0)/(B126*$H$5*SQRT($J$5)) * $P$5</f>
        <v>0.110539444927812</v>
      </c>
      <c r="E126" s="25" t="n">
        <f aca="false">IF($O$5="sell",-1,1) * (B126*NORMDIST(I126,0,1,0)*SQRT($J$5)/365) * $P$5</f>
        <v>0.027226518192376</v>
      </c>
      <c r="F126" s="25" t="n">
        <f aca="false">IF($O$5="sell",-1,1) * (-(B126*NORMDIST(I126,0,1,0)*$H$5)/(2*SQRT($J$5))/365) *$P$5</f>
        <v>-0.339507256444876</v>
      </c>
      <c r="G126" s="25" t="n">
        <f aca="false">IF($O$5="buy",1,-1)*( IF($K$5="call",B126*NORMDIST(I126,0,1,1) - $B$5*NORMDIST(J126,0,1,1),$B$5*NORMDIST(-J126,0,1,1) - B126*NORMDIST(-I126,0,1,1) ) - $G$5) * $P$5</f>
        <v>21.1397381695576</v>
      </c>
      <c r="I126" s="26" t="n">
        <f aca="false">(LN(B126/$B$5)+($H$5^2/2)*($J$5))/($H$5*SQRT($J$5))</f>
        <v>-0.742258627375138</v>
      </c>
      <c r="J126" s="26" t="n">
        <f aca="false">I126 - $H$5*SQRT($J$5)</f>
        <v>-0.872736444310926</v>
      </c>
    </row>
    <row r="127" customFormat="false" ht="13.5" hidden="false" customHeight="true" outlineLevel="0" collapsed="false">
      <c r="B127" s="29" t="n">
        <f aca="false">B98</f>
        <v>62</v>
      </c>
      <c r="C127" s="25" t="n">
        <f aca="false">IF($O$5="sell",-1,1) *  IF($K$5="call",  NORMDIST(I127,0,1,1),  NORMDIST(I127,0,1,1)-1  ) * $P$5</f>
        <v>-2.41934915202342</v>
      </c>
      <c r="D127" s="25" t="n">
        <f aca="false">IF($O$5="sell",-1,1) * NORMDIST(I127,0,1,0)/(B127*$H$5*SQRT($J$5)) * $P$5</f>
        <v>0.1017818246931</v>
      </c>
      <c r="E127" s="25" t="n">
        <f aca="false">IF($O$5="sell",-1,1) * (B127*NORMDIST(I127,0,1,0)*SQRT($J$5)/365) * $P$5</f>
        <v>0.0242799248997772</v>
      </c>
      <c r="F127" s="25" t="n">
        <f aca="false">IF($O$5="sell",-1,1) * (-(B127*NORMDIST(I127,0,1,0)*$H$5)/(2*SQRT($J$5))/365) *$P$5</f>
        <v>-0.302764041702521</v>
      </c>
      <c r="G127" s="25" t="n">
        <f aca="false">IF($O$5="buy",1,-1)*( IF($K$5="call",B127*NORMDIST(I127,0,1,1) - $B$5*NORMDIST(J127,0,1,1),$B$5*NORMDIST(-J127,0,1,1) - B127*NORMDIST(-I127,0,1,1) ) - $G$5) * $P$5</f>
        <v>23.5066949587349</v>
      </c>
      <c r="I127" s="26" t="n">
        <f aca="false">(LN(B127/$B$5)+($H$5^2/2)*($J$5))/($H$5*SQRT($J$5))</f>
        <v>-0.864887452122532</v>
      </c>
      <c r="J127" s="26" t="n">
        <f aca="false">I127 - $H$5*SQRT($J$5)</f>
        <v>-0.99536526905832</v>
      </c>
    </row>
    <row r="128" customFormat="false" ht="13.5" hidden="false" customHeight="true" outlineLevel="0" collapsed="false">
      <c r="B128" s="29" t="n">
        <f aca="false">B99</f>
        <v>61</v>
      </c>
      <c r="C128" s="25" t="n">
        <f aca="false">IF($O$5="sell",-1,1) *  IF($K$5="call",  NORMDIST(I128,0,1,1),  NORMDIST(I128,0,1,1)-1  ) * $P$5</f>
        <v>-2.51637972160094</v>
      </c>
      <c r="D128" s="25" t="n">
        <f aca="false">IF($O$5="sell",-1,1) * NORMDIST(I128,0,1,0)/(B128*$H$5*SQRT($J$5)) * $P$5</f>
        <v>0.092161445070013</v>
      </c>
      <c r="E128" s="25" t="n">
        <f aca="false">IF($O$5="sell",-1,1) * (B128*NORMDIST(I128,0,1,0)*SQRT($J$5)/365) * $P$5</f>
        <v>0.0212815214658929</v>
      </c>
      <c r="F128" s="25" t="n">
        <f aca="false">IF($O$5="sell",-1,1) * (-(B128*NORMDIST(I128,0,1,0)*$H$5)/(2*SQRT($J$5))/365) *$P$5</f>
        <v>-0.265374768628376</v>
      </c>
      <c r="G128" s="25" t="n">
        <f aca="false">IF($O$5="buy",1,-1)*( IF($K$5="call",B128*NORMDIST(I128,0,1,1) - $B$5*NORMDIST(J128,0,1,1),$B$5*NORMDIST(-J128,0,1,1) - B128*NORMDIST(-I128,0,1,1) ) - $G$5) * $P$5</f>
        <v>25.9753615405254</v>
      </c>
      <c r="I128" s="26" t="n">
        <f aca="false">(LN(B128/$B$5)+($H$5^2/2)*($J$5))/($H$5*SQRT($J$5))</f>
        <v>-0.989510328667</v>
      </c>
      <c r="J128" s="26" t="n">
        <f aca="false">I128 - $H$5*SQRT($J$5)</f>
        <v>-1.11998814560279</v>
      </c>
    </row>
    <row r="129" customFormat="false" ht="13.5" hidden="false" customHeight="true" outlineLevel="0" collapsed="false">
      <c r="B129" s="29" t="n">
        <f aca="false">B100</f>
        <v>60</v>
      </c>
      <c r="C129" s="25" t="n">
        <f aca="false">IF($O$5="sell",-1,1) *  IF($K$5="call",  NORMDIST(I129,0,1,1),  NORMDIST(I129,0,1,1)-1  ) * $P$5</f>
        <v>-2.60349082058741</v>
      </c>
      <c r="D129" s="25" t="n">
        <f aca="false">IF($O$5="sell",-1,1) * NORMDIST(I129,0,1,0)/(B129*$H$5*SQRT($J$5)) * $P$5</f>
        <v>0.0819978408609705</v>
      </c>
      <c r="E129" s="25" t="n">
        <f aca="false">IF($O$5="sell",-1,1) * (B129*NORMDIST(I129,0,1,0)*SQRT($J$5)/365) * $P$5</f>
        <v>0.0183188685064198</v>
      </c>
      <c r="F129" s="25" t="n">
        <f aca="false">IF($O$5="sell",-1,1) * (-(B129*NORMDIST(I129,0,1,0)*$H$5)/(2*SQRT($J$5))/365) *$P$5</f>
        <v>-0.228431294220008</v>
      </c>
      <c r="G129" s="25" t="n">
        <f aca="false">IF($O$5="buy",1,-1)*( IF($K$5="call",B129*NORMDIST(I129,0,1,1) - $B$5*NORMDIST(J129,0,1,1),$B$5*NORMDIST(-J129,0,1,1) - B129*NORMDIST(-I129,0,1,1) ) - $G$5) * $P$5</f>
        <v>28.5361442436311</v>
      </c>
      <c r="I129" s="26" t="n">
        <f aca="false">(LN(B129/$B$5)+($H$5^2/2)*($J$5))/($H$5*SQRT($J$5))</f>
        <v>-1.11619318050645</v>
      </c>
      <c r="J129" s="26" t="n">
        <f aca="false">I129 - $H$5*SQRT($J$5)</f>
        <v>-1.24667099744223</v>
      </c>
    </row>
    <row r="130" customFormat="false" ht="13.5" hidden="false" customHeight="true" outlineLevel="0" collapsed="false">
      <c r="B130" s="29" t="n">
        <f aca="false">B101</f>
        <v>59</v>
      </c>
      <c r="C130" s="25" t="n">
        <f aca="false">IF($O$5="sell",-1,1) *  IF($K$5="call",  NORMDIST(I130,0,1,1),  NORMDIST(I130,0,1,1)-1  ) * $P$5</f>
        <v>-2.68030527229263</v>
      </c>
      <c r="D130" s="25" t="n">
        <f aca="false">IF($O$5="sell",-1,1) * NORMDIST(I130,0,1,0)/(B130*$H$5*SQRT($J$5)) * $P$5</f>
        <v>0.071623597915321</v>
      </c>
      <c r="E130" s="25" t="n">
        <f aca="false">IF($O$5="sell",-1,1) * (B130*NORMDIST(I130,0,1,0)*SQRT($J$5)/365) * $P$5</f>
        <v>0.0154722646164917</v>
      </c>
      <c r="F130" s="25" t="n">
        <f aca="false">IF($O$5="sell",-1,1) * (-(B130*NORMDIST(I130,0,1,0)*$H$5)/(2*SQRT($J$5))/365) *$P$5</f>
        <v>-0.19293492005912</v>
      </c>
      <c r="G130" s="25" t="n">
        <f aca="false">IF($O$5="buy",1,-1)*( IF($K$5="call",B130*NORMDIST(I130,0,1,1) - $B$5*NORMDIST(J130,0,1,1),$B$5*NORMDIST(-J130,0,1,1) - B130*NORMDIST(-I130,0,1,1) ) - $G$5) * $P$5</f>
        <v>31.1789072650857</v>
      </c>
      <c r="I130" s="26" t="n">
        <f aca="false">(LN(B130/$B$5)+($H$5^2/2)*($J$5))/($H$5*SQRT($J$5))</f>
        <v>-1.245005255318</v>
      </c>
      <c r="J130" s="26" t="n">
        <f aca="false">I130 - $H$5*SQRT($J$5)</f>
        <v>-1.37548307225379</v>
      </c>
    </row>
    <row r="131" customFormat="false" ht="13.5" hidden="false" customHeight="true" outlineLevel="0" collapsed="false">
      <c r="B131" s="29" t="n">
        <f aca="false">B102</f>
        <v>58</v>
      </c>
      <c r="C131" s="25" t="n">
        <f aca="false">IF($O$5="sell",-1,1) *  IF($K$5="call",  NORMDIST(I131,0,1,1),  NORMDIST(I131,0,1,1)-1  ) * $P$5</f>
        <v>-2.74677653713052</v>
      </c>
      <c r="D131" s="25" t="n">
        <f aca="false">IF($O$5="sell",-1,1) * NORMDIST(I131,0,1,0)/(B131*$H$5*SQRT($J$5)) * $P$5</f>
        <v>0.0613640063099495</v>
      </c>
      <c r="E131" s="25" t="n">
        <f aca="false">IF($O$5="sell",-1,1) * (B131*NORMDIST(I131,0,1,0)*SQRT($J$5)/365) * $P$5</f>
        <v>0.0128104215351715</v>
      </c>
      <c r="F131" s="25" t="n">
        <f aca="false">IF($O$5="sell",-1,1) * (-(B131*NORMDIST(I131,0,1,0)*$H$5)/(2*SQRT($J$5))/365) *$P$5</f>
        <v>-0.15974246279226</v>
      </c>
      <c r="G131" s="25" t="n">
        <f aca="false">IF($O$5="buy",1,-1)*( IF($K$5="call",B131*NORMDIST(I131,0,1,1) - $B$5*NORMDIST(J131,0,1,1),$B$5*NORMDIST(-J131,0,1,1) - B131*NORMDIST(-I131,0,1,1) ) - $G$5) * $P$5</f>
        <v>33.893303552626</v>
      </c>
      <c r="I131" s="26" t="n">
        <f aca="false">(LN(B131/$B$5)+($H$5^2/2)*($J$5))/($H$5*SQRT($J$5))</f>
        <v>-1.37601935227912</v>
      </c>
      <c r="J131" s="26" t="n">
        <f aca="false">I131 - $H$5*SQRT($J$5)</f>
        <v>-1.50649716921491</v>
      </c>
    </row>
    <row r="132" customFormat="false" ht="13.5" hidden="false" customHeight="true" outlineLevel="0" collapsed="false">
      <c r="B132" s="29" t="n">
        <f aca="false">B103</f>
        <v>57</v>
      </c>
      <c r="C132" s="25" t="n">
        <f aca="false">IF($O$5="sell",-1,1) *  IF($K$5="call",  NORMDIST(I132,0,1,1),  NORMDIST(I132,0,1,1)-1  ) * $P$5</f>
        <v>-2.80317142220978</v>
      </c>
      <c r="D132" s="25" t="n">
        <f aca="false">IF($O$5="sell",-1,1) * NORMDIST(I132,0,1,0)/(B132*$H$5*SQRT($J$5)) * $P$5</f>
        <v>0.0515173352276217</v>
      </c>
      <c r="E132" s="25" t="n">
        <f aca="false">IF($O$5="sell",-1,1) * (B132*NORMDIST(I132,0,1,0)*SQRT($J$5)/365) * $P$5</f>
        <v>0.0103871601999993</v>
      </c>
      <c r="F132" s="25" t="n">
        <f aca="false">IF($O$5="sell",-1,1) * (-(B132*NORMDIST(I132,0,1,0)*$H$5)/(2*SQRT($J$5))/365) *$P$5</f>
        <v>-0.129525054832118</v>
      </c>
      <c r="G132" s="25" t="n">
        <f aca="false">IF($O$5="buy",1,-1)*( IF($K$5="call",B132*NORMDIST(I132,0,1,1) - $B$5*NORMDIST(J132,0,1,1),$B$5*NORMDIST(-J132,0,1,1) - B132*NORMDIST(-I132,0,1,1) ) - $G$5) * $P$5</f>
        <v>36.6690984430115</v>
      </c>
      <c r="I132" s="26" t="n">
        <f aca="false">(LN(B132/$B$5)+($H$5^2/2)*($J$5))/($H$5*SQRT($J$5))</f>
        <v>-1.50931206915856</v>
      </c>
      <c r="J132" s="26" t="n">
        <f aca="false">I132 - $H$5*SQRT($J$5)</f>
        <v>-1.63978988609435</v>
      </c>
    </row>
    <row r="133" customFormat="false" ht="13.5" hidden="false" customHeight="true" outlineLevel="0" collapsed="false">
      <c r="B133" s="30"/>
      <c r="C133" s="22"/>
      <c r="D133" s="22"/>
      <c r="E133" s="22"/>
      <c r="F133" s="22"/>
      <c r="G133" s="22"/>
      <c r="I133" s="31"/>
      <c r="J133" s="31"/>
    </row>
    <row r="134" customFormat="false" ht="13.5" hidden="false" customHeight="true" outlineLevel="0" collapsed="false">
      <c r="B134" s="30"/>
      <c r="C134" s="22"/>
      <c r="D134" s="22"/>
      <c r="E134" s="22"/>
      <c r="F134" s="22"/>
      <c r="G134" s="22"/>
      <c r="I134" s="31"/>
      <c r="J134" s="31"/>
    </row>
    <row r="135" customFormat="false" ht="13.5" hidden="false" customHeight="true" outlineLevel="0" collapsed="false">
      <c r="B135" s="23"/>
      <c r="C135" s="19" t="s">
        <v>13</v>
      </c>
      <c r="D135" s="19" t="s">
        <v>14</v>
      </c>
      <c r="E135" s="19" t="s">
        <v>15</v>
      </c>
      <c r="F135" s="19" t="s">
        <v>16</v>
      </c>
      <c r="G135" s="19" t="s">
        <v>17</v>
      </c>
      <c r="I135" s="19" t="s">
        <v>158</v>
      </c>
      <c r="J135" s="19" t="s">
        <v>159</v>
      </c>
    </row>
    <row r="136" customFormat="false" ht="13.5" hidden="false" customHeight="true" outlineLevel="0" collapsed="false">
      <c r="A136" s="2" t="str">
        <f aca="false">A6</f>
        <v>SOL-24APR26-60-P-USDT</v>
      </c>
      <c r="B136" s="29" t="n">
        <f aca="false">B106</f>
        <v>83</v>
      </c>
      <c r="C136" s="25" t="e">
        <f aca="false">IF($O$6="sell",-1,1) *  IF($K$6="call",  NORMDIST(I136,0,1,1),  NORMDIST(I136,0,1,1)-1  ) * $P$6</f>
        <v>#N/A</v>
      </c>
      <c r="D136" s="25" t="e">
        <f aca="false">IF($O$6="sell",-1,1) * NORMDIST(I136,0,1,0)/(B136*$H$6*SQRT($J$6)) * $P$6</f>
        <v>#N/A</v>
      </c>
      <c r="E136" s="25" t="e">
        <f aca="false">IF($O$6="sell",-1,1) * (B136*NORMDIST(I136,0,1,0)*SQRT($J$6)/365) * $P$6</f>
        <v>#N/A</v>
      </c>
      <c r="F136" s="25" t="e">
        <f aca="false">IF($O$6="sell",-1,1) * (-(B136*NORMDIST(I136,0,1,0)*$H$6)/(2*SQRT($J$6))/365) *$P$6</f>
        <v>#N/A</v>
      </c>
      <c r="G136" s="25" t="e">
        <f aca="false">IF($O$6="buy",1,-1)*( IF($K$6="call",B136*NORMDIST(I136,0,1,1) - $B$6*NORMDIST(J136,0,1,1),$B$6*NORMDIST(-J136,0,1,1) - B136*NORMDIST(-I136,0,1,1) ) - $G$6) * $P$6</f>
        <v>#N/A</v>
      </c>
      <c r="I136" s="26" t="e">
        <f aca="false">(LN(B136/$B$6)+($H$6^2/2)*($J$6))/($H$6*SQRT($J$6))</f>
        <v>#N/A</v>
      </c>
      <c r="J136" s="26" t="e">
        <f aca="false">I136 - $H$6*SQRT($J$6)</f>
        <v>#N/A</v>
      </c>
    </row>
    <row r="137" customFormat="false" ht="13.5" hidden="false" customHeight="true" outlineLevel="0" collapsed="false">
      <c r="B137" s="29" t="n">
        <f aca="false">B107</f>
        <v>82</v>
      </c>
      <c r="C137" s="25" t="e">
        <f aca="false">IF($O$6="sell",-1,1) *  IF($K$6="call",  NORMDIST(I137,0,1,1),  NORMDIST(I137,0,1,1)-1  ) * $P$6</f>
        <v>#N/A</v>
      </c>
      <c r="D137" s="25" t="e">
        <f aca="false">IF($O$6="sell",-1,1) * NORMDIST(I137,0,1,0)/(B137*$H$6*SQRT($J$6)) * $P$6</f>
        <v>#N/A</v>
      </c>
      <c r="E137" s="25" t="e">
        <f aca="false">IF($O$6="sell",-1,1) * (B137*NORMDIST(I137,0,1,0)*SQRT($J$6)/365) * $P$6</f>
        <v>#N/A</v>
      </c>
      <c r="F137" s="25" t="e">
        <f aca="false">IF($O$6="sell",-1,1) * (-(B137*NORMDIST(I137,0,1,0)*$H$6)/(2*SQRT($J$6))/365) *$P$6</f>
        <v>#N/A</v>
      </c>
      <c r="G137" s="25" t="e">
        <f aca="false">IF($O$6="buy",1,-1)*( IF($K$6="call",B137*NORMDIST(I137,0,1,1) - $B$6*NORMDIST(J137,0,1,1),$B$6*NORMDIST(-J137,0,1,1) - B137*NORMDIST(-I137,0,1,1) ) - $G$6) * $P$6</f>
        <v>#N/A</v>
      </c>
      <c r="I137" s="26" t="e">
        <f aca="false">(LN(B137/$B$6)+($H$6^2/2)*($J$6))/($H$6*SQRT($J$6))</f>
        <v>#N/A</v>
      </c>
      <c r="J137" s="26" t="e">
        <f aca="false">I137 - $H$6*SQRT($J$6)</f>
        <v>#N/A</v>
      </c>
    </row>
    <row r="138" customFormat="false" ht="13.5" hidden="false" customHeight="true" outlineLevel="0" collapsed="false">
      <c r="B138" s="29" t="n">
        <f aca="false">B108</f>
        <v>81</v>
      </c>
      <c r="C138" s="25" t="e">
        <f aca="false">IF($O$6="sell",-1,1) *  IF($K$6="call",  NORMDIST(I138,0,1,1),  NORMDIST(I138,0,1,1)-1  ) * $P$6</f>
        <v>#N/A</v>
      </c>
      <c r="D138" s="25" t="e">
        <f aca="false">IF($O$6="sell",-1,1) * NORMDIST(I138,0,1,0)/(B138*$H$6*SQRT($J$6)) * $P$6</f>
        <v>#N/A</v>
      </c>
      <c r="E138" s="25" t="e">
        <f aca="false">IF($O$6="sell",-1,1) * (B138*NORMDIST(I138,0,1,0)*SQRT($J$6)/365) * $P$6</f>
        <v>#N/A</v>
      </c>
      <c r="F138" s="25" t="e">
        <f aca="false">IF($O$6="sell",-1,1) * (-(B138*NORMDIST(I138,0,1,0)*$H$6)/(2*SQRT($J$6))/365) *$P$6</f>
        <v>#N/A</v>
      </c>
      <c r="G138" s="25" t="e">
        <f aca="false">IF($O$6="buy",1,-1)*( IF($K$6="call",B138*NORMDIST(I138,0,1,1) - $B$6*NORMDIST(J138,0,1,1),$B$6*NORMDIST(-J138,0,1,1) - B138*NORMDIST(-I138,0,1,1) ) - $G$6) * $P$6</f>
        <v>#N/A</v>
      </c>
      <c r="I138" s="26" t="e">
        <f aca="false">(LN(B138/$B$6)+($H$6^2/2)*($J$6))/($H$6*SQRT($J$6))</f>
        <v>#N/A</v>
      </c>
      <c r="J138" s="26" t="e">
        <f aca="false">I138 - $H$6*SQRT($J$6)</f>
        <v>#N/A</v>
      </c>
    </row>
    <row r="139" customFormat="false" ht="13.5" hidden="false" customHeight="true" outlineLevel="0" collapsed="false">
      <c r="B139" s="29" t="n">
        <f aca="false">B109</f>
        <v>80</v>
      </c>
      <c r="C139" s="25" t="e">
        <f aca="false">IF($O$6="sell",-1,1) *  IF($K$6="call",  NORMDIST(I139,0,1,1),  NORMDIST(I139,0,1,1)-1  ) * $P$6</f>
        <v>#N/A</v>
      </c>
      <c r="D139" s="25" t="e">
        <f aca="false">IF($O$6="sell",-1,1) * NORMDIST(I139,0,1,0)/(B139*$H$6*SQRT($J$6)) * $P$6</f>
        <v>#N/A</v>
      </c>
      <c r="E139" s="25" t="e">
        <f aca="false">IF($O$6="sell",-1,1) * (B139*NORMDIST(I139,0,1,0)*SQRT($J$6)/365) * $P$6</f>
        <v>#N/A</v>
      </c>
      <c r="F139" s="25" t="e">
        <f aca="false">IF($O$6="sell",-1,1) * (-(B139*NORMDIST(I139,0,1,0)*$H$6)/(2*SQRT($J$6))/365) *$P$6</f>
        <v>#N/A</v>
      </c>
      <c r="G139" s="25" t="e">
        <f aca="false">IF($O$6="buy",1,-1)*( IF($K$6="call",B139*NORMDIST(I139,0,1,1) - $B$6*NORMDIST(J139,0,1,1),$B$6*NORMDIST(-J139,0,1,1) - B139*NORMDIST(-I139,0,1,1) ) - $G$6) * $P$6</f>
        <v>#N/A</v>
      </c>
      <c r="I139" s="26" t="e">
        <f aca="false">(LN(B139/$B$6)+($H$6^2/2)*($J$6))/($H$6*SQRT($J$6))</f>
        <v>#N/A</v>
      </c>
      <c r="J139" s="26" t="e">
        <f aca="false">I139 - $H$6*SQRT($J$6)</f>
        <v>#N/A</v>
      </c>
    </row>
    <row r="140" customFormat="false" ht="13.5" hidden="false" customHeight="true" outlineLevel="0" collapsed="false">
      <c r="B140" s="29" t="n">
        <f aca="false">B110</f>
        <v>79</v>
      </c>
      <c r="C140" s="25" t="e">
        <f aca="false">IF($O$6="sell",-1,1) *  IF($K$6="call",  NORMDIST(I140,0,1,1),  NORMDIST(I140,0,1,1)-1  ) * $P$6</f>
        <v>#N/A</v>
      </c>
      <c r="D140" s="25" t="e">
        <f aca="false">IF($O$6="sell",-1,1) * NORMDIST(I140,0,1,0)/(B140*$H$6*SQRT($J$6)) * $P$6</f>
        <v>#N/A</v>
      </c>
      <c r="E140" s="25" t="e">
        <f aca="false">IF($O$6="sell",-1,1) * (B140*NORMDIST(I140,0,1,0)*SQRT($J$6)/365) * $P$6</f>
        <v>#N/A</v>
      </c>
      <c r="F140" s="25" t="e">
        <f aca="false">IF($O$6="sell",-1,1) * (-(B140*NORMDIST(I140,0,1,0)*$H$6)/(2*SQRT($J$6))/365) *$P$6</f>
        <v>#N/A</v>
      </c>
      <c r="G140" s="25" t="e">
        <f aca="false">IF($O$6="buy",1,-1)*( IF($K$6="call",B140*NORMDIST(I140,0,1,1) - $B$6*NORMDIST(J140,0,1,1),$B$6*NORMDIST(-J140,0,1,1) - B140*NORMDIST(-I140,0,1,1) ) - $G$6) * $P$6</f>
        <v>#N/A</v>
      </c>
      <c r="I140" s="26" t="e">
        <f aca="false">(LN(B140/$B$6)+($H$6^2/2)*($J$6))/($H$6*SQRT($J$6))</f>
        <v>#N/A</v>
      </c>
      <c r="J140" s="26" t="e">
        <f aca="false">I140 - $H$6*SQRT($J$6)</f>
        <v>#N/A</v>
      </c>
    </row>
    <row r="141" customFormat="false" ht="13.5" hidden="false" customHeight="true" outlineLevel="0" collapsed="false">
      <c r="B141" s="29" t="n">
        <f aca="false">B111</f>
        <v>78</v>
      </c>
      <c r="C141" s="25" t="e">
        <f aca="false">IF($O$6="sell",-1,1) *  IF($K$6="call",  NORMDIST(I141,0,1,1),  NORMDIST(I141,0,1,1)-1  ) * $P$6</f>
        <v>#N/A</v>
      </c>
      <c r="D141" s="25" t="e">
        <f aca="false">IF($O$6="sell",-1,1) * NORMDIST(I141,0,1,0)/(B141*$H$6*SQRT($J$6)) * $P$6</f>
        <v>#N/A</v>
      </c>
      <c r="E141" s="25" t="e">
        <f aca="false">IF($O$6="sell",-1,1) * (B141*NORMDIST(I141,0,1,0)*SQRT($J$6)/365) * $P$6</f>
        <v>#N/A</v>
      </c>
      <c r="F141" s="25" t="e">
        <f aca="false">IF($O$6="sell",-1,1) * (-(B141*NORMDIST(I141,0,1,0)*$H$6)/(2*SQRT($J$6))/365) *$P$6</f>
        <v>#N/A</v>
      </c>
      <c r="G141" s="25" t="e">
        <f aca="false">IF($O$6="buy",1,-1)*( IF($K$6="call",B141*NORMDIST(I141,0,1,1) - $B$6*NORMDIST(J141,0,1,1),$B$6*NORMDIST(-J141,0,1,1) - B141*NORMDIST(-I141,0,1,1) ) - $G$6) * $P$6</f>
        <v>#N/A</v>
      </c>
      <c r="I141" s="26" t="e">
        <f aca="false">(LN(B141/$B$6)+($H$6^2/2)*($J$6))/($H$6*SQRT($J$6))</f>
        <v>#N/A</v>
      </c>
      <c r="J141" s="26" t="e">
        <f aca="false">I141 - $H$6*SQRT($J$6)</f>
        <v>#N/A</v>
      </c>
    </row>
    <row r="142" customFormat="false" ht="13.5" hidden="false" customHeight="true" outlineLevel="0" collapsed="false">
      <c r="B142" s="29" t="n">
        <f aca="false">B112</f>
        <v>77</v>
      </c>
      <c r="C142" s="25" t="e">
        <f aca="false">IF($O$6="sell",-1,1) *  IF($K$6="call",  NORMDIST(I142,0,1,1),  NORMDIST(I142,0,1,1)-1  ) * $P$6</f>
        <v>#N/A</v>
      </c>
      <c r="D142" s="25" t="e">
        <f aca="false">IF($O$6="sell",-1,1) * NORMDIST(I142,0,1,0)/(B142*$H$6*SQRT($J$6)) * $P$6</f>
        <v>#N/A</v>
      </c>
      <c r="E142" s="25" t="e">
        <f aca="false">IF($O$6="sell",-1,1) * (B142*NORMDIST(I142,0,1,0)*SQRT($J$6)/365) * $P$6</f>
        <v>#N/A</v>
      </c>
      <c r="F142" s="25" t="e">
        <f aca="false">IF($O$6="sell",-1,1) * (-(B142*NORMDIST(I142,0,1,0)*$H$6)/(2*SQRT($J$6))/365) *$P$6</f>
        <v>#N/A</v>
      </c>
      <c r="G142" s="25" t="e">
        <f aca="false">IF($O$6="buy",1,-1)*( IF($K$6="call",B142*NORMDIST(I142,0,1,1) - $B$6*NORMDIST(J142,0,1,1),$B$6*NORMDIST(-J142,0,1,1) - B142*NORMDIST(-I142,0,1,1) ) - $G$6) * $P$6</f>
        <v>#N/A</v>
      </c>
      <c r="I142" s="26" t="e">
        <f aca="false">(LN(B142/$B$6)+($H$6^2/2)*($J$6))/($H$6*SQRT($J$6))</f>
        <v>#N/A</v>
      </c>
      <c r="J142" s="26" t="e">
        <f aca="false">I142 - $H$6*SQRT($J$6)</f>
        <v>#N/A</v>
      </c>
    </row>
    <row r="143" customFormat="false" ht="13.5" hidden="false" customHeight="true" outlineLevel="0" collapsed="false">
      <c r="B143" s="29" t="n">
        <f aca="false">B113</f>
        <v>76</v>
      </c>
      <c r="C143" s="25" t="e">
        <f aca="false">IF($O$6="sell",-1,1) *  IF($K$6="call",  NORMDIST(I143,0,1,1),  NORMDIST(I143,0,1,1)-1  ) * $P$6</f>
        <v>#N/A</v>
      </c>
      <c r="D143" s="25" t="e">
        <f aca="false">IF($O$6="sell",-1,1) * NORMDIST(I143,0,1,0)/(B143*$H$6*SQRT($J$6)) * $P$6</f>
        <v>#N/A</v>
      </c>
      <c r="E143" s="25" t="e">
        <f aca="false">IF($O$6="sell",-1,1) * (B143*NORMDIST(I143,0,1,0)*SQRT($J$6)/365) * $P$6</f>
        <v>#N/A</v>
      </c>
      <c r="F143" s="25" t="e">
        <f aca="false">IF($O$6="sell",-1,1) * (-(B143*NORMDIST(I143,0,1,0)*$H$6)/(2*SQRT($J$6))/365) *$P$6</f>
        <v>#N/A</v>
      </c>
      <c r="G143" s="25" t="e">
        <f aca="false">IF($O$6="buy",1,-1)*( IF($K$6="call",B143*NORMDIST(I143,0,1,1) - $B$6*NORMDIST(J143,0,1,1),$B$6*NORMDIST(-J143,0,1,1) - B143*NORMDIST(-I143,0,1,1) ) - $G$6) * $P$6</f>
        <v>#N/A</v>
      </c>
      <c r="I143" s="26" t="e">
        <f aca="false">(LN(B143/$B$6)+($H$6^2/2)*($J$6))/($H$6*SQRT($J$6))</f>
        <v>#N/A</v>
      </c>
      <c r="J143" s="26" t="e">
        <f aca="false">I143 - $H$6*SQRT($J$6)</f>
        <v>#N/A</v>
      </c>
    </row>
    <row r="144" customFormat="false" ht="13.5" hidden="false" customHeight="true" outlineLevel="0" collapsed="false">
      <c r="B144" s="29" t="n">
        <f aca="false">B114</f>
        <v>75</v>
      </c>
      <c r="C144" s="25" t="e">
        <f aca="false">IF($O$6="sell",-1,1) *  IF($K$6="call",  NORMDIST(I144,0,1,1),  NORMDIST(I144,0,1,1)-1  ) * $P$6</f>
        <v>#N/A</v>
      </c>
      <c r="D144" s="25" t="e">
        <f aca="false">IF($O$6="sell",-1,1) * NORMDIST(I144,0,1,0)/(B144*$H$6*SQRT($J$6)) * $P$6</f>
        <v>#N/A</v>
      </c>
      <c r="E144" s="25" t="e">
        <f aca="false">IF($O$6="sell",-1,1) * (B144*NORMDIST(I144,0,1,0)*SQRT($J$6)/365) * $P$6</f>
        <v>#N/A</v>
      </c>
      <c r="F144" s="25" t="e">
        <f aca="false">IF($O$6="sell",-1,1) * (-(B144*NORMDIST(I144,0,1,0)*$H$6)/(2*SQRT($J$6))/365) *$P$6</f>
        <v>#N/A</v>
      </c>
      <c r="G144" s="25" t="e">
        <f aca="false">IF($O$6="buy",1,-1)*( IF($K$6="call",B144*NORMDIST(I144,0,1,1) - $B$6*NORMDIST(J144,0,1,1),$B$6*NORMDIST(-J144,0,1,1) - B144*NORMDIST(-I144,0,1,1) ) - $G$6) * $P$6</f>
        <v>#N/A</v>
      </c>
      <c r="I144" s="26" t="e">
        <f aca="false">(LN(B144/$B$6)+($H$6^2/2)*($J$6))/($H$6*SQRT($J$6))</f>
        <v>#N/A</v>
      </c>
      <c r="J144" s="26" t="e">
        <f aca="false">I144 - $H$6*SQRT($J$6)</f>
        <v>#N/A</v>
      </c>
    </row>
    <row r="145" customFormat="false" ht="13.5" hidden="false" customHeight="true" outlineLevel="0" collapsed="false">
      <c r="B145" s="29" t="n">
        <f aca="false">B115</f>
        <v>74</v>
      </c>
      <c r="C145" s="25" t="e">
        <f aca="false">IF($O$6="sell",-1,1) *  IF($K$6="call",  NORMDIST(I145,0,1,1),  NORMDIST(I145,0,1,1)-1  ) * $P$6</f>
        <v>#N/A</v>
      </c>
      <c r="D145" s="25" t="e">
        <f aca="false">IF($O$6="sell",-1,1) * NORMDIST(I145,0,1,0)/(B145*$H$6*SQRT($J$6)) * $P$6</f>
        <v>#N/A</v>
      </c>
      <c r="E145" s="25" t="e">
        <f aca="false">IF($O$6="sell",-1,1) * (B145*NORMDIST(I145,0,1,0)*SQRT($J$6)/365) * $P$6</f>
        <v>#N/A</v>
      </c>
      <c r="F145" s="25" t="e">
        <f aca="false">IF($O$6="sell",-1,1) * (-(B145*NORMDIST(I145,0,1,0)*$H$6)/(2*SQRT($J$6))/365) *$P$6</f>
        <v>#N/A</v>
      </c>
      <c r="G145" s="25" t="e">
        <f aca="false">IF($O$6="buy",1,-1)*( IF($K$6="call",B145*NORMDIST(I145,0,1,1) - $B$6*NORMDIST(J145,0,1,1),$B$6*NORMDIST(-J145,0,1,1) - B145*NORMDIST(-I145,0,1,1) ) - $G$6) * $P$6</f>
        <v>#N/A</v>
      </c>
      <c r="I145" s="26" t="e">
        <f aca="false">(LN(B145/$B$6)+($H$6^2/2)*($J$6))/($H$6*SQRT($J$6))</f>
        <v>#N/A</v>
      </c>
      <c r="J145" s="26" t="e">
        <f aca="false">I145 - $H$6*SQRT($J$6)</f>
        <v>#N/A</v>
      </c>
    </row>
    <row r="146" customFormat="false" ht="13.5" hidden="false" customHeight="true" outlineLevel="0" collapsed="false">
      <c r="B146" s="29" t="n">
        <f aca="false">B116</f>
        <v>73</v>
      </c>
      <c r="C146" s="25" t="e">
        <f aca="false">IF($O$6="sell",-1,1) *  IF($K$6="call",  NORMDIST(I146,0,1,1),  NORMDIST(I146,0,1,1)-1  ) * $P$6</f>
        <v>#N/A</v>
      </c>
      <c r="D146" s="25" t="e">
        <f aca="false">IF($O$6="sell",-1,1) * NORMDIST(I146,0,1,0)/(B146*$H$6*SQRT($J$6)) * $P$6</f>
        <v>#N/A</v>
      </c>
      <c r="E146" s="25" t="e">
        <f aca="false">IF($O$6="sell",-1,1) * (B146*NORMDIST(I146,0,1,0)*SQRT($J$6)/365) * $P$6</f>
        <v>#N/A</v>
      </c>
      <c r="F146" s="25" t="e">
        <f aca="false">IF($O$6="sell",-1,1) * (-(B146*NORMDIST(I146,0,1,0)*$H$6)/(2*SQRT($J$6))/365) *$P$6</f>
        <v>#N/A</v>
      </c>
      <c r="G146" s="25" t="e">
        <f aca="false">IF($O$6="buy",1,-1)*( IF($K$6="call",B146*NORMDIST(I146,0,1,1) - $B$6*NORMDIST(J146,0,1,1),$B$6*NORMDIST(-J146,0,1,1) - B146*NORMDIST(-I146,0,1,1) ) - $G$6) * $P$6</f>
        <v>#N/A</v>
      </c>
      <c r="I146" s="26" t="e">
        <f aca="false">(LN(B146/$B$6)+($H$6^2/2)*($J$6))/($H$6*SQRT($J$6))</f>
        <v>#N/A</v>
      </c>
      <c r="J146" s="26" t="e">
        <f aca="false">I146 - $H$6*SQRT($J$6)</f>
        <v>#N/A</v>
      </c>
    </row>
    <row r="147" customFormat="false" ht="13.5" hidden="false" customHeight="true" outlineLevel="0" collapsed="false">
      <c r="B147" s="29" t="n">
        <f aca="false">B117</f>
        <v>72</v>
      </c>
      <c r="C147" s="25" t="e">
        <f aca="false">IF($O$6="sell",-1,1) *  IF($K$6="call",  NORMDIST(I147,0,1,1),  NORMDIST(I147,0,1,1)-1  ) * $P$6</f>
        <v>#N/A</v>
      </c>
      <c r="D147" s="25" t="e">
        <f aca="false">IF($O$6="sell",-1,1) * NORMDIST(I147,0,1,0)/(B147*$H$6*SQRT($J$6)) * $P$6</f>
        <v>#N/A</v>
      </c>
      <c r="E147" s="25" t="e">
        <f aca="false">IF($O$6="sell",-1,1) * (B147*NORMDIST(I147,0,1,0)*SQRT($J$6)/365) * $P$6</f>
        <v>#N/A</v>
      </c>
      <c r="F147" s="25" t="e">
        <f aca="false">IF($O$6="sell",-1,1) * (-(B147*NORMDIST(I147,0,1,0)*$H$6)/(2*SQRT($J$6))/365) *$P$6</f>
        <v>#N/A</v>
      </c>
      <c r="G147" s="25" t="e">
        <f aca="false">IF($O$6="buy",1,-1)*( IF($K$6="call",B147*NORMDIST(I147,0,1,1) - $B$6*NORMDIST(J147,0,1,1),$B$6*NORMDIST(-J147,0,1,1) - B147*NORMDIST(-I147,0,1,1) ) - $G$6) * $P$6</f>
        <v>#N/A</v>
      </c>
      <c r="I147" s="26" t="e">
        <f aca="false">(LN(B147/$B$6)+($H$6^2/2)*($J$6))/($H$6*SQRT($J$6))</f>
        <v>#N/A</v>
      </c>
      <c r="J147" s="26" t="e">
        <f aca="false">I147 - $H$6*SQRT($J$6)</f>
        <v>#N/A</v>
      </c>
    </row>
    <row r="148" customFormat="false" ht="13.5" hidden="false" customHeight="true" outlineLevel="0" collapsed="false">
      <c r="B148" s="29" t="n">
        <f aca="false">B118</f>
        <v>71</v>
      </c>
      <c r="C148" s="25" t="e">
        <f aca="false">IF($O$6="sell",-1,1) *  IF($K$6="call",  NORMDIST(I148,0,1,1),  NORMDIST(I148,0,1,1)-1  ) * $P$6</f>
        <v>#N/A</v>
      </c>
      <c r="D148" s="25" t="e">
        <f aca="false">IF($O$6="sell",-1,1) * NORMDIST(I148,0,1,0)/(B148*$H$6*SQRT($J$6)) * $P$6</f>
        <v>#N/A</v>
      </c>
      <c r="E148" s="25" t="e">
        <f aca="false">IF($O$6="sell",-1,1) * (B148*NORMDIST(I148,0,1,0)*SQRT($J$6)/365) * $P$6</f>
        <v>#N/A</v>
      </c>
      <c r="F148" s="25" t="e">
        <f aca="false">IF($O$6="sell",-1,1) * (-(B148*NORMDIST(I148,0,1,0)*$H$6)/(2*SQRT($J$6))/365) *$P$6</f>
        <v>#N/A</v>
      </c>
      <c r="G148" s="25" t="e">
        <f aca="false">IF($O$6="buy",1,-1)*( IF($K$6="call",B148*NORMDIST(I148,0,1,1) - $B$6*NORMDIST(J148,0,1,1),$B$6*NORMDIST(-J148,0,1,1) - B148*NORMDIST(-I148,0,1,1) ) - $G$6) * $P$6</f>
        <v>#N/A</v>
      </c>
      <c r="I148" s="26" t="e">
        <f aca="false">(LN(B148/$B$6)+($H$6^2/2)*($J$6))/($H$6*SQRT($J$6))</f>
        <v>#N/A</v>
      </c>
      <c r="J148" s="26" t="e">
        <f aca="false">I148 - $H$6*SQRT($J$6)</f>
        <v>#N/A</v>
      </c>
    </row>
    <row r="149" customFormat="false" ht="13.5" hidden="false" customHeight="true" outlineLevel="0" collapsed="false">
      <c r="B149" s="29" t="n">
        <f aca="false">B119</f>
        <v>70</v>
      </c>
      <c r="C149" s="25" t="e">
        <f aca="false">IF($O$6="sell",-1,1) *  IF($K$6="call",  NORMDIST(I149,0,1,1),  NORMDIST(I149,0,1,1)-1  ) * $P$6</f>
        <v>#N/A</v>
      </c>
      <c r="D149" s="25" t="e">
        <f aca="false">IF($O$6="sell",-1,1) * NORMDIST(I149,0,1,0)/(B149*$H$6*SQRT($J$6)) * $P$6</f>
        <v>#N/A</v>
      </c>
      <c r="E149" s="25" t="e">
        <f aca="false">IF($O$6="sell",-1,1) * (B149*NORMDIST(I149,0,1,0)*SQRT($J$6)/365) * $P$6</f>
        <v>#N/A</v>
      </c>
      <c r="F149" s="25" t="e">
        <f aca="false">IF($O$6="sell",-1,1) * (-(B149*NORMDIST(I149,0,1,0)*$H$6)/(2*SQRT($J$6))/365) *$P$6</f>
        <v>#N/A</v>
      </c>
      <c r="G149" s="25" t="e">
        <f aca="false">IF($O$6="buy",1,-1)*( IF($K$6="call",B149*NORMDIST(I149,0,1,1) - $B$6*NORMDIST(J149,0,1,1),$B$6*NORMDIST(-J149,0,1,1) - B149*NORMDIST(-I149,0,1,1) ) - $G$6) * $P$6</f>
        <v>#N/A</v>
      </c>
      <c r="I149" s="26" t="e">
        <f aca="false">(LN(B149/$B$6)+($H$6^2/2)*($J$6))/($H$6*SQRT($J$6))</f>
        <v>#N/A</v>
      </c>
      <c r="J149" s="26" t="e">
        <f aca="false">I149 - $H$6*SQRT($J$6)</f>
        <v>#N/A</v>
      </c>
    </row>
    <row r="150" customFormat="false" ht="13.5" hidden="false" customHeight="true" outlineLevel="0" collapsed="false">
      <c r="B150" s="29" t="n">
        <f aca="false">B120</f>
        <v>69</v>
      </c>
      <c r="C150" s="25" t="e">
        <f aca="false">IF($O$6="sell",-1,1) *  IF($K$6="call",  NORMDIST(I150,0,1,1),  NORMDIST(I150,0,1,1)-1  ) * $P$6</f>
        <v>#N/A</v>
      </c>
      <c r="D150" s="25" t="e">
        <f aca="false">IF($O$6="sell",-1,1) * NORMDIST(I150,0,1,0)/(B150*$H$6*SQRT($J$6)) * $P$6</f>
        <v>#N/A</v>
      </c>
      <c r="E150" s="25" t="e">
        <f aca="false">IF($O$6="sell",-1,1) * (B150*NORMDIST(I150,0,1,0)*SQRT($J$6)/365) * $P$6</f>
        <v>#N/A</v>
      </c>
      <c r="F150" s="25" t="e">
        <f aca="false">IF($O$6="sell",-1,1) * (-(B150*NORMDIST(I150,0,1,0)*$H$6)/(2*SQRT($J$6))/365) *$P$6</f>
        <v>#N/A</v>
      </c>
      <c r="G150" s="25" t="e">
        <f aca="false">IF($O$6="buy",1,-1)*( IF($K$6="call",B150*NORMDIST(I150,0,1,1) - $B$6*NORMDIST(J150,0,1,1),$B$6*NORMDIST(-J150,0,1,1) - B150*NORMDIST(-I150,0,1,1) ) - $G$6) * $P$6</f>
        <v>#N/A</v>
      </c>
      <c r="I150" s="26" t="e">
        <f aca="false">(LN(B150/$B$6)+($H$6^2/2)*($J$6))/($H$6*SQRT($J$6))</f>
        <v>#N/A</v>
      </c>
      <c r="J150" s="26" t="e">
        <f aca="false">I150 - $H$6*SQRT($J$6)</f>
        <v>#N/A</v>
      </c>
    </row>
    <row r="151" customFormat="false" ht="13.5" hidden="false" customHeight="true" outlineLevel="0" collapsed="false">
      <c r="B151" s="29" t="n">
        <f aca="false">B121</f>
        <v>68</v>
      </c>
      <c r="C151" s="25" t="e">
        <f aca="false">IF($O$6="sell",-1,1) *  IF($K$6="call",  NORMDIST(I151,0,1,1),  NORMDIST(I151,0,1,1)-1  ) * $P$6</f>
        <v>#N/A</v>
      </c>
      <c r="D151" s="25" t="e">
        <f aca="false">IF($O$6="sell",-1,1) * NORMDIST(I151,0,1,0)/(B151*$H$6*SQRT($J$6)) * $P$6</f>
        <v>#N/A</v>
      </c>
      <c r="E151" s="25" t="e">
        <f aca="false">IF($O$6="sell",-1,1) * (B151*NORMDIST(I151,0,1,0)*SQRT($J$6)/365) * $P$6</f>
        <v>#N/A</v>
      </c>
      <c r="F151" s="25" t="e">
        <f aca="false">IF($O$6="sell",-1,1) * (-(B151*NORMDIST(I151,0,1,0)*$H$6)/(2*SQRT($J$6))/365) *$P$6</f>
        <v>#N/A</v>
      </c>
      <c r="G151" s="25" t="e">
        <f aca="false">IF($O$6="buy",1,-1)*( IF($K$6="call",B151*NORMDIST(I151,0,1,1) - $B$6*NORMDIST(J151,0,1,1),$B$6*NORMDIST(-J151,0,1,1) - B151*NORMDIST(-I151,0,1,1) ) - $G$6) * $P$6</f>
        <v>#N/A</v>
      </c>
      <c r="I151" s="26" t="e">
        <f aca="false">(LN(B151/$B$6)+($H$6^2/2)*($J$6))/($H$6*SQRT($J$6))</f>
        <v>#N/A</v>
      </c>
      <c r="J151" s="26" t="e">
        <f aca="false">I151 - $H$6*SQRT($J$6)</f>
        <v>#N/A</v>
      </c>
    </row>
    <row r="152" customFormat="false" ht="13.5" hidden="false" customHeight="true" outlineLevel="0" collapsed="false">
      <c r="B152" s="29" t="n">
        <f aca="false">B122</f>
        <v>67</v>
      </c>
      <c r="C152" s="25" t="e">
        <f aca="false">IF($O$6="sell",-1,1) *  IF($K$6="call",  NORMDIST(I152,0,1,1),  NORMDIST(I152,0,1,1)-1  ) * $P$6</f>
        <v>#N/A</v>
      </c>
      <c r="D152" s="25" t="e">
        <f aca="false">IF($O$6="sell",-1,1) * NORMDIST(I152,0,1,0)/(B152*$H$6*SQRT($J$6)) * $P$6</f>
        <v>#N/A</v>
      </c>
      <c r="E152" s="25" t="e">
        <f aca="false">IF($O$6="sell",-1,1) * (B152*NORMDIST(I152,0,1,0)*SQRT($J$6)/365) * $P$6</f>
        <v>#N/A</v>
      </c>
      <c r="F152" s="25" t="e">
        <f aca="false">IF($O$6="sell",-1,1) * (-(B152*NORMDIST(I152,0,1,0)*$H$6)/(2*SQRT($J$6))/365) *$P$6</f>
        <v>#N/A</v>
      </c>
      <c r="G152" s="25" t="e">
        <f aca="false">IF($O$6="buy",1,-1)*( IF($K$6="call",B152*NORMDIST(I152,0,1,1) - $B$6*NORMDIST(J152,0,1,1),$B$6*NORMDIST(-J152,0,1,1) - B152*NORMDIST(-I152,0,1,1) ) - $G$6) * $P$6</f>
        <v>#N/A</v>
      </c>
      <c r="I152" s="26" t="e">
        <f aca="false">(LN(B152/$B$6)+($H$6^2/2)*($J$6))/($H$6*SQRT($J$6))</f>
        <v>#N/A</v>
      </c>
      <c r="J152" s="26" t="e">
        <f aca="false">I152 - $H$6*SQRT($J$6)</f>
        <v>#N/A</v>
      </c>
    </row>
    <row r="153" customFormat="false" ht="13.5" hidden="false" customHeight="true" outlineLevel="0" collapsed="false">
      <c r="B153" s="29" t="n">
        <f aca="false">B123</f>
        <v>66</v>
      </c>
      <c r="C153" s="25" t="e">
        <f aca="false">IF($O$6="sell",-1,1) *  IF($K$6="call",  NORMDIST(I153,0,1,1),  NORMDIST(I153,0,1,1)-1  ) * $P$6</f>
        <v>#N/A</v>
      </c>
      <c r="D153" s="25" t="e">
        <f aca="false">IF($O$6="sell",-1,1) * NORMDIST(I153,0,1,0)/(B153*$H$6*SQRT($J$6)) * $P$6</f>
        <v>#N/A</v>
      </c>
      <c r="E153" s="25" t="e">
        <f aca="false">IF($O$6="sell",-1,1) * (B153*NORMDIST(I153,0,1,0)*SQRT($J$6)/365) * $P$6</f>
        <v>#N/A</v>
      </c>
      <c r="F153" s="25" t="e">
        <f aca="false">IF($O$6="sell",-1,1) * (-(B153*NORMDIST(I153,0,1,0)*$H$6)/(2*SQRT($J$6))/365) *$P$6</f>
        <v>#N/A</v>
      </c>
      <c r="G153" s="25" t="e">
        <f aca="false">IF($O$6="buy",1,-1)*( IF($K$6="call",B153*NORMDIST(I153,0,1,1) - $B$6*NORMDIST(J153,0,1,1),$B$6*NORMDIST(-J153,0,1,1) - B153*NORMDIST(-I153,0,1,1) ) - $G$6) * $P$6</f>
        <v>#N/A</v>
      </c>
      <c r="I153" s="26" t="e">
        <f aca="false">(LN(B153/$B$6)+($H$6^2/2)*($J$6))/($H$6*SQRT($J$6))</f>
        <v>#N/A</v>
      </c>
      <c r="J153" s="26" t="e">
        <f aca="false">I153 - $H$6*SQRT($J$6)</f>
        <v>#N/A</v>
      </c>
    </row>
    <row r="154" customFormat="false" ht="13.5" hidden="false" customHeight="true" outlineLevel="0" collapsed="false">
      <c r="B154" s="29" t="n">
        <f aca="false">B124</f>
        <v>65</v>
      </c>
      <c r="C154" s="25" t="e">
        <f aca="false">IF($O$6="sell",-1,1) *  IF($K$6="call",  NORMDIST(I154,0,1,1),  NORMDIST(I154,0,1,1)-1  ) * $P$6</f>
        <v>#N/A</v>
      </c>
      <c r="D154" s="25" t="e">
        <f aca="false">IF($O$6="sell",-1,1) * NORMDIST(I154,0,1,0)/(B154*$H$6*SQRT($J$6)) * $P$6</f>
        <v>#N/A</v>
      </c>
      <c r="E154" s="25" t="e">
        <f aca="false">IF($O$6="sell",-1,1) * (B154*NORMDIST(I154,0,1,0)*SQRT($J$6)/365) * $P$6</f>
        <v>#N/A</v>
      </c>
      <c r="F154" s="25" t="e">
        <f aca="false">IF($O$6="sell",-1,1) * (-(B154*NORMDIST(I154,0,1,0)*$H$6)/(2*SQRT($J$6))/365) *$P$6</f>
        <v>#N/A</v>
      </c>
      <c r="G154" s="25" t="e">
        <f aca="false">IF($O$6="buy",1,-1)*( IF($K$6="call",B154*NORMDIST(I154,0,1,1) - $B$6*NORMDIST(J154,0,1,1),$B$6*NORMDIST(-J154,0,1,1) - B154*NORMDIST(-I154,0,1,1) ) - $G$6) * $P$6</f>
        <v>#N/A</v>
      </c>
      <c r="I154" s="26" t="e">
        <f aca="false">(LN(B154/$B$6)+($H$6^2/2)*($J$6))/($H$6*SQRT($J$6))</f>
        <v>#N/A</v>
      </c>
      <c r="J154" s="26" t="e">
        <f aca="false">I154 - $H$6*SQRT($J$6)</f>
        <v>#N/A</v>
      </c>
    </row>
    <row r="155" customFormat="false" ht="13.5" hidden="false" customHeight="true" outlineLevel="0" collapsed="false">
      <c r="B155" s="29" t="n">
        <f aca="false">B125</f>
        <v>64</v>
      </c>
      <c r="C155" s="25" t="e">
        <f aca="false">IF($O$6="sell",-1,1) *  IF($K$6="call",  NORMDIST(I155,0,1,1),  NORMDIST(I155,0,1,1)-1  ) * $P$6</f>
        <v>#N/A</v>
      </c>
      <c r="D155" s="25" t="e">
        <f aca="false">IF($O$6="sell",-1,1) * NORMDIST(I155,0,1,0)/(B155*$H$6*SQRT($J$6)) * $P$6</f>
        <v>#N/A</v>
      </c>
      <c r="E155" s="25" t="e">
        <f aca="false">IF($O$6="sell",-1,1) * (B155*NORMDIST(I155,0,1,0)*SQRT($J$6)/365) * $P$6</f>
        <v>#N/A</v>
      </c>
      <c r="F155" s="25" t="e">
        <f aca="false">IF($O$6="sell",-1,1) * (-(B155*NORMDIST(I155,0,1,0)*$H$6)/(2*SQRT($J$6))/365) *$P$6</f>
        <v>#N/A</v>
      </c>
      <c r="G155" s="25" t="e">
        <f aca="false">IF($O$6="buy",1,-1)*( IF($K$6="call",B155*NORMDIST(I155,0,1,1) - $B$6*NORMDIST(J155,0,1,1),$B$6*NORMDIST(-J155,0,1,1) - B155*NORMDIST(-I155,0,1,1) ) - $G$6) * $P$6</f>
        <v>#N/A</v>
      </c>
      <c r="I155" s="26" t="e">
        <f aca="false">(LN(B155/$B$6)+($H$6^2/2)*($J$6))/($H$6*SQRT($J$6))</f>
        <v>#N/A</v>
      </c>
      <c r="J155" s="26" t="e">
        <f aca="false">I155 - $H$6*SQRT($J$6)</f>
        <v>#N/A</v>
      </c>
    </row>
    <row r="156" customFormat="false" ht="13.5" hidden="false" customHeight="true" outlineLevel="0" collapsed="false">
      <c r="B156" s="29" t="n">
        <f aca="false">B126</f>
        <v>63</v>
      </c>
      <c r="C156" s="25" t="e">
        <f aca="false">IF($O$6="sell",-1,1) *  IF($K$6="call",  NORMDIST(I156,0,1,1),  NORMDIST(I156,0,1,1)-1  ) * $P$6</f>
        <v>#N/A</v>
      </c>
      <c r="D156" s="25" t="e">
        <f aca="false">IF($O$6="sell",-1,1) * NORMDIST(I156,0,1,0)/(B156*$H$6*SQRT($J$6)) * $P$6</f>
        <v>#N/A</v>
      </c>
      <c r="E156" s="25" t="e">
        <f aca="false">IF($O$6="sell",-1,1) * (B156*NORMDIST(I156,0,1,0)*SQRT($J$6)/365) * $P$6</f>
        <v>#N/A</v>
      </c>
      <c r="F156" s="25" t="e">
        <f aca="false">IF($O$6="sell",-1,1) * (-(B156*NORMDIST(I156,0,1,0)*$H$6)/(2*SQRT($J$6))/365) *$P$6</f>
        <v>#N/A</v>
      </c>
      <c r="G156" s="25" t="e">
        <f aca="false">IF($O$6="buy",1,-1)*( IF($K$6="call",B156*NORMDIST(I156,0,1,1) - $B$6*NORMDIST(J156,0,1,1),$B$6*NORMDIST(-J156,0,1,1) - B156*NORMDIST(-I156,0,1,1) ) - $G$6) * $P$6</f>
        <v>#N/A</v>
      </c>
      <c r="I156" s="26" t="e">
        <f aca="false">(LN(B156/$B$6)+($H$6^2/2)*($J$6))/($H$6*SQRT($J$6))</f>
        <v>#N/A</v>
      </c>
      <c r="J156" s="26" t="e">
        <f aca="false">I156 - $H$6*SQRT($J$6)</f>
        <v>#N/A</v>
      </c>
    </row>
    <row r="157" customFormat="false" ht="13.5" hidden="false" customHeight="true" outlineLevel="0" collapsed="false">
      <c r="B157" s="29" t="n">
        <f aca="false">B127</f>
        <v>62</v>
      </c>
      <c r="C157" s="25" t="e">
        <f aca="false">IF($O$6="sell",-1,1) *  IF($K$6="call",  NORMDIST(I157,0,1,1),  NORMDIST(I157,0,1,1)-1  ) * $P$6</f>
        <v>#N/A</v>
      </c>
      <c r="D157" s="25" t="e">
        <f aca="false">IF($O$6="sell",-1,1) * NORMDIST(I157,0,1,0)/(B157*$H$6*SQRT($J$6)) * $P$6</f>
        <v>#N/A</v>
      </c>
      <c r="E157" s="25" t="e">
        <f aca="false">IF($O$6="sell",-1,1) * (B157*NORMDIST(I157,0,1,0)*SQRT($J$6)/365) * $P$6</f>
        <v>#N/A</v>
      </c>
      <c r="F157" s="25" t="e">
        <f aca="false">IF($O$6="sell",-1,1) * (-(B157*NORMDIST(I157,0,1,0)*$H$6)/(2*SQRT($J$6))/365) *$P$6</f>
        <v>#N/A</v>
      </c>
      <c r="G157" s="25" t="e">
        <f aca="false">IF($O$6="buy",1,-1)*( IF($K$6="call",B157*NORMDIST(I157,0,1,1) - $B$6*NORMDIST(J157,0,1,1),$B$6*NORMDIST(-J157,0,1,1) - B157*NORMDIST(-I157,0,1,1) ) - $G$6) * $P$6</f>
        <v>#N/A</v>
      </c>
      <c r="I157" s="26" t="e">
        <f aca="false">(LN(B157/$B$6)+($H$6^2/2)*($J$6))/($H$6*SQRT($J$6))</f>
        <v>#N/A</v>
      </c>
      <c r="J157" s="26" t="e">
        <f aca="false">I157 - $H$6*SQRT($J$6)</f>
        <v>#N/A</v>
      </c>
    </row>
    <row r="158" customFormat="false" ht="13.5" hidden="false" customHeight="true" outlineLevel="0" collapsed="false">
      <c r="B158" s="29" t="n">
        <f aca="false">B128</f>
        <v>61</v>
      </c>
      <c r="C158" s="25" t="e">
        <f aca="false">IF($O$6="sell",-1,1) *  IF($K$6="call",  NORMDIST(I158,0,1,1),  NORMDIST(I158,0,1,1)-1  ) * $P$6</f>
        <v>#N/A</v>
      </c>
      <c r="D158" s="25" t="e">
        <f aca="false">IF($O$6="sell",-1,1) * NORMDIST(I158,0,1,0)/(B158*$H$6*SQRT($J$6)) * $P$6</f>
        <v>#N/A</v>
      </c>
      <c r="E158" s="25" t="e">
        <f aca="false">IF($O$6="sell",-1,1) * (B158*NORMDIST(I158,0,1,0)*SQRT($J$6)/365) * $P$6</f>
        <v>#N/A</v>
      </c>
      <c r="F158" s="25" t="e">
        <f aca="false">IF($O$6="sell",-1,1) * (-(B158*NORMDIST(I158,0,1,0)*$H$6)/(2*SQRT($J$6))/365) *$P$6</f>
        <v>#N/A</v>
      </c>
      <c r="G158" s="25" t="e">
        <f aca="false">IF($O$6="buy",1,-1)*( IF($K$6="call",B158*NORMDIST(I158,0,1,1) - $B$6*NORMDIST(J158,0,1,1),$B$6*NORMDIST(-J158,0,1,1) - B158*NORMDIST(-I158,0,1,1) ) - $G$6) * $P$6</f>
        <v>#N/A</v>
      </c>
      <c r="I158" s="26" t="e">
        <f aca="false">(LN(B158/$B$6)+($H$6^2/2)*($J$6))/($H$6*SQRT($J$6))</f>
        <v>#N/A</v>
      </c>
      <c r="J158" s="26" t="e">
        <f aca="false">I158 - $H$6*SQRT($J$6)</f>
        <v>#N/A</v>
      </c>
    </row>
    <row r="159" customFormat="false" ht="13.5" hidden="false" customHeight="true" outlineLevel="0" collapsed="false">
      <c r="B159" s="29" t="n">
        <f aca="false">B129</f>
        <v>60</v>
      </c>
      <c r="C159" s="25" t="e">
        <f aca="false">IF($O$6="sell",-1,1) *  IF($K$6="call",  NORMDIST(I159,0,1,1),  NORMDIST(I159,0,1,1)-1  ) * $P$6</f>
        <v>#N/A</v>
      </c>
      <c r="D159" s="25" t="e">
        <f aca="false">IF($O$6="sell",-1,1) * NORMDIST(I159,0,1,0)/(B159*$H$6*SQRT($J$6)) * $P$6</f>
        <v>#N/A</v>
      </c>
      <c r="E159" s="25" t="e">
        <f aca="false">IF($O$6="sell",-1,1) * (B159*NORMDIST(I159,0,1,0)*SQRT($J$6)/365) * $P$6</f>
        <v>#N/A</v>
      </c>
      <c r="F159" s="25" t="e">
        <f aca="false">IF($O$6="sell",-1,1) * (-(B159*NORMDIST(I159,0,1,0)*$H$6)/(2*SQRT($J$6))/365) *$P$6</f>
        <v>#N/A</v>
      </c>
      <c r="G159" s="25" t="e">
        <f aca="false">IF($O$6="buy",1,-1)*( IF($K$6="call",B159*NORMDIST(I159,0,1,1) - $B$6*NORMDIST(J159,0,1,1),$B$6*NORMDIST(-J159,0,1,1) - B159*NORMDIST(-I159,0,1,1) ) - $G$6) * $P$6</f>
        <v>#N/A</v>
      </c>
      <c r="I159" s="26" t="e">
        <f aca="false">(LN(B159/$B$6)+($H$6^2/2)*($J$6))/($H$6*SQRT($J$6))</f>
        <v>#N/A</v>
      </c>
      <c r="J159" s="26" t="e">
        <f aca="false">I159 - $H$6*SQRT($J$6)</f>
        <v>#N/A</v>
      </c>
    </row>
    <row r="160" customFormat="false" ht="13.5" hidden="false" customHeight="true" outlineLevel="0" collapsed="false">
      <c r="B160" s="29" t="n">
        <f aca="false">B130</f>
        <v>59</v>
      </c>
      <c r="C160" s="25" t="e">
        <f aca="false">IF($O$6="sell",-1,1) *  IF($K$6="call",  NORMDIST(I160,0,1,1),  NORMDIST(I160,0,1,1)-1  ) * $P$6</f>
        <v>#N/A</v>
      </c>
      <c r="D160" s="25" t="e">
        <f aca="false">IF($O$6="sell",-1,1) * NORMDIST(I160,0,1,0)/(B160*$H$6*SQRT($J$6)) * $P$6</f>
        <v>#N/A</v>
      </c>
      <c r="E160" s="25" t="e">
        <f aca="false">IF($O$6="sell",-1,1) * (B160*NORMDIST(I160,0,1,0)*SQRT($J$6)/365) * $P$6</f>
        <v>#N/A</v>
      </c>
      <c r="F160" s="25" t="e">
        <f aca="false">IF($O$6="sell",-1,1) * (-(B160*NORMDIST(I160,0,1,0)*$H$6)/(2*SQRT($J$6))/365) *$P$6</f>
        <v>#N/A</v>
      </c>
      <c r="G160" s="25" t="e">
        <f aca="false">IF($O$6="buy",1,-1)*( IF($K$6="call",B160*NORMDIST(I160,0,1,1) - $B$6*NORMDIST(J160,0,1,1),$B$6*NORMDIST(-J160,0,1,1) - B160*NORMDIST(-I160,0,1,1) ) - $G$6) * $P$6</f>
        <v>#N/A</v>
      </c>
      <c r="I160" s="26" t="e">
        <f aca="false">(LN(B160/$B$6)+($H$6^2/2)*($J$6))/($H$6*SQRT($J$6))</f>
        <v>#N/A</v>
      </c>
      <c r="J160" s="26" t="e">
        <f aca="false">I160 - $H$6*SQRT($J$6)</f>
        <v>#N/A</v>
      </c>
    </row>
    <row r="161" customFormat="false" ht="13.5" hidden="false" customHeight="true" outlineLevel="0" collapsed="false">
      <c r="B161" s="29" t="n">
        <f aca="false">B131</f>
        <v>58</v>
      </c>
      <c r="C161" s="25" t="e">
        <f aca="false">IF($O$6="sell",-1,1) *  IF($K$6="call",  NORMDIST(I161,0,1,1),  NORMDIST(I161,0,1,1)-1  ) * $P$6</f>
        <v>#N/A</v>
      </c>
      <c r="D161" s="25" t="e">
        <f aca="false">IF($O$6="sell",-1,1) * NORMDIST(I161,0,1,0)/(B161*$H$6*SQRT($J$6)) * $P$6</f>
        <v>#N/A</v>
      </c>
      <c r="E161" s="25" t="e">
        <f aca="false">IF($O$6="sell",-1,1) * (B161*NORMDIST(I161,0,1,0)*SQRT($J$6)/365) * $P$6</f>
        <v>#N/A</v>
      </c>
      <c r="F161" s="25" t="e">
        <f aca="false">IF($O$6="sell",-1,1) * (-(B161*NORMDIST(I161,0,1,0)*$H$6)/(2*SQRT($J$6))/365) *$P$6</f>
        <v>#N/A</v>
      </c>
      <c r="G161" s="25" t="e">
        <f aca="false">IF($O$6="buy",1,-1)*( IF($K$6="call",B161*NORMDIST(I161,0,1,1) - $B$6*NORMDIST(J161,0,1,1),$B$6*NORMDIST(-J161,0,1,1) - B161*NORMDIST(-I161,0,1,1) ) - $G$6) * $P$6</f>
        <v>#N/A</v>
      </c>
      <c r="I161" s="26" t="e">
        <f aca="false">(LN(B161/$B$6)+($H$6^2/2)*($J$6))/($H$6*SQRT($J$6))</f>
        <v>#N/A</v>
      </c>
      <c r="J161" s="26" t="e">
        <f aca="false">I161 - $H$6*SQRT($J$6)</f>
        <v>#N/A</v>
      </c>
    </row>
    <row r="162" customFormat="false" ht="13.5" hidden="false" customHeight="true" outlineLevel="0" collapsed="false">
      <c r="B162" s="29" t="n">
        <f aca="false">B132</f>
        <v>57</v>
      </c>
      <c r="C162" s="25" t="e">
        <f aca="false">IF($O$6="sell",-1,1) *  IF($K$6="call",  NORMDIST(I162,0,1,1),  NORMDIST(I162,0,1,1)-1  ) * $P$6</f>
        <v>#N/A</v>
      </c>
      <c r="D162" s="25" t="e">
        <f aca="false">IF($O$6="sell",-1,1) * NORMDIST(I162,0,1,0)/(B162*$H$6*SQRT($J$6)) * $P$6</f>
        <v>#N/A</v>
      </c>
      <c r="E162" s="25" t="e">
        <f aca="false">IF($O$6="sell",-1,1) * (B162*NORMDIST(I162,0,1,0)*SQRT($J$6)/365) * $P$6</f>
        <v>#N/A</v>
      </c>
      <c r="F162" s="25" t="e">
        <f aca="false">IF($O$6="sell",-1,1) * (-(B162*NORMDIST(I162,0,1,0)*$H$6)/(2*SQRT($J$6))/365) *$P$6</f>
        <v>#N/A</v>
      </c>
      <c r="G162" s="25" t="e">
        <f aca="false">IF($O$6="buy",1,-1)*( IF($K$6="call",B162*NORMDIST(I162,0,1,1) - $B$6*NORMDIST(J162,0,1,1),$B$6*NORMDIST(-J162,0,1,1) - B162*NORMDIST(-I162,0,1,1) ) - $G$6) * $P$6</f>
        <v>#N/A</v>
      </c>
      <c r="I162" s="26" t="e">
        <f aca="false">(LN(B162/$B$6)+($H$6^2/2)*($J$6))/($H$6*SQRT($J$6))</f>
        <v>#N/A</v>
      </c>
      <c r="J162" s="26" t="e">
        <f aca="false">I162 - $H$6*SQRT($J$6)</f>
        <v>#N/A</v>
      </c>
    </row>
    <row r="163" customFormat="false" ht="13.5" hidden="false" customHeight="true" outlineLevel="0" collapsed="false">
      <c r="B163" s="30"/>
      <c r="C163" s="22"/>
      <c r="D163" s="22"/>
      <c r="E163" s="22"/>
      <c r="F163" s="22"/>
      <c r="G163" s="22"/>
      <c r="I163" s="31"/>
      <c r="J163" s="31"/>
    </row>
    <row r="164" customFormat="false" ht="13.5" hidden="false" customHeight="true" outlineLevel="0" collapsed="false">
      <c r="B164" s="30"/>
      <c r="C164" s="22"/>
      <c r="D164" s="22"/>
      <c r="E164" s="22"/>
      <c r="F164" s="22"/>
      <c r="G164" s="22"/>
      <c r="I164" s="31"/>
      <c r="J164" s="31"/>
    </row>
    <row r="165" customFormat="false" ht="13.5" hidden="false" customHeight="true" outlineLevel="0" collapsed="false">
      <c r="B165" s="23"/>
      <c r="C165" s="19" t="s">
        <v>13</v>
      </c>
      <c r="D165" s="19" t="s">
        <v>14</v>
      </c>
      <c r="E165" s="19" t="s">
        <v>15</v>
      </c>
      <c r="F165" s="19" t="s">
        <v>16</v>
      </c>
      <c r="G165" s="19" t="s">
        <v>17</v>
      </c>
      <c r="I165" s="19" t="s">
        <v>158</v>
      </c>
      <c r="J165" s="19" t="s">
        <v>159</v>
      </c>
    </row>
    <row r="166" customFormat="false" ht="13.5" hidden="false" customHeight="true" outlineLevel="0" collapsed="false">
      <c r="A166" s="2" t="str">
        <f aca="false">A7</f>
        <v>SOL-24APR26-65-P-USDT</v>
      </c>
      <c r="B166" s="29" t="n">
        <f aca="false">B136</f>
        <v>83</v>
      </c>
      <c r="C166" s="25" t="n">
        <f aca="false">IF($O$7="sell",-1,1) *  IF($K$7="call",  NORMDIST(I166,0,1,1),  NORMDIST(I166,0,1,1)-1  ) * $P$7</f>
        <v>-0.0693555339271024</v>
      </c>
      <c r="D166" s="25" t="n">
        <f aca="false">IF($O$7="sell",-1,1) * NORMDIST(I166,0,1,0)/(B166*$H$7*SQRT($J$7)) * $P$7</f>
        <v>0.0187044971561028</v>
      </c>
      <c r="E166" s="25" t="n">
        <f aca="false">IF($O$7="sell",-1,1) * (B166*NORMDIST(I166,0,1,0)*SQRT($J$7)/365) * $P$7</f>
        <v>0.00421389895186101</v>
      </c>
      <c r="F166" s="25" t="n">
        <f aca="false">IF($O$7="sell",-1,1) * (-(B166*NORMDIST(I166,0,1,0)*$H$7)/(2*SQRT($J$7))/365) *$P$7</f>
        <v>-0.209408654937995</v>
      </c>
      <c r="G166" s="25" t="n">
        <f aca="false">IF($O$7="buy",1,-1)*( IF($K$7="call",B166*NORMDIST(I166,0,1,1) - $B$7*NORMDIST(J166,0,1,1),$B$7*NORMDIST(-J166,0,1,1) - B166*NORMDIST(-I166,0,1,1) ) - $G$7) * $P$7</f>
        <v>-15.5105701077106</v>
      </c>
      <c r="I166" s="26" t="n">
        <f aca="false">(LN(B166/$B$7)+($H$7^2/2)*($J$7))/($H$7*SQRT($J$7))</f>
        <v>2.20091257447909</v>
      </c>
      <c r="J166" s="26" t="n">
        <f aca="false">I166 - $H$7*SQRT($J$7)</f>
        <v>2.08688990718204</v>
      </c>
    </row>
    <row r="167" customFormat="false" ht="13.5" hidden="false" customHeight="true" outlineLevel="0" collapsed="false">
      <c r="B167" s="29" t="n">
        <f aca="false">B137</f>
        <v>82</v>
      </c>
      <c r="C167" s="25" t="n">
        <f aca="false">IF($O$7="sell",-1,1) *  IF($K$7="call",  NORMDIST(I167,0,1,1),  NORMDIST(I167,0,1,1)-1  ) * $P$7</f>
        <v>-0.0905150811807948</v>
      </c>
      <c r="D167" s="25" t="n">
        <f aca="false">IF($O$7="sell",-1,1) * NORMDIST(I167,0,1,0)/(B167*$H$7*SQRT($J$7)) * $P$7</f>
        <v>0.0237885959174222</v>
      </c>
      <c r="E167" s="25" t="n">
        <f aca="false">IF($O$7="sell",-1,1) * (B167*NORMDIST(I167,0,1,0)*SQRT($J$7)/365) * $P$7</f>
        <v>0.00523092398690862</v>
      </c>
      <c r="F167" s="25" t="n">
        <f aca="false">IF($O$7="sell",-1,1) * (-(B167*NORMDIST(I167,0,1,0)*$H$7)/(2*SQRT($J$7))/365) *$P$7</f>
        <v>-0.259949459798427</v>
      </c>
      <c r="G167" s="25" t="n">
        <f aca="false">IF($O$7="buy",1,-1)*( IF($K$7="call",B167*NORMDIST(I167,0,1,1) - $B$7*NORMDIST(J167,0,1,1),$B$7*NORMDIST(-J167,0,1,1) - B167*NORMDIST(-I167,0,1,1) ) - $G$7) * $P$7</f>
        <v>-15.4310582548624</v>
      </c>
      <c r="I167" s="26" t="n">
        <f aca="false">(LN(B167/$B$7)+($H$7^2/2)*($J$7))/($H$7*SQRT($J$7))</f>
        <v>2.09460598808109</v>
      </c>
      <c r="J167" s="26" t="n">
        <f aca="false">I167 - $H$7*SQRT($J$7)</f>
        <v>1.98058332078404</v>
      </c>
    </row>
    <row r="168" customFormat="false" ht="13.5" hidden="false" customHeight="true" outlineLevel="0" collapsed="false">
      <c r="B168" s="29" t="n">
        <f aca="false">B138</f>
        <v>81</v>
      </c>
      <c r="C168" s="25" t="n">
        <f aca="false">IF($O$7="sell",-1,1) *  IF($K$7="call",  NORMDIST(I168,0,1,1),  NORMDIST(I168,0,1,1)-1  ) * $P$7</f>
        <v>-0.117307379034602</v>
      </c>
      <c r="D168" s="25" t="n">
        <f aca="false">IF($O$7="sell",-1,1) * NORMDIST(I168,0,1,0)/(B168*$H$7*SQRT($J$7)) * $P$7</f>
        <v>0.0299967476807838</v>
      </c>
      <c r="E168" s="25" t="n">
        <f aca="false">IF($O$7="sell",-1,1) * (B168*NORMDIST(I168,0,1,0)*SQRT($J$7)/365) * $P$7</f>
        <v>0.006436149195494</v>
      </c>
      <c r="F168" s="25" t="n">
        <f aca="false">IF($O$7="sell",-1,1) * (-(B168*NORMDIST(I168,0,1,0)*$H$7)/(2*SQRT($J$7))/365) *$P$7</f>
        <v>-0.319842825232775</v>
      </c>
      <c r="G168" s="25" t="n">
        <f aca="false">IF($O$7="buy",1,-1)*( IF($K$7="call",B168*NORMDIST(I168,0,1,1) - $B$7*NORMDIST(J168,0,1,1),$B$7*NORMDIST(-J168,0,1,1) - B168*NORMDIST(-I168,0,1,1) ) - $G$7) * $P$7</f>
        <v>-15.3276641467055</v>
      </c>
      <c r="I168" s="26" t="n">
        <f aca="false">(LN(B168/$B$7)+($H$7^2/2)*($J$7))/($H$7*SQRT($J$7))</f>
        <v>1.98699499385791</v>
      </c>
      <c r="J168" s="26" t="n">
        <f aca="false">I168 - $H$7*SQRT($J$7)</f>
        <v>1.87297232656086</v>
      </c>
    </row>
    <row r="169" customFormat="false" ht="13.5" hidden="false" customHeight="true" outlineLevel="0" collapsed="false">
      <c r="B169" s="29" t="n">
        <f aca="false">B139</f>
        <v>80</v>
      </c>
      <c r="C169" s="25" t="n">
        <f aca="false">IF($O$7="sell",-1,1) *  IF($K$7="call",  NORMDIST(I169,0,1,1),  NORMDIST(I169,0,1,1)-1  ) * $P$7</f>
        <v>-0.150936776840631</v>
      </c>
      <c r="D169" s="25" t="n">
        <f aca="false">IF($O$7="sell",-1,1) * NORMDIST(I169,0,1,0)/(B169*$H$7*SQRT($J$7)) * $P$7</f>
        <v>0.0374892950654494</v>
      </c>
      <c r="E169" s="25" t="n">
        <f aca="false">IF($O$7="sell",-1,1) * (B169*NORMDIST(I169,0,1,0)*SQRT($J$7)/365) * $P$7</f>
        <v>0.00784637649647859</v>
      </c>
      <c r="F169" s="25" t="n">
        <f aca="false">IF($O$7="sell",-1,1) * (-(B169*NORMDIST(I169,0,1,0)*$H$7)/(2*SQRT($J$7))/365) *$P$7</f>
        <v>-0.389923718398379</v>
      </c>
      <c r="G169" s="25" t="n">
        <f aca="false">IF($O$7="buy",1,-1)*( IF($K$7="call",B169*NORMDIST(I169,0,1,1) - $B$7*NORMDIST(J169,0,1,1),$B$7*NORMDIST(-J169,0,1,1) - B169*NORMDIST(-I169,0,1,1) ) - $G$7) * $P$7</f>
        <v>-15.1941662322885</v>
      </c>
      <c r="I169" s="26" t="n">
        <f aca="false">(LN(B169/$B$7)+($H$7^2/2)*($J$7))/($H$7*SQRT($J$7))</f>
        <v>1.87804718292665</v>
      </c>
      <c r="J169" s="26" t="n">
        <f aca="false">I169 - $H$7*SQRT($J$7)</f>
        <v>1.7640245156296</v>
      </c>
    </row>
    <row r="170" customFormat="false" ht="13.5" hidden="false" customHeight="true" outlineLevel="0" collapsed="false">
      <c r="B170" s="29" t="n">
        <f aca="false">B140</f>
        <v>79</v>
      </c>
      <c r="C170" s="25" t="n">
        <f aca="false">IF($O$7="sell",-1,1) *  IF($K$7="call",  NORMDIST(I170,0,1,1),  NORMDIST(I170,0,1,1)-1  ) * $P$7</f>
        <v>-0.192765580610873</v>
      </c>
      <c r="D170" s="25" t="n">
        <f aca="false">IF($O$7="sell",-1,1) * NORMDIST(I170,0,1,0)/(B170*$H$7*SQRT($J$7)) * $P$7</f>
        <v>0.0464200764102894</v>
      </c>
      <c r="E170" s="25" t="n">
        <f aca="false">IF($O$7="sell",-1,1) * (B170*NORMDIST(I170,0,1,0)*SQRT($J$7)/365) * $P$7</f>
        <v>0.00947418647965502</v>
      </c>
      <c r="F170" s="25" t="n">
        <f aca="false">IF($O$7="sell",-1,1) * (-(B170*NORMDIST(I170,0,1,0)*$H$7)/(2*SQRT($J$7))/365) *$P$7</f>
        <v>-0.470817328559836</v>
      </c>
      <c r="G170" s="25" t="n">
        <f aca="false">IF($O$7="buy",1,-1)*( IF($K$7="call",B170*NORMDIST(I170,0,1,1) - $B$7*NORMDIST(J170,0,1,1),$B$7*NORMDIST(-J170,0,1,1) - B170*NORMDIST(-I170,0,1,1) ) - $G$7) * $P$7</f>
        <v>-15.0230590949777</v>
      </c>
      <c r="I170" s="26" t="n">
        <f aca="false">(LN(B170/$B$7)+($H$7^2/2)*($J$7))/($H$7*SQRT($J$7))</f>
        <v>1.76772892336437</v>
      </c>
      <c r="J170" s="26" t="n">
        <f aca="false">I170 - $H$7*SQRT($J$7)</f>
        <v>1.65370625606732</v>
      </c>
    </row>
    <row r="171" customFormat="false" ht="13.5" hidden="false" customHeight="true" outlineLevel="0" collapsed="false">
      <c r="B171" s="29" t="n">
        <f aca="false">B141</f>
        <v>78</v>
      </c>
      <c r="C171" s="25" t="n">
        <f aca="false">IF($O$7="sell",-1,1) *  IF($K$7="call",  NORMDIST(I171,0,1,1),  NORMDIST(I171,0,1,1)-1  ) * $P$7</f>
        <v>-0.24430186486089</v>
      </c>
      <c r="D171" s="25" t="n">
        <f aca="false">IF($O$7="sell",-1,1) * NORMDIST(I171,0,1,0)/(B171*$H$7*SQRT($J$7)) * $P$7</f>
        <v>0.0569245708256536</v>
      </c>
      <c r="E171" s="25" t="n">
        <f aca="false">IF($O$7="sell",-1,1) * (B171*NORMDIST(I171,0,1,0)*SQRT($J$7)/365) * $P$7</f>
        <v>0.0113258515633987</v>
      </c>
      <c r="F171" s="25" t="n">
        <f aca="false">IF($O$7="sell",-1,1) * (-(B171*NORMDIST(I171,0,1,0)*$H$7)/(2*SQRT($J$7))/365) *$P$7</f>
        <v>-0.562835361980208</v>
      </c>
      <c r="G171" s="25" t="n">
        <f aca="false">IF($O$7="buy",1,-1)*( IF($K$7="call",B171*NORMDIST(I171,0,1,1) - $B$7*NORMDIST(J171,0,1,1),$B$7*NORMDIST(-J171,0,1,1) - B171*NORMDIST(-I171,0,1,1) ) - $G$7) * $P$7</f>
        <v>-14.8054006019783</v>
      </c>
      <c r="I171" s="26" t="n">
        <f aca="false">(LN(B171/$B$7)+($H$7^2/2)*($J$7))/($H$7*SQRT($J$7))</f>
        <v>1.65600529788346</v>
      </c>
      <c r="J171" s="26" t="n">
        <f aca="false">I171 - $H$7*SQRT($J$7)</f>
        <v>1.54198263058641</v>
      </c>
    </row>
    <row r="172" customFormat="false" ht="13.5" hidden="false" customHeight="true" outlineLevel="0" collapsed="false">
      <c r="B172" s="29" t="n">
        <f aca="false">B142</f>
        <v>77</v>
      </c>
      <c r="C172" s="25" t="n">
        <f aca="false">IF($O$7="sell",-1,1) *  IF($K$7="call",  NORMDIST(I172,0,1,1),  NORMDIST(I172,0,1,1)-1  ) * $P$7</f>
        <v>-0.307173981206553</v>
      </c>
      <c r="D172" s="25" t="n">
        <f aca="false">IF($O$7="sell",-1,1) * NORMDIST(I172,0,1,0)/(B172*$H$7*SQRT($J$7)) * $P$7</f>
        <v>0.0691051709024838</v>
      </c>
      <c r="E172" s="25" t="n">
        <f aca="false">IF($O$7="sell",-1,1) * (B172*NORMDIST(I172,0,1,0)*SQRT($J$7)/365) * $P$7</f>
        <v>0.0133990463915774</v>
      </c>
      <c r="F172" s="25" t="n">
        <f aca="false">IF($O$7="sell",-1,1) * (-(B172*NORMDIST(I172,0,1,0)*$H$7)/(2*SQRT($J$7))/365) *$P$7</f>
        <v>-0.665862260667843</v>
      </c>
      <c r="G172" s="25" t="n">
        <f aca="false">IF($O$7="buy",1,-1)*( IF($K$7="call",B172*NORMDIST(I172,0,1,1) - $B$7*NORMDIST(J172,0,1,1),$B$7*NORMDIST(-J172,0,1,1) - B172*NORMDIST(-I172,0,1,1) ) - $G$7) * $P$7</f>
        <v>-14.5306776538163</v>
      </c>
      <c r="I172" s="26" t="n">
        <f aca="false">(LN(B172/$B$7)+($H$7^2/2)*($J$7))/($H$7*SQRT($J$7))</f>
        <v>1.54284003748579</v>
      </c>
      <c r="J172" s="26" t="n">
        <f aca="false">I172 - $H$7*SQRT($J$7)</f>
        <v>1.42881737018874</v>
      </c>
    </row>
    <row r="173" customFormat="false" ht="13.5" hidden="false" customHeight="true" outlineLevel="0" collapsed="false">
      <c r="B173" s="29" t="n">
        <f aca="false">B143</f>
        <v>76</v>
      </c>
      <c r="C173" s="25" t="n">
        <f aca="false">IF($O$7="sell",-1,1) *  IF($K$7="call",  NORMDIST(I173,0,1,1),  NORMDIST(I173,0,1,1)-1  ) * $P$7</f>
        <v>-0.383089024167</v>
      </c>
      <c r="D173" s="25" t="n">
        <f aca="false">IF($O$7="sell",-1,1) * NORMDIST(I173,0,1,0)/(B173*$H$7*SQRT($J$7)) * $P$7</f>
        <v>0.0830139121092384</v>
      </c>
      <c r="E173" s="25" t="n">
        <f aca="false">IF($O$7="sell",-1,1) * (B173*NORMDIST(I173,0,1,0)*SQRT($J$7)/365) * $P$7</f>
        <v>0.0156805019396886</v>
      </c>
      <c r="F173" s="25" t="n">
        <f aca="false">IF($O$7="sell",-1,1) * (-(B173*NORMDIST(I173,0,1,0)*$H$7)/(2*SQRT($J$7))/365) *$P$7</f>
        <v>-0.779238623767339</v>
      </c>
      <c r="G173" s="25" t="n">
        <f aca="false">IF($O$7="buy",1,-1)*( IF($K$7="call",B173*NORMDIST(I173,0,1,1) - $B$7*NORMDIST(J173,0,1,1),$B$7*NORMDIST(-J173,0,1,1) - B173*NORMDIST(-I173,0,1,1) ) - $G$7) * $P$7</f>
        <v>-14.1867052340799</v>
      </c>
      <c r="I173" s="26" t="n">
        <f aca="false">(LN(B173/$B$7)+($H$7^2/2)*($J$7))/($H$7*SQRT($J$7))</f>
        <v>1.42819545078009</v>
      </c>
      <c r="J173" s="26" t="n">
        <f aca="false">I173 - $H$7*SQRT($J$7)</f>
        <v>1.31417278348303</v>
      </c>
    </row>
    <row r="174" customFormat="false" ht="13.5" hidden="false" customHeight="true" outlineLevel="0" collapsed="false">
      <c r="B174" s="29" t="n">
        <f aca="false">B144</f>
        <v>75</v>
      </c>
      <c r="C174" s="25" t="n">
        <f aca="false">IF($O$7="sell",-1,1) *  IF($K$7="call",  NORMDIST(I174,0,1,1),  NORMDIST(I174,0,1,1)-1  ) * $P$7</f>
        <v>-0.473773050280112</v>
      </c>
      <c r="D174" s="25" t="n">
        <f aca="false">IF($O$7="sell",-1,1) * NORMDIST(I174,0,1,0)/(B174*$H$7*SQRT($J$7)) * $P$7</f>
        <v>0.0986334168206657</v>
      </c>
      <c r="E174" s="25" t="n">
        <f aca="false">IF($O$7="sell",-1,1) * (B174*NORMDIST(I174,0,1,0)*SQRT($J$7)/365) * $P$7</f>
        <v>0.0181438104411639</v>
      </c>
      <c r="F174" s="25" t="n">
        <f aca="false">IF($O$7="sell",-1,1) * (-(B174*NORMDIST(I174,0,1,0)*$H$7)/(2*SQRT($J$7))/365) *$P$7</f>
        <v>-0.901652123921028</v>
      </c>
      <c r="G174" s="25" t="n">
        <f aca="false">IF($O$7="buy",1,-1)*( IF($K$7="call",B174*NORMDIST(I174,0,1,1) - $B$7*NORMDIST(J174,0,1,1),$B$7*NORMDIST(-J174,0,1,1) - B174*NORMDIST(-I174,0,1,1) ) - $G$7) * $P$7</f>
        <v>-13.7595759672069</v>
      </c>
      <c r="I174" s="26" t="n">
        <f aca="false">(LN(B174/$B$7)+($H$7^2/2)*($J$7))/($H$7*SQRT($J$7))</f>
        <v>1.312032348618</v>
      </c>
      <c r="J174" s="26" t="n">
        <f aca="false">I174 - $H$7*SQRT($J$7)</f>
        <v>1.19800968132095</v>
      </c>
    </row>
    <row r="175" customFormat="false" ht="13.5" hidden="false" customHeight="true" outlineLevel="0" collapsed="false">
      <c r="B175" s="29" t="n">
        <f aca="false">B145</f>
        <v>74</v>
      </c>
      <c r="C175" s="25" t="n">
        <f aca="false">IF($O$7="sell",-1,1) *  IF($K$7="call",  NORMDIST(I175,0,1,1),  NORMDIST(I175,0,1,1)-1  ) * $P$7</f>
        <v>-0.580891853884687</v>
      </c>
      <c r="D175" s="25" t="n">
        <f aca="false">IF($O$7="sell",-1,1) * NORMDIST(I175,0,1,0)/(B175*$H$7*SQRT($J$7)) * $P$7</f>
        <v>0.115857320083754</v>
      </c>
      <c r="E175" s="25" t="n">
        <f aca="false">IF($O$7="sell",-1,1) * (B175*NORMDIST(I175,0,1,0)*SQRT($J$7)/365) * $P$7</f>
        <v>0.0207476452215692</v>
      </c>
      <c r="F175" s="25" t="n">
        <f aca="false">IF($O$7="sell",-1,1) * (-(B175*NORMDIST(I175,0,1,0)*$H$7)/(2*SQRT($J$7))/365) *$P$7</f>
        <v>-1.03104904237457</v>
      </c>
      <c r="G175" s="25" t="n">
        <f aca="false">IF($O$7="buy",1,-1)*( IF($K$7="call",B175*NORMDIST(I175,0,1,1) - $B$7*NORMDIST(J175,0,1,1),$B$7*NORMDIST(-J175,0,1,1) - B175*NORMDIST(-I175,0,1,1) ) - $G$7) * $P$7</f>
        <v>-13.2336791348657</v>
      </c>
      <c r="I175" s="26" t="n">
        <f aca="false">(LN(B175/$B$7)+($H$7^2/2)*($J$7))/($H$7*SQRT($J$7))</f>
        <v>1.19430996367176</v>
      </c>
      <c r="J175" s="26" t="n">
        <f aca="false">I175 - $H$7*SQRT($J$7)</f>
        <v>1.08028729637471</v>
      </c>
    </row>
    <row r="176" customFormat="false" ht="13.5" hidden="false" customHeight="true" outlineLevel="0" collapsed="false">
      <c r="B176" s="29" t="n">
        <f aca="false">B146</f>
        <v>73</v>
      </c>
      <c r="C176" s="25" t="n">
        <f aca="false">IF($O$7="sell",-1,1) *  IF($K$7="call",  NORMDIST(I176,0,1,1),  NORMDIST(I176,0,1,1)-1  ) * $P$7</f>
        <v>-0.705952642503003</v>
      </c>
      <c r="D176" s="25" t="n">
        <f aca="false">IF($O$7="sell",-1,1) * NORMDIST(I176,0,1,0)/(B176*$H$7*SQRT($J$7)) * $P$7</f>
        <v>0.134471990326771</v>
      </c>
      <c r="E176" s="25" t="n">
        <f aca="false">IF($O$7="sell",-1,1) * (B176*NORMDIST(I176,0,1,0)*SQRT($J$7)/365) * $P$7</f>
        <v>0.0234347026982271</v>
      </c>
      <c r="F176" s="25" t="n">
        <f aca="false">IF($O$7="sell",-1,1) * (-(B176*NORMDIST(I176,0,1,0)*$H$7)/(2*SQRT($J$7))/365) *$P$7</f>
        <v>-1.16458169191272</v>
      </c>
      <c r="G176" s="25" t="n">
        <f aca="false">IF($O$7="buy",1,-1)*( IF($K$7="call",B176*NORMDIST(I176,0,1,1) - $B$7*NORMDIST(J176,0,1,1),$B$7*NORMDIST(-J176,0,1,1) - B176*NORMDIST(-I176,0,1,1) ) - $G$7) * $P$7</f>
        <v>-12.5918085739402</v>
      </c>
      <c r="I176" s="26" t="n">
        <f aca="false">(LN(B176/$B$7)+($H$7^2/2)*($J$7))/($H$7*SQRT($J$7))</f>
        <v>1.07498586454038</v>
      </c>
      <c r="J176" s="26" t="n">
        <f aca="false">I176 - $H$7*SQRT($J$7)</f>
        <v>0.960963197243323</v>
      </c>
    </row>
    <row r="177" customFormat="false" ht="13.5" hidden="false" customHeight="true" outlineLevel="0" collapsed="false">
      <c r="B177" s="29" t="n">
        <f aca="false">B147</f>
        <v>72</v>
      </c>
      <c r="C177" s="25" t="n">
        <f aca="false">IF($O$7="sell",-1,1) *  IF($K$7="call",  NORMDIST(I177,0,1,1),  NORMDIST(I177,0,1,1)-1  ) * $P$7</f>
        <v>-0.85018903081813</v>
      </c>
      <c r="D177" s="25" t="n">
        <f aca="false">IF($O$7="sell",-1,1) * NORMDIST(I177,0,1,0)/(B177*$H$7*SQRT($J$7)) * $P$7</f>
        <v>0.154141871108014</v>
      </c>
      <c r="E177" s="25" t="n">
        <f aca="false">IF($O$7="sell",-1,1) * (B177*NORMDIST(I177,0,1,0)*SQRT($J$7)/365) * $P$7</f>
        <v>0.0261316910201611</v>
      </c>
      <c r="F177" s="25" t="n">
        <f aca="false">IF($O$7="sell",-1,1) * (-(B177*NORMDIST(I177,0,1,0)*$H$7)/(2*SQRT($J$7))/365) *$P$7</f>
        <v>-1.29860785232415</v>
      </c>
      <c r="G177" s="25" t="n">
        <f aca="false">IF($O$7="buy",1,-1)*( IF($K$7="call",B177*NORMDIST(I177,0,1,1) - $B$7*NORMDIST(J177,0,1,1),$B$7*NORMDIST(-J177,0,1,1) - B177*NORMDIST(-I177,0,1,1) ) - $G$7) * $P$7</f>
        <v>-11.8153775410361</v>
      </c>
      <c r="I177" s="26" t="n">
        <f aca="false">(LN(B177/$B$7)+($H$7^2/2)*($J$7))/($H$7*SQRT($J$7))</f>
        <v>0.954015863931624</v>
      </c>
      <c r="J177" s="26" t="n">
        <f aca="false">I177 - $H$7*SQRT($J$7)</f>
        <v>0.839993196634572</v>
      </c>
    </row>
    <row r="178" customFormat="false" ht="13.5" hidden="false" customHeight="true" outlineLevel="0" collapsed="false">
      <c r="B178" s="29" t="n">
        <f aca="false">B148</f>
        <v>71</v>
      </c>
      <c r="C178" s="25" t="n">
        <f aca="false">IF($O$7="sell",-1,1) *  IF($K$7="call",  NORMDIST(I178,0,1,1),  NORMDIST(I178,0,1,1)-1  ) * $P$7</f>
        <v>-1.01443430543917</v>
      </c>
      <c r="D178" s="25" t="n">
        <f aca="false">IF($O$7="sell",-1,1) * NORMDIST(I178,0,1,0)/(B178*$H$7*SQRT($J$7)) * $P$7</f>
        <v>0.174401153417083</v>
      </c>
      <c r="E178" s="25" t="n">
        <f aca="false">IF($O$7="sell",-1,1) * (B178*NORMDIST(I178,0,1,0)*SQRT($J$7)/365) * $P$7</f>
        <v>0.0287506683789923</v>
      </c>
      <c r="F178" s="25" t="n">
        <f aca="false">IF($O$7="sell",-1,1) * (-(B178*NORMDIST(I178,0,1,0)*$H$7)/(2*SQRT($J$7))/365) *$P$7</f>
        <v>-1.42875727742693</v>
      </c>
      <c r="G178" s="25" t="n">
        <f aca="false">IF($O$7="buy",1,-1)*( IF($K$7="call",B178*NORMDIST(I178,0,1,1) - $B$7*NORMDIST(J178,0,1,1),$B$7*NORMDIST(-J178,0,1,1) - B178*NORMDIST(-I178,0,1,1) ) - $G$7) * $P$7</f>
        <v>-10.8847549749535</v>
      </c>
      <c r="I178" s="26" t="n">
        <f aca="false">(LN(B178/$B$7)+($H$7^2/2)*($J$7))/($H$7*SQRT($J$7))</f>
        <v>0.831353920422594</v>
      </c>
      <c r="J178" s="26" t="n">
        <f aca="false">I178 - $H$7*SQRT($J$7)</f>
        <v>0.717331253125541</v>
      </c>
    </row>
    <row r="179" customFormat="false" ht="13.5" hidden="false" customHeight="true" outlineLevel="0" collapsed="false">
      <c r="B179" s="29" t="n">
        <f aca="false">B149</f>
        <v>70</v>
      </c>
      <c r="C179" s="25" t="n">
        <f aca="false">IF($O$7="sell",-1,1) *  IF($K$7="call",  NORMDIST(I179,0,1,1),  NORMDIST(I179,0,1,1)-1  ) * $P$7</f>
        <v>-1.19899071687414</v>
      </c>
      <c r="D179" s="25" t="n">
        <f aca="false">IF($O$7="sell",-1,1) * NORMDIST(I179,0,1,0)/(B179*$H$7*SQRT($J$7)) * $P$7</f>
        <v>0.194654626468904</v>
      </c>
      <c r="E179" s="25" t="n">
        <f aca="false">IF($O$7="sell",-1,1) * (B179*NORMDIST(I179,0,1,0)*SQRT($J$7)/365) * $P$7</f>
        <v>0.0311919628848838</v>
      </c>
      <c r="F179" s="25" t="n">
        <f aca="false">IF($O$7="sell",-1,1) * (-(B179*NORMDIST(I179,0,1,0)*$H$7)/(2*SQRT($J$7))/365) *$P$7</f>
        <v>-1.55007679757358</v>
      </c>
      <c r="G179" s="25" t="n">
        <f aca="false">IF($O$7="buy",1,-1)*( IF($K$7="call",B179*NORMDIST(I179,0,1,1) - $B$7*NORMDIST(J179,0,1,1),$B$7*NORMDIST(-J179,0,1,1) - B179*NORMDIST(-I179,0,1,1) ) - $G$7) * $P$7</f>
        <v>-9.77973124596182</v>
      </c>
      <c r="I179" s="26" t="n">
        <f aca="false">(LN(B179/$B$7)+($H$7^2/2)*($J$7))/($H$7*SQRT($J$7))</f>
        <v>0.70695203325219</v>
      </c>
      <c r="J179" s="26" t="n">
        <f aca="false">I179 - $H$7*SQRT($J$7)</f>
        <v>0.592929365955138</v>
      </c>
    </row>
    <row r="180" customFormat="false" ht="13.5" hidden="false" customHeight="true" outlineLevel="0" collapsed="false">
      <c r="B180" s="29" t="n">
        <f aca="false">B150</f>
        <v>69</v>
      </c>
      <c r="C180" s="25" t="n">
        <f aca="false">IF($O$7="sell",-1,1) *  IF($K$7="call",  NORMDIST(I180,0,1,1),  NORMDIST(I180,0,1,1)-1  ) * $P$7</f>
        <v>-1.40350532488117</v>
      </c>
      <c r="D180" s="25" t="n">
        <f aca="false">IF($O$7="sell",-1,1) * NORMDIST(I180,0,1,0)/(B180*$H$7*SQRT($J$7)) * $P$7</f>
        <v>0.214190328227385</v>
      </c>
      <c r="E180" s="25" t="n">
        <f aca="false">IF($O$7="sell",-1,1) * (B180*NORMDIST(I180,0,1,0)*SQRT($J$7)/365) * $P$7</f>
        <v>0.0333487786319559</v>
      </c>
      <c r="F180" s="25" t="n">
        <f aca="false">IF($O$7="sell",-1,1) * (-(B180*NORMDIST(I180,0,1,0)*$H$7)/(2*SQRT($J$7))/365) *$P$7</f>
        <v>-1.65725921692039</v>
      </c>
      <c r="G180" s="25" t="n">
        <f aca="false">IF($O$7="buy",1,-1)*( IF($K$7="call",B180*NORMDIST(I180,0,1,1) - $B$7*NORMDIST(J180,0,1,1),$B$7*NORMDIST(-J180,0,1,1) - B180*NORMDIST(-I180,0,1,1) ) - $G$7) * $P$7</f>
        <v>-8.48011232067999</v>
      </c>
      <c r="I180" s="26" t="n">
        <f aca="false">(LN(B180/$B$7)+($H$7^2/2)*($J$7))/($H$7*SQRT($J$7))</f>
        <v>0.580760129544009</v>
      </c>
      <c r="J180" s="26" t="n">
        <f aca="false">I180 - $H$7*SQRT($J$7)</f>
        <v>0.466737462246957</v>
      </c>
    </row>
    <row r="181" customFormat="false" ht="13.5" hidden="false" customHeight="true" outlineLevel="0" collapsed="false">
      <c r="B181" s="29" t="n">
        <f aca="false">B151</f>
        <v>68</v>
      </c>
      <c r="C181" s="25" t="n">
        <f aca="false">IF($O$7="sell",-1,1) *  IF($K$7="call",  NORMDIST(I181,0,1,1),  NORMDIST(I181,0,1,1)-1  ) * $P$7</f>
        <v>-1.62686523987088</v>
      </c>
      <c r="D181" s="25" t="n">
        <f aca="false">IF($O$7="sell",-1,1) * NORMDIST(I181,0,1,0)/(B181*$H$7*SQRT($J$7)) * $P$7</f>
        <v>0.232205923107138</v>
      </c>
      <c r="E181" s="25" t="n">
        <f aca="false">IF($O$7="sell",-1,1) * (B181*NORMDIST(I181,0,1,0)*SQRT($J$7)/365) * $P$7</f>
        <v>0.0351134105237579</v>
      </c>
      <c r="F181" s="25" t="n">
        <f aca="false">IF($O$7="sell",-1,1) * (-(B181*NORMDIST(I181,0,1,0)*$H$7)/(2*SQRT($J$7))/365) *$P$7</f>
        <v>-1.74495215762552</v>
      </c>
      <c r="G181" s="25" t="n">
        <f aca="false">IF($O$7="buy",1,-1)*( IF($K$7="call",B181*NORMDIST(I181,0,1,1) - $B$7*NORMDIST(J181,0,1,1),$B$7*NORMDIST(-J181,0,1,1) - B181*NORMDIST(-I181,0,1,1) ) - $G$7) * $P$7</f>
        <v>-6.96642952920107</v>
      </c>
      <c r="I181" s="26" t="n">
        <f aca="false">(LN(B181/$B$7)+($H$7^2/2)*($J$7))/($H$7*SQRT($J$7))</f>
        <v>0.452725943296464</v>
      </c>
      <c r="J181" s="26" t="n">
        <f aca="false">I181 - $H$7*SQRT($J$7)</f>
        <v>0.338703275999411</v>
      </c>
    </row>
    <row r="182" customFormat="false" ht="13.5" hidden="false" customHeight="true" outlineLevel="0" collapsed="false">
      <c r="B182" s="29" t="n">
        <f aca="false">B152</f>
        <v>67</v>
      </c>
      <c r="C182" s="25" t="n">
        <f aca="false">IF($O$7="sell",-1,1) *  IF($K$7="call",  NORMDIST(I182,0,1,1),  NORMDIST(I182,0,1,1)-1  ) * $P$7</f>
        <v>-1.86712646673698</v>
      </c>
      <c r="D182" s="25" t="n">
        <f aca="false">IF($O$7="sell",-1,1) * NORMDIST(I182,0,1,0)/(B182*$H$7*SQRT($J$7)) * $P$7</f>
        <v>0.247849519108261</v>
      </c>
      <c r="E182" s="25" t="n">
        <f aca="false">IF($O$7="sell",-1,1) * (B182*NORMDIST(I182,0,1,0)*SQRT($J$7)/365) * $P$7</f>
        <v>0.0363847655709931</v>
      </c>
      <c r="F182" s="25" t="n">
        <f aca="false">IF($O$7="sell",-1,1) * (-(B182*NORMDIST(I182,0,1,0)*$H$7)/(2*SQRT($J$7))/365) *$P$7</f>
        <v>-1.80813182885911</v>
      </c>
      <c r="G182" s="25" t="n">
        <f aca="false">IF($O$7="buy",1,-1)*( IF($K$7="call",B182*NORMDIST(I182,0,1,1) - $B$7*NORMDIST(J182,0,1,1),$B$7*NORMDIST(-J182,0,1,1) - B182*NORMDIST(-I182,0,1,1) ) - $G$7) * $P$7</f>
        <v>-5.22073849528335</v>
      </c>
      <c r="I182" s="26" t="n">
        <f aca="false">(LN(B182/$B$7)+($H$7^2/2)*($J$7))/($H$7*SQRT($J$7))</f>
        <v>0.322794885408259</v>
      </c>
      <c r="J182" s="26" t="n">
        <f aca="false">I182 - $H$7*SQRT($J$7)</f>
        <v>0.208772218111207</v>
      </c>
    </row>
    <row r="183" customFormat="false" ht="13.5" hidden="false" customHeight="true" outlineLevel="0" collapsed="false">
      <c r="B183" s="29" t="n">
        <f aca="false">B153</f>
        <v>66</v>
      </c>
      <c r="C183" s="25" t="n">
        <f aca="false">IF($O$7="sell",-1,1) *  IF($K$7="call",  NORMDIST(I183,0,1,1),  NORMDIST(I183,0,1,1)-1  ) * $P$7</f>
        <v>-2.12149045168099</v>
      </c>
      <c r="D183" s="25" t="n">
        <f aca="false">IF($O$7="sell",-1,1) * NORMDIST(I183,0,1,0)/(B183*$H$7*SQRT($J$7)) * $P$7</f>
        <v>0.260273925204108</v>
      </c>
      <c r="E183" s="25" t="n">
        <f aca="false">IF($O$7="sell",-1,1) * (B183*NORMDIST(I183,0,1,0)*SQRT($J$7)/365) * $P$7</f>
        <v>0.0370766449315537</v>
      </c>
      <c r="F183" s="25" t="n">
        <f aca="false">IF($O$7="sell",-1,1) * (-(B183*NORMDIST(I183,0,1,0)*$H$7)/(2*SQRT($J$7))/365) *$P$7</f>
        <v>-1.84251460071233</v>
      </c>
      <c r="G183" s="25" t="n">
        <f aca="false">IF($O$7="buy",1,-1)*( IF($K$7="call",B183*NORMDIST(I183,0,1,1) - $B$7*NORMDIST(J183,0,1,1),$B$7*NORMDIST(-J183,0,1,1) - B183*NORMDIST(-I183,0,1,1) ) - $G$7) * $P$7</f>
        <v>-3.22746649415543</v>
      </c>
      <c r="I183" s="26" t="n">
        <f aca="false">(LN(B183/$B$7)+($H$7^2/2)*($J$7))/($H$7*SQRT($J$7))</f>
        <v>0.190909903930289</v>
      </c>
      <c r="J183" s="26" t="n">
        <f aca="false">I183 - $H$7*SQRT($J$7)</f>
        <v>0.0768872366332366</v>
      </c>
    </row>
    <row r="184" customFormat="false" ht="13.5" hidden="false" customHeight="true" outlineLevel="0" collapsed="false">
      <c r="B184" s="29" t="n">
        <f aca="false">B154</f>
        <v>65</v>
      </c>
      <c r="C184" s="25" t="n">
        <f aca="false">IF($O$7="sell",-1,1) *  IF($K$7="call",  NORMDIST(I184,0,1,1),  NORMDIST(I184,0,1,1)-1  ) * $P$7</f>
        <v>-2.38634041720211</v>
      </c>
      <c r="D184" s="25" t="n">
        <f aca="false">IF($O$7="sell",-1,1) * NORMDIST(I184,0,1,0)/(B184*$H$7*SQRT($J$7)) * $P$7</f>
        <v>0.268701273916739</v>
      </c>
      <c r="E184" s="25" t="n">
        <f aca="false">IF($O$7="sell",-1,1) * (B184*NORMDIST(I184,0,1,0)*SQRT($J$7)/365) * $P$7</f>
        <v>0.0371260148290253</v>
      </c>
      <c r="F184" s="25" t="n">
        <f aca="false">IF($O$7="sell",-1,1) * (-(B184*NORMDIST(I184,0,1,0)*$H$7)/(2*SQRT($J$7))/365) *$P$7</f>
        <v>-1.84496802542471</v>
      </c>
      <c r="G184" s="25" t="n">
        <f aca="false">IF($O$7="buy",1,-1)*( IF($K$7="call",B184*NORMDIST(I184,0,1,1) - $B$7*NORMDIST(J184,0,1,1),$B$7*NORMDIST(-J184,0,1,1) - B184*NORMDIST(-I184,0,1,1) ) - $G$7) * $P$7</f>
        <v>-0.974254236274337</v>
      </c>
      <c r="I184" s="26" t="n">
        <f aca="false">(LN(B184/$B$7)+($H$7^2/2)*($J$7))/($H$7*SQRT($J$7))</f>
        <v>0.0570113336485261</v>
      </c>
      <c r="J184" s="26" t="n">
        <f aca="false">I184 - $H$7*SQRT($J$7)</f>
        <v>-0.0570113336485261</v>
      </c>
    </row>
    <row r="185" customFormat="false" ht="13.5" hidden="false" customHeight="true" outlineLevel="0" collapsed="false">
      <c r="B185" s="29" t="n">
        <f aca="false">B155</f>
        <v>64</v>
      </c>
      <c r="C185" s="25" t="n">
        <f aca="false">IF($O$7="sell",-1,1) *  IF($K$7="call",  NORMDIST(I185,0,1,1),  NORMDIST(I185,0,1,1)-1  ) * $P$7</f>
        <v>-2.65734539678719</v>
      </c>
      <c r="D185" s="25" t="n">
        <f aca="false">IF($O$7="sell",-1,1) * NORMDIST(I185,0,1,0)/(B185*$H$7*SQRT($J$7)) * $P$7</f>
        <v>0.272492745185782</v>
      </c>
      <c r="E185" s="25" t="n">
        <f aca="false">IF($O$7="sell",-1,1) * (B185*NORMDIST(I185,0,1,0)*SQRT($J$7)/365) * $P$7</f>
        <v>0.0365003296870355</v>
      </c>
      <c r="F185" s="25" t="n">
        <f aca="false">IF($O$7="sell",-1,1) * (-(B185*NORMDIST(I185,0,1,0)*$H$7)/(2*SQRT($J$7))/365) *$P$7</f>
        <v>-1.81387475871481</v>
      </c>
      <c r="G185" s="25" t="n">
        <f aca="false">IF($O$7="buy",1,-1)*( IF($K$7="call",B185*NORMDIST(I185,0,1,1) - $B$7*NORMDIST(J185,0,1,1),$B$7*NORMDIST(-J185,0,1,1) - B185*NORMDIST(-I185,0,1,1) ) - $G$7) * $P$7</f>
        <v>1.54727210588688</v>
      </c>
      <c r="I185" s="26" t="n">
        <f aca="false">(LN(B185/$B$7)+($H$7^2/2)*($J$7))/($H$7*SQRT($J$7))</f>
        <v>-0.0789632659946629</v>
      </c>
      <c r="J185" s="26" t="n">
        <f aca="false">I185 - $H$7*SQRT($J$7)</f>
        <v>-0.192985933291715</v>
      </c>
    </row>
    <row r="186" customFormat="false" ht="13.5" hidden="false" customHeight="true" outlineLevel="0" collapsed="false">
      <c r="B186" s="29" t="n">
        <f aca="false">B156</f>
        <v>63</v>
      </c>
      <c r="C186" s="25" t="n">
        <f aca="false">IF($O$7="sell",-1,1) *  IF($K$7="call",  NORMDIST(I186,0,1,1),  NORMDIST(I186,0,1,1)-1  ) * $P$7</f>
        <v>-2.92963360837741</v>
      </c>
      <c r="D186" s="25" t="n">
        <f aca="false">IF($O$7="sell",-1,1) * NORMDIST(I186,0,1,0)/(B186*$H$7*SQRT($J$7)) * $P$7</f>
        <v>0.271216186246376</v>
      </c>
      <c r="E186" s="25" t="n">
        <f aca="false">IF($O$7="sell",-1,1) * (B186*NORMDIST(I186,0,1,0)*SQRT($J$7)/365) * $P$7</f>
        <v>0.0352029127105683</v>
      </c>
      <c r="F186" s="25" t="n">
        <f aca="false">IF($O$7="sell",-1,1) * (-(B186*NORMDIST(I186,0,1,0)*$H$7)/(2*SQRT($J$7))/365) *$P$7</f>
        <v>-1.74939994642351</v>
      </c>
      <c r="G186" s="25" t="n">
        <f aca="false">IF($O$7="buy",1,-1)*( IF($K$7="call",B186*NORMDIST(I186,0,1,1) - $B$7*NORMDIST(J186,0,1,1),$B$7*NORMDIST(-J186,0,1,1) - B186*NORMDIST(-I186,0,1,1) ) - $G$7) * $P$7</f>
        <v>4.3408677486385</v>
      </c>
      <c r="I186" s="26" t="n">
        <f aca="false">(LN(B186/$B$7)+($H$7^2/2)*($J$7))/($H$7*SQRT($J$7))</f>
        <v>-0.217079285742838</v>
      </c>
      <c r="J186" s="26" t="n">
        <f aca="false">I186 - $H$7*SQRT($J$7)</f>
        <v>-0.33110195303989</v>
      </c>
    </row>
    <row r="187" customFormat="false" ht="13.5" hidden="false" customHeight="true" outlineLevel="0" collapsed="false">
      <c r="B187" s="29" t="n">
        <f aca="false">B157</f>
        <v>62</v>
      </c>
      <c r="C187" s="25" t="n">
        <f aca="false">IF($O$7="sell",-1,1) *  IF($K$7="call",  NORMDIST(I187,0,1,1),  NORMDIST(I187,0,1,1)-1  ) * $P$7</f>
        <v>-3.19802889244504</v>
      </c>
      <c r="D187" s="25" t="n">
        <f aca="false">IF($O$7="sell",-1,1) * NORMDIST(I187,0,1,0)/(B187*$H$7*SQRT($J$7)) * $P$7</f>
        <v>0.264703155261039</v>
      </c>
      <c r="E187" s="25" t="n">
        <f aca="false">IF($O$7="sell",-1,1) * (B187*NORMDIST(I187,0,1,0)*SQRT($J$7)/365) * $P$7</f>
        <v>0.0332754848496749</v>
      </c>
      <c r="F187" s="25" t="n">
        <f aca="false">IF($O$7="sell",-1,1) * (-(B187*NORMDIST(I187,0,1,0)*$H$7)/(2*SQRT($J$7))/365) *$P$7</f>
        <v>-1.65361690073338</v>
      </c>
      <c r="G187" s="25" t="n">
        <f aca="false">IF($O$7="buy",1,-1)*( IF($K$7="call",B187*NORMDIST(I187,0,1,1) - $B$7*NORMDIST(J187,0,1,1),$B$7*NORMDIST(-J187,0,1,1) - B187*NORMDIST(-I187,0,1,1) ) - $G$7) * $P$7</f>
        <v>7.40524193470818</v>
      </c>
      <c r="I187" s="26" t="n">
        <f aca="false">(LN(B187/$B$7)+($H$7^2/2)*($J$7))/($H$7*SQRT($J$7))</f>
        <v>-0.357405255356905</v>
      </c>
      <c r="J187" s="26" t="n">
        <f aca="false">I187 - $H$7*SQRT($J$7)</f>
        <v>-0.471427922653957</v>
      </c>
    </row>
    <row r="188" customFormat="false" ht="13.5" hidden="false" customHeight="true" outlineLevel="0" collapsed="false">
      <c r="B188" s="29" t="n">
        <f aca="false">B158</f>
        <v>61</v>
      </c>
      <c r="C188" s="25" t="n">
        <f aca="false">IF($O$7="sell",-1,1) *  IF($K$7="call",  NORMDIST(I188,0,1,1),  NORMDIST(I188,0,1,1)-1  ) * $P$7</f>
        <v>-3.45733527468614</v>
      </c>
      <c r="D188" s="25" t="n">
        <f aca="false">IF($O$7="sell",-1,1) * NORMDIST(I188,0,1,0)/(B188*$H$7*SQRT($J$7)) * $P$7</f>
        <v>0.253086742188574</v>
      </c>
      <c r="E188" s="25" t="n">
        <f aca="false">IF($O$7="sell",-1,1) * (B188*NORMDIST(I188,0,1,0)*SQRT($J$7)/365) * $P$7</f>
        <v>0.0307971806541135</v>
      </c>
      <c r="F188" s="25" t="n">
        <f aca="false">IF($O$7="sell",-1,1) * (-(B188*NORMDIST(I188,0,1,0)*$H$7)/(2*SQRT($J$7))/365) *$P$7</f>
        <v>-1.53045819331101</v>
      </c>
      <c r="G188" s="25" t="n">
        <f aca="false">IF($O$7="buy",1,-1)*( IF($K$7="call",B188*NORMDIST(I188,0,1,1) - $B$7*NORMDIST(J188,0,1,1),$B$7*NORMDIST(-J188,0,1,1) - B188*NORMDIST(-I188,0,1,1) ) - $G$7) * $P$7</f>
        <v>10.7338926748464</v>
      </c>
      <c r="I188" s="26" t="n">
        <f aca="false">(LN(B188/$B$7)+($H$7^2/2)*($J$7))/($H$7*SQRT($J$7))</f>
        <v>-0.500013047800652</v>
      </c>
      <c r="J188" s="26" t="n">
        <f aca="false">I188 - $H$7*SQRT($J$7)</f>
        <v>-0.614035715097704</v>
      </c>
    </row>
    <row r="189" customFormat="false" ht="13.5" hidden="false" customHeight="true" outlineLevel="0" collapsed="false">
      <c r="B189" s="29" t="n">
        <f aca="false">B159</f>
        <v>60</v>
      </c>
      <c r="C189" s="25" t="n">
        <f aca="false">IF($O$7="sell",-1,1) *  IF($K$7="call",  NORMDIST(I189,0,1,1),  NORMDIST(I189,0,1,1)-1  ) * $P$7</f>
        <v>-3.70264655581227</v>
      </c>
      <c r="D189" s="25" t="n">
        <f aca="false">IF($O$7="sell",-1,1) * NORMDIST(I189,0,1,0)/(B189*$H$7*SQRT($J$7)) * $P$7</f>
        <v>0.236812747869179</v>
      </c>
      <c r="E189" s="25" t="n">
        <f aca="false">IF($O$7="sell",-1,1) * (B189*NORMDIST(I189,0,1,0)*SQRT($J$7)/365) * $P$7</f>
        <v>0.0278797883858073</v>
      </c>
      <c r="F189" s="25" t="n">
        <f aca="false">IF($O$7="sell",-1,1) * (-(B189*NORMDIST(I189,0,1,0)*$H$7)/(2*SQRT($J$7))/365) *$P$7</f>
        <v>-1.3854791138856</v>
      </c>
      <c r="G189" s="25" t="n">
        <f aca="false">IF($O$7="buy",1,-1)*( IF($K$7="call",B189*NORMDIST(I189,0,1,1) - $B$7*NORMDIST(J189,0,1,1),$B$7*NORMDIST(-J189,0,1,1) - B189*NORMDIST(-I189,0,1,1) ) - $G$7) * $P$7</f>
        <v>14.3152407896324</v>
      </c>
      <c r="I189" s="26" t="n">
        <f aca="false">(LN(B189/$B$7)+($H$7^2/2)*($J$7))/($H$7*SQRT($J$7))</f>
        <v>-0.644978100303312</v>
      </c>
      <c r="J189" s="26" t="n">
        <f aca="false">I189 - $H$7*SQRT($J$7)</f>
        <v>-0.759000767600364</v>
      </c>
    </row>
    <row r="190" customFormat="false" ht="13.5" hidden="false" customHeight="true" outlineLevel="0" collapsed="false">
      <c r="B190" s="29" t="n">
        <f aca="false">B160</f>
        <v>59</v>
      </c>
      <c r="C190" s="25" t="n">
        <f aca="false">IF($O$7="sell",-1,1) *  IF($K$7="call",  NORMDIST(I190,0,1,1),  NORMDIST(I190,0,1,1)-1  ) * $P$7</f>
        <v>-3.9296516520127</v>
      </c>
      <c r="D190" s="25" t="n">
        <f aca="false">IF($O$7="sell",-1,1) * NORMDIST(I190,0,1,0)/(B190*$H$7*SQRT($J$7)) * $P$7</f>
        <v>0.216619524362449</v>
      </c>
      <c r="E190" s="25" t="n">
        <f aca="false">IF($O$7="sell",-1,1) * (B190*NORMDIST(I190,0,1,0)*SQRT($J$7)/365) * $P$7</f>
        <v>0.0246594574003904</v>
      </c>
      <c r="F190" s="25" t="n">
        <f aca="false">IF($O$7="sell",-1,1) * (-(B190*NORMDIST(I190,0,1,0)*$H$7)/(2*SQRT($J$7))/365) *$P$7</f>
        <v>-1.22544557064805</v>
      </c>
      <c r="G190" s="25" t="n">
        <f aca="false">IF($O$7="buy",1,-1)*( IF($K$7="call",B190*NORMDIST(I190,0,1,1) - $B$7*NORMDIST(J190,0,1,1),$B$7*NORMDIST(-J190,0,1,1) - B190*NORMDIST(-I190,0,1,1) ) - $G$7) * $P$7</f>
        <v>18.1330740336196</v>
      </c>
      <c r="I190" s="26" t="n">
        <f aca="false">(LN(B190/$B$7)+($H$7^2/2)*($J$7))/($H$7*SQRT($J$7))</f>
        <v>-0.792379654001362</v>
      </c>
      <c r="J190" s="26" t="n">
        <f aca="false">I190 - $H$7*SQRT($J$7)</f>
        <v>-0.906402321298414</v>
      </c>
    </row>
    <row r="191" customFormat="false" ht="13.5" hidden="false" customHeight="true" outlineLevel="0" collapsed="false">
      <c r="B191" s="29" t="n">
        <f aca="false">B161</f>
        <v>58</v>
      </c>
      <c r="C191" s="25" t="n">
        <f aca="false">IF($O$7="sell",-1,1) *  IF($K$7="call",  NORMDIST(I191,0,1,1),  NORMDIST(I191,0,1,1)-1  ) * $P$7</f>
        <v>-4.13490362715099</v>
      </c>
      <c r="D191" s="25" t="n">
        <f aca="false">IF($O$7="sell",-1,1) * NORMDIST(I191,0,1,0)/(B191*$H$7*SQRT($J$7)) * $P$7</f>
        <v>0.193485787764067</v>
      </c>
      <c r="E191" s="25" t="n">
        <f aca="false">IF($O$7="sell",-1,1) * (B191*NORMDIST(I191,0,1,0)*SQRT($J$7)/365) * $P$7</f>
        <v>0.0212856517377291</v>
      </c>
      <c r="F191" s="25" t="n">
        <f aca="false">IF($O$7="sell",-1,1) * (-(B191*NORMDIST(I191,0,1,0)*$H$7)/(2*SQRT($J$7))/365) *$P$7</f>
        <v>-1.05778514169351</v>
      </c>
      <c r="G191" s="25" t="n">
        <f aca="false">IF($O$7="buy",1,-1)*( IF($K$7="call",B191*NORMDIST(I191,0,1,1) - $B$7*NORMDIST(J191,0,1,1),$B$7*NORMDIST(-J191,0,1,1) - B191*NORMDIST(-I191,0,1,1) ) - $G$7) * $P$7</f>
        <v>22.1672810814967</v>
      </c>
      <c r="I191" s="26" t="n">
        <f aca="false">(LN(B191/$B$7)+($H$7^2/2)*($J$7))/($H$7*SQRT($J$7))</f>
        <v>-0.942301014065371</v>
      </c>
      <c r="J191" s="26" t="n">
        <f aca="false">I191 - $H$7*SQRT($J$7)</f>
        <v>-1.05632368136242</v>
      </c>
    </row>
    <row r="192" customFormat="false" ht="13.5" hidden="false" customHeight="true" outlineLevel="0" collapsed="false">
      <c r="B192" s="29" t="n">
        <f aca="false">B162</f>
        <v>57</v>
      </c>
      <c r="C192" s="25" t="n">
        <f aca="false">IF($O$7="sell",-1,1) *  IF($K$7="call",  NORMDIST(I192,0,1,1),  NORMDIST(I192,0,1,1)-1  ) * $P$7</f>
        <v>-4.3160220146333</v>
      </c>
      <c r="D192" s="25" t="n">
        <f aca="false">IF($O$7="sell",-1,1) * NORMDIST(I192,0,1,0)/(B192*$H$7*SQRT($J$7)) * $P$7</f>
        <v>0.168550468923551</v>
      </c>
      <c r="E192" s="25" t="n">
        <f aca="false">IF($O$7="sell",-1,1) * (B192*NORMDIST(I192,0,1,0)*SQRT($J$7)/365) * $P$7</f>
        <v>0.0179085973284811</v>
      </c>
      <c r="F192" s="25" t="n">
        <f aca="false">IF($O$7="sell",-1,1) * (-(B192*NORMDIST(I192,0,1,0)*$H$7)/(2*SQRT($J$7))/365) *$P$7</f>
        <v>-0.889963267089538</v>
      </c>
      <c r="G192" s="25" t="n">
        <f aca="false">IF($O$7="buy",1,-1)*( IF($K$7="call",B192*NORMDIST(I192,0,1,1) - $B$7*NORMDIST(J192,0,1,1),$B$7*NORMDIST(-J192,0,1,1) - B192*NORMDIST(-I192,0,1,1) ) - $G$7) * $P$7</f>
        <v>26.3948235281048</v>
      </c>
      <c r="I192" s="26" t="n">
        <f aca="false">(LN(B192/$B$7)+($H$7^2/2)*($J$7))/($H$7*SQRT($J$7))</f>
        <v>-1.09482983244988</v>
      </c>
      <c r="J192" s="26" t="n">
        <f aca="false">I192 - $H$7*SQRT($J$7)</f>
        <v>-1.20885249974693</v>
      </c>
    </row>
    <row r="193" customFormat="false" ht="13.5" hidden="false" customHeight="true" outlineLevel="0" collapsed="false">
      <c r="B193" s="30"/>
      <c r="C193" s="22"/>
      <c r="D193" s="22"/>
      <c r="E193" s="22"/>
      <c r="F193" s="22"/>
      <c r="G193" s="22"/>
      <c r="I193" s="31"/>
      <c r="J193" s="31"/>
    </row>
    <row r="194" customFormat="false" ht="13.5" hidden="false" customHeight="true" outlineLevel="0" collapsed="false">
      <c r="B194" s="30"/>
      <c r="C194" s="22"/>
      <c r="D194" s="22"/>
      <c r="E194" s="22"/>
      <c r="F194" s="22"/>
      <c r="G194" s="22"/>
      <c r="I194" s="31"/>
      <c r="J194" s="31"/>
    </row>
    <row r="195" customFormat="false" ht="13.5" hidden="false" customHeight="true" outlineLevel="0" collapsed="false">
      <c r="B195" s="23"/>
      <c r="C195" s="19" t="s">
        <v>13</v>
      </c>
      <c r="D195" s="19" t="s">
        <v>14</v>
      </c>
      <c r="E195" s="19" t="s">
        <v>15</v>
      </c>
      <c r="F195" s="19" t="s">
        <v>16</v>
      </c>
      <c r="G195" s="19" t="s">
        <v>17</v>
      </c>
      <c r="I195" s="19" t="s">
        <v>158</v>
      </c>
      <c r="J195" s="19" t="s">
        <v>159</v>
      </c>
    </row>
    <row r="196" customFormat="false" ht="13.5" hidden="false" customHeight="true" outlineLevel="0" collapsed="false">
      <c r="A196" s="2" t="str">
        <f aca="false">A8</f>
        <v>SOL-24APR26-75-P-USDT</v>
      </c>
      <c r="B196" s="29" t="n">
        <f aca="false">B166</f>
        <v>83</v>
      </c>
      <c r="C196" s="25" t="n">
        <f aca="false">IF($O$8="sell",-1,1) *  IF($K$8="call",  NORMDIST(I196,0,1,1),  NORMDIST(I196,0,1,1)-1  ) * $P$8</f>
        <v>-0.314371048688669</v>
      </c>
      <c r="D196" s="25" t="n">
        <f aca="false">IF($O$8="sell",-1,1) * NORMDIST(I196,0,1,0)/(B196*$H$8*SQRT($J$8)) * $P$8</f>
        <v>0.0785413961210276</v>
      </c>
      <c r="E196" s="25" t="n">
        <f aca="false">IF($O$8="sell",-1,1) * (B196*NORMDIST(I196,0,1,0)*SQRT($J$8)/365) * $P$8</f>
        <v>0.0129670381169308</v>
      </c>
      <c r="F196" s="25" t="n">
        <f aca="false">IF($O$8="sell",-1,1) * (-(B196*NORMDIST(I196,0,1,0)*$H$8)/(2*SQRT($J$8))/365) *$P$8</f>
        <v>-0.472231973262622</v>
      </c>
      <c r="G196" s="25" t="n">
        <f aca="false">IF($O$8="buy",1,-1)*( IF($K$8="call",B196*NORMDIST(I196,0,1,1) - $B$8*NORMDIST(J196,0,1,1),$B$8*NORMDIST(-J196,0,1,1) - B196*NORMDIST(-I196,0,1,1) ) - $G$8) * $P$8</f>
        <v>-2.52016209352944</v>
      </c>
      <c r="I196" s="26" t="n">
        <f aca="false">(LN(B196/$B$8)+($H$8^2/2)*($J$8))/($H$8*SQRT($J$8))</f>
        <v>1.25471923897935</v>
      </c>
      <c r="J196" s="26" t="n">
        <f aca="false">I196 - $H$8*SQRT($J$8)</f>
        <v>1.17115984397705</v>
      </c>
    </row>
    <row r="197" customFormat="false" ht="13.5" hidden="false" customHeight="true" outlineLevel="0" collapsed="false">
      <c r="B197" s="29" t="n">
        <f aca="false">B167</f>
        <v>82</v>
      </c>
      <c r="C197" s="25" t="n">
        <f aca="false">IF($O$8="sell",-1,1) *  IF($K$8="call",  NORMDIST(I197,0,1,1),  NORMDIST(I197,0,1,1)-1  ) * $P$8</f>
        <v>-0.400720656776374</v>
      </c>
      <c r="D197" s="25" t="n">
        <f aca="false">IF($O$8="sell",-1,1) * NORMDIST(I197,0,1,0)/(B197*$H$8*SQRT($J$8)) * $P$8</f>
        <v>0.0943714577557127</v>
      </c>
      <c r="E197" s="25" t="n">
        <f aca="false">IF($O$8="sell",-1,1) * (B197*NORMDIST(I197,0,1,0)*SQRT($J$8)/365) * $P$8</f>
        <v>0.0152073784629618</v>
      </c>
      <c r="F197" s="25" t="n">
        <f aca="false">IF($O$8="sell",-1,1) * (-(B197*NORMDIST(I197,0,1,0)*$H$8)/(2*SQRT($J$8))/365) *$P$8</f>
        <v>-0.553820407941834</v>
      </c>
      <c r="G197" s="25" t="n">
        <f aca="false">IF($O$8="buy",1,-1)*( IF($K$8="call",B197*NORMDIST(I197,0,1,1) - $B$8*NORMDIST(J197,0,1,1),$B$8*NORMDIST(-J197,0,1,1) - B197*NORMDIST(-I197,0,1,1) ) - $G$8) * $P$8</f>
        <v>-2.1639359983015</v>
      </c>
      <c r="I197" s="26" t="n">
        <f aca="false">(LN(B197/$B$8)+($H$8^2/2)*($J$8))/($H$8*SQRT($J$8))</f>
        <v>1.10965643027889</v>
      </c>
      <c r="J197" s="26" t="n">
        <f aca="false">I197 - $H$8*SQRT($J$8)</f>
        <v>1.02609703527659</v>
      </c>
    </row>
    <row r="198" customFormat="false" ht="13.5" hidden="false" customHeight="true" outlineLevel="0" collapsed="false">
      <c r="B198" s="29" t="n">
        <f aca="false">B168</f>
        <v>81</v>
      </c>
      <c r="C198" s="25" t="n">
        <f aca="false">IF($O$8="sell",-1,1) *  IF($K$8="call",  NORMDIST(I198,0,1,1),  NORMDIST(I198,0,1,1)-1  ) * $P$8</f>
        <v>-0.503461562434223</v>
      </c>
      <c r="D198" s="25" t="n">
        <f aca="false">IF($O$8="sell",-1,1) * NORMDIST(I198,0,1,0)/(B198*$H$8*SQRT($J$8)) * $P$8</f>
        <v>0.111238037281339</v>
      </c>
      <c r="E198" s="25" t="n">
        <f aca="false">IF($O$8="sell",-1,1) * (B198*NORMDIST(I198,0,1,0)*SQRT($J$8)/365) * $P$8</f>
        <v>0.0174907865973985</v>
      </c>
      <c r="F198" s="25" t="n">
        <f aca="false">IF($O$8="sell",-1,1) * (-(B198*NORMDIST(I198,0,1,0)*$H$8)/(2*SQRT($J$8))/365) *$P$8</f>
        <v>-0.636977279955735</v>
      </c>
      <c r="G198" s="25" t="n">
        <f aca="false">IF($O$8="buy",1,-1)*( IF($K$8="call",B198*NORMDIST(I198,0,1,1) - $B$8*NORMDIST(J198,0,1,1),$B$8*NORMDIST(-J198,0,1,1) - B198*NORMDIST(-I198,0,1,1) ) - $G$8) * $P$8</f>
        <v>-1.71325128387361</v>
      </c>
      <c r="I198" s="26" t="n">
        <f aca="false">(LN(B198/$B$8)+($H$8^2/2)*($J$8))/($H$8*SQRT($J$8))</f>
        <v>0.962813665423112</v>
      </c>
      <c r="J198" s="26" t="n">
        <f aca="false">I198 - $H$8*SQRT($J$8)</f>
        <v>0.87925427042081</v>
      </c>
    </row>
    <row r="199" customFormat="false" ht="13.5" hidden="false" customHeight="true" outlineLevel="0" collapsed="false">
      <c r="B199" s="29" t="n">
        <f aca="false">B169</f>
        <v>80</v>
      </c>
      <c r="C199" s="25" t="n">
        <f aca="false">IF($O$8="sell",-1,1) *  IF($K$8="call",  NORMDIST(I199,0,1,1),  NORMDIST(I199,0,1,1)-1  ) * $P$8</f>
        <v>-0.623341355666511</v>
      </c>
      <c r="D199" s="25" t="n">
        <f aca="false">IF($O$8="sell",-1,1) * NORMDIST(I199,0,1,0)/(B199*$H$8*SQRT($J$8)) * $P$8</f>
        <v>0.128532596490482</v>
      </c>
      <c r="E199" s="25" t="n">
        <f aca="false">IF($O$8="sell",-1,1) * (B199*NORMDIST(I199,0,1,0)*SQRT($J$8)/365) * $P$8</f>
        <v>0.0197142037461346</v>
      </c>
      <c r="F199" s="25" t="n">
        <f aca="false">IF($O$8="sell",-1,1) * (-(B199*NORMDIST(I199,0,1,0)*$H$8)/(2*SQRT($J$8))/365) *$P$8</f>
        <v>-0.717949407751262</v>
      </c>
      <c r="G199" s="25" t="n">
        <f aca="false">IF($O$8="buy",1,-1)*( IF($K$8="call",B199*NORMDIST(I199,0,1,1) - $B$8*NORMDIST(J199,0,1,1),$B$8*NORMDIST(-J199,0,1,1) - B199*NORMDIST(-I199,0,1,1) ) - $G$8) * $P$8</f>
        <v>-1.15129213009358</v>
      </c>
      <c r="I199" s="26" t="n">
        <f aca="false">(LN(B199/$B$8)+($H$8^2/2)*($J$8))/($H$8*SQRT($J$8))</f>
        <v>0.814146720213479</v>
      </c>
      <c r="J199" s="26" t="n">
        <f aca="false">I199 - $H$8*SQRT($J$8)</f>
        <v>0.730587325211177</v>
      </c>
    </row>
    <row r="200" customFormat="false" ht="13.5" hidden="false" customHeight="true" outlineLevel="0" collapsed="false">
      <c r="B200" s="29" t="n">
        <f aca="false">B170</f>
        <v>79</v>
      </c>
      <c r="C200" s="25" t="n">
        <f aca="false">IF($O$8="sell",-1,1) *  IF($K$8="call",  NORMDIST(I200,0,1,1),  NORMDIST(I200,0,1,1)-1  ) * $P$8</f>
        <v>-0.760410219603033</v>
      </c>
      <c r="D200" s="25" t="n">
        <f aca="false">IF($O$8="sell",-1,1) * NORMDIST(I200,0,1,0)/(B200*$H$8*SQRT($J$8)) * $P$8</f>
        <v>0.145472904601045</v>
      </c>
      <c r="E200" s="25" t="n">
        <f aca="false">IF($O$8="sell",-1,1) * (B200*NORMDIST(I200,0,1,0)*SQRT($J$8)/365) * $P$8</f>
        <v>0.0217581656468798</v>
      </c>
      <c r="F200" s="25" t="n">
        <f aca="false">IF($O$8="sell",-1,1) * (-(B200*NORMDIST(I200,0,1,0)*$H$8)/(2*SQRT($J$8))/365) *$P$8</f>
        <v>-0.792386156757365</v>
      </c>
      <c r="G200" s="25" t="n">
        <f aca="false">IF($O$8="buy",1,-1)*( IF($K$8="call",B200*NORMDIST(I200,0,1,1) - $B$8*NORMDIST(J200,0,1,1),$B$8*NORMDIST(-J200,0,1,1) - B200*NORMDIST(-I200,0,1,1) ) - $G$8) * $P$8</f>
        <v>-0.460829319825452</v>
      </c>
      <c r="I200" s="26" t="n">
        <f aca="false">(LN(B200/$B$8)+($H$8^2/2)*($J$8))/($H$8*SQRT($J$8))</f>
        <v>0.663609701527385</v>
      </c>
      <c r="J200" s="26" t="n">
        <f aca="false">I200 - $H$8*SQRT($J$8)</f>
        <v>0.580050306525083</v>
      </c>
    </row>
    <row r="201" customFormat="false" ht="13.5" hidden="false" customHeight="true" outlineLevel="0" collapsed="false">
      <c r="B201" s="29" t="n">
        <f aca="false">B171</f>
        <v>78</v>
      </c>
      <c r="C201" s="25" t="n">
        <f aca="false">IF($O$8="sell",-1,1) *  IF($K$8="call",  NORMDIST(I201,0,1,1),  NORMDIST(I201,0,1,1)-1  ) * $P$8</f>
        <v>-0.913863828640137</v>
      </c>
      <c r="D201" s="25" t="n">
        <f aca="false">IF($O$8="sell",-1,1) * NORMDIST(I201,0,1,0)/(B201*$H$8*SQRT($J$8)) * $P$8</f>
        <v>0.161140731622088</v>
      </c>
      <c r="E201" s="25" t="n">
        <f aca="false">IF($O$8="sell",-1,1) * (B201*NORMDIST(I201,0,1,0)*SQRT($J$8)/365) * $P$8</f>
        <v>0.0234952744476153</v>
      </c>
      <c r="F201" s="25" t="n">
        <f aca="false">IF($O$8="sell",-1,1) * (-(B201*NORMDIST(I201,0,1,0)*$H$8)/(2*SQRT($J$8))/365) *$P$8</f>
        <v>-0.85564796792395</v>
      </c>
      <c r="G201" s="25" t="n">
        <f aca="false">IF($O$8="buy",1,-1)*( IF($K$8="call",B201*NORMDIST(I201,0,1,1) - $B$8*NORMDIST(J201,0,1,1),$B$8*NORMDIST(-J201,0,1,1) - B201*NORMDIST(-I201,0,1,1) ) - $G$8) * $P$8</f>
        <v>0.375000664420826</v>
      </c>
      <c r="I201" s="26" t="n">
        <f aca="false">(LN(B201/$B$8)+($H$8^2/2)*($J$8))/($H$8*SQRT($J$8))</f>
        <v>0.511154962271809</v>
      </c>
      <c r="J201" s="26" t="n">
        <f aca="false">I201 - $H$8*SQRT($J$8)</f>
        <v>0.427595567269507</v>
      </c>
    </row>
    <row r="202" customFormat="false" ht="13.5" hidden="false" customHeight="true" outlineLevel="0" collapsed="false">
      <c r="B202" s="29" t="n">
        <f aca="false">B172</f>
        <v>77</v>
      </c>
      <c r="C202" s="25" t="n">
        <f aca="false">IF($O$8="sell",-1,1) *  IF($K$8="call",  NORMDIST(I202,0,1,1),  NORMDIST(I202,0,1,1)-1  ) * $P$8</f>
        <v>-1.08193753538713</v>
      </c>
      <c r="D202" s="25" t="n">
        <f aca="false">IF($O$8="sell",-1,1) * NORMDIST(I202,0,1,0)/(B202*$H$8*SQRT($J$8)) * $P$8</f>
        <v>0.174546638395689</v>
      </c>
      <c r="E202" s="25" t="n">
        <f aca="false">IF($O$8="sell",-1,1) * (B202*NORMDIST(I202,0,1,0)*SQRT($J$8)/365) * $P$8</f>
        <v>0.0248015558222299</v>
      </c>
      <c r="F202" s="25" t="n">
        <f aca="false">IF($O$8="sell",-1,1) * (-(B202*NORMDIST(I202,0,1,0)*$H$8)/(2*SQRT($J$8))/365) *$P$8</f>
        <v>-0.90321995973949</v>
      </c>
      <c r="G202" s="25" t="n">
        <f aca="false">IF($O$8="buy",1,-1)*( IF($K$8="call",B202*NORMDIST(I202,0,1,1) - $B$8*NORMDIST(J202,0,1,1),$B$8*NORMDIST(-J202,0,1,1) - B202*NORMDIST(-I202,0,1,1) ) - $G$8) * $P$8</f>
        <v>1.37178282194722</v>
      </c>
      <c r="I202" s="26" t="n">
        <f aca="false">(LN(B202/$B$8)+($H$8^2/2)*($J$8))/($H$8*SQRT($J$8))</f>
        <v>0.356733010849679</v>
      </c>
      <c r="J202" s="26" t="n">
        <f aca="false">I202 - $H$8*SQRT($J$8)</f>
        <v>0.273173615847377</v>
      </c>
    </row>
    <row r="203" customFormat="false" ht="13.5" hidden="false" customHeight="true" outlineLevel="0" collapsed="false">
      <c r="B203" s="29" t="n">
        <f aca="false">B173</f>
        <v>76</v>
      </c>
      <c r="C203" s="25" t="n">
        <f aca="false">IF($O$8="sell",-1,1) *  IF($K$8="call",  NORMDIST(I203,0,1,1),  NORMDIST(I203,0,1,1)-1  ) * $P$8</f>
        <v>-1.26187784181221</v>
      </c>
      <c r="D203" s="25" t="n">
        <f aca="false">IF($O$8="sell",-1,1) * NORMDIST(I203,0,1,0)/(B203*$H$8*SQRT($J$8)) * $P$8</f>
        <v>0.184718815212845</v>
      </c>
      <c r="E203" s="25" t="n">
        <f aca="false">IF($O$8="sell",-1,1) * (B203*NORMDIST(I203,0,1,0)*SQRT($J$8)/365) * $P$8</f>
        <v>0.0255696218204543</v>
      </c>
      <c r="F203" s="25" t="n">
        <f aca="false">IF($O$8="sell",-1,1) * (-(B203*NORMDIST(I203,0,1,0)*$H$8)/(2*SQRT($J$8))/365) *$P$8</f>
        <v>-0.931191291254579</v>
      </c>
      <c r="G203" s="25" t="n">
        <f aca="false">IF($O$8="buy",1,-1)*( IF($K$8="call",B203*NORMDIST(I203,0,1,1) - $B$8*NORMDIST(J203,0,1,1),$B$8*NORMDIST(-J203,0,1,1) - B203*NORMDIST(-I203,0,1,1) ) - $G$8) * $P$8</f>
        <v>2.54284163281249</v>
      </c>
      <c r="I203" s="26" t="n">
        <f aca="false">(LN(B203/$B$8)+($H$8^2/2)*($J$8))/($H$8*SQRT($J$8))</f>
        <v>0.200292414708544</v>
      </c>
      <c r="J203" s="26" t="n">
        <f aca="false">I203 - $H$8*SQRT($J$8)</f>
        <v>0.116733019706242</v>
      </c>
    </row>
    <row r="204" customFormat="false" ht="13.5" hidden="false" customHeight="true" outlineLevel="0" collapsed="false">
      <c r="B204" s="29" t="n">
        <f aca="false">B174</f>
        <v>75</v>
      </c>
      <c r="C204" s="25" t="n">
        <f aca="false">IF($O$8="sell",-1,1) *  IF($K$8="call",  NORMDIST(I204,0,1,1),  NORMDIST(I204,0,1,1)-1  ) * $P$8</f>
        <v>-1.45001147988904</v>
      </c>
      <c r="D204" s="25" t="n">
        <f aca="false">IF($O$8="sell",-1,1) * NORMDIST(I204,0,1,0)/(B204*$H$8*SQRT($J$8)) * $P$8</f>
        <v>0.190807626987906</v>
      </c>
      <c r="E204" s="25" t="n">
        <f aca="false">IF($O$8="sell",-1,1) * (B204*NORMDIST(I204,0,1,0)*SQRT($J$8)/365) * $P$8</f>
        <v>0.0257219709280488</v>
      </c>
      <c r="F204" s="25" t="n">
        <f aca="false">IF($O$8="sell",-1,1) * (-(B204*NORMDIST(I204,0,1,0)*$H$8)/(2*SQRT($J$8))/365) *$P$8</f>
        <v>-0.936739522011316</v>
      </c>
      <c r="G204" s="25" t="n">
        <f aca="false">IF($O$8="buy",1,-1)*( IF($K$8="call",B204*NORMDIST(I204,0,1,1) - $B$8*NORMDIST(J204,0,1,1),$B$8*NORMDIST(-J204,0,1,1) - B204*NORMDIST(-I204,0,1,1) ) - $G$8) * $P$8</f>
        <v>3.89827801664401</v>
      </c>
      <c r="I204" s="26" t="n">
        <f aca="false">(LN(B204/$B$8)+($H$8^2/2)*($J$8))/($H$8*SQRT($J$8))</f>
        <v>0.0417796975011509</v>
      </c>
      <c r="J204" s="26" t="n">
        <f aca="false">I204 - $H$8*SQRT($J$8)</f>
        <v>-0.0417796975011509</v>
      </c>
    </row>
    <row r="205" customFormat="false" ht="13.5" hidden="false" customHeight="true" outlineLevel="0" collapsed="false">
      <c r="B205" s="29" t="n">
        <f aca="false">B175</f>
        <v>74</v>
      </c>
      <c r="C205" s="25" t="n">
        <f aca="false">IF($O$8="sell",-1,1) *  IF($K$8="call",  NORMDIST(I205,0,1,1),  NORMDIST(I205,0,1,1)-1  ) * $P$8</f>
        <v>-1.6419215072224</v>
      </c>
      <c r="D205" s="25" t="n">
        <f aca="false">IF($O$8="sell",-1,1) * NORMDIST(I205,0,1,0)/(B205*$H$8*SQRT($J$8)) * $P$8</f>
        <v>0.192192520856173</v>
      </c>
      <c r="E205" s="25" t="n">
        <f aca="false">IF($O$8="sell",-1,1) * (B205*NORMDIST(I205,0,1,0)*SQRT($J$8)/365) * $P$8</f>
        <v>0.0252223709402034</v>
      </c>
      <c r="F205" s="25" t="n">
        <f aca="false">IF($O$8="sell",-1,1) * (-(B205*NORMDIST(I205,0,1,0)*$H$8)/(2*SQRT($J$8))/365) *$P$8</f>
        <v>-0.918545152103958</v>
      </c>
      <c r="G205" s="25" t="n">
        <f aca="false">IF($O$8="buy",1,-1)*( IF($K$8="call",B205*NORMDIST(I205,0,1,1) - $B$8*NORMDIST(J205,0,1,1),$B$8*NORMDIST(-J205,0,1,1) - B205*NORMDIST(-I205,0,1,1) ) - $G$8) * $P$8</f>
        <v>5.444128677796</v>
      </c>
      <c r="I205" s="26" t="n">
        <f aca="false">(LN(B205/$B$8)+($H$8^2/2)*($J$8))/($H$8*SQRT($J$8))</f>
        <v>-0.11886077065651</v>
      </c>
      <c r="J205" s="26" t="n">
        <f aca="false">I205 - $H$8*SQRT($J$8)</f>
        <v>-0.202420165658812</v>
      </c>
    </row>
    <row r="206" customFormat="false" ht="13.5" hidden="false" customHeight="true" outlineLevel="0" collapsed="false">
      <c r="B206" s="29" t="n">
        <f aca="false">B176</f>
        <v>73</v>
      </c>
      <c r="C206" s="25" t="n">
        <f aca="false">IF($O$8="sell",-1,1) *  IF($K$8="call",  NORMDIST(I206,0,1,1),  NORMDIST(I206,0,1,1)-1  ) * $P$8</f>
        <v>-1.83272458865863</v>
      </c>
      <c r="D206" s="25" t="n">
        <f aca="false">IF($O$8="sell",-1,1) * NORMDIST(I206,0,1,0)/(B206*$H$8*SQRT($J$8)) * $P$8</f>
        <v>0.188574550823667</v>
      </c>
      <c r="E206" s="25" t="n">
        <f aca="false">IF($O$8="sell",-1,1) * (B206*NORMDIST(I206,0,1,0)*SQRT($J$8)/365) * $P$8</f>
        <v>0.0240832330347921</v>
      </c>
      <c r="F206" s="25" t="n">
        <f aca="false">IF($O$8="sell",-1,1) * (-(B206*NORMDIST(I206,0,1,0)*$H$8)/(2*SQRT($J$8))/365) *$P$8</f>
        <v>-0.87706017025693</v>
      </c>
      <c r="G206" s="25" t="n">
        <f aca="false">IF($O$8="buy",1,-1)*( IF($K$8="call",B206*NORMDIST(I206,0,1,1) - $B$8*NORMDIST(J206,0,1,1),$B$8*NORMDIST(-J206,0,1,1) - B206*NORMDIST(-I206,0,1,1) ) - $G$8) * $P$8</f>
        <v>7.1817533368308</v>
      </c>
      <c r="I206" s="26" t="n">
        <f aca="false">(LN(B206/$B$8)+($H$8^2/2)*($J$8))/($H$8*SQRT($J$8))</f>
        <v>-0.281686890393301</v>
      </c>
      <c r="J206" s="26" t="n">
        <f aca="false">I206 - $H$8*SQRT($J$8)</f>
        <v>-0.365246285395603</v>
      </c>
    </row>
    <row r="207" customFormat="false" ht="13.5" hidden="false" customHeight="true" outlineLevel="0" collapsed="false">
      <c r="B207" s="29" t="n">
        <f aca="false">B177</f>
        <v>72</v>
      </c>
      <c r="C207" s="25" t="n">
        <f aca="false">IF($O$8="sell",-1,1) *  IF($K$8="call",  NORMDIST(I207,0,1,1),  NORMDIST(I207,0,1,1)-1  ) * $P$8</f>
        <v>-2.01742633906643</v>
      </c>
      <c r="D207" s="25" t="n">
        <f aca="false">IF($O$8="sell",-1,1) * NORMDIST(I207,0,1,0)/(B207*$H$8*SQRT($J$8)) * $P$8</f>
        <v>0.180037239316504</v>
      </c>
      <c r="E207" s="25" t="n">
        <f aca="false">IF($O$8="sell",-1,1) * (B207*NORMDIST(I207,0,1,0)*SQRT($J$8)/365) * $P$8</f>
        <v>0.0223672876834197</v>
      </c>
      <c r="F207" s="25" t="n">
        <f aca="false">IF($O$8="sell",-1,1) * (-(B207*NORMDIST(I207,0,1,0)*$H$8)/(2*SQRT($J$8))/365) *$P$8</f>
        <v>-0.814569086943817</v>
      </c>
      <c r="G207" s="25" t="n">
        <f aca="false">IF($O$8="buy",1,-1)*( IF($K$8="call",B207*NORMDIST(I207,0,1,1) - $B$8*NORMDIST(J207,0,1,1),$B$8*NORMDIST(-J207,0,1,1) - B207*NORMDIST(-I207,0,1,1) ) - $G$8) * $P$8</f>
        <v>9.1075409171613</v>
      </c>
      <c r="I207" s="26" t="n">
        <f aca="false">(LN(B207/$B$8)+($H$8^2/2)*($J$8))/($H$8*SQRT($J$8))</f>
        <v>-0.446758958375076</v>
      </c>
      <c r="J207" s="26" t="n">
        <f aca="false">I207 - $H$8*SQRT($J$8)</f>
        <v>-0.530318353377378</v>
      </c>
    </row>
    <row r="208" customFormat="false" ht="13.5" hidden="false" customHeight="true" outlineLevel="0" collapsed="false">
      <c r="B208" s="29" t="n">
        <f aca="false">B178</f>
        <v>71</v>
      </c>
      <c r="C208" s="25" t="n">
        <f aca="false">IF($O$8="sell",-1,1) *  IF($K$8="call",  NORMDIST(I208,0,1,1),  NORMDIST(I208,0,1,1)-1  ) * $P$8</f>
        <v>-2.19131557638958</v>
      </c>
      <c r="D208" s="25" t="n">
        <f aca="false">IF($O$8="sell",-1,1) * NORMDIST(I208,0,1,0)/(B208*$H$8*SQRT($J$8)) * $P$8</f>
        <v>0.167061647698931</v>
      </c>
      <c r="E208" s="25" t="n">
        <f aca="false">IF($O$8="sell",-1,1) * (B208*NORMDIST(I208,0,1,0)*SQRT($J$8)/365) * $P$8</f>
        <v>0.0201827083163477</v>
      </c>
      <c r="F208" s="25" t="n">
        <f aca="false">IF($O$8="sell",-1,1) * (-(B208*NORMDIST(I208,0,1,0)*$H$8)/(2*SQRT($J$8))/365) *$P$8</f>
        <v>-0.735011348626213</v>
      </c>
      <c r="G208" s="25" t="n">
        <f aca="false">IF($O$8="buy",1,-1)*( IF($K$8="call",B208*NORMDIST(I208,0,1,1) - $B$8*NORMDIST(J208,0,1,1),$B$8*NORMDIST(-J208,0,1,1) - B208*NORMDIST(-I208,0,1,1) ) - $G$8) * $P$8</f>
        <v>11.2129943551781</v>
      </c>
      <c r="I208" s="26" t="n">
        <f aca="false">(LN(B208/$B$8)+($H$8^2/2)*($J$8))/($H$8*SQRT($J$8))</f>
        <v>-0.614139801359334</v>
      </c>
      <c r="J208" s="26" t="n">
        <f aca="false">I208 - $H$8*SQRT($J$8)</f>
        <v>-0.697699196361636</v>
      </c>
    </row>
    <row r="209" customFormat="false" ht="13.5" hidden="false" customHeight="true" outlineLevel="0" collapsed="false">
      <c r="B209" s="29" t="n">
        <f aca="false">B179</f>
        <v>70</v>
      </c>
      <c r="C209" s="25" t="n">
        <f aca="false">IF($O$8="sell",-1,1) *  IF($K$8="call",  NORMDIST(I209,0,1,1),  NORMDIST(I209,0,1,1)-1  ) * $P$8</f>
        <v>-2.35034734355184</v>
      </c>
      <c r="D209" s="25" t="n">
        <f aca="false">IF($O$8="sell",-1,1) * NORMDIST(I209,0,1,0)/(B209*$H$8*SQRT($J$8)) * $P$8</f>
        <v>0.150488362013302</v>
      </c>
      <c r="E209" s="25" t="n">
        <f aca="false">IF($O$8="sell",-1,1) * (B209*NORMDIST(I209,0,1,0)*SQRT($J$8)/365) * $P$8</f>
        <v>0.0176719706283111</v>
      </c>
      <c r="F209" s="25" t="n">
        <f aca="false">IF($O$8="sell",-1,1) * (-(B209*NORMDIST(I209,0,1,0)*$H$8)/(2*SQRT($J$8))/365) *$P$8</f>
        <v>-0.643575617345504</v>
      </c>
      <c r="G209" s="25" t="n">
        <f aca="false">IF($O$8="buy",1,-1)*( IF($K$8="call",B209*NORMDIST(I209,0,1,1) - $B$8*NORMDIST(J209,0,1,1),$B$8*NORMDIST(-J209,0,1,1) - B209*NORMDIST(-I209,0,1,1) ) - $G$8) * $P$8</f>
        <v>13.4852084850515</v>
      </c>
      <c r="I209" s="26" t="n">
        <f aca="false">(LN(B209/$B$8)+($H$8^2/2)*($J$8))/($H$8*SQRT($J$8))</f>
        <v>-0.783894919758237</v>
      </c>
      <c r="J209" s="26" t="n">
        <f aca="false">I209 - $H$8*SQRT($J$8)</f>
        <v>-0.867454314760538</v>
      </c>
    </row>
    <row r="210" customFormat="false" ht="13.5" hidden="false" customHeight="true" outlineLevel="0" collapsed="false">
      <c r="B210" s="29" t="n">
        <f aca="false">B180</f>
        <v>69</v>
      </c>
      <c r="C210" s="25" t="n">
        <f aca="false">IF($O$8="sell",-1,1) *  IF($K$8="call",  NORMDIST(I210,0,1,1),  NORMDIST(I210,0,1,1)-1  ) * $P$8</f>
        <v>-2.49146185182731</v>
      </c>
      <c r="D210" s="25" t="n">
        <f aca="false">IF($O$8="sell",-1,1) * NORMDIST(I210,0,1,0)/(B210*$H$8*SQRT($J$8)) * $P$8</f>
        <v>0.1314285743022</v>
      </c>
      <c r="E210" s="25" t="n">
        <f aca="false">IF($O$8="sell",-1,1) * (B210*NORMDIST(I210,0,1,0)*SQRT($J$8)/365) * $P$8</f>
        <v>0.0149959493250115</v>
      </c>
      <c r="F210" s="25" t="n">
        <f aca="false">IF($O$8="sell",-1,1) * (-(B210*NORMDIST(I210,0,1,0)*$H$8)/(2*SQRT($J$8))/365) *$P$8</f>
        <v>-0.546120608024604</v>
      </c>
      <c r="G210" s="25" t="n">
        <f aca="false">IF($O$8="buy",1,-1)*( IF($K$8="call",B210*NORMDIST(I210,0,1,1) - $B$8*NORMDIST(J210,0,1,1),$B$8*NORMDIST(-J210,0,1,1) - B210*NORMDIST(-I210,0,1,1) ) - $G$8) * $P$8</f>
        <v>15.9077031626546</v>
      </c>
      <c r="I210" s="26" t="n">
        <f aca="false">(LN(B210/$B$8)+($H$8^2/2)*($J$8))/($H$8*SQRT($J$8))</f>
        <v>-0.956092641530914</v>
      </c>
      <c r="J210" s="26" t="n">
        <f aca="false">I210 - $H$8*SQRT($J$8)</f>
        <v>-1.03965203653322</v>
      </c>
    </row>
    <row r="211" customFormat="false" ht="13.5" hidden="false" customHeight="true" outlineLevel="0" collapsed="false">
      <c r="B211" s="29" t="n">
        <f aca="false">B181</f>
        <v>68</v>
      </c>
      <c r="C211" s="25" t="n">
        <f aca="false">IF($O$8="sell",-1,1) *  IF($K$8="call",  NORMDIST(I211,0,1,1),  NORMDIST(I211,0,1,1)-1  ) * $P$8</f>
        <v>-2.61279378743417</v>
      </c>
      <c r="D211" s="25" t="n">
        <f aca="false">IF($O$8="sell",-1,1) * NORMDIST(I211,0,1,0)/(B211*$H$8*SQRT($J$8)) * $P$8</f>
        <v>0.11113656315058</v>
      </c>
      <c r="E211" s="25" t="n">
        <f aca="false">IF($O$8="sell",-1,1) * (B211*NORMDIST(I211,0,1,0)*SQRT($J$8)/365) * $P$8</f>
        <v>0.0123157474217065</v>
      </c>
      <c r="F211" s="25" t="n">
        <f aca="false">IF($O$8="sell",-1,1) * (-(B211*NORMDIST(I211,0,1,0)*$H$8)/(2*SQRT($J$8))/365) *$P$8</f>
        <v>-0.448513350135278</v>
      </c>
      <c r="G211" s="25" t="n">
        <f aca="false">IF($O$8="buy",1,-1)*( IF($K$8="call",B211*NORMDIST(I211,0,1,1) - $B$8*NORMDIST(J211,0,1,1),$B$8*NORMDIST(-J211,0,1,1) - B211*NORMDIST(-I211,0,1,1) ) - $G$8) * $P$8</f>
        <v>18.4615237430477</v>
      </c>
      <c r="I211" s="26" t="n">
        <f aca="false">(LN(B211/$B$8)+($H$8^2/2)*($J$8))/($H$8*SQRT($J$8))</f>
        <v>-1.13080428730995</v>
      </c>
      <c r="J211" s="26" t="n">
        <f aca="false">I211 - $H$8*SQRT($J$8)</f>
        <v>-1.21436368231225</v>
      </c>
    </row>
    <row r="212" customFormat="false" ht="13.5" hidden="false" customHeight="true" outlineLevel="0" collapsed="false">
      <c r="B212" s="29" t="n">
        <f aca="false">B182</f>
        <v>67</v>
      </c>
      <c r="C212" s="25" t="n">
        <f aca="false">IF($O$8="sell",-1,1) *  IF($K$8="call",  NORMDIST(I212,0,1,1),  NORMDIST(I212,0,1,1)-1  ) * $P$8</f>
        <v>-2.71374312151109</v>
      </c>
      <c r="D212" s="25" t="n">
        <f aca="false">IF($O$8="sell",-1,1) * NORMDIST(I212,0,1,0)/(B212*$H$8*SQRT($J$8)) * $P$8</f>
        <v>0.0908641473999768</v>
      </c>
      <c r="E212" s="25" t="n">
        <f aca="false">IF($O$8="sell",-1,1) * (B212*NORMDIST(I212,0,1,0)*SQRT($J$8)/365) * $P$8</f>
        <v>0.00977525616540365</v>
      </c>
      <c r="F212" s="25" t="n">
        <f aca="false">IF($O$8="sell",-1,1) * (-(B212*NORMDIST(I212,0,1,0)*$H$8)/(2*SQRT($J$8))/365) *$P$8</f>
        <v>-0.355994057124649</v>
      </c>
      <c r="G212" s="25" t="n">
        <f aca="false">IF($O$8="buy",1,-1)*( IF($K$8="call",B212*NORMDIST(I212,0,1,1) - $B$8*NORMDIST(J212,0,1,1),$B$8*NORMDIST(-J212,0,1,1) - B212*NORMDIST(-I212,0,1,1) ) - $G$8) * $P$8</f>
        <v>21.1264831244054</v>
      </c>
      <c r="I212" s="26" t="n">
        <f aca="false">(LN(B212/$B$8)+($H$8^2/2)*($J$8))/($H$8*SQRT($J$8))</f>
        <v>-1.30810434776075</v>
      </c>
      <c r="J212" s="26" t="n">
        <f aca="false">I212 - $H$8*SQRT($J$8)</f>
        <v>-1.39166374276306</v>
      </c>
    </row>
    <row r="213" customFormat="false" ht="13.5" hidden="false" customHeight="true" outlineLevel="0" collapsed="false">
      <c r="B213" s="29" t="n">
        <f aca="false">B183</f>
        <v>66</v>
      </c>
      <c r="C213" s="25" t="n">
        <f aca="false">IF($O$8="sell",-1,1) *  IF($K$8="call",  NORMDIST(I213,0,1,1),  NORMDIST(I213,0,1,1)-1  ) * $P$8</f>
        <v>-2.79490161552386</v>
      </c>
      <c r="D213" s="25" t="n">
        <f aca="false">IF($O$8="sell",-1,1) * NORMDIST(I213,0,1,0)/(B213*$H$8*SQRT($J$8)) * $P$8</f>
        <v>0.0717217973585988</v>
      </c>
      <c r="E213" s="25" t="n">
        <f aca="false">IF($O$8="sell",-1,1) * (B213*NORMDIST(I213,0,1,0)*SQRT($J$8)/365) * $P$8</f>
        <v>0.00748729632325812</v>
      </c>
      <c r="F213" s="25" t="n">
        <f aca="false">IF($O$8="sell",-1,1) * (-(B213*NORMDIST(I213,0,1,0)*$H$8)/(2*SQRT($J$8))/365) *$P$8</f>
        <v>-0.272671421588374</v>
      </c>
      <c r="G213" s="25" t="n">
        <f aca="false">IF($O$8="buy",1,-1)*( IF($K$8="call",B213*NORMDIST(I213,0,1,1) - $B$8*NORMDIST(J213,0,1,1),$B$8*NORMDIST(-J213,0,1,1) - B213*NORMDIST(-I213,0,1,1) ) - $G$8) * $P$8</f>
        <v>23.8824018928834</v>
      </c>
      <c r="I213" s="26" t="n">
        <f aca="false">(LN(B213/$B$8)+($H$8^2/2)*($J$8))/($H$8*SQRT($J$8))</f>
        <v>-1.48807067427767</v>
      </c>
      <c r="J213" s="26" t="n">
        <f aca="false">I213 - $H$8*SQRT($J$8)</f>
        <v>-1.57163006927998</v>
      </c>
    </row>
    <row r="214" customFormat="false" ht="13.5" hidden="false" customHeight="true" outlineLevel="0" collapsed="false">
      <c r="B214" s="29" t="n">
        <f aca="false">B184</f>
        <v>65</v>
      </c>
      <c r="C214" s="25" t="n">
        <f aca="false">IF($O$8="sell",-1,1) *  IF($K$8="call",  NORMDIST(I214,0,1,1),  NORMDIST(I214,0,1,1)-1  ) * $P$8</f>
        <v>-2.85785367782414</v>
      </c>
      <c r="D214" s="25" t="n">
        <f aca="false">IF($O$8="sell",-1,1) * NORMDIST(I214,0,1,0)/(B214*$H$8*SQRT($J$8)) * $P$8</f>
        <v>0.054569690884051</v>
      </c>
      <c r="E214" s="25" t="n">
        <f aca="false">IF($O$8="sell",-1,1) * (B214*NORMDIST(I214,0,1,0)*SQRT($J$8)/365) * $P$8</f>
        <v>0.00552540597302066</v>
      </c>
      <c r="F214" s="25" t="n">
        <f aca="false">IF($O$8="sell",-1,1) * (-(B214*NORMDIST(I214,0,1,0)*$H$8)/(2*SQRT($J$8))/365) *$P$8</f>
        <v>-0.20122354404972</v>
      </c>
      <c r="G214" s="25" t="n">
        <f aca="false">IF($O$8="buy",1,-1)*( IF($K$8="call",B214*NORMDIST(I214,0,1,1) - $B$8*NORMDIST(J214,0,1,1),$B$8*NORMDIST(-J214,0,1,1) - B214*NORMDIST(-I214,0,1,1) ) - $G$8) * $P$8</f>
        <v>26.7102096434159</v>
      </c>
      <c r="I214" s="26" t="n">
        <f aca="false">(LN(B214/$B$8)+($H$8^2/2)*($J$8))/($H$8*SQRT($J$8))</f>
        <v>-1.67078468423871</v>
      </c>
      <c r="J214" s="26" t="n">
        <f aca="false">I214 - $H$8*SQRT($J$8)</f>
        <v>-1.75434407924101</v>
      </c>
    </row>
    <row r="215" customFormat="false" ht="13.5" hidden="false" customHeight="true" outlineLevel="0" collapsed="false">
      <c r="B215" s="29" t="n">
        <f aca="false">B185</f>
        <v>64</v>
      </c>
      <c r="C215" s="25" t="n">
        <f aca="false">IF($O$8="sell",-1,1) *  IF($K$8="call",  NORMDIST(I215,0,1,1),  NORMDIST(I215,0,1,1)-1  ) * $P$8</f>
        <v>-2.90489053479304</v>
      </c>
      <c r="D215" s="25" t="n">
        <f aca="false">IF($O$8="sell",-1,1) * NORMDIST(I215,0,1,0)/(B215*$H$8*SQRT($J$8)) * $P$8</f>
        <v>0.0399552493747701</v>
      </c>
      <c r="E215" s="25" t="n">
        <f aca="false">IF($O$8="sell",-1,1) * (B215*NORMDIST(I215,0,1,0)*SQRT($J$8)/365) * $P$8</f>
        <v>0.00392211008710547</v>
      </c>
      <c r="F215" s="25" t="n">
        <f aca="false">IF($O$8="sell",-1,1) * (-(B215*NORMDIST(I215,0,1,0)*$H$8)/(2*SQRT($J$8))/365) *$P$8</f>
        <v>-0.142834914888446</v>
      </c>
      <c r="G215" s="25" t="n">
        <f aca="false">IF($O$8="buy",1,-1)*( IF($K$8="call",B215*NORMDIST(I215,0,1,1) - $B$8*NORMDIST(J215,0,1,1),$B$8*NORMDIST(-J215,0,1,1) - B215*NORMDIST(-I215,0,1,1) ) - $G$8) * $P$8</f>
        <v>29.5927999261757</v>
      </c>
      <c r="I215" s="26" t="n">
        <f aca="false">(LN(B215/$B$8)+($H$8^2/2)*($J$8))/($H$8*SQRT($J$8))</f>
        <v>-1.85633158217326</v>
      </c>
      <c r="J215" s="26" t="n">
        <f aca="false">I215 - $H$8*SQRT($J$8)</f>
        <v>-1.93989097717556</v>
      </c>
    </row>
    <row r="216" customFormat="false" ht="13.5" hidden="false" customHeight="true" outlineLevel="0" collapsed="false">
      <c r="B216" s="29" t="n">
        <f aca="false">B186</f>
        <v>63</v>
      </c>
      <c r="C216" s="25" t="n">
        <f aca="false">IF($O$8="sell",-1,1) *  IF($K$8="call",  NORMDIST(I216,0,1,1),  NORMDIST(I216,0,1,1)-1  ) * $P$8</f>
        <v>-2.93868821885889</v>
      </c>
      <c r="D216" s="25" t="n">
        <f aca="false">IF($O$8="sell",-1,1) * NORMDIST(I216,0,1,0)/(B216*$H$8*SQRT($J$8)) * $P$8</f>
        <v>0.0281033039340772</v>
      </c>
      <c r="E216" s="25" t="n">
        <f aca="false">IF($O$8="sell",-1,1) * (B216*NORMDIST(I216,0,1,0)*SQRT($J$8)/365) * $P$8</f>
        <v>0.00267315699088057</v>
      </c>
      <c r="F216" s="25" t="n">
        <f aca="false">IF($O$8="sell",-1,1) * (-(B216*NORMDIST(I216,0,1,0)*$H$8)/(2*SQRT($J$8))/365) *$P$8</f>
        <v>-0.0973506971492647</v>
      </c>
      <c r="G216" s="25" t="n">
        <f aca="false">IF($O$8="buy",1,-1)*( IF($K$8="call",B216*NORMDIST(I216,0,1,1) - $B$8*NORMDIST(J216,0,1,1),$B$8*NORMDIST(-J216,0,1,1) - B216*NORMDIST(-I216,0,1,1) ) - $G$8) * $P$8</f>
        <v>32.5155768707354</v>
      </c>
      <c r="I216" s="26" t="n">
        <f aca="false">(LN(B216/$B$8)+($H$8^2/2)*($J$8))/($H$8*SQRT($J$8))</f>
        <v>-2.04480059834679</v>
      </c>
      <c r="J216" s="26" t="n">
        <f aca="false">I216 - $H$8*SQRT($J$8)</f>
        <v>-2.12835999334909</v>
      </c>
    </row>
    <row r="217" customFormat="false" ht="13.5" hidden="false" customHeight="true" outlineLevel="0" collapsed="false">
      <c r="B217" s="29" t="n">
        <f aca="false">B187</f>
        <v>62</v>
      </c>
      <c r="C217" s="25" t="n">
        <f aca="false">IF($O$8="sell",-1,1) *  IF($K$8="call",  NORMDIST(I217,0,1,1),  NORMDIST(I217,0,1,1)-1  ) * $P$8</f>
        <v>-2.962000361632</v>
      </c>
      <c r="D217" s="25" t="n">
        <f aca="false">IF($O$8="sell",-1,1) * NORMDIST(I217,0,1,0)/(B217*$H$8*SQRT($J$8)) * $P$8</f>
        <v>0.0189538367923743</v>
      </c>
      <c r="E217" s="25" t="n">
        <f aca="false">IF($O$8="sell",-1,1) * (B217*NORMDIST(I217,0,1,0)*SQRT($J$8)/365) * $P$8</f>
        <v>0.00174608950321263</v>
      </c>
      <c r="F217" s="25" t="n">
        <f aca="false">IF($O$8="sell",-1,1) * (-(B217*NORMDIST(I217,0,1,0)*$H$8)/(2*SQRT($J$8))/365) *$P$8</f>
        <v>-0.0635888692668098</v>
      </c>
      <c r="G217" s="25" t="n">
        <f aca="false">IF($O$8="buy",1,-1)*( IF($K$8="call",B217*NORMDIST(I217,0,1,1) - $B$8*NORMDIST(J217,0,1,1),$B$8*NORMDIST(-J217,0,1,1) - B217*NORMDIST(-I217,0,1,1) ) - $G$8) * $P$8</f>
        <v>35.4666832233228</v>
      </c>
      <c r="I217" s="26" t="n">
        <f aca="false">(LN(B217/$B$8)+($H$8^2/2)*($J$8))/($H$8*SQRT($J$8))</f>
        <v>-2.23628524643454</v>
      </c>
      <c r="J217" s="26" t="n">
        <f aca="false">I217 - $H$8*SQRT($J$8)</f>
        <v>-2.31984464143684</v>
      </c>
    </row>
    <row r="218" customFormat="false" ht="13.5" hidden="false" customHeight="true" outlineLevel="0" collapsed="false">
      <c r="B218" s="29" t="n">
        <f aca="false">B188</f>
        <v>61</v>
      </c>
      <c r="C218" s="25" t="n">
        <f aca="false">IF($O$8="sell",-1,1) *  IF($K$8="call",  NORMDIST(I218,0,1,1),  NORMDIST(I218,0,1,1)-1  ) * $P$8</f>
        <v>-2.97740692128822</v>
      </c>
      <c r="D218" s="25" t="n">
        <f aca="false">IF($O$8="sell",-1,1) * NORMDIST(I218,0,1,0)/(B218*$H$8*SQRT($J$8)) * $P$8</f>
        <v>0.0122332200884832</v>
      </c>
      <c r="E218" s="25" t="n">
        <f aca="false">IF($O$8="sell",-1,1) * (B218*NORMDIST(I218,0,1,0)*SQRT($J$8)/365) * $P$8</f>
        <v>0.00109090377625485</v>
      </c>
      <c r="F218" s="25" t="n">
        <f aca="false">IF($O$8="sell",-1,1) * (-(B218*NORMDIST(I218,0,1,0)*$H$8)/(2*SQRT($J$8))/365) *$P$8</f>
        <v>-0.039728397360677</v>
      </c>
      <c r="G218" s="25" t="n">
        <f aca="false">IF($O$8="buy",1,-1)*( IF($K$8="call",B218*NORMDIST(I218,0,1,1) - $B$8*NORMDIST(J218,0,1,1),$B$8*NORMDIST(-J218,0,1,1) - B218*NORMDIST(-I218,0,1,1) ) - $G$8) * $P$8</f>
        <v>38.4369463463422</v>
      </c>
      <c r="I218" s="26" t="n">
        <f aca="false">(LN(B218/$B$8)+($H$8^2/2)*($J$8))/($H$8*SQRT($J$8))</f>
        <v>-2.43088360214706</v>
      </c>
      <c r="J218" s="26" t="n">
        <f aca="false">I218 - $H$8*SQRT($J$8)</f>
        <v>-2.51444299714936</v>
      </c>
    </row>
    <row r="219" customFormat="false" ht="13.5" hidden="false" customHeight="true" outlineLevel="0" collapsed="false">
      <c r="B219" s="29" t="n">
        <f aca="false">B189</f>
        <v>60</v>
      </c>
      <c r="C219" s="25" t="n">
        <f aca="false">IF($O$8="sell",-1,1) *  IF($K$8="call",  NORMDIST(I219,0,1,1),  NORMDIST(I219,0,1,1)-1  ) * $P$8</f>
        <v>-2.98714315659283</v>
      </c>
      <c r="D219" s="25" t="n">
        <f aca="false">IF($O$8="sell",-1,1) * NORMDIST(I219,0,1,0)/(B219*$H$8*SQRT($J$8)) * $P$8</f>
        <v>0.00754023898513304</v>
      </c>
      <c r="E219" s="25" t="n">
        <f aca="false">IF($O$8="sell",-1,1) * (B219*NORMDIST(I219,0,1,0)*SQRT($J$8)/365) * $P$8</f>
        <v>0.000650539389110437</v>
      </c>
      <c r="F219" s="25" t="n">
        <f aca="false">IF($O$8="sell",-1,1) * (-(B219*NORMDIST(I219,0,1,0)*$H$8)/(2*SQRT($J$8))/365) *$P$8</f>
        <v>-0.0236912621552003</v>
      </c>
      <c r="G219" s="25" t="n">
        <f aca="false">IF($O$8="buy",1,-1)*( IF($K$8="call",B219*NORMDIST(I219,0,1,1) - $B$8*NORMDIST(J219,0,1,1),$B$8*NORMDIST(-J219,0,1,1) - B219*NORMDIST(-I219,0,1,1) ) - $G$8) * $P$8</f>
        <v>41.4196118373696</v>
      </c>
      <c r="I219" s="26" t="n">
        <f aca="false">(LN(B219/$B$8)+($H$8^2/2)*($J$8))/($H$8*SQRT($J$8))</f>
        <v>-2.62869860488559</v>
      </c>
      <c r="J219" s="26" t="n">
        <f aca="false">I219 - $H$8*SQRT($J$8)</f>
        <v>-2.71225799988789</v>
      </c>
    </row>
    <row r="220" customFormat="false" ht="13.5" hidden="false" customHeight="true" outlineLevel="0" collapsed="false">
      <c r="B220" s="29" t="n">
        <f aca="false">B190</f>
        <v>59</v>
      </c>
      <c r="C220" s="25" t="n">
        <f aca="false">IF($O$8="sell",-1,1) *  IF($K$8="call",  NORMDIST(I220,0,1,1),  NORMDIST(I220,0,1,1)-1  ) * $P$8</f>
        <v>-2.99301427159213</v>
      </c>
      <c r="D220" s="25" t="n">
        <f aca="false">IF($O$8="sell",-1,1) * NORMDIST(I220,0,1,0)/(B220*$H$8*SQRT($J$8)) * $P$8</f>
        <v>0.00442865767940966</v>
      </c>
      <c r="E220" s="25" t="n">
        <f aca="false">IF($O$8="sell",-1,1) * (B220*NORMDIST(I220,0,1,0)*SQRT($J$8)/365) * $P$8</f>
        <v>0.000369455487253364</v>
      </c>
      <c r="F220" s="25" t="n">
        <f aca="false">IF($O$8="sell",-1,1) * (-(B220*NORMDIST(I220,0,1,0)*$H$8)/(2*SQRT($J$8))/365) *$P$8</f>
        <v>-0.0134547837528571</v>
      </c>
      <c r="G220" s="25" t="n">
        <f aca="false">IF($O$8="buy",1,-1)*( IF($K$8="call",B220*NORMDIST(I220,0,1,1) - $B$8*NORMDIST(J220,0,1,1),$B$8*NORMDIST(-J220,0,1,1) - B220*NORMDIST(-I220,0,1,1) ) - $G$8) * $P$8</f>
        <v>44.409949252432</v>
      </c>
      <c r="I220" s="26" t="n">
        <f aca="false">(LN(B220/$B$8)+($H$8^2/2)*($J$8))/($H$8*SQRT($J$8))</f>
        <v>-2.82983838475018</v>
      </c>
      <c r="J220" s="26" t="n">
        <f aca="false">I220 - $H$8*SQRT($J$8)</f>
        <v>-2.91339777975248</v>
      </c>
    </row>
    <row r="221" customFormat="false" ht="13.5" hidden="false" customHeight="true" outlineLevel="0" collapsed="false">
      <c r="B221" s="29" t="n">
        <f aca="false">B191</f>
        <v>58</v>
      </c>
      <c r="C221" s="25" t="n">
        <f aca="false">IF($O$8="sell",-1,1) *  IF($K$8="call",  NORMDIST(I221,0,1,1),  NORMDIST(I221,0,1,1)-1  ) * $P$8</f>
        <v>-2.99638497952384</v>
      </c>
      <c r="D221" s="25" t="n">
        <f aca="false">IF($O$8="sell",-1,1) * NORMDIST(I221,0,1,0)/(B221*$H$8*SQRT($J$8)) * $P$8</f>
        <v>0.00247277623744344</v>
      </c>
      <c r="E221" s="25" t="n">
        <f aca="false">IF($O$8="sell",-1,1) * (B221*NORMDIST(I221,0,1,0)*SQRT($J$8)/365) * $P$8</f>
        <v>0.000199354843476369</v>
      </c>
      <c r="F221" s="25" t="n">
        <f aca="false">IF($O$8="sell",-1,1) * (-(B221*NORMDIST(I221,0,1,0)*$H$8)/(2*SQRT($J$8))/365) *$P$8</f>
        <v>-0.00726007977036698</v>
      </c>
      <c r="G221" s="25" t="n">
        <f aca="false">IF($O$8="buy",1,-1)*( IF($K$8="call",B221*NORMDIST(I221,0,1,1) - $B$8*NORMDIST(J221,0,1,1),$B$8*NORMDIST(-J221,0,1,1) - B221*NORMDIST(-I221,0,1,1) ) - $G$8) * $P$8</f>
        <v>47.4048113609445</v>
      </c>
      <c r="I221" s="26" t="n">
        <f aca="false">(LN(B221/$B$8)+($H$8^2/2)*($J$8))/($H$8*SQRT($J$8))</f>
        <v>-3.03441661750102</v>
      </c>
      <c r="J221" s="26" t="n">
        <f aca="false">I221 - $H$8*SQRT($J$8)</f>
        <v>-3.11797601250332</v>
      </c>
    </row>
    <row r="222" customFormat="false" ht="13.5" hidden="false" customHeight="true" outlineLevel="0" collapsed="false">
      <c r="B222" s="29" t="n">
        <f aca="false">B192</f>
        <v>57</v>
      </c>
      <c r="C222" s="25" t="n">
        <f aca="false">IF($O$8="sell",-1,1) *  IF($K$8="call",  NORMDIST(I222,0,1,1),  NORMDIST(I222,0,1,1)-1  ) * $P$8</f>
        <v>-2.99822304075854</v>
      </c>
      <c r="D222" s="25" t="n">
        <f aca="false">IF($O$8="sell",-1,1) * NORMDIST(I222,0,1,0)/(B222*$H$8*SQRT($J$8)) * $P$8</f>
        <v>0.00130931049750831</v>
      </c>
      <c r="E222" s="25" t="n">
        <f aca="false">IF($O$8="sell",-1,1) * (B222*NORMDIST(I222,0,1,0)*SQRT($J$8)/365) * $P$8</f>
        <v>0.000101947914744893</v>
      </c>
      <c r="F222" s="25" t="n">
        <f aca="false">IF($O$8="sell",-1,1) * (-(B222*NORMDIST(I222,0,1,0)*$H$8)/(2*SQRT($J$8))/365) *$P$8</f>
        <v>-0.00371272641569016</v>
      </c>
      <c r="G222" s="25" t="n">
        <f aca="false">IF($O$8="buy",1,-1)*( IF($K$8="call",B222*NORMDIST(I222,0,1,1) - $B$8*NORMDIST(J222,0,1,1),$B$8*NORMDIST(-J222,0,1,1) - B222*NORMDIST(-I222,0,1,1) ) - $G$8) * $P$8</f>
        <v>50.4022119343169</v>
      </c>
      <c r="I222" s="26" t="n">
        <f aca="false">(LN(B222/$B$8)+($H$8^2/2)*($J$8))/($H$8*SQRT($J$8))</f>
        <v>-3.24255291039053</v>
      </c>
      <c r="J222" s="26" t="n">
        <f aca="false">I222 - $H$8*SQRT($J$8)</f>
        <v>-3.32611230539283</v>
      </c>
    </row>
    <row r="223" customFormat="false" ht="13.5" hidden="false" customHeight="true" outlineLevel="0" collapsed="false">
      <c r="B223" s="30"/>
      <c r="C223" s="22"/>
      <c r="D223" s="22"/>
      <c r="E223" s="22"/>
      <c r="F223" s="22"/>
      <c r="G223" s="22"/>
      <c r="I223" s="31"/>
      <c r="J223" s="31"/>
    </row>
    <row r="224" customFormat="false" ht="13.5" hidden="false" customHeight="true" outlineLevel="0" collapsed="false">
      <c r="B224" s="30"/>
      <c r="C224" s="22"/>
      <c r="D224" s="22"/>
      <c r="E224" s="22"/>
      <c r="F224" s="22"/>
      <c r="G224" s="22"/>
      <c r="I224" s="31"/>
      <c r="J224" s="31"/>
    </row>
    <row r="225" customFormat="false" ht="13.5" hidden="false" customHeight="true" outlineLevel="0" collapsed="false">
      <c r="B225" s="23"/>
      <c r="C225" s="19" t="s">
        <v>13</v>
      </c>
      <c r="D225" s="19" t="s">
        <v>14</v>
      </c>
      <c r="E225" s="19" t="s">
        <v>15</v>
      </c>
      <c r="F225" s="19" t="s">
        <v>16</v>
      </c>
      <c r="G225" s="19" t="s">
        <v>17</v>
      </c>
      <c r="I225" s="19" t="s">
        <v>158</v>
      </c>
      <c r="J225" s="19" t="s">
        <v>159</v>
      </c>
    </row>
    <row r="226" customFormat="false" ht="13.5" hidden="false" customHeight="true" outlineLevel="0" collapsed="false">
      <c r="A226" s="2" t="str">
        <f aca="false">A9</f>
        <v>SOL-24APR26-78-P-USDT</v>
      </c>
      <c r="B226" s="29" t="n">
        <f aca="false">B196</f>
        <v>83</v>
      </c>
      <c r="C226" s="25" t="n">
        <f aca="false">IF($O$9="sell",-1,1) *  IF($K$9="call",  NORMDIST(I226,0,1,1),  NORMDIST(I226,0,1,1)-1  ) * $P$9</f>
        <v>-0.58392383764914</v>
      </c>
      <c r="D226" s="25" t="n">
        <f aca="false">IF($O$9="sell",-1,1) * NORMDIST(I226,0,1,0)/(B226*$H$9*SQRT($J$9)) * $P$9</f>
        <v>0.13188299779992</v>
      </c>
      <c r="E226" s="25" t="n">
        <f aca="false">IF($O$9="sell",-1,1) * (B226*NORMDIST(I226,0,1,0)*SQRT($J$9)/365) * $P$9</f>
        <v>0.0196677428920779</v>
      </c>
      <c r="F226" s="25" t="n">
        <f aca="false">IF($O$9="sell",-1,1) * (-(B226*NORMDIST(I226,0,1,0)*$H$9)/(2*SQRT($J$9))/365) *$P$9</f>
        <v>-0.646982694774211</v>
      </c>
      <c r="G226" s="25" t="n">
        <f aca="false">IF($O$9="buy",1,-1)*( IF($K$9="call",B226*NORMDIST(I226,0,1,1) - $B$9*NORMDIST(J226,0,1,1),$B$9*NORMDIST(-J226,0,1,1) - B226*NORMDIST(-I226,0,1,1) ) - $G$9) * $P$9</f>
        <v>-3.11888841666186</v>
      </c>
      <c r="I226" s="26" t="n">
        <f aca="false">(LN(B226/$B$9)+($H$9^2/2)*($J$9))/($H$9*SQRT($J$9))</f>
        <v>0.860919177811763</v>
      </c>
      <c r="J226" s="26" t="n">
        <f aca="false">I226 - $H$9*SQRT($J$9)</f>
        <v>0.785441448174254</v>
      </c>
    </row>
    <row r="227" customFormat="false" ht="13.5" hidden="false" customHeight="true" outlineLevel="0" collapsed="false">
      <c r="B227" s="29" t="n">
        <f aca="false">B197</f>
        <v>82</v>
      </c>
      <c r="C227" s="25" t="n">
        <f aca="false">IF($O$9="sell",-1,1) *  IF($K$9="call",  NORMDIST(I227,0,1,1),  NORMDIST(I227,0,1,1)-1  ) * $P$9</f>
        <v>-0.725587494168829</v>
      </c>
      <c r="D227" s="25" t="n">
        <f aca="false">IF($O$9="sell",-1,1) * NORMDIST(I227,0,1,0)/(B227*$H$9*SQRT($J$9)) * $P$9</f>
        <v>0.15132057248285</v>
      </c>
      <c r="E227" s="25" t="n">
        <f aca="false">IF($O$9="sell",-1,1) * (B227*NORMDIST(I227,0,1,0)*SQRT($J$9)/365) * $P$9</f>
        <v>0.0220259783277657</v>
      </c>
      <c r="F227" s="25" t="n">
        <f aca="false">IF($O$9="sell",-1,1) * (-(B227*NORMDIST(I227,0,1,0)*$H$9)/(2*SQRT($J$9))/365) *$P$9</f>
        <v>-0.724558323328308</v>
      </c>
      <c r="G227" s="25" t="n">
        <f aca="false">IF($O$9="buy",1,-1)*( IF($K$9="call",B227*NORMDIST(I227,0,1,1) - $B$9*NORMDIST(J227,0,1,1),$B$9*NORMDIST(-J227,0,1,1) - B227*NORMDIST(-I227,0,1,1) ) - $G$9) * $P$9</f>
        <v>-2.46575416978373</v>
      </c>
      <c r="I227" s="26" t="n">
        <f aca="false">(LN(B227/$B$9)+($H$9^2/2)*($J$9))/($H$9*SQRT($J$9))</f>
        <v>0.70032398515614</v>
      </c>
      <c r="J227" s="26" t="n">
        <f aca="false">I227 - $H$9*SQRT($J$9)</f>
        <v>0.624846255518631</v>
      </c>
    </row>
    <row r="228" customFormat="false" ht="13.5" hidden="false" customHeight="true" outlineLevel="0" collapsed="false">
      <c r="B228" s="29" t="n">
        <f aca="false">B198</f>
        <v>81</v>
      </c>
      <c r="C228" s="25" t="n">
        <f aca="false">IF($O$9="sell",-1,1) *  IF($K$9="call",  NORMDIST(I228,0,1,1),  NORMDIST(I228,0,1,1)-1  ) * $P$9</f>
        <v>-0.886115937952294</v>
      </c>
      <c r="D228" s="25" t="n">
        <f aca="false">IF($O$9="sell",-1,1) * NORMDIST(I228,0,1,0)/(B228*$H$9*SQRT($J$9)) * $P$9</f>
        <v>0.169407244996181</v>
      </c>
      <c r="E228" s="25" t="n">
        <f aca="false">IF($O$9="sell",-1,1) * (B228*NORMDIST(I228,0,1,0)*SQRT($J$9)/365) * $P$9</f>
        <v>0.0240608820781919</v>
      </c>
      <c r="F228" s="25" t="n">
        <f aca="false">IF($O$9="sell",-1,1) * (-(B228*NORMDIST(I228,0,1,0)*$H$9)/(2*SQRT($J$9))/365) *$P$9</f>
        <v>-0.791497754013423</v>
      </c>
      <c r="G228" s="25" t="n">
        <f aca="false">IF($O$9="buy",1,-1)*( IF($K$9="call",B228*NORMDIST(I228,0,1,1) - $B$9*NORMDIST(J228,0,1,1),$B$9*NORMDIST(-J228,0,1,1) - B228*NORMDIST(-I228,0,1,1) ) - $G$9) * $P$9</f>
        <v>-1.66141145392869</v>
      </c>
      <c r="I228" s="26" t="n">
        <f aca="false">(LN(B228/$B$9)+($H$9^2/2)*($J$9))/($H$9*SQRT($J$9))</f>
        <v>0.537758250193748</v>
      </c>
      <c r="J228" s="26" t="n">
        <f aca="false">I228 - $H$9*SQRT($J$9)</f>
        <v>0.462280520556239</v>
      </c>
    </row>
    <row r="229" customFormat="false" ht="13.5" hidden="false" customHeight="true" outlineLevel="0" collapsed="false">
      <c r="B229" s="29" t="n">
        <f aca="false">B199</f>
        <v>80</v>
      </c>
      <c r="C229" s="25" t="n">
        <f aca="false">IF($O$9="sell",-1,1) *  IF($K$9="call",  NORMDIST(I229,0,1,1),  NORMDIST(I229,0,1,1)-1  ) * $P$9</f>
        <v>-1.0635295199112</v>
      </c>
      <c r="D229" s="25" t="n">
        <f aca="false">IF($O$9="sell",-1,1) * NORMDIST(I229,0,1,0)/(B229*$H$9*SQRT($J$9)) * $P$9</f>
        <v>0.184877046147208</v>
      </c>
      <c r="E229" s="25" t="n">
        <f aca="false">IF($O$9="sell",-1,1) * (B229*NORMDIST(I229,0,1,0)*SQRT($J$9)/365) * $P$9</f>
        <v>0.0256137103919437</v>
      </c>
      <c r="F229" s="25" t="n">
        <f aca="false">IF($O$9="sell",-1,1) * (-(B229*NORMDIST(I229,0,1,0)*$H$9)/(2*SQRT($J$9))/365) *$P$9</f>
        <v>-0.842579011911983</v>
      </c>
      <c r="G229" s="25" t="n">
        <f aca="false">IF($O$9="buy",1,-1)*( IF($K$9="call",B229*NORMDIST(I229,0,1,1) - $B$9*NORMDIST(J229,0,1,1),$B$9*NORMDIST(-J229,0,1,1) - B229*NORMDIST(-I229,0,1,1) ) - $G$9) * $P$9</f>
        <v>-0.687879630439199</v>
      </c>
      <c r="I229" s="26" t="n">
        <f aca="false">(LN(B229/$B$9)+($H$9^2/2)*($J$9))/($H$9*SQRT($J$9))</f>
        <v>0.37317301348594</v>
      </c>
      <c r="J229" s="26" t="n">
        <f aca="false">I229 - $H$9*SQRT($J$9)</f>
        <v>0.297695283848431</v>
      </c>
    </row>
    <row r="230" customFormat="false" ht="13.5" hidden="false" customHeight="true" outlineLevel="0" collapsed="false">
      <c r="B230" s="29" t="n">
        <f aca="false">B200</f>
        <v>79</v>
      </c>
      <c r="C230" s="25" t="n">
        <f aca="false">IF($O$9="sell",-1,1) *  IF($K$9="call",  NORMDIST(I230,0,1,1),  NORMDIST(I230,0,1,1)-1  ) * $P$9</f>
        <v>-1.25458008203435</v>
      </c>
      <c r="D230" s="25" t="n">
        <f aca="false">IF($O$9="sell",-1,1) * NORMDIST(I230,0,1,0)/(B230*$H$9*SQRT($J$9)) * $P$9</f>
        <v>0.19648264123147</v>
      </c>
      <c r="E230" s="25" t="n">
        <f aca="false">IF($O$9="sell",-1,1) * (B230*NORMDIST(I230,0,1,0)*SQRT($J$9)/365) * $P$9</f>
        <v>0.0265453158548428</v>
      </c>
      <c r="F230" s="25" t="n">
        <f aca="false">IF($O$9="sell",-1,1) * (-(B230*NORMDIST(I230,0,1,0)*$H$9)/(2*SQRT($J$9))/365) *$P$9</f>
        <v>-0.873224755867464</v>
      </c>
      <c r="G230" s="25" t="n">
        <f aca="false">IF($O$9="buy",1,-1)*( IF($K$9="call",B230*NORMDIST(I230,0,1,1) - $B$9*NORMDIST(J230,0,1,1),$B$9*NORMDIST(-J230,0,1,1) - B230*NORMDIST(-I230,0,1,1) ) - $G$9) * $P$9</f>
        <v>0.470206517253309</v>
      </c>
      <c r="I230" s="26" t="n">
        <f aca="false">(LN(B230/$B$9)+($H$9^2/2)*($J$9))/($H$9*SQRT($J$9))</f>
        <v>0.206517467972433</v>
      </c>
      <c r="J230" s="26" t="n">
        <f aca="false">I230 - $H$9*SQRT($J$9)</f>
        <v>0.131039738334924</v>
      </c>
    </row>
    <row r="231" customFormat="false" ht="13.5" hidden="false" customHeight="true" outlineLevel="0" collapsed="false">
      <c r="B231" s="29" t="n">
        <f aca="false">B201</f>
        <v>78</v>
      </c>
      <c r="C231" s="25" t="n">
        <f aca="false">IF($O$9="sell",-1,1) *  IF($K$9="call",  NORMDIST(I231,0,1,1),  NORMDIST(I231,0,1,1)-1  ) * $P$9</f>
        <v>-1.45484383261656</v>
      </c>
      <c r="D231" s="25" t="n">
        <f aca="false">IF($O$9="sell",-1,1) * NORMDIST(I231,0,1,0)/(B231*$H$9*SQRT($J$9)) * $P$9</f>
        <v>0.203146162998322</v>
      </c>
      <c r="E231" s="25" t="n">
        <f aca="false">IF($O$9="sell",-1,1) * (B231*NORMDIST(I231,0,1,0)*SQRT($J$9)/365) * $P$9</f>
        <v>0.0267551479180805</v>
      </c>
      <c r="F231" s="25" t="n">
        <f aca="false">IF($O$9="sell",-1,1) * (-(B231*NORMDIST(I231,0,1,0)*$H$9)/(2*SQRT($J$9))/365) *$P$9</f>
        <v>-0.880127312732708</v>
      </c>
      <c r="G231" s="25" t="n">
        <f aca="false">IF($O$9="buy",1,-1)*( IF($K$9="call",B231*NORMDIST(I231,0,1,1) - $B$9*NORMDIST(J231,0,1,1),$B$9*NORMDIST(-J231,0,1,1) - B231*NORMDIST(-I231,0,1,1) ) - $G$9) * $P$9</f>
        <v>1.82436211181735</v>
      </c>
      <c r="I231" s="26" t="n">
        <f aca="false">(LN(B231/$B$9)+($H$9^2/2)*($J$9))/($H$9*SQRT($J$9))</f>
        <v>0.0377388648187544</v>
      </c>
      <c r="J231" s="26" t="n">
        <f aca="false">I231 - $H$9*SQRT($J$9)</f>
        <v>-0.0377388648187544</v>
      </c>
    </row>
    <row r="232" customFormat="false" ht="13.5" hidden="false" customHeight="true" outlineLevel="0" collapsed="false">
      <c r="B232" s="29" t="n">
        <f aca="false">B202</f>
        <v>77</v>
      </c>
      <c r="C232" s="25" t="n">
        <f aca="false">IF($O$9="sell",-1,1) *  IF($K$9="call",  NORMDIST(I232,0,1,1),  NORMDIST(I232,0,1,1)-1  ) * $P$9</f>
        <v>-1.65896804617539</v>
      </c>
      <c r="D232" s="25" t="n">
        <f aca="false">IF($O$9="sell",-1,1) * NORMDIST(I232,0,1,0)/(B232*$H$9*SQRT($J$9)) * $P$9</f>
        <v>0.204111780581056</v>
      </c>
      <c r="E232" s="25" t="n">
        <f aca="false">IF($O$9="sell",-1,1) * (B232*NORMDIST(I232,0,1,0)*SQRT($J$9)/365) * $P$9</f>
        <v>0.0261974517285471</v>
      </c>
      <c r="F232" s="25" t="n">
        <f aca="false">IF($O$9="sell",-1,1) * (-(B232*NORMDIST(I232,0,1,0)*$H$9)/(2*SQRT($J$9))/365) *$P$9</f>
        <v>-0.861781548017888</v>
      </c>
      <c r="G232" s="25" t="n">
        <f aca="false">IF($O$9="buy",1,-1)*( IF($K$9="call",B232*NORMDIST(I232,0,1,1) - $B$9*NORMDIST(J232,0,1,1),$B$9*NORMDIST(-J232,0,1,1) - B232*NORMDIST(-I232,0,1,1) ) - $G$9) * $P$9</f>
        <v>3.381187145463</v>
      </c>
      <c r="I232" s="26" t="n">
        <f aca="false">(LN(B232/$B$9)+($H$9^2/2)*($J$9))/($H$9*SQRT($J$9))</f>
        <v>-0.133217586811124</v>
      </c>
      <c r="J232" s="26" t="n">
        <f aca="false">I232 - $H$9*SQRT($J$9)</f>
        <v>-0.208695316448633</v>
      </c>
    </row>
    <row r="233" customFormat="false" ht="13.5" hidden="false" customHeight="true" outlineLevel="0" collapsed="false">
      <c r="B233" s="29" t="n">
        <f aca="false">B203</f>
        <v>76</v>
      </c>
      <c r="C233" s="25" t="n">
        <f aca="false">IF($O$9="sell",-1,1) *  IF($K$9="call",  NORMDIST(I233,0,1,1),  NORMDIST(I233,0,1,1)-1  ) * $P$9</f>
        <v>-1.86105991686883</v>
      </c>
      <c r="D233" s="25" t="n">
        <f aca="false">IF($O$9="sell",-1,1) * NORMDIST(I233,0,1,0)/(B233*$H$9*SQRT($J$9)) * $P$9</f>
        <v>0.199072712532975</v>
      </c>
      <c r="E233" s="25" t="n">
        <f aca="false">IF($O$9="sell",-1,1) * (B233*NORMDIST(I233,0,1,0)*SQRT($J$9)/365) * $P$9</f>
        <v>0.0248913496731912</v>
      </c>
      <c r="F233" s="25" t="n">
        <f aca="false">IF($O$9="sell",-1,1) * (-(B233*NORMDIST(I233,0,1,0)*$H$9)/(2*SQRT($J$9))/365) *$P$9</f>
        <v>-0.81881650459317</v>
      </c>
      <c r="G233" s="25" t="n">
        <f aca="false">IF($O$9="buy",1,-1)*( IF($K$9="call",B233*NORMDIST(I233,0,1,1) - $B$9*NORMDIST(J233,0,1,1),$B$9*NORMDIST(-J233,0,1,1) - B233*NORMDIST(-I233,0,1,1) ) - $G$9) * $P$9</f>
        <v>5.14162134983167</v>
      </c>
      <c r="I233" s="26" t="n">
        <f aca="false">(LN(B233/$B$9)+($H$9^2/2)*($J$9))/($H$9*SQRT($J$9))</f>
        <v>-0.306408826533532</v>
      </c>
      <c r="J233" s="26" t="n">
        <f aca="false">I233 - $H$9*SQRT($J$9)</f>
        <v>-0.38188655617104</v>
      </c>
    </row>
    <row r="234" customFormat="false" ht="13.5" hidden="false" customHeight="true" outlineLevel="0" collapsed="false">
      <c r="B234" s="29" t="n">
        <f aca="false">B204</f>
        <v>75</v>
      </c>
      <c r="C234" s="25" t="n">
        <f aca="false">IF($O$9="sell",-1,1) *  IF($K$9="call",  NORMDIST(I234,0,1,1),  NORMDIST(I234,0,1,1)-1  ) * $P$9</f>
        <v>-2.05517818738666</v>
      </c>
      <c r="D234" s="25" t="n">
        <f aca="false">IF($O$9="sell",-1,1) * NORMDIST(I234,0,1,0)/(B234*$H$9*SQRT($J$9)) * $P$9</f>
        <v>0.188245623476801</v>
      </c>
      <c r="E234" s="25" t="n">
        <f aca="false">IF($O$9="sell",-1,1) * (B234*NORMDIST(I234,0,1,0)*SQRT($J$9)/365) * $P$9</f>
        <v>0.0229222340165315</v>
      </c>
      <c r="F234" s="25" t="n">
        <f aca="false">IF($O$9="sell",-1,1) * (-(B234*NORMDIST(I234,0,1,0)*$H$9)/(2*SQRT($J$9))/365) *$P$9</f>
        <v>-0.754041214370063</v>
      </c>
      <c r="G234" s="25" t="n">
        <f aca="false">IF($O$9="buy",1,-1)*( IF($K$9="call",B234*NORMDIST(I234,0,1,1) - $B$9*NORMDIST(J234,0,1,1),$B$9*NORMDIST(-J234,0,1,1) - B234*NORMDIST(-I234,0,1,1) ) - $G$9) * $P$9</f>
        <v>7.1006437014475</v>
      </c>
      <c r="I234" s="26" t="n">
        <f aca="false">(LN(B234/$B$9)+($H$9^2/2)*($J$9))/($H$9*SQRT($J$9))</f>
        <v>-0.481894056595862</v>
      </c>
      <c r="J234" s="26" t="n">
        <f aca="false">I234 - $H$9*SQRT($J$9)</f>
        <v>-0.557371786233371</v>
      </c>
    </row>
    <row r="235" customFormat="false" ht="13.5" hidden="false" customHeight="true" outlineLevel="0" collapsed="false">
      <c r="B235" s="29" t="n">
        <f aca="false">B205</f>
        <v>74</v>
      </c>
      <c r="C235" s="25" t="n">
        <f aca="false">IF($O$9="sell",-1,1) *  IF($K$9="call",  NORMDIST(I235,0,1,1),  NORMDIST(I235,0,1,1)-1  ) * $P$9</f>
        <v>-2.23586401541353</v>
      </c>
      <c r="D235" s="25" t="n">
        <f aca="false">IF($O$9="sell",-1,1) * NORMDIST(I235,0,1,0)/(B235*$H$9*SQRT($J$9)) * $P$9</f>
        <v>0.172372276166278</v>
      </c>
      <c r="E235" s="25" t="n">
        <f aca="false">IF($O$9="sell",-1,1) * (B235*NORMDIST(I235,0,1,0)*SQRT($J$9)/365) * $P$9</f>
        <v>0.0204333880659214</v>
      </c>
      <c r="F235" s="25" t="n">
        <f aca="false">IF($O$9="sell",-1,1) * (-(B235*NORMDIST(I235,0,1,0)*$H$9)/(2*SQRT($J$9))/365) *$P$9</f>
        <v>-0.672169071296024</v>
      </c>
      <c r="G235" s="25" t="n">
        <f aca="false">IF($O$9="buy",1,-1)*( IF($K$9="call",B235*NORMDIST(I235,0,1,1) - $B$9*NORMDIST(J235,0,1,1),$B$9*NORMDIST(-J235,0,1,1) - B235*NORMDIST(-I235,0,1,1) ) - $G$9) * $P$9</f>
        <v>9.24748925542395</v>
      </c>
      <c r="I235" s="26" t="n">
        <f aca="false">(LN(B235/$B$9)+($H$9^2/2)*($J$9))/($H$9*SQRT($J$9))</f>
        <v>-0.659734863369018</v>
      </c>
      <c r="J235" s="26" t="n">
        <f aca="false">I235 - $H$9*SQRT($J$9)</f>
        <v>-0.735212593006527</v>
      </c>
    </row>
    <row r="236" customFormat="false" ht="13.5" hidden="false" customHeight="true" outlineLevel="0" collapsed="false">
      <c r="B236" s="29" t="n">
        <f aca="false">B206</f>
        <v>73</v>
      </c>
      <c r="C236" s="25" t="n">
        <f aca="false">IF($O$9="sell",-1,1) *  IF($K$9="call",  NORMDIST(I236,0,1,1),  NORMDIST(I236,0,1,1)-1  ) * $P$9</f>
        <v>-2.39863350698036</v>
      </c>
      <c r="D236" s="25" t="n">
        <f aca="false">IF($O$9="sell",-1,1) * NORMDIST(I236,0,1,0)/(B236*$H$9*SQRT($J$9)) * $P$9</f>
        <v>0.152641363378382</v>
      </c>
      <c r="E236" s="25" t="n">
        <f aca="false">IF($O$9="sell",-1,1) * (B236*NORMDIST(I236,0,1,0)*SQRT($J$9)/365) * $P$9</f>
        <v>0.0176087076793301</v>
      </c>
      <c r="F236" s="25" t="n">
        <f aca="false">IF($O$9="sell",-1,1) * (-(B236*NORMDIST(I236,0,1,0)*$H$9)/(2*SQRT($J$9))/365) *$P$9</f>
        <v>-0.579249444553864</v>
      </c>
      <c r="G236" s="25" t="n">
        <f aca="false">IF($O$9="buy",1,-1)*( IF($K$9="call",B236*NORMDIST(I236,0,1,1) - $B$9*NORMDIST(J236,0,1,1),$B$9*NORMDIST(-J236,0,1,1) - B236*NORMDIST(-I236,0,1,1) ) - $G$9) * $P$9</f>
        <v>11.5663843543999</v>
      </c>
      <c r="I236" s="26" t="n">
        <f aca="false">(LN(B236/$B$9)+($H$9^2/2)*($J$9))/($H$9*SQRT($J$9))</f>
        <v>-0.839995347105366</v>
      </c>
      <c r="J236" s="26" t="n">
        <f aca="false">I236 - $H$9*SQRT($J$9)</f>
        <v>-0.915473076742875</v>
      </c>
    </row>
    <row r="237" customFormat="false" ht="13.5" hidden="false" customHeight="true" outlineLevel="0" collapsed="false">
      <c r="B237" s="29" t="n">
        <f aca="false">B207</f>
        <v>72</v>
      </c>
      <c r="C237" s="25" t="n">
        <f aca="false">IF($O$9="sell",-1,1) *  IF($K$9="call",  NORMDIST(I237,0,1,1),  NORMDIST(I237,0,1,1)-1  ) * $P$9</f>
        <v>-2.54035541350096</v>
      </c>
      <c r="D237" s="25" t="n">
        <f aca="false">IF($O$9="sell",-1,1) * NORMDIST(I237,0,1,0)/(B237*$H$9*SQRT($J$9)) * $P$9</f>
        <v>0.13053999925526</v>
      </c>
      <c r="E237" s="25" t="n">
        <f aca="false">IF($O$9="sell",-1,1) * (B237*NORMDIST(I237,0,1,0)*SQRT($J$9)/365) * $P$9</f>
        <v>0.0146493422638818</v>
      </c>
      <c r="F237" s="25" t="n">
        <f aca="false">IF($O$9="sell",-1,1) * (-(B237*NORMDIST(I237,0,1,0)*$H$9)/(2*SQRT($J$9))/365) *$P$9</f>
        <v>-0.481899269609307</v>
      </c>
      <c r="G237" s="25" t="n">
        <f aca="false">IF($O$9="buy",1,-1)*( IF($K$9="call",B237*NORMDIST(I237,0,1,1) - $B$9*NORMDIST(J237,0,1,1),$B$9*NORMDIST(-J237,0,1,1) - B237*NORMDIST(-I237,0,1,1) ) - $G$9) * $P$9</f>
        <v>14.0377228371526</v>
      </c>
      <c r="I237" s="26" t="n">
        <f aca="false">(LN(B237/$B$9)+($H$9^2/2)*($J$9))/($H$9*SQRT($J$9))</f>
        <v>-1.02274226064635</v>
      </c>
      <c r="J237" s="26" t="n">
        <f aca="false">I237 - $H$9*SQRT($J$9)</f>
        <v>-1.09821999028386</v>
      </c>
    </row>
    <row r="238" customFormat="false" ht="13.5" hidden="false" customHeight="true" outlineLevel="0" collapsed="false">
      <c r="B238" s="29" t="n">
        <f aca="false">B208</f>
        <v>71</v>
      </c>
      <c r="C238" s="25" t="n">
        <f aca="false">IF($O$9="sell",-1,1) *  IF($K$9="call",  NORMDIST(I238,0,1,1),  NORMDIST(I238,0,1,1)-1  ) * $P$9</f>
        <v>-2.65945516065882</v>
      </c>
      <c r="D238" s="25" t="n">
        <f aca="false">IF($O$9="sell",-1,1) * NORMDIST(I238,0,1,0)/(B238*$H$9*SQRT($J$9)) * $P$9</f>
        <v>0.107660229372096</v>
      </c>
      <c r="E238" s="25" t="n">
        <f aca="false">IF($O$9="sell",-1,1) * (B238*NORMDIST(I238,0,1,0)*SQRT($J$9)/365) * $P$9</f>
        <v>0.0117484757643648</v>
      </c>
      <c r="F238" s="25" t="n">
        <f aca="false">IF($O$9="sell",-1,1) * (-(B238*NORMDIST(I238,0,1,0)*$H$9)/(2*SQRT($J$9))/365) *$P$9</f>
        <v>-0.386473453066131</v>
      </c>
      <c r="G238" s="25" t="n">
        <f aca="false">IF($O$9="buy",1,-1)*( IF($K$9="call",B238*NORMDIST(I238,0,1,1) - $B$9*NORMDIST(J238,0,1,1),$B$9*NORMDIST(-J238,0,1,1) - B238*NORMDIST(-I238,0,1,1) ) - $G$9) * $P$9</f>
        <v>16.6395368739304</v>
      </c>
      <c r="I238" s="26" t="n">
        <f aca="false">(LN(B238/$B$9)+($H$9^2/2)*($J$9))/($H$9*SQRT($J$9))</f>
        <v>-1.20804515783087</v>
      </c>
      <c r="J238" s="26" t="n">
        <f aca="false">I238 - $H$9*SQRT($J$9)</f>
        <v>-1.28352288746838</v>
      </c>
    </row>
    <row r="239" customFormat="false" ht="13.5" hidden="false" customHeight="true" outlineLevel="0" collapsed="false">
      <c r="B239" s="29" t="n">
        <f aca="false">B209</f>
        <v>70</v>
      </c>
      <c r="C239" s="25" t="n">
        <f aca="false">IF($O$9="sell",-1,1) *  IF($K$9="call",  NORMDIST(I239,0,1,1),  NORMDIST(I239,0,1,1)-1  ) * $P$9</f>
        <v>-2.75591766580532</v>
      </c>
      <c r="D239" s="25" t="n">
        <f aca="false">IF($O$9="sell",-1,1) * NORMDIST(I239,0,1,0)/(B239*$H$9*SQRT($J$9)) * $P$9</f>
        <v>0.0854965618503416</v>
      </c>
      <c r="E239" s="25" t="n">
        <f aca="false">IF($O$9="sell",-1,1) * (B239*NORMDIST(I239,0,1,0)*SQRT($J$9)/365) * $P$9</f>
        <v>0.00906889257605019</v>
      </c>
      <c r="F239" s="25" t="n">
        <f aca="false">IF($O$9="sell",-1,1) * (-(B239*NORMDIST(I239,0,1,0)*$H$9)/(2*SQRT($J$9))/365) *$P$9</f>
        <v>-0.298326889347031</v>
      </c>
      <c r="G239" s="25" t="n">
        <f aca="false">IF($O$9="buy",1,-1)*( IF($K$9="call",B239*NORMDIST(I239,0,1,1) - $B$9*NORMDIST(J239,0,1,1),$B$9*NORMDIST(-J239,0,1,1) - B239*NORMDIST(-I239,0,1,1) ) - $G$9) * $P$9</f>
        <v>19.3490719761078</v>
      </c>
      <c r="I239" s="26" t="n">
        <f aca="false">(LN(B239/$B$9)+($H$9^2/2)*($J$9))/($H$9*SQRT($J$9))</f>
        <v>-1.39597655243004</v>
      </c>
      <c r="J239" s="26" t="n">
        <f aca="false">I239 - $H$9*SQRT($J$9)</f>
        <v>-1.47145428206755</v>
      </c>
    </row>
    <row r="240" customFormat="false" ht="13.5" hidden="false" customHeight="true" outlineLevel="0" collapsed="false">
      <c r="B240" s="29" t="n">
        <f aca="false">B210</f>
        <v>69</v>
      </c>
      <c r="C240" s="25" t="n">
        <f aca="false">IF($O$9="sell",-1,1) *  IF($K$9="call",  NORMDIST(I240,0,1,1),  NORMDIST(I240,0,1,1)-1  ) * $P$9</f>
        <v>-2.83109920820159</v>
      </c>
      <c r="D240" s="25" t="n">
        <f aca="false">IF($O$9="sell",-1,1) * NORMDIST(I240,0,1,0)/(B240*$H$9*SQRT($J$9)) * $P$9</f>
        <v>0.0652725256986019</v>
      </c>
      <c r="E240" s="25" t="n">
        <f aca="false">IF($O$9="sell",-1,1) * (B240*NORMDIST(I240,0,1,0)*SQRT($J$9)/365) * $P$9</f>
        <v>0.00672725866129037</v>
      </c>
      <c r="F240" s="25" t="n">
        <f aca="false">IF($O$9="sell",-1,1) * (-(B240*NORMDIST(I240,0,1,0)*$H$9)/(2*SQRT($J$9))/365) *$P$9</f>
        <v>-0.22129737819981</v>
      </c>
      <c r="G240" s="25" t="n">
        <f aca="false">IF($O$9="buy",1,-1)*( IF($K$9="call",B240*NORMDIST(I240,0,1,1) - $B$9*NORMDIST(J240,0,1,1),$B$9*NORMDIST(-J240,0,1,1) - B240*NORMDIST(-I240,0,1,1) ) - $G$9) * $P$9</f>
        <v>22.1442669199098</v>
      </c>
      <c r="I240" s="26" t="n">
        <f aca="false">(LN(B240/$B$9)+($H$9^2/2)*($J$9))/($H$9*SQRT($J$9))</f>
        <v>-1.58661208851735</v>
      </c>
      <c r="J240" s="26" t="n">
        <f aca="false">I240 - $H$9*SQRT($J$9)</f>
        <v>-1.66208981815486</v>
      </c>
    </row>
    <row r="241" customFormat="false" ht="13.5" hidden="false" customHeight="true" outlineLevel="0" collapsed="false">
      <c r="B241" s="29" t="n">
        <f aca="false">B211</f>
        <v>68</v>
      </c>
      <c r="C241" s="25" t="n">
        <f aca="false">IF($O$9="sell",-1,1) *  IF($K$9="call",  NORMDIST(I241,0,1,1),  NORMDIST(I241,0,1,1)-1  ) * $P$9</f>
        <v>-2.88739360080021</v>
      </c>
      <c r="D241" s="25" t="n">
        <f aca="false">IF($O$9="sell",-1,1) * NORMDIST(I241,0,1,0)/(B241*$H$9*SQRT($J$9)) * $P$9</f>
        <v>0.0478267104423934</v>
      </c>
      <c r="E241" s="25" t="n">
        <f aca="false">IF($O$9="sell",-1,1) * (B241*NORMDIST(I241,0,1,0)*SQRT($J$9)/365) * $P$9</f>
        <v>0.00478737958343365</v>
      </c>
      <c r="F241" s="25" t="n">
        <f aca="false">IF($O$9="sell",-1,1) * (-(B241*NORMDIST(I241,0,1,0)*$H$9)/(2*SQRT($J$9))/365) *$P$9</f>
        <v>-0.15748384350929</v>
      </c>
      <c r="G241" s="25" t="n">
        <f aca="false">IF($O$9="buy",1,-1)*( IF($K$9="call",B241*NORMDIST(I241,0,1,1) - $B$9*NORMDIST(J241,0,1,1),$B$9*NORMDIST(-J241,0,1,1) - B241*NORMDIST(-I241,0,1,1) ) - $G$9) * $P$9</f>
        <v>25.0049677128114</v>
      </c>
      <c r="I241" s="26" t="n">
        <f aca="false">(LN(B241/$B$9)+($H$9^2/2)*($J$9))/($H$9*SQRT($J$9))</f>
        <v>-1.78003072327578</v>
      </c>
      <c r="J241" s="26" t="n">
        <f aca="false">I241 - $H$9*SQRT($J$9)</f>
        <v>-1.85550845291329</v>
      </c>
    </row>
    <row r="242" customFormat="false" ht="13.5" hidden="false" customHeight="true" outlineLevel="0" collapsed="false">
      <c r="B242" s="29" t="n">
        <f aca="false">B212</f>
        <v>67</v>
      </c>
      <c r="C242" s="25" t="n">
        <f aca="false">IF($O$9="sell",-1,1) *  IF($K$9="call",  NORMDIST(I242,0,1,1),  NORMDIST(I242,0,1,1)-1  ) * $P$9</f>
        <v>-2.92782131933711</v>
      </c>
      <c r="D242" s="25" t="n">
        <f aca="false">IF($O$9="sell",-1,1) * NORMDIST(I242,0,1,0)/(B242*$H$9*SQRT($J$9)) * $P$9</f>
        <v>0.0335737232492997</v>
      </c>
      <c r="E242" s="25" t="n">
        <f aca="false">IF($O$9="sell",-1,1) * (B242*NORMDIST(I242,0,1,0)*SQRT($J$9)/365) * $P$9</f>
        <v>0.00326256098730006</v>
      </c>
      <c r="F242" s="25" t="n">
        <f aca="false">IF($O$9="sell",-1,1) * (-(B242*NORMDIST(I242,0,1,0)*$H$9)/(2*SQRT($J$9))/365) *$P$9</f>
        <v>-0.107323982777852</v>
      </c>
      <c r="G242" s="25" t="n">
        <f aca="false">IF($O$9="buy",1,-1)*( IF($K$9="call",B242*NORMDIST(I242,0,1,1) - $B$9*NORMDIST(J242,0,1,1),$B$9*NORMDIST(-J242,0,1,1) - B242*NORMDIST(-I242,0,1,1) ) - $G$9) * $P$9</f>
        <v>27.9137629414263</v>
      </c>
      <c r="I242" s="26" t="n">
        <f aca="false">(LN(B242/$B$9)+($H$9^2/2)*($J$9))/($H$9*SQRT($J$9))</f>
        <v>-1.97631492334767</v>
      </c>
      <c r="J242" s="26" t="n">
        <f aca="false">I242 - $H$9*SQRT($J$9)</f>
        <v>-2.05179265298518</v>
      </c>
    </row>
    <row r="243" customFormat="false" ht="13.5" hidden="false" customHeight="true" outlineLevel="0" collapsed="false">
      <c r="B243" s="29" t="n">
        <f aca="false">B213</f>
        <v>66</v>
      </c>
      <c r="C243" s="25" t="n">
        <f aca="false">IF($O$9="sell",-1,1) *  IF($K$9="call",  NORMDIST(I243,0,1,1),  NORMDIST(I243,0,1,1)-1  ) * $P$9</f>
        <v>-2.95561671005146</v>
      </c>
      <c r="D243" s="25" t="n">
        <f aca="false">IF($O$9="sell",-1,1) * NORMDIST(I243,0,1,0)/(B243*$H$9*SQRT($J$9)) * $P$9</f>
        <v>0.022537512055227</v>
      </c>
      <c r="E243" s="25" t="n">
        <f aca="false">IF($O$9="sell",-1,1) * (B243*NORMDIST(I243,0,1,0)*SQRT($J$9)/365) * $P$9</f>
        <v>0.00212521743551322</v>
      </c>
      <c r="F243" s="25" t="n">
        <f aca="false">IF($O$9="sell",-1,1) * (-(B243*NORMDIST(I243,0,1,0)*$H$9)/(2*SQRT($J$9))/365) *$P$9</f>
        <v>-0.0699103558021046</v>
      </c>
      <c r="G243" s="25" t="n">
        <f aca="false">IF($O$9="buy",1,-1)*( IF($K$9="call",B243*NORMDIST(I243,0,1,1) - $B$9*NORMDIST(J243,0,1,1),$B$9*NORMDIST(-J243,0,1,1) - B243*NORMDIST(-I243,0,1,1) ) - $G$9) * $P$9</f>
        <v>30.8564012349377</v>
      </c>
      <c r="I243" s="26" t="n">
        <f aca="false">(LN(B243/$B$9)+($H$9^2/2)*($J$9))/($H$9*SQRT($J$9))</f>
        <v>-2.17555087594934</v>
      </c>
      <c r="J243" s="26" t="n">
        <f aca="false">I243 - $H$9*SQRT($J$9)</f>
        <v>-2.25102860558685</v>
      </c>
    </row>
    <row r="244" customFormat="false" ht="13.5" hidden="false" customHeight="true" outlineLevel="0" collapsed="false">
      <c r="B244" s="29" t="n">
        <f aca="false">B214</f>
        <v>65</v>
      </c>
      <c r="C244" s="25" t="n">
        <f aca="false">IF($O$9="sell",-1,1) *  IF($K$9="call",  NORMDIST(I244,0,1,1),  NORMDIST(I244,0,1,1)-1  ) * $P$9</f>
        <v>-2.97387763019848</v>
      </c>
      <c r="D244" s="25" t="n">
        <f aca="false">IF($O$9="sell",-1,1) * NORMDIST(I244,0,1,0)/(B244*$H$9*SQRT($J$9)) * $P$9</f>
        <v>0.0144388819172864</v>
      </c>
      <c r="E244" s="25" t="n">
        <f aca="false">IF($O$9="sell",-1,1) * (B244*NORMDIST(I244,0,1,0)*SQRT($J$9)/365) * $P$9</f>
        <v>0.00132059547587872</v>
      </c>
      <c r="F244" s="25" t="n">
        <f aca="false">IF($O$9="sell",-1,1) * (-(B244*NORMDIST(I244,0,1,0)*$H$9)/(2*SQRT($J$9))/365) *$P$9</f>
        <v>-0.043441813551203</v>
      </c>
      <c r="G244" s="25" t="n">
        <f aca="false">IF($O$9="buy",1,-1)*( IF($K$9="call",B244*NORMDIST(I244,0,1,1) - $B$9*NORMDIST(J244,0,1,1),$B$9*NORMDIST(-J244,0,1,1) - B244*NORMDIST(-I244,0,1,1) ) - $G$9) * $P$9</f>
        <v>33.8218226237865</v>
      </c>
      <c r="I244" s="26" t="n">
        <f aca="false">(LN(B244/$B$9)+($H$9^2/2)*($J$9))/($H$9*SQRT($J$9))</f>
        <v>-2.37782871610315</v>
      </c>
      <c r="J244" s="26" t="n">
        <f aca="false">I244 - $H$9*SQRT($J$9)</f>
        <v>-2.45330644574066</v>
      </c>
    </row>
    <row r="245" customFormat="false" ht="13.5" hidden="false" customHeight="true" outlineLevel="0" collapsed="false">
      <c r="B245" s="29" t="n">
        <f aca="false">B215</f>
        <v>64</v>
      </c>
      <c r="C245" s="25" t="n">
        <f aca="false">IF($O$9="sell",-1,1) *  IF($K$9="call",  NORMDIST(I245,0,1,1),  NORMDIST(I245,0,1,1)-1  ) * $P$9</f>
        <v>-2.98531853655319</v>
      </c>
      <c r="D245" s="25" t="n">
        <f aca="false">IF($O$9="sell",-1,1) * NORMDIST(I245,0,1,0)/(B245*$H$9*SQRT($J$9)) * $P$9</f>
        <v>0.00881004000495991</v>
      </c>
      <c r="E245" s="25" t="n">
        <f aca="false">IF($O$9="sell",-1,1) * (B245*NORMDIST(I245,0,1,0)*SQRT($J$9)/365) * $P$9</f>
        <v>0.000781173236353168</v>
      </c>
      <c r="F245" s="25" t="n">
        <f aca="false">IF($O$9="sell",-1,1) * (-(B245*NORMDIST(I245,0,1,0)*$H$9)/(2*SQRT($J$9))/365) *$P$9</f>
        <v>-0.0256971818431102</v>
      </c>
      <c r="G245" s="25" t="n">
        <f aca="false">IF($O$9="buy",1,-1)*( IF($K$9="call",B245*NORMDIST(I245,0,1,1) - $B$9*NORMDIST(J245,0,1,1),$B$9*NORMDIST(-J245,0,1,1) - B245*NORMDIST(-I245,0,1,1) ) - $G$9) * $P$9</f>
        <v>36.8018890098058</v>
      </c>
      <c r="I245" s="26" t="n">
        <f aca="false">(LN(B245/$B$9)+($H$9^2/2)*($J$9))/($H$9*SQRT($J$9))</f>
        <v>-2.58324277148645</v>
      </c>
      <c r="J245" s="26" t="n">
        <f aca="false">I245 - $H$9*SQRT($J$9)</f>
        <v>-2.65872050112396</v>
      </c>
    </row>
    <row r="246" customFormat="false" ht="13.5" hidden="false" customHeight="true" outlineLevel="0" collapsed="false">
      <c r="B246" s="29" t="n">
        <f aca="false">B216</f>
        <v>63</v>
      </c>
      <c r="C246" s="25" t="n">
        <f aca="false">IF($O$9="sell",-1,1) *  IF($K$9="call",  NORMDIST(I246,0,1,1),  NORMDIST(I246,0,1,1)-1  ) * $P$9</f>
        <v>-2.99213986935584</v>
      </c>
      <c r="D246" s="25" t="n">
        <f aca="false">IF($O$9="sell",-1,1) * NORMDIST(I246,0,1,0)/(B246*$H$9*SQRT($J$9)) * $P$9</f>
        <v>0.00510837811938924</v>
      </c>
      <c r="E246" s="25" t="n">
        <f aca="false">IF($O$9="sell",-1,1) * (B246*NORMDIST(I246,0,1,0)*SQRT($J$9)/365) * $P$9</f>
        <v>0.000438908166994846</v>
      </c>
      <c r="F246" s="25" t="n">
        <f aca="false">IF($O$9="sell",-1,1) * (-(B246*NORMDIST(I246,0,1,0)*$H$9)/(2*SQRT($J$9))/365) *$P$9</f>
        <v>-0.0144381584708998</v>
      </c>
      <c r="G246" s="25" t="n">
        <f aca="false">IF($O$9="buy",1,-1)*( IF($K$9="call",B246*NORMDIST(I246,0,1,1) - $B$9*NORMDIST(J246,0,1,1),$B$9*NORMDIST(-J246,0,1,1) - B246*NORMDIST(-I246,0,1,1) ) - $G$9) * $P$9</f>
        <v>39.7909259457613</v>
      </c>
      <c r="I246" s="26" t="n">
        <f aca="false">(LN(B246/$B$9)+($H$9^2/2)*($J$9))/($H$9*SQRT($J$9))</f>
        <v>-2.79189182656234</v>
      </c>
      <c r="J246" s="26" t="n">
        <f aca="false">I246 - $H$9*SQRT($J$9)</f>
        <v>-2.86736955619984</v>
      </c>
    </row>
    <row r="247" customFormat="false" ht="13.5" hidden="false" customHeight="true" outlineLevel="0" collapsed="false">
      <c r="B247" s="29" t="n">
        <f aca="false">B217</f>
        <v>62</v>
      </c>
      <c r="C247" s="25" t="n">
        <f aca="false">IF($O$9="sell",-1,1) *  IF($K$9="call",  NORMDIST(I247,0,1,1),  NORMDIST(I247,0,1,1)-1  ) * $P$9</f>
        <v>-2.99600158563728</v>
      </c>
      <c r="D247" s="25" t="n">
        <f aca="false">IF($O$9="sell",-1,1) * NORMDIST(I247,0,1,0)/(B247*$H$9*SQRT($J$9)) * $P$9</f>
        <v>0.00280826411249324</v>
      </c>
      <c r="E247" s="25" t="n">
        <f aca="false">IF($O$9="sell",-1,1) * (B247*NORMDIST(I247,0,1,0)*SQRT($J$9)/365) * $P$9</f>
        <v>0.000233685010654568</v>
      </c>
      <c r="F247" s="25" t="n">
        <f aca="false">IF($O$9="sell",-1,1) * (-(B247*NORMDIST(I247,0,1,0)*$H$9)/(2*SQRT($J$9))/365) *$P$9</f>
        <v>-0.00768721447861367</v>
      </c>
      <c r="G247" s="25" t="n">
        <f aca="false">IF($O$9="buy",1,-1)*( IF($K$9="call",B247*NORMDIST(I247,0,1,1) - $B$9*NORMDIST(J247,0,1,1),$B$9*NORMDIST(-J247,0,1,1) - B247*NORMDIST(-I247,0,1,1) ) - $G$9) * $P$9</f>
        <v>42.7851877212498</v>
      </c>
      <c r="I247" s="26" t="n">
        <f aca="false">(LN(B247/$B$9)+($H$9^2/2)*($J$9))/($H$9*SQRT($J$9))</f>
        <v>-3.00387940784339</v>
      </c>
      <c r="J247" s="26" t="n">
        <f aca="false">I247 - $H$9*SQRT($J$9)</f>
        <v>-3.0793571374809</v>
      </c>
    </row>
    <row r="248" customFormat="false" ht="13.5" hidden="false" customHeight="true" outlineLevel="0" collapsed="false">
      <c r="B248" s="29" t="n">
        <f aca="false">B218</f>
        <v>61</v>
      </c>
      <c r="C248" s="25" t="n">
        <f aca="false">IF($O$9="sell",-1,1) *  IF($K$9="call",  NORMDIST(I248,0,1,1),  NORMDIST(I248,0,1,1)-1  ) * $P$9</f>
        <v>-2.99807253522687</v>
      </c>
      <c r="D248" s="25" t="n">
        <f aca="false">IF($O$9="sell",-1,1) * NORMDIST(I248,0,1,0)/(B248*$H$9*SQRT($J$9)) * $P$9</f>
        <v>0.00146006535088263</v>
      </c>
      <c r="E248" s="25" t="n">
        <f aca="false">IF($O$9="sell",-1,1) * (B248*NORMDIST(I248,0,1,0)*SQRT($J$9)/365) * $P$9</f>
        <v>0.000117609253098962</v>
      </c>
      <c r="F248" s="25" t="n">
        <f aca="false">IF($O$9="sell",-1,1) * (-(B248*NORMDIST(I248,0,1,0)*$H$9)/(2*SQRT($J$9))/365) *$P$9</f>
        <v>-0.00386882988647356</v>
      </c>
      <c r="G248" s="25" t="n">
        <f aca="false">IF($O$9="buy",1,-1)*( IF($K$9="call",B248*NORMDIST(I248,0,1,1) - $B$9*NORMDIST(J248,0,1,1),$B$9*NORMDIST(-J248,0,1,1) - B248*NORMDIST(-I248,0,1,1) ) - $G$9) * $P$9</f>
        <v>45.7823366488918</v>
      </c>
      <c r="I248" s="26" t="n">
        <f aca="false">(LN(B248/$B$9)+($H$9^2/2)*($J$9))/($H$9*SQRT($J$9))</f>
        <v>-3.21931409235064</v>
      </c>
      <c r="J248" s="26" t="n">
        <f aca="false">I248 - $H$9*SQRT($J$9)</f>
        <v>-3.29479182198815</v>
      </c>
    </row>
    <row r="249" customFormat="false" ht="13.5" hidden="false" customHeight="true" outlineLevel="0" collapsed="false">
      <c r="B249" s="29" t="n">
        <f aca="false">B219</f>
        <v>60</v>
      </c>
      <c r="C249" s="25" t="n">
        <f aca="false">IF($O$9="sell",-1,1) *  IF($K$9="call",  NORMDIST(I249,0,1,1),  NORMDIST(I249,0,1,1)-1  ) * $P$9</f>
        <v>-2.99912196374642</v>
      </c>
      <c r="D249" s="25" t="n">
        <f aca="false">IF($O$9="sell",-1,1) * NORMDIST(I249,0,1,0)/(B249*$H$9*SQRT($J$9)) * $P$9</f>
        <v>0.000716064399120348</v>
      </c>
      <c r="E249" s="25" t="n">
        <f aca="false">IF($O$9="sell",-1,1) * (B249*NORMDIST(I249,0,1,0)*SQRT($J$9)/365) * $P$9</f>
        <v>5.58038432533466E-005</v>
      </c>
      <c r="F249" s="25" t="n">
        <f aca="false">IF($O$9="sell",-1,1) * (-(B249*NORMDIST(I249,0,1,0)*$H$9)/(2*SQRT($J$9))/365) *$P$9</f>
        <v>-0.00183570230122087</v>
      </c>
      <c r="G249" s="25" t="n">
        <f aca="false">IF($O$9="buy",1,-1)*( IF($K$9="call",B249*NORMDIST(I249,0,1,1) - $B$9*NORMDIST(J249,0,1,1),$B$9*NORMDIST(-J249,0,1,1) - B249*NORMDIST(-I249,0,1,1) ) - $G$9) * $P$9</f>
        <v>48.7809955594963</v>
      </c>
      <c r="I249" s="26" t="n">
        <f aca="false">(LN(B249/$B$9)+($H$9^2/2)*($J$9))/($H$9*SQRT($J$9))</f>
        <v>-3.43830984156826</v>
      </c>
      <c r="J249" s="26" t="n">
        <f aca="false">I249 - $H$9*SQRT($J$9)</f>
        <v>-3.51378757120576</v>
      </c>
    </row>
    <row r="250" customFormat="false" ht="13.5" hidden="false" customHeight="true" outlineLevel="0" collapsed="false">
      <c r="B250" s="29" t="n">
        <f aca="false">B220</f>
        <v>59</v>
      </c>
      <c r="C250" s="25" t="n">
        <f aca="false">IF($O$9="sell",-1,1) *  IF($K$9="call",  NORMDIST(I250,0,1,1),  NORMDIST(I250,0,1,1)-1  ) * $P$9</f>
        <v>-2.99962313080138</v>
      </c>
      <c r="D250" s="25" t="n">
        <f aca="false">IF($O$9="sell",-1,1) * NORMDIST(I250,0,1,0)/(B250*$H$9*SQRT($J$9)) * $P$9</f>
        <v>0.000330350407068884</v>
      </c>
      <c r="E250" s="25" t="n">
        <f aca="false">IF($O$9="sell",-1,1) * (B250*NORMDIST(I250,0,1,0)*SQRT($J$9)/365) * $P$9</f>
        <v>2.48936395424851E-005</v>
      </c>
      <c r="F250" s="25" t="n">
        <f aca="false">IF($O$9="sell",-1,1) * (-(B250*NORMDIST(I250,0,1,0)*$H$9)/(2*SQRT($J$9))/365) *$P$9</f>
        <v>-0.00081889183127476</v>
      </c>
      <c r="G250" s="25" t="n">
        <f aca="false">IF($O$9="buy",1,-1)*( IF($K$9="call",B250*NORMDIST(I250,0,1,1) - $B$9*NORMDIST(J250,0,1,1),$B$9*NORMDIST(-J250,0,1,1) - B250*NORMDIST(-I250,0,1,1) ) - $G$9) * $P$9</f>
        <v>51.7804000308283</v>
      </c>
      <c r="I250" s="26" t="n">
        <f aca="false">(LN(B250/$B$9)+($H$9^2/2)*($J$9))/($H$9*SQRT($J$9))</f>
        <v>-3.6609863634655</v>
      </c>
      <c r="J250" s="26" t="n">
        <f aca="false">I250 - $H$9*SQRT($J$9)</f>
        <v>-3.73646409310301</v>
      </c>
    </row>
    <row r="251" customFormat="false" ht="13.5" hidden="false" customHeight="true" outlineLevel="0" collapsed="false">
      <c r="B251" s="29" t="n">
        <f aca="false">B221</f>
        <v>58</v>
      </c>
      <c r="C251" s="25" t="n">
        <f aca="false">IF($O$9="sell",-1,1) *  IF($K$9="call",  NORMDIST(I251,0,1,1),  NORMDIST(I251,0,1,1)-1  ) * $P$9</f>
        <v>-2.99984805793716</v>
      </c>
      <c r="D251" s="25" t="n">
        <f aca="false">IF($O$9="sell",-1,1) * NORMDIST(I251,0,1,0)/(B251*$H$9*SQRT($J$9)) * $P$9</f>
        <v>0.000142943487929693</v>
      </c>
      <c r="E251" s="25" t="n">
        <f aca="false">IF($O$9="sell",-1,1) * (B251*NORMDIST(I251,0,1,0)*SQRT($J$9)/365) * $P$9</f>
        <v>1.0409500473279E-005</v>
      </c>
      <c r="F251" s="25" t="n">
        <f aca="false">IF($O$9="sell",-1,1) * (-(B251*NORMDIST(I251,0,1,0)*$H$9)/(2*SQRT($J$9))/365) *$P$9</f>
        <v>-0.000342427024006307</v>
      </c>
      <c r="G251" s="25" t="n">
        <f aca="false">IF($O$9="buy",1,-1)*( IF($K$9="call",B251*NORMDIST(I251,0,1,1) - $B$9*NORMDIST(J251,0,1,1),$B$9*NORMDIST(-J251,0,1,1) - B251*NORMDIST(-I251,0,1,1) ) - $G$9) * $P$9</f>
        <v>54.780151112315</v>
      </c>
      <c r="I251" s="26" t="n">
        <f aca="false">(LN(B251/$B$9)+($H$9^2/2)*($J$9))/($H$9*SQRT($J$9))</f>
        <v>-3.88746950546511</v>
      </c>
      <c r="J251" s="26" t="n">
        <f aca="false">I251 - $H$9*SQRT($J$9)</f>
        <v>-3.96294723510262</v>
      </c>
    </row>
    <row r="252" customFormat="false" ht="13.5" hidden="false" customHeight="true" outlineLevel="0" collapsed="false">
      <c r="B252" s="29" t="n">
        <f aca="false">B222</f>
        <v>57</v>
      </c>
      <c r="C252" s="25" t="n">
        <f aca="false">IF($O$9="sell",-1,1) *  IF($K$9="call",  NORMDIST(I252,0,1,1),  NORMDIST(I252,0,1,1)-1  ) * $P$9</f>
        <v>-2.99994264685144</v>
      </c>
      <c r="D252" s="25" t="n">
        <f aca="false">IF($O$9="sell",-1,1) * NORMDIST(I252,0,1,0)/(B252*$H$9*SQRT($J$9)) * $P$9</f>
        <v>5.78315649418491E-005</v>
      </c>
      <c r="E252" s="25" t="n">
        <f aca="false">IF($O$9="sell",-1,1) * (B252*NORMDIST(I252,0,1,0)*SQRT($J$9)/365) * $P$9</f>
        <v>4.06746835779065E-006</v>
      </c>
      <c r="F252" s="25" t="n">
        <f aca="false">IF($O$9="sell",-1,1) * (-(B252*NORMDIST(I252,0,1,0)*$H$9)/(2*SQRT($J$9))/365) *$P$9</f>
        <v>-0.000133801913797247</v>
      </c>
      <c r="G252" s="25" t="n">
        <f aca="false">IF($O$9="buy",1,-1)*( IF($K$9="call",B252*NORMDIST(I252,0,1,1) - $B$9*NORMDIST(J252,0,1,1),$B$9*NORMDIST(-J252,0,1,1) - B252*NORMDIST(-I252,0,1,1) ) - $G$9) * $P$9</f>
        <v>57.7800534859827</v>
      </c>
      <c r="I252" s="26" t="n">
        <f aca="false">(LN(B252/$B$9)+($H$9^2/2)*($J$9))/($H$9*SQRT($J$9))</f>
        <v>-4.11789168158773</v>
      </c>
      <c r="J252" s="26" t="n">
        <f aca="false">I252 - $H$9*SQRT($J$9)</f>
        <v>-4.19336941122524</v>
      </c>
    </row>
    <row r="253" customFormat="false" ht="13.5" hidden="false" customHeight="true" outlineLevel="0" collapsed="false">
      <c r="B253" s="30"/>
      <c r="C253" s="22"/>
      <c r="D253" s="22"/>
      <c r="E253" s="22"/>
      <c r="F253" s="22"/>
      <c r="G253" s="22"/>
      <c r="I253" s="31"/>
      <c r="J253" s="31"/>
    </row>
    <row r="254" customFormat="false" ht="13.5" hidden="false" customHeight="true" outlineLevel="0" collapsed="false">
      <c r="B254" s="30"/>
      <c r="C254" s="22"/>
      <c r="D254" s="22"/>
      <c r="E254" s="22"/>
      <c r="F254" s="22"/>
      <c r="G254" s="22"/>
      <c r="I254" s="31"/>
      <c r="J254" s="31"/>
    </row>
    <row r="255" customFormat="false" ht="13.5" hidden="false" customHeight="true" outlineLevel="0" collapsed="false">
      <c r="B255" s="23"/>
      <c r="C255" s="19" t="s">
        <v>13</v>
      </c>
      <c r="D255" s="19" t="s">
        <v>14</v>
      </c>
      <c r="E255" s="19" t="s">
        <v>15</v>
      </c>
      <c r="F255" s="19" t="s">
        <v>16</v>
      </c>
      <c r="G255" s="19" t="s">
        <v>17</v>
      </c>
      <c r="I255" s="19" t="s">
        <v>158</v>
      </c>
      <c r="J255" s="19" t="s">
        <v>159</v>
      </c>
    </row>
    <row r="256" customFormat="false" ht="13.5" hidden="false" customHeight="true" outlineLevel="0" collapsed="false">
      <c r="A256" s="2" t="str">
        <f aca="false">A10</f>
        <v>SOL-24APR26-80-P-USDT</v>
      </c>
      <c r="B256" s="29" t="n">
        <f aca="false">B226</f>
        <v>83</v>
      </c>
      <c r="C256" s="25" t="n">
        <f aca="false">IF($O$10="sell",-1,1) *  IF($K$10="call",  NORMDIST(I256,0,1,1),  NORMDIST(I256,0,1,1)-1  ) * $P$10</f>
        <v>-0.577896281266369</v>
      </c>
      <c r="D256" s="25" t="n">
        <f aca="false">IF($O$10="sell",-1,1) * NORMDIST(I256,0,1,0)/(B256*$H$10*SQRT($J$10)) * $P$10</f>
        <v>0.116563915649034</v>
      </c>
      <c r="E256" s="25" t="n">
        <f aca="false">IF($O$10="sell",-1,1) * (B256*NORMDIST(I256,0,1,0)*SQRT($J$10)/365) * $P$10</f>
        <v>0.0162693292790002</v>
      </c>
      <c r="F256" s="25" t="n">
        <f aca="false">IF($O$10="sell",-1,1) * (-(B256*NORMDIST(I256,0,1,0)*$H$10)/(2*SQRT($J$10))/365) *$P$10</f>
        <v>-0.50089604250954</v>
      </c>
      <c r="G256" s="25" t="n">
        <f aca="false">IF($O$10="buy",1,-1)*( IF($K$10="call",B256*NORMDIST(I256,0,1,1) - $B$10*NORMDIST(J256,0,1,1),$B$10*NORMDIST(-J256,0,1,1) - B256*NORMDIST(-I256,0,1,1) ) - $G$10) * $P$10</f>
        <v>-1.61774708570307</v>
      </c>
      <c r="I256" s="26" t="n">
        <f aca="false">(LN(B256/$B$10)+($H$10^2/2)*($J$10))/($H$10*SQRT($J$10))</f>
        <v>0.556460220212983</v>
      </c>
      <c r="J256" s="26" t="n">
        <f aca="false">I256 - $H$10*SQRT($J$10)</f>
        <v>0.485818927620207</v>
      </c>
    </row>
    <row r="257" customFormat="false" ht="13.5" hidden="false" customHeight="true" outlineLevel="0" collapsed="false">
      <c r="B257" s="29" t="n">
        <f aca="false">B227</f>
        <v>82</v>
      </c>
      <c r="C257" s="25" t="n">
        <f aca="false">IF($O$10="sell",-1,1) *  IF($K$10="call",  NORMDIST(I257,0,1,1),  NORMDIST(I257,0,1,1)-1  ) * $P$10</f>
        <v>-0.700333792097925</v>
      </c>
      <c r="D257" s="25" t="n">
        <f aca="false">IF($O$10="sell",-1,1) * NORMDIST(I257,0,1,0)/(B257*$H$10*SQRT($J$10)) * $P$10</f>
        <v>0.127909460726924</v>
      </c>
      <c r="E257" s="25" t="n">
        <f aca="false">IF($O$10="sell",-1,1) * (B257*NORMDIST(I257,0,1,0)*SQRT($J$10)/365) * $P$10</f>
        <v>0.0174252777409196</v>
      </c>
      <c r="F257" s="25" t="n">
        <f aca="false">IF($O$10="sell",-1,1) * (-(B257*NORMDIST(I257,0,1,0)*$H$10)/(2*SQRT($J$10))/365) *$P$10</f>
        <v>-0.536485094767996</v>
      </c>
      <c r="G257" s="25" t="n">
        <f aca="false">IF($O$10="buy",1,-1)*( IF($K$10="call",B257*NORMDIST(I257,0,1,1) - $B$10*NORMDIST(J257,0,1,1),$B$10*NORMDIST(-J257,0,1,1) - B257*NORMDIST(-I257,0,1,1) ) - $G$10) * $P$10</f>
        <v>-0.979578892316539</v>
      </c>
      <c r="I257" s="26" t="n">
        <f aca="false">(LN(B257/$B$10)+($H$10^2/2)*($J$10))/($H$10*SQRT($J$10))</f>
        <v>0.384869921006245</v>
      </c>
      <c r="J257" s="26" t="n">
        <f aca="false">I257 - $H$10*SQRT($J$10)</f>
        <v>0.31422862841347</v>
      </c>
    </row>
    <row r="258" customFormat="false" ht="13.5" hidden="false" customHeight="true" outlineLevel="0" collapsed="false">
      <c r="B258" s="29" t="n">
        <f aca="false">B228</f>
        <v>81</v>
      </c>
      <c r="C258" s="25" t="n">
        <f aca="false">IF($O$10="sell",-1,1) *  IF($K$10="call",  NORMDIST(I258,0,1,1),  NORMDIST(I258,0,1,1)-1  ) * $P$10</f>
        <v>-0.832751368070793</v>
      </c>
      <c r="D258" s="25" t="n">
        <f aca="false">IF($O$10="sell",-1,1) * NORMDIST(I258,0,1,0)/(B258*$H$10*SQRT($J$10)) * $P$10</f>
        <v>0.136368111556607</v>
      </c>
      <c r="E258" s="25" t="n">
        <f aca="false">IF($O$10="sell",-1,1) * (B258*NORMDIST(I258,0,1,0)*SQRT($J$10)/365) * $P$10</f>
        <v>0.0181272615263494</v>
      </c>
      <c r="F258" s="25" t="n">
        <f aca="false">IF($O$10="sell",-1,1) * (-(B258*NORMDIST(I258,0,1,0)*$H$10)/(2*SQRT($J$10))/365) *$P$10</f>
        <v>-0.558097596057863</v>
      </c>
      <c r="G258" s="25" t="n">
        <f aca="false">IF($O$10="buy",1,-1)*( IF($K$10="call",B258*NORMDIST(I258,0,1,1) - $B$10*NORMDIST(J258,0,1,1),$B$10*NORMDIST(-J258,0,1,1) - B258*NORMDIST(-I258,0,1,1) ) - $G$10) * $P$10</f>
        <v>-0.213742388904812</v>
      </c>
      <c r="I258" s="26" t="n">
        <f aca="false">(LN(B258/$B$10)+($H$10^2/2)*($J$10))/($H$10*SQRT($J$10))</f>
        <v>0.211174166845184</v>
      </c>
      <c r="J258" s="26" t="n">
        <f aca="false">I258 - $H$10*SQRT($J$10)</f>
        <v>0.140532874252408</v>
      </c>
    </row>
    <row r="259" customFormat="false" ht="13.5" hidden="false" customHeight="true" outlineLevel="0" collapsed="false">
      <c r="B259" s="29" t="n">
        <f aca="false">B229</f>
        <v>80</v>
      </c>
      <c r="C259" s="25" t="n">
        <f aca="false">IF($O$10="sell",-1,1) *  IF($K$10="call",  NORMDIST(I259,0,1,1),  NORMDIST(I259,0,1,1)-1  ) * $P$10</f>
        <v>-0.971824060237446</v>
      </c>
      <c r="D259" s="25" t="n">
        <f aca="false">IF($O$10="sell",-1,1) * NORMDIST(I259,0,1,0)/(B259*$H$10*SQRT($J$10)) * $P$10</f>
        <v>0.141097895272007</v>
      </c>
      <c r="E259" s="25" t="n">
        <f aca="false">IF($O$10="sell",-1,1) * (B259*NORMDIST(I259,0,1,0)*SQRT($J$10)/365) * $P$10</f>
        <v>0.0182957343522348</v>
      </c>
      <c r="F259" s="25" t="n">
        <f aca="false">IF($O$10="sell",-1,1) * (-(B259*NORMDIST(I259,0,1,0)*$H$10)/(2*SQRT($J$10))/365) *$P$10</f>
        <v>-0.563284495303018</v>
      </c>
      <c r="G259" s="25" t="n">
        <f aca="false">IF($O$10="buy",1,-1)*( IF($K$10="call",B259*NORMDIST(I259,0,1,1) - $B$10*NORMDIST(J259,0,1,1),$B$10*NORMDIST(-J259,0,1,1) - B259*NORMDIST(-I259,0,1,1) ) - $G$10) * $P$10</f>
        <v>0.688150362008621</v>
      </c>
      <c r="I259" s="26" t="n">
        <f aca="false">(LN(B259/$B$10)+($H$10^2/2)*($J$10))/($H$10*SQRT($J$10))</f>
        <v>0.0353206462963876</v>
      </c>
      <c r="J259" s="26" t="n">
        <f aca="false">I259 - $H$10*SQRT($J$10)</f>
        <v>-0.0353206462963876</v>
      </c>
    </row>
    <row r="260" customFormat="false" ht="13.5" hidden="false" customHeight="true" outlineLevel="0" collapsed="false">
      <c r="B260" s="29" t="n">
        <f aca="false">B230</f>
        <v>79</v>
      </c>
      <c r="C260" s="25" t="n">
        <f aca="false">IF($O$10="sell",-1,1) *  IF($K$10="call",  NORMDIST(I260,0,1,1),  NORMDIST(I260,0,1,1)-1  ) * $P$10</f>
        <v>-1.11350836596475</v>
      </c>
      <c r="D260" s="25" t="n">
        <f aca="false">IF($O$10="sell",-1,1) * NORMDIST(I260,0,1,0)/(B260*$H$10*SQRT($J$10)) * $P$10</f>
        <v>0.141523876510015</v>
      </c>
      <c r="E260" s="25" t="n">
        <f aca="false">IF($O$10="sell",-1,1) * (B260*NORMDIST(I260,0,1,0)*SQRT($J$10)/365) * $P$10</f>
        <v>0.0178950631300182</v>
      </c>
      <c r="F260" s="25" t="n">
        <f aca="false">IF($O$10="sell",-1,1) * (-(B260*NORMDIST(I260,0,1,0)*$H$10)/(2*SQRT($J$10))/365) *$P$10</f>
        <v>-0.550948729881217</v>
      </c>
      <c r="G260" s="25" t="n">
        <f aca="false">IF($O$10="buy",1,-1)*( IF($K$10="call",B260*NORMDIST(I260,0,1,1) - $B$10*NORMDIST(J260,0,1,1),$B$10*NORMDIST(-J260,0,1,1) - B260*NORMDIST(-I260,0,1,1) ) - $G$10) * $P$10</f>
        <v>1.73078078522607</v>
      </c>
      <c r="I260" s="26" t="n">
        <f aca="false">(LN(B260/$B$10)+($H$10^2/2)*($J$10))/($H$10*SQRT($J$10))</f>
        <v>-0.142744926192111</v>
      </c>
      <c r="J260" s="26" t="n">
        <f aca="false">I260 - $H$10*SQRT($J$10)</f>
        <v>-0.213386218784886</v>
      </c>
    </row>
    <row r="261" customFormat="false" ht="13.5" hidden="false" customHeight="true" outlineLevel="0" collapsed="false">
      <c r="B261" s="29" t="n">
        <f aca="false">B231</f>
        <v>78</v>
      </c>
      <c r="C261" s="25" t="n">
        <f aca="false">IF($O$10="sell",-1,1) *  IF($K$10="call",  NORMDIST(I261,0,1,1),  NORMDIST(I261,0,1,1)-1  ) * $P$10</f>
        <v>-1.25336451877846</v>
      </c>
      <c r="D261" s="25" t="n">
        <f aca="false">IF($O$10="sell",-1,1) * NORMDIST(I261,0,1,0)/(B261*$H$10*SQRT($J$10)) * $P$10</f>
        <v>0.137442484198597</v>
      </c>
      <c r="E261" s="25" t="n">
        <f aca="false">IF($O$10="sell",-1,1) * (B261*NORMDIST(I261,0,1,0)*SQRT($J$10)/365) * $P$10</f>
        <v>0.016941799507408</v>
      </c>
      <c r="F261" s="25" t="n">
        <f aca="false">IF($O$10="sell",-1,1) * (-(B261*NORMDIST(I261,0,1,0)*$H$10)/(2*SQRT($J$10))/365) *$P$10</f>
        <v>-0.5215998877842</v>
      </c>
      <c r="G261" s="25" t="n">
        <f aca="false">IF($O$10="buy",1,-1)*( IF($K$10="call",B261*NORMDIST(I261,0,1,1) - $B$10*NORMDIST(J261,0,1,1),$B$10*NORMDIST(-J261,0,1,1) - B261*NORMDIST(-I261,0,1,1) ) - $G$10) * $P$10</f>
        <v>2.91455765562885</v>
      </c>
      <c r="I261" s="26" t="n">
        <f aca="false">(LN(B261/$B$10)+($H$10^2/2)*($J$10))/($H$10*SQRT($J$10))</f>
        <v>-0.323078910889507</v>
      </c>
      <c r="J261" s="26" t="n">
        <f aca="false">I261 - $H$10*SQRT($J$10)</f>
        <v>-0.393720203482283</v>
      </c>
    </row>
    <row r="262" customFormat="false" ht="13.5" hidden="false" customHeight="true" outlineLevel="0" collapsed="false">
      <c r="B262" s="29" t="n">
        <f aca="false">B232</f>
        <v>77</v>
      </c>
      <c r="C262" s="25" t="n">
        <f aca="false">IF($O$10="sell",-1,1) *  IF($K$10="call",  NORMDIST(I262,0,1,1),  NORMDIST(I262,0,1,1)-1  ) * $P$10</f>
        <v>-1.38696071063847</v>
      </c>
      <c r="D262" s="25" t="n">
        <f aca="false">IF($O$10="sell",-1,1) * NORMDIST(I262,0,1,0)/(B262*$H$10*SQRT($J$10)) * $P$10</f>
        <v>0.129077439590319</v>
      </c>
      <c r="E262" s="25" t="n">
        <f aca="false">IF($O$10="sell",-1,1) * (B262*NORMDIST(I262,0,1,0)*SQRT($J$10)/365) * $P$10</f>
        <v>0.0155053341045767</v>
      </c>
      <c r="F262" s="25" t="n">
        <f aca="false">IF($O$10="sell",-1,1) * (-(B262*NORMDIST(I262,0,1,0)*$H$10)/(2*SQRT($J$10))/365) *$P$10</f>
        <v>-0.477374350078181</v>
      </c>
      <c r="G262" s="25" t="n">
        <f aca="false">IF($O$10="buy",1,-1)*( IF($K$10="call",B262*NORMDIST(I262,0,1,1) - $B$10*NORMDIST(J262,0,1,1),$B$10*NORMDIST(-J262,0,1,1) - B262*NORMDIST(-I262,0,1,1) ) - $G$10) * $P$10</f>
        <v>4.2354182606481</v>
      </c>
      <c r="I262" s="26" t="n">
        <f aca="false">(LN(B262/$B$10)+($H$10^2/2)*($J$10))/($H$10*SQRT($J$10))</f>
        <v>-0.505739849871639</v>
      </c>
      <c r="J262" s="26" t="n">
        <f aca="false">I262 - $H$10*SQRT($J$10)</f>
        <v>-0.576381142464415</v>
      </c>
    </row>
    <row r="263" customFormat="false" ht="13.5" hidden="false" customHeight="true" outlineLevel="0" collapsed="false">
      <c r="B263" s="29" t="n">
        <f aca="false">B233</f>
        <v>76</v>
      </c>
      <c r="C263" s="25" t="n">
        <f aca="false">IF($O$10="sell",-1,1) *  IF($K$10="call",  NORMDIST(I263,0,1,1),  NORMDIST(I263,0,1,1)-1  ) * $P$10</f>
        <v>-1.51030158743746</v>
      </c>
      <c r="D263" s="25" t="n">
        <f aca="false">IF($O$10="sell",-1,1) * NORMDIST(I263,0,1,0)/(B263*$H$10*SQRT($J$10)) * $P$10</f>
        <v>0.117070530586433</v>
      </c>
      <c r="E263" s="25" t="n">
        <f aca="false">IF($O$10="sell",-1,1) * (B263*NORMDIST(I263,0,1,0)*SQRT($J$10)/365) * $P$10</f>
        <v>0.0137001116839467</v>
      </c>
      <c r="F263" s="25" t="n">
        <f aca="false">IF($O$10="sell",-1,1) * (-(B263*NORMDIST(I263,0,1,0)*$H$10)/(2*SQRT($J$10))/365) *$P$10</f>
        <v>-0.421795613497431</v>
      </c>
      <c r="G263" s="25" t="n">
        <f aca="false">IF($O$10="buy",1,-1)*( IF($K$10="call",B263*NORMDIST(I263,0,1,1) - $B$10*NORMDIST(J263,0,1,1),$B$10*NORMDIST(-J263,0,1,1) - B263*NORMDIST(-I263,0,1,1) ) - $G$10) * $P$10</f>
        <v>5.68505136966723</v>
      </c>
      <c r="I263" s="26" t="n">
        <f aca="false">(LN(B263/$B$10)+($H$10^2/2)*($J$10))/($H$10*SQRT($J$10))</f>
        <v>-0.690788581110311</v>
      </c>
      <c r="J263" s="26" t="n">
        <f aca="false">I263 - $H$10*SQRT($J$10)</f>
        <v>-0.761429873703086</v>
      </c>
    </row>
    <row r="264" customFormat="false" ht="13.5" hidden="false" customHeight="true" outlineLevel="0" collapsed="false">
      <c r="B264" s="29" t="n">
        <f aca="false">B234</f>
        <v>75</v>
      </c>
      <c r="C264" s="25" t="n">
        <f aca="false">IF($O$10="sell",-1,1) *  IF($K$10="call",  NORMDIST(I264,0,1,1),  NORMDIST(I264,0,1,1)-1  ) * $P$10</f>
        <v>-1.62021274906929</v>
      </c>
      <c r="D264" s="25" t="n">
        <f aca="false">IF($O$10="sell",-1,1) * NORMDIST(I264,0,1,0)/(B264*$H$10*SQRT($J$10)) * $P$10</f>
        <v>0.102403512685114</v>
      </c>
      <c r="E264" s="25" t="n">
        <f aca="false">IF($O$10="sell",-1,1) * (B264*NORMDIST(I264,0,1,0)*SQRT($J$10)/365) * $P$10</f>
        <v>0.0116704262195391</v>
      </c>
      <c r="F264" s="25" t="n">
        <f aca="false">IF($O$10="sell",-1,1) * (-(B264*NORMDIST(I264,0,1,0)*$H$10)/(2*SQRT($J$10))/365) *$P$10</f>
        <v>-0.359306164840613</v>
      </c>
      <c r="G264" s="25" t="n">
        <f aca="false">IF($O$10="buy",1,-1)*( IF($K$10="call",B264*NORMDIST(I264,0,1,1) - $B$10*NORMDIST(J264,0,1,1),$B$10*NORMDIST(-J264,0,1,1) - B264*NORMDIST(-I264,0,1,1) ) - $G$10) * $P$10</f>
        <v>7.25153246307018</v>
      </c>
      <c r="I264" s="26" t="n">
        <f aca="false">(LN(B264/$B$10)+($H$10^2/2)*($J$10))/($H$10*SQRT($J$10))</f>
        <v>-0.878288360118818</v>
      </c>
      <c r="J264" s="26" t="n">
        <f aca="false">I264 - $H$10*SQRT($J$10)</f>
        <v>-0.948929652711593</v>
      </c>
    </row>
    <row r="265" customFormat="false" ht="13.5" hidden="false" customHeight="true" outlineLevel="0" collapsed="false">
      <c r="B265" s="29" t="n">
        <f aca="false">B235</f>
        <v>74</v>
      </c>
      <c r="C265" s="25" t="n">
        <f aca="false">IF($O$10="sell",-1,1) *  IF($K$10="call",  NORMDIST(I265,0,1,1),  NORMDIST(I265,0,1,1)-1  ) * $P$10</f>
        <v>-1.71461704157332</v>
      </c>
      <c r="D265" s="25" t="n">
        <f aca="false">IF($O$10="sell",-1,1) * NORMDIST(I265,0,1,0)/(B265*$H$10*SQRT($J$10)) * $P$10</f>
        <v>0.0862630614976031</v>
      </c>
      <c r="E265" s="25" t="n">
        <f aca="false">IF($O$10="sell",-1,1) * (B265*NORMDIST(I265,0,1,0)*SQRT($J$10)/365) * $P$10</f>
        <v>0.0095705664525018</v>
      </c>
      <c r="F265" s="25" t="n">
        <f aca="false">IF($O$10="sell",-1,1) * (-(B265*NORMDIST(I265,0,1,0)*$H$10)/(2*SQRT($J$10))/365) *$P$10</f>
        <v>-0.294656207298012</v>
      </c>
      <c r="G265" s="25" t="n">
        <f aca="false">IF($O$10="buy",1,-1)*( IF($K$10="call",B265*NORMDIST(I265,0,1,1) - $B$10*NORMDIST(J265,0,1,1),$B$10*NORMDIST(-J265,0,1,1) - B265*NORMDIST(-I265,0,1,1) ) - $G$10) * $P$10</f>
        <v>8.92029412304206</v>
      </c>
      <c r="I265" s="26" t="n">
        <f aca="false">(LN(B265/$B$10)+($H$10^2/2)*($J$10))/($H$10*SQRT($J$10))</f>
        <v>-1.06830498976233</v>
      </c>
      <c r="J265" s="26" t="n">
        <f aca="false">I265 - $H$10*SQRT($J$10)</f>
        <v>-1.13894628235511</v>
      </c>
    </row>
    <row r="266" customFormat="false" ht="13.5" hidden="false" customHeight="true" outlineLevel="0" collapsed="false">
      <c r="B266" s="29" t="n">
        <f aca="false">B236</f>
        <v>73</v>
      </c>
      <c r="C266" s="25" t="n">
        <f aca="false">IF($O$10="sell",-1,1) *  IF($K$10="call",  NORMDIST(I266,0,1,1),  NORMDIST(I266,0,1,1)-1  ) * $P$10</f>
        <v>-1.79265762930268</v>
      </c>
      <c r="D266" s="25" t="n">
        <f aca="false">IF($O$10="sell",-1,1) * NORMDIST(I266,0,1,0)/(B266*$H$10*SQRT($J$10)) * $P$10</f>
        <v>0.069874566689315</v>
      </c>
      <c r="E266" s="25" t="n">
        <f aca="false">IF($O$10="sell",-1,1) * (B266*NORMDIST(I266,0,1,0)*SQRT($J$10)/365) * $P$10</f>
        <v>0.00754421721631196</v>
      </c>
      <c r="F266" s="25" t="n">
        <f aca="false">IF($O$10="sell",-1,1) * (-(B266*NORMDIST(I266,0,1,0)*$H$10)/(2*SQRT($J$10))/365) *$P$10</f>
        <v>-0.232269473601509</v>
      </c>
      <c r="G266" s="25" t="n">
        <f aca="false">IF($O$10="buy",1,-1)*( IF($K$10="call",B266*NORMDIST(I266,0,1,1) - $B$10*NORMDIST(J266,0,1,1),$B$10*NORMDIST(-J266,0,1,1) - B266*NORMDIST(-I266,0,1,1) ) - $G$10) * $P$10</f>
        <v>10.6752987142395</v>
      </c>
      <c r="I266" s="26" t="n">
        <f aca="false">(LN(B266/$B$10)+($H$10^2/2)*($J$10))/($H$10*SQRT($J$10))</f>
        <v>-1.26090695889972</v>
      </c>
      <c r="J266" s="26" t="n">
        <f aca="false">I266 - $H$10*SQRT($J$10)</f>
        <v>-1.33154825149249</v>
      </c>
    </row>
    <row r="267" customFormat="false" ht="13.5" hidden="false" customHeight="true" outlineLevel="0" collapsed="false">
      <c r="B267" s="29" t="n">
        <f aca="false">B237</f>
        <v>72</v>
      </c>
      <c r="C267" s="25" t="n">
        <f aca="false">IF($O$10="sell",-1,1) *  IF($K$10="call",  NORMDIST(I267,0,1,1),  NORMDIST(I267,0,1,1)-1  ) * $P$10</f>
        <v>-1.85465315083136</v>
      </c>
      <c r="D267" s="25" t="n">
        <f aca="false">IF($O$10="sell",-1,1) * NORMDIST(I267,0,1,0)/(B267*$H$10*SQRT($J$10)) * $P$10</f>
        <v>0.0543382890917667</v>
      </c>
      <c r="E267" s="25" t="n">
        <f aca="false">IF($O$10="sell",-1,1) * (B267*NORMDIST(I267,0,1,0)*SQRT($J$10)/365) * $P$10</f>
        <v>0.00570716316762709</v>
      </c>
      <c r="F267" s="25" t="n">
        <f aca="false">IF($O$10="sell",-1,1) * (-(B267*NORMDIST(I267,0,1,0)*$H$10)/(2*SQRT($J$10))/365) *$P$10</f>
        <v>-0.175710712814111</v>
      </c>
      <c r="G267" s="25" t="n">
        <f aca="false">IF($O$10="buy",1,-1)*( IF($K$10="call",B267*NORMDIST(I267,0,1,1) - $B$10*NORMDIST(J267,0,1,1),$B$10*NORMDIST(-J267,0,1,1) - B267*NORMDIST(-I267,0,1,1) ) - $G$10) * $P$10</f>
        <v>12.5002499800395</v>
      </c>
      <c r="I267" s="26" t="n">
        <f aca="false">(LN(B267/$B$10)+($H$10^2/2)*($J$10))/($H$10*SQRT($J$10))</f>
        <v>-1.4561655905877</v>
      </c>
      <c r="J267" s="26" t="n">
        <f aca="false">I267 - $H$10*SQRT($J$10)</f>
        <v>-1.52680688318048</v>
      </c>
    </row>
    <row r="268" customFormat="false" ht="13.5" hidden="false" customHeight="true" outlineLevel="0" collapsed="false">
      <c r="B268" s="29" t="n">
        <f aca="false">B238</f>
        <v>71</v>
      </c>
      <c r="C268" s="25" t="n">
        <f aca="false">IF($O$10="sell",-1,1) *  IF($K$10="call",  NORMDIST(I268,0,1,1),  NORMDIST(I268,0,1,1)-1  ) * $P$10</f>
        <v>-1.90190401734509</v>
      </c>
      <c r="D268" s="25" t="n">
        <f aca="false">IF($O$10="sell",-1,1) * NORMDIST(I268,0,1,0)/(B268*$H$10*SQRT($J$10)) * $P$10</f>
        <v>0.0405003153263912</v>
      </c>
      <c r="E268" s="25" t="n">
        <f aca="false">IF($O$10="sell",-1,1) * (B268*NORMDIST(I268,0,1,0)*SQRT($J$10)/365) * $P$10</f>
        <v>0.00413641818083141</v>
      </c>
      <c r="F268" s="25" t="n">
        <f aca="false">IF($O$10="sell",-1,1) * (-(B268*NORMDIST(I268,0,1,0)*$H$10)/(2*SQRT($J$10))/365) *$P$10</f>
        <v>-0.127351008846892</v>
      </c>
      <c r="G268" s="25" t="n">
        <f aca="false">IF($O$10="buy",1,-1)*( IF($K$10="call",B268*NORMDIST(I268,0,1,1) - $B$10*NORMDIST(J268,0,1,1),$B$10*NORMDIST(-J268,0,1,1) - B268*NORMDIST(-I268,0,1,1) ) - $G$10) * $P$10</f>
        <v>14.3796824521011</v>
      </c>
      <c r="I268" s="26" t="n">
        <f aca="false">(LN(B268/$B$10)+($H$10^2/2)*($J$10))/($H$10*SQRT($J$10))</f>
        <v>-1.65415520065</v>
      </c>
      <c r="J268" s="26" t="n">
        <f aca="false">I268 - $H$10*SQRT($J$10)</f>
        <v>-1.72479649324277</v>
      </c>
    </row>
    <row r="269" customFormat="false" ht="13.5" hidden="false" customHeight="true" outlineLevel="0" collapsed="false">
      <c r="B269" s="29" t="n">
        <f aca="false">B239</f>
        <v>70</v>
      </c>
      <c r="C269" s="25" t="n">
        <f aca="false">IF($O$10="sell",-1,1) *  IF($K$10="call",  NORMDIST(I269,0,1,1),  NORMDIST(I269,0,1,1)-1  ) * $P$10</f>
        <v>-1.93639709968905</v>
      </c>
      <c r="D269" s="25" t="n">
        <f aca="false">IF($O$10="sell",-1,1) * NORMDIST(I269,0,1,0)/(B269*$H$10*SQRT($J$10)) * $P$10</f>
        <v>0.0288809814316402</v>
      </c>
      <c r="E269" s="25" t="n">
        <f aca="false">IF($O$10="sell",-1,1) * (B269*NORMDIST(I269,0,1,0)*SQRT($J$10)/365) * $P$10</f>
        <v>0.00286719587835157</v>
      </c>
      <c r="F269" s="25" t="n">
        <f aca="false">IF($O$10="sell",-1,1) * (-(B269*NORMDIST(I269,0,1,0)*$H$10)/(2*SQRT($J$10))/365) *$P$10</f>
        <v>-0.0882745099037186</v>
      </c>
      <c r="G269" s="25" t="n">
        <f aca="false">IF($O$10="buy",1,-1)*( IF($K$10="call",B269*NORMDIST(I269,0,1,1) - $B$10*NORMDIST(J269,0,1,1),$B$10*NORMDIST(-J269,0,1,1) - B269*NORMDIST(-I269,0,1,1) ) - $G$10) * $P$10</f>
        <v>16.2998015414602</v>
      </c>
      <c r="I269" s="26" t="n">
        <f aca="false">(LN(B269/$B$10)+($H$10^2/2)*($J$10))/($H$10*SQRT($J$10))</f>
        <v>-1.85495326749351</v>
      </c>
      <c r="J269" s="26" t="n">
        <f aca="false">I269 - $H$10*SQRT($J$10)</f>
        <v>-1.92559456008629</v>
      </c>
    </row>
    <row r="270" customFormat="false" ht="13.5" hidden="false" customHeight="true" outlineLevel="0" collapsed="false">
      <c r="B270" s="29" t="n">
        <f aca="false">B240</f>
        <v>69</v>
      </c>
      <c r="C270" s="25" t="n">
        <f aca="false">IF($O$10="sell",-1,1) *  IF($K$10="call",  NORMDIST(I270,0,1,1),  NORMDIST(I270,0,1,1)-1  ) * $P$10</f>
        <v>-1.96047132095889</v>
      </c>
      <c r="D270" s="25" t="n">
        <f aca="false">IF($O$10="sell",-1,1) * NORMDIST(I270,0,1,0)/(B270*$H$10*SQRT($J$10)) * $P$10</f>
        <v>0.0196680847227069</v>
      </c>
      <c r="E270" s="25" t="n">
        <f aca="false">IF($O$10="sell",-1,1) * (B270*NORMDIST(I270,0,1,0)*SQRT($J$10)/365) * $P$10</f>
        <v>0.00189718458910781</v>
      </c>
      <c r="F270" s="25" t="n">
        <f aca="false">IF($O$10="sell",-1,1) * (-(B270*NORMDIST(I270,0,1,0)*$H$10)/(2*SQRT($J$10))/365) *$P$10</f>
        <v>-0.0584100448333041</v>
      </c>
      <c r="G270" s="25" t="n">
        <f aca="false">IF($O$10="buy",1,-1)*( IF($K$10="call",B270*NORMDIST(I270,0,1,1) - $B$10*NORMDIST(J270,0,1,1),$B$10*NORMDIST(-J270,0,1,1) - B270*NORMDIST(-I270,0,1,1) ) - $G$10) * $P$10</f>
        <v>18.249003347422</v>
      </c>
      <c r="I270" s="26" t="n">
        <f aca="false">(LN(B270/$B$10)+($H$10^2/2)*($J$10))/($H$10*SQRT($J$10))</f>
        <v>-2.05864061414282</v>
      </c>
      <c r="J270" s="26" t="n">
        <f aca="false">I270 - $H$10*SQRT($J$10)</f>
        <v>-2.12928190673559</v>
      </c>
    </row>
    <row r="271" customFormat="false" ht="13.5" hidden="false" customHeight="true" outlineLevel="0" collapsed="false">
      <c r="B271" s="29" t="n">
        <f aca="false">B241</f>
        <v>68</v>
      </c>
      <c r="C271" s="25" t="n">
        <f aca="false">IF($O$10="sell",-1,1) *  IF($K$10="call",  NORMDIST(I271,0,1,1),  NORMDIST(I271,0,1,1)-1  ) * $P$10</f>
        <v>-1.97650582228451</v>
      </c>
      <c r="D271" s="25" t="n">
        <f aca="false">IF($O$10="sell",-1,1) * NORMDIST(I271,0,1,0)/(B271*$H$10*SQRT($J$10)) * $P$10</f>
        <v>0.0127661989126325</v>
      </c>
      <c r="E271" s="25" t="n">
        <f aca="false">IF($O$10="sell",-1,1) * (B271*NORMDIST(I271,0,1,0)*SQRT($J$10)/365) * $P$10</f>
        <v>0.00119599336056609</v>
      </c>
      <c r="F271" s="25" t="n">
        <f aca="false">IF($O$10="sell",-1,1) * (-(B271*NORMDIST(I271,0,1,0)*$H$10)/(2*SQRT($J$10))/365) *$P$10</f>
        <v>-0.0368219445867686</v>
      </c>
      <c r="G271" s="25" t="n">
        <f aca="false">IF($O$10="buy",1,-1)*( IF($K$10="call",B271*NORMDIST(I271,0,1,1) - $B$10*NORMDIST(J271,0,1,1),$B$10*NORMDIST(-J271,0,1,1) - B271*NORMDIST(-I271,0,1,1) ) - $G$10) * $P$10</f>
        <v>20.2180666535828</v>
      </c>
      <c r="I271" s="26" t="n">
        <f aca="false">(LN(B271/$B$10)+($H$10^2/2)*($J$10))/($H$10*SQRT($J$10))</f>
        <v>-2.26530160356313</v>
      </c>
      <c r="J271" s="26" t="n">
        <f aca="false">I271 - $H$10*SQRT($J$10)</f>
        <v>-2.3359428961559</v>
      </c>
    </row>
    <row r="272" customFormat="false" ht="13.5" hidden="false" customHeight="true" outlineLevel="0" collapsed="false">
      <c r="B272" s="29" t="n">
        <f aca="false">B242</f>
        <v>67</v>
      </c>
      <c r="C272" s="25" t="n">
        <f aca="false">IF($O$10="sell",-1,1) *  IF($K$10="call",  NORMDIST(I272,0,1,1),  NORMDIST(I272,0,1,1)-1  ) * $P$10</f>
        <v>-1.98667729072957</v>
      </c>
      <c r="D272" s="25" t="n">
        <f aca="false">IF($O$10="sell",-1,1) * NORMDIST(I272,0,1,0)/(B272*$H$10*SQRT($J$10)) * $P$10</f>
        <v>0.00788166336694618</v>
      </c>
      <c r="E272" s="25" t="n">
        <f aca="false">IF($O$10="sell",-1,1) * (B272*NORMDIST(I272,0,1,0)*SQRT($J$10)/365) * $P$10</f>
        <v>0.000716831074324747</v>
      </c>
      <c r="F272" s="25" t="n">
        <f aca="false">IF($O$10="sell",-1,1) * (-(B272*NORMDIST(I272,0,1,0)*$H$10)/(2*SQRT($J$10))/365) *$P$10</f>
        <v>-0.0220696159085417</v>
      </c>
      <c r="G272" s="25" t="n">
        <f aca="false">IF($O$10="buy",1,-1)*( IF($K$10="call",B272*NORMDIST(I272,0,1,1) - $B$10*NORMDIST(J272,0,1,1),$B$10*NORMDIST(-J272,0,1,1) - B272*NORMDIST(-I272,0,1,1) ) - $G$10) * $P$10</f>
        <v>22.2000646916608</v>
      </c>
      <c r="I272" s="26" t="n">
        <f aca="false">(LN(B272/$B$10)+($H$10^2/2)*($J$10))/($H$10*SQRT($J$10))</f>
        <v>-2.47502434845322</v>
      </c>
      <c r="J272" s="26" t="n">
        <f aca="false">I272 - $H$10*SQRT($J$10)</f>
        <v>-2.54566564104599</v>
      </c>
    </row>
    <row r="273" customFormat="false" ht="13.5" hidden="false" customHeight="true" outlineLevel="0" collapsed="false">
      <c r="B273" s="29" t="n">
        <f aca="false">B243</f>
        <v>66</v>
      </c>
      <c r="C273" s="25" t="n">
        <f aca="false">IF($O$10="sell",-1,1) *  IF($K$10="call",  NORMDIST(I273,0,1,1),  NORMDIST(I273,0,1,1)-1  ) * $P$10</f>
        <v>-1.99280972755138</v>
      </c>
      <c r="D273" s="25" t="n">
        <f aca="false">IF($O$10="sell",-1,1) * NORMDIST(I273,0,1,0)/(B273*$H$10*SQRT($J$10)) * $P$10</f>
        <v>0.00461837949908538</v>
      </c>
      <c r="E273" s="25" t="n">
        <f aca="false">IF($O$10="sell",-1,1) * (B273*NORMDIST(I273,0,1,0)*SQRT($J$10)/365) * $P$10</f>
        <v>0.000407593100662522</v>
      </c>
      <c r="F273" s="25" t="n">
        <f aca="false">IF($O$10="sell",-1,1) * (-(B273*NORMDIST(I273,0,1,0)*$H$10)/(2*SQRT($J$10))/365) *$P$10</f>
        <v>-0.0125488744849226</v>
      </c>
      <c r="G273" s="25" t="n">
        <f aca="false">IF($O$10="buy",1,-1)*( IF($K$10="call",B273*NORMDIST(I273,0,1,1) - $B$10*NORMDIST(J273,0,1,1),$B$10*NORMDIST(-J273,0,1,1) - B273*NORMDIST(-I273,0,1,1) ) - $G$10) * $P$10</f>
        <v>24.1900795574585</v>
      </c>
      <c r="I273" s="26" t="n">
        <f aca="false">(LN(B273/$B$10)+($H$10^2/2)*($J$10))/($H$10*SQRT($J$10))</f>
        <v>-2.68790093681392</v>
      </c>
      <c r="J273" s="26" t="n">
        <f aca="false">I273 - $H$10*SQRT($J$10)</f>
        <v>-2.7585422294067</v>
      </c>
    </row>
    <row r="274" customFormat="false" ht="13.5" hidden="false" customHeight="true" outlineLevel="0" collapsed="false">
      <c r="B274" s="29" t="n">
        <f aca="false">B244</f>
        <v>65</v>
      </c>
      <c r="C274" s="25" t="n">
        <f aca="false">IF($O$10="sell",-1,1) *  IF($K$10="call",  NORMDIST(I274,0,1,1),  NORMDIST(I274,0,1,1)-1  ) * $P$10</f>
        <v>-1.99631604405416</v>
      </c>
      <c r="D274" s="25" t="n">
        <f aca="false">IF($O$10="sell",-1,1) * NORMDIST(I274,0,1,0)/(B274*$H$10*SQRT($J$10)) * $P$10</f>
        <v>0.00256261625992573</v>
      </c>
      <c r="E274" s="25" t="n">
        <f aca="false">IF($O$10="sell",-1,1) * (B274*NORMDIST(I274,0,1,0)*SQRT($J$10)/365) * $P$10</f>
        <v>0.000219361105964678</v>
      </c>
      <c r="F274" s="25" t="n">
        <f aca="false">IF($O$10="sell",-1,1) * (-(B274*NORMDIST(I274,0,1,0)*$H$10)/(2*SQRT($J$10))/365) *$P$10</f>
        <v>-0.006753634890164</v>
      </c>
      <c r="G274" s="25" t="n">
        <f aca="false">IF($O$10="buy",1,-1)*( IF($K$10="call",B274*NORMDIST(I274,0,1,1) - $B$10*NORMDIST(J274,0,1,1),$B$10*NORMDIST(-J274,0,1,1) - B274*NORMDIST(-I274,0,1,1) ) - $G$10) * $P$10</f>
        <v>26.1848132367678</v>
      </c>
      <c r="I274" s="26" t="n">
        <f aca="false">(LN(B274/$B$10)+($H$10^2/2)*($J$10))/($H$10*SQRT($J$10))</f>
        <v>-2.9040276747376</v>
      </c>
      <c r="J274" s="26" t="n">
        <f aca="false">I274 - $H$10*SQRT($J$10)</f>
        <v>-2.97466896733037</v>
      </c>
    </row>
    <row r="275" customFormat="false" ht="13.5" hidden="false" customHeight="true" outlineLevel="0" collapsed="false">
      <c r="B275" s="29" t="n">
        <f aca="false">B245</f>
        <v>64</v>
      </c>
      <c r="C275" s="25" t="n">
        <f aca="false">IF($O$10="sell",-1,1) *  IF($K$10="call",  NORMDIST(I275,0,1,1),  NORMDIST(I275,0,1,1)-1  ) * $P$10</f>
        <v>-1.99821289382537</v>
      </c>
      <c r="D275" s="25" t="n">
        <f aca="false">IF($O$10="sell",-1,1) * NORMDIST(I275,0,1,0)/(B275*$H$10*SQRT($J$10)) * $P$10</f>
        <v>0.00134323171491348</v>
      </c>
      <c r="E275" s="25" t="n">
        <f aca="false">IF($O$10="sell",-1,1) * (B275*NORMDIST(I275,0,1,0)*SQRT($J$10)/365) * $P$10</f>
        <v>0.000111470569937232</v>
      </c>
      <c r="F275" s="25" t="n">
        <f aca="false">IF($O$10="sell",-1,1) * (-(B275*NORMDIST(I275,0,1,0)*$H$10)/(2*SQRT($J$10))/365) *$P$10</f>
        <v>-0.00343192803958501</v>
      </c>
      <c r="G275" s="25" t="n">
        <f aca="false">IF($O$10="buy",1,-1)*( IF($K$10="call",B275*NORMDIST(I275,0,1,1) - $B$10*NORMDIST(J275,0,1,1),$B$10*NORMDIST(-J275,0,1,1) - B275*NORMDIST(-I275,0,1,1) ) - $G$10) * $P$10</f>
        <v>28.1821789079621</v>
      </c>
      <c r="I275" s="26" t="n">
        <f aca="false">(LN(B275/$B$10)+($H$10^2/2)*($J$10))/($H$10*SQRT($J$10))</f>
        <v>-3.12350534802059</v>
      </c>
      <c r="J275" s="26" t="n">
        <f aca="false">I275 - $H$10*SQRT($J$10)</f>
        <v>-3.19414664061336</v>
      </c>
    </row>
    <row r="276" customFormat="false" ht="13.5" hidden="false" customHeight="true" outlineLevel="0" collapsed="false">
      <c r="B276" s="29" t="n">
        <f aca="false">B246</f>
        <v>63</v>
      </c>
      <c r="C276" s="25" t="n">
        <f aca="false">IF($O$10="sell",-1,1) *  IF($K$10="call",  NORMDIST(I276,0,1,1),  NORMDIST(I276,0,1,1)-1  ) * $P$10</f>
        <v>-1.99918143461215</v>
      </c>
      <c r="D276" s="25" t="n">
        <f aca="false">IF($O$10="sell",-1,1) * NORMDIST(I276,0,1,0)/(B276*$H$10*SQRT($J$10)) * $P$10</f>
        <v>0.000663412006804266</v>
      </c>
      <c r="E276" s="25" t="n">
        <f aca="false">IF($O$10="sell",-1,1) * (B276*NORMDIST(I276,0,1,0)*SQRT($J$10)/365) * $P$10</f>
        <v>5.33474619832055E-005</v>
      </c>
      <c r="F276" s="25" t="n">
        <f aca="false">IF($O$10="sell",-1,1) * (-(B276*NORMDIST(I276,0,1,0)*$H$10)/(2*SQRT($J$10))/365) *$P$10</f>
        <v>-0.00164244832267344</v>
      </c>
      <c r="G276" s="25" t="n">
        <f aca="false">IF($O$10="buy",1,-1)*( IF($K$10="call",B276*NORMDIST(I276,0,1,1) - $B$10*NORMDIST(J276,0,1,1),$B$10*NORMDIST(-J276,0,1,1) - B276*NORMDIST(-I276,0,1,1) ) - $G$10) * $P$10</f>
        <v>30.1809324264056</v>
      </c>
      <c r="I276" s="26" t="n">
        <f aca="false">(LN(B276/$B$10)+($H$10^2/2)*($J$10))/($H$10*SQRT($J$10))</f>
        <v>-3.3464395043776</v>
      </c>
      <c r="J276" s="26" t="n">
        <f aca="false">I276 - $H$10*SQRT($J$10)</f>
        <v>-3.41708079697038</v>
      </c>
    </row>
    <row r="277" customFormat="false" ht="13.5" hidden="false" customHeight="true" outlineLevel="0" collapsed="false">
      <c r="B277" s="29" t="n">
        <f aca="false">B247</f>
        <v>62</v>
      </c>
      <c r="C277" s="25" t="n">
        <f aca="false">IF($O$10="sell",-1,1) *  IF($K$10="call",  NORMDIST(I277,0,1,1),  NORMDIST(I277,0,1,1)-1  ) * $P$10</f>
        <v>-1.9996470053584</v>
      </c>
      <c r="D277" s="25" t="n">
        <f aca="false">IF($O$10="sell",-1,1) * NORMDIST(I277,0,1,0)/(B277*$H$10*SQRT($J$10)) * $P$10</f>
        <v>0.000307899186822896</v>
      </c>
      <c r="E277" s="25" t="n">
        <f aca="false">IF($O$10="sell",-1,1) * (B277*NORMDIST(I277,0,1,0)*SQRT($J$10)/365) * $P$10</f>
        <v>2.39795626092562E-005</v>
      </c>
      <c r="F277" s="25" t="n">
        <f aca="false">IF($O$10="sell",-1,1) * (-(B277*NORMDIST(I277,0,1,0)*$H$10)/(2*SQRT($J$10))/365) *$P$10</f>
        <v>-0.000738276778723127</v>
      </c>
      <c r="G277" s="25" t="n">
        <f aca="false">IF($O$10="buy",1,-1)*( IF($K$10="call",B277*NORMDIST(I277,0,1,1) - $B$10*NORMDIST(J277,0,1,1),$B$10*NORMDIST(-J277,0,1,1) - B277*NORMDIST(-I277,0,1,1) ) - $G$10) * $P$10</f>
        <v>32.1803760767713</v>
      </c>
      <c r="I277" s="26" t="n">
        <f aca="false">(LN(B277/$B$10)+($H$10^2/2)*($J$10))/($H$10*SQRT($J$10))</f>
        <v>-3.57294075823599</v>
      </c>
      <c r="J277" s="26" t="n">
        <f aca="false">I277 - $H$10*SQRT($J$10)</f>
        <v>-3.64358205082877</v>
      </c>
    </row>
    <row r="278" customFormat="false" ht="13.5" hidden="false" customHeight="true" outlineLevel="0" collapsed="false">
      <c r="B278" s="29" t="n">
        <f aca="false">B248</f>
        <v>61</v>
      </c>
      <c r="C278" s="25" t="n">
        <f aca="false">IF($O$10="sell",-1,1) *  IF($K$10="call",  NORMDIST(I278,0,1,1),  NORMDIST(I278,0,1,1)-1  ) * $P$10</f>
        <v>-1.9998571178557</v>
      </c>
      <c r="D278" s="25" t="n">
        <f aca="false">IF($O$10="sell",-1,1) * NORMDIST(I278,0,1,0)/(B278*$H$10*SQRT($J$10)) * $P$10</f>
        <v>0.000133901629922656</v>
      </c>
      <c r="E278" s="25" t="n">
        <f aca="false">IF($O$10="sell",-1,1) * (B278*NORMDIST(I278,0,1,0)*SQRT($J$10)/365) * $P$10</f>
        <v>1.00947337734809E-005</v>
      </c>
      <c r="F278" s="25" t="n">
        <f aca="false">IF($O$10="sell",-1,1) * (-(B278*NORMDIST(I278,0,1,0)*$H$10)/(2*SQRT($J$10))/365) *$P$10</f>
        <v>-0.000310794139734488</v>
      </c>
      <c r="G278" s="25" t="n">
        <f aca="false">IF($O$10="buy",1,-1)*( IF($K$10="call",B278*NORMDIST(I278,0,1,1) - $B$10*NORMDIST(J278,0,1,1),$B$10*NORMDIST(-J278,0,1,1) - B278*NORMDIST(-I278,0,1,1) ) - $G$10) * $P$10</f>
        <v>34.1801425200109</v>
      </c>
      <c r="I278" s="26" t="n">
        <f aca="false">(LN(B278/$B$10)+($H$10^2/2)*($J$10))/($H$10*SQRT($J$10))</f>
        <v>-3.80312512031324</v>
      </c>
      <c r="J278" s="26" t="n">
        <f aca="false">I278 - $H$10*SQRT($J$10)</f>
        <v>-3.87376641290602</v>
      </c>
    </row>
    <row r="279" customFormat="false" ht="13.5" hidden="false" customHeight="true" outlineLevel="0" collapsed="false">
      <c r="B279" s="29" t="n">
        <f aca="false">B249</f>
        <v>60</v>
      </c>
      <c r="C279" s="25" t="n">
        <f aca="false">IF($O$10="sell",-1,1) *  IF($K$10="call",  NORMDIST(I279,0,1,1),  NORMDIST(I279,0,1,1)-1  ) * $P$10</f>
        <v>-1.99994588730442</v>
      </c>
      <c r="D279" s="25" t="n">
        <f aca="false">IF($O$10="sell",-1,1) * NORMDIST(I279,0,1,0)/(B279*$H$10*SQRT($J$10)) * $P$10</f>
        <v>5.44002588565642E-005</v>
      </c>
      <c r="E279" s="25" t="n">
        <f aca="false">IF($O$10="sell",-1,1) * (B279*NORMDIST(I279,0,1,0)*SQRT($J$10)/365) * $P$10</f>
        <v>3.96782768504633E-006</v>
      </c>
      <c r="F279" s="25" t="n">
        <f aca="false">IF($O$10="sell",-1,1) * (-(B279*NORMDIST(I279,0,1,0)*$H$10)/(2*SQRT($J$10))/365) *$P$10</f>
        <v>-0.000122160486810285</v>
      </c>
      <c r="G279" s="25" t="n">
        <f aca="false">IF($O$10="buy",1,-1)*( IF($K$10="call",B279*NORMDIST(I279,0,1,1) - $B$10*NORMDIST(J279,0,1,1),$B$10*NORMDIST(-J279,0,1,1) - B279*NORMDIST(-I279,0,1,1) ) - $G$10) * $P$10</f>
        <v>36.1800505821052</v>
      </c>
      <c r="I279" s="26" t="n">
        <f aca="false">(LN(B279/$B$10)+($H$10^2/2)*($J$10))/($H$10*SQRT($J$10))</f>
        <v>-4.03711435443579</v>
      </c>
      <c r="J279" s="26" t="n">
        <f aca="false">I279 - $H$10*SQRT($J$10)</f>
        <v>-4.10775564702857</v>
      </c>
    </row>
    <row r="280" customFormat="false" ht="13.5" hidden="false" customHeight="true" outlineLevel="0" collapsed="false">
      <c r="B280" s="29" t="n">
        <f aca="false">B250</f>
        <v>59</v>
      </c>
      <c r="C280" s="25" t="n">
        <f aca="false">IF($O$10="sell",-1,1) *  IF($K$10="call",  NORMDIST(I280,0,1,1),  NORMDIST(I280,0,1,1)-1  ) * $P$10</f>
        <v>-1.99998088938999</v>
      </c>
      <c r="D280" s="25" t="n">
        <f aca="false">IF($O$10="sell",-1,1) * NORMDIST(I280,0,1,0)/(B280*$H$10*SQRT($J$10)) * $P$10</f>
        <v>2.05807099668033E-005</v>
      </c>
      <c r="E280" s="25" t="n">
        <f aca="false">IF($O$10="sell",-1,1) * (B280*NORMDIST(I280,0,1,0)*SQRT($J$10)/365) * $P$10</f>
        <v>1.45148887674144E-006</v>
      </c>
      <c r="F280" s="25" t="n">
        <f aca="false">IF($O$10="sell",-1,1) * (-(B280*NORMDIST(I280,0,1,0)*$H$10)/(2*SQRT($J$10))/365) *$P$10</f>
        <v>-4.46880766648963E-005</v>
      </c>
      <c r="G280" s="25" t="n">
        <f aca="false">IF($O$10="buy",1,-1)*( IF($K$10="call",B280*NORMDIST(I280,0,1,1) - $B$10*NORMDIST(J280,0,1,1),$B$10*NORMDIST(-J280,0,1,1) - B280*NORMDIST(-I280,0,1,1) ) - $G$10) * $P$10</f>
        <v>38.1800167552561</v>
      </c>
      <c r="I280" s="26" t="n">
        <f aca="false">(LN(B280/$B$10)+($H$10^2/2)*($J$10))/($H$10*SQRT($J$10))</f>
        <v>-4.27503636434675</v>
      </c>
      <c r="J280" s="26" t="n">
        <f aca="false">I280 - $H$10*SQRT($J$10)</f>
        <v>-4.34567765693953</v>
      </c>
    </row>
    <row r="281" customFormat="false" ht="13.5" hidden="false" customHeight="true" outlineLevel="0" collapsed="false">
      <c r="B281" s="29" t="n">
        <f aca="false">B251</f>
        <v>58</v>
      </c>
      <c r="C281" s="25" t="n">
        <f aca="false">IF($O$10="sell",-1,1) *  IF($K$10="call",  NORMDIST(I281,0,1,1),  NORMDIST(I281,0,1,1)-1  ) * $P$10</f>
        <v>-1.9999937285678</v>
      </c>
      <c r="D281" s="25" t="n">
        <f aca="false">IF($O$10="sell",-1,1) * NORMDIST(I281,0,1,0)/(B281*$H$10*SQRT($J$10)) * $P$10</f>
        <v>7.22578892964476E-006</v>
      </c>
      <c r="E281" s="25" t="n">
        <f aca="false">IF($O$10="sell",-1,1) * (B281*NORMDIST(I281,0,1,0)*SQRT($J$10)/365) * $P$10</f>
        <v>4.92482264192231E-007</v>
      </c>
      <c r="F281" s="25" t="n">
        <f aca="false">IF($O$10="sell",-1,1) * (-(B281*NORMDIST(I281,0,1,0)*$H$10)/(2*SQRT($J$10))/365) *$P$10</f>
        <v>-1.51624208293844E-005</v>
      </c>
      <c r="G281" s="25" t="n">
        <f aca="false">IF($O$10="buy",1,-1)*( IF($K$10="call",B281*NORMDIST(I281,0,1,1) - $B$10*NORMDIST(J281,0,1,1),$B$10*NORMDIST(-J281,0,1,1) - B281*NORMDIST(-I281,0,1,1) ) - $G$10) * $P$10</f>
        <v>40.1800051614321</v>
      </c>
      <c r="I281" s="26" t="n">
        <f aca="false">(LN(B281/$B$10)+($H$10^2/2)*($J$10))/($H$10*SQRT($J$10))</f>
        <v>-4.5170256135787</v>
      </c>
      <c r="J281" s="26" t="n">
        <f aca="false">I281 - $H$10*SQRT($J$10)</f>
        <v>-4.58766690617148</v>
      </c>
    </row>
    <row r="282" customFormat="false" ht="13.5" hidden="false" customHeight="true" outlineLevel="0" collapsed="false">
      <c r="B282" s="29" t="n">
        <f aca="false">B252</f>
        <v>57</v>
      </c>
      <c r="C282" s="25" t="n">
        <f aca="false">IF($O$10="sell",-1,1) *  IF($K$10="call",  NORMDIST(I282,0,1,1),  NORMDIST(I282,0,1,1)-1  ) * $P$10</f>
        <v>-1.99999809475462</v>
      </c>
      <c r="D282" s="25" t="n">
        <f aca="false">IF($O$10="sell",-1,1) * NORMDIST(I282,0,1,0)/(B282*$H$10*SQRT($J$10)) * $P$10</f>
        <v>2.34587605584834E-006</v>
      </c>
      <c r="E282" s="25" t="n">
        <f aca="false">IF($O$10="sell",-1,1) * (B282*NORMDIST(I282,0,1,0)*SQRT($J$10)/365) * $P$10</f>
        <v>1.54420199839925E-007</v>
      </c>
      <c r="F282" s="25" t="n">
        <f aca="false">IF($O$10="sell",-1,1) * (-(B282*NORMDIST(I282,0,1,0)*$H$10)/(2*SQRT($J$10))/365) *$P$10</f>
        <v>-4.75425050762165E-006</v>
      </c>
      <c r="G282" s="25" t="n">
        <f aca="false">IF($O$10="buy",1,-1)*( IF($K$10="call",B282*NORMDIST(I282,0,1,1) - $B$10*NORMDIST(J282,0,1,1),$B$10*NORMDIST(-J282,0,1,1) - B282*NORMDIST(-I282,0,1,1) ) - $G$10) * $P$10</f>
        <v>42.1800014729889</v>
      </c>
      <c r="I282" s="26" t="n">
        <f aca="false">(LN(B282/$B$10)+($H$10^2/2)*($J$10))/($H$10*SQRT($J$10))</f>
        <v>-4.76322358184249</v>
      </c>
      <c r="J282" s="26" t="n">
        <f aca="false">I282 - $H$10*SQRT($J$10)</f>
        <v>-4.83386487443527</v>
      </c>
    </row>
    <row r="283" customFormat="false" ht="13.5" hidden="false" customHeight="true" outlineLevel="0" collapsed="false">
      <c r="B283" s="30"/>
      <c r="C283" s="22"/>
      <c r="D283" s="22"/>
      <c r="E283" s="22"/>
      <c r="F283" s="22"/>
      <c r="G283" s="22"/>
      <c r="I283" s="31"/>
      <c r="J283" s="31"/>
    </row>
    <row r="284" customFormat="false" ht="13.5" hidden="false" customHeight="true" outlineLevel="0" collapsed="false">
      <c r="B284" s="30"/>
      <c r="C284" s="22"/>
      <c r="D284" s="22"/>
      <c r="E284" s="22"/>
      <c r="F284" s="22"/>
      <c r="G284" s="22"/>
      <c r="I284" s="31"/>
      <c r="J284" s="31"/>
    </row>
    <row r="285" customFormat="false" ht="13.5" hidden="false" customHeight="true" outlineLevel="0" collapsed="false">
      <c r="B285" s="23"/>
      <c r="C285" s="19" t="s">
        <v>13</v>
      </c>
      <c r="D285" s="19" t="s">
        <v>14</v>
      </c>
      <c r="E285" s="19" t="s">
        <v>15</v>
      </c>
      <c r="F285" s="19" t="s">
        <v>16</v>
      </c>
      <c r="G285" s="19" t="s">
        <v>17</v>
      </c>
      <c r="I285" s="19" t="s">
        <v>158</v>
      </c>
      <c r="J285" s="19" t="s">
        <v>159</v>
      </c>
    </row>
    <row r="286" customFormat="false" ht="13.5" hidden="false" customHeight="true" outlineLevel="0" collapsed="false">
      <c r="A286" s="2" t="str">
        <f aca="false">A11</f>
        <v>SOL-1MAY26-80-P-USDT</v>
      </c>
      <c r="B286" s="29" t="n">
        <f aca="false">B256</f>
        <v>83</v>
      </c>
      <c r="C286" s="25" t="n">
        <f aca="false">IF($O$11="sell",-1,1) *  IF($K$11="call",  NORMDIST(I286,0,1,1),  NORMDIST(I286,0,1,1)-1  ) * $P$11</f>
        <v>-0</v>
      </c>
      <c r="D286" s="25" t="n">
        <f aca="false">IF($O$11="sell",-1,1) * NORMDIST(I286,0,1,0)/(B286*$H$11*SQRT($J$11)) * $P$11</f>
        <v>0</v>
      </c>
      <c r="E286" s="25" t="n">
        <f aca="false">IF($O$11="sell",-1,1) * (B286*NORMDIST(I286,0,1,0)*SQRT($J$11)/365) * $P$11</f>
        <v>0</v>
      </c>
      <c r="F286" s="25" t="n">
        <f aca="false">IF($O$11="sell",-1,1) * (-(B286*NORMDIST(I286,0,1,0)*$H$11)/(2*SQRT($J$11))/365) *$P$11</f>
        <v>-0</v>
      </c>
      <c r="G286" s="25" t="n">
        <f aca="false">IF($O$11="buy",1,-1)*( IF($K$11="call",B286*NORMDIST(I286,0,1,1) - $B$11*NORMDIST(J286,0,1,1),$B$11*NORMDIST(-J286,0,1,1) - B286*NORMDIST(-I286,0,1,1) ) - $G$11) * $P$11</f>
        <v>-0</v>
      </c>
      <c r="I286" s="26" t="n">
        <f aca="false">(LN(B286/$B$11)+($H$11^2/2)*($J$11))/($H$11*SQRT($J$11))</f>
        <v>0.405366040452195</v>
      </c>
      <c r="J286" s="26" t="n">
        <f aca="false">I286 - $H$11*SQRT($J$11)</f>
        <v>0.301153914977803</v>
      </c>
    </row>
    <row r="287" customFormat="false" ht="13.5" hidden="false" customHeight="true" outlineLevel="0" collapsed="false">
      <c r="B287" s="29" t="n">
        <f aca="false">B257</f>
        <v>82</v>
      </c>
      <c r="C287" s="25" t="n">
        <f aca="false">IF($O$11="sell",-1,1) *  IF($K$11="call",  NORMDIST(I287,0,1,1),  NORMDIST(I287,0,1,1)-1  ) * $P$11</f>
        <v>-0</v>
      </c>
      <c r="D287" s="25" t="n">
        <f aca="false">IF($O$11="sell",-1,1) * NORMDIST(I287,0,1,0)/(B287*$H$11*SQRT($J$11)) * $P$11</f>
        <v>0</v>
      </c>
      <c r="E287" s="25" t="n">
        <f aca="false">IF($O$11="sell",-1,1) * (B287*NORMDIST(I287,0,1,0)*SQRT($J$11)/365) * $P$11</f>
        <v>0</v>
      </c>
      <c r="F287" s="25" t="n">
        <f aca="false">IF($O$11="sell",-1,1) * (-(B287*NORMDIST(I287,0,1,0)*$H$11)/(2*SQRT($J$11))/365) *$P$11</f>
        <v>-0</v>
      </c>
      <c r="G287" s="25" t="n">
        <f aca="false">IF($O$11="buy",1,-1)*( IF($K$11="call",B287*NORMDIST(I287,0,1,1) - $B$11*NORMDIST(J287,0,1,1),$B$11*NORMDIST(-J287,0,1,1) - B287*NORMDIST(-I287,0,1,1) ) - $G$11) * $P$11</f>
        <v>-0</v>
      </c>
      <c r="I287" s="26" t="n">
        <f aca="false">(LN(B287/$B$11)+($H$11^2/2)*($J$11))/($H$11*SQRT($J$11))</f>
        <v>0.289051739432363</v>
      </c>
      <c r="J287" s="26" t="n">
        <f aca="false">I287 - $H$11*SQRT($J$11)</f>
        <v>0.184839613957971</v>
      </c>
    </row>
    <row r="288" customFormat="false" ht="13.5" hidden="false" customHeight="true" outlineLevel="0" collapsed="false">
      <c r="B288" s="29" t="n">
        <f aca="false">B258</f>
        <v>81</v>
      </c>
      <c r="C288" s="25" t="n">
        <f aca="false">IF($O$11="sell",-1,1) *  IF($K$11="call",  NORMDIST(I288,0,1,1),  NORMDIST(I288,0,1,1)-1  ) * $P$11</f>
        <v>-0</v>
      </c>
      <c r="D288" s="25" t="n">
        <f aca="false">IF($O$11="sell",-1,1) * NORMDIST(I288,0,1,0)/(B288*$H$11*SQRT($J$11)) * $P$11</f>
        <v>0</v>
      </c>
      <c r="E288" s="25" t="n">
        <f aca="false">IF($O$11="sell",-1,1) * (B288*NORMDIST(I288,0,1,0)*SQRT($J$11)/365) * $P$11</f>
        <v>0</v>
      </c>
      <c r="F288" s="25" t="n">
        <f aca="false">IF($O$11="sell",-1,1) * (-(B288*NORMDIST(I288,0,1,0)*$H$11)/(2*SQRT($J$11))/365) *$P$11</f>
        <v>-0</v>
      </c>
      <c r="G288" s="25" t="n">
        <f aca="false">IF($O$11="buy",1,-1)*( IF($K$11="call",B288*NORMDIST(I288,0,1,1) - $B$11*NORMDIST(J288,0,1,1),$B$11*NORMDIST(-J288,0,1,1) - B288*NORMDIST(-I288,0,1,1) ) - $G$11) * $P$11</f>
        <v>-0</v>
      </c>
      <c r="I288" s="26" t="n">
        <f aca="false">(LN(B288/$B$11)+($H$11^2/2)*($J$11))/($H$11*SQRT($J$11))</f>
        <v>0.171310233480357</v>
      </c>
      <c r="J288" s="26" t="n">
        <f aca="false">I288 - $H$11*SQRT($J$11)</f>
        <v>0.0670981080059648</v>
      </c>
    </row>
    <row r="289" customFormat="false" ht="13.5" hidden="false" customHeight="true" outlineLevel="0" collapsed="false">
      <c r="B289" s="29" t="n">
        <f aca="false">B259</f>
        <v>80</v>
      </c>
      <c r="C289" s="25" t="n">
        <f aca="false">IF($O$11="sell",-1,1) *  IF($K$11="call",  NORMDIST(I289,0,1,1),  NORMDIST(I289,0,1,1)-1  ) * $P$11</f>
        <v>-0</v>
      </c>
      <c r="D289" s="25" t="n">
        <f aca="false">IF($O$11="sell",-1,1) * NORMDIST(I289,0,1,0)/(B289*$H$11*SQRT($J$11)) * $P$11</f>
        <v>0</v>
      </c>
      <c r="E289" s="25" t="n">
        <f aca="false">IF($O$11="sell",-1,1) * (B289*NORMDIST(I289,0,1,0)*SQRT($J$11)/365) * $P$11</f>
        <v>0</v>
      </c>
      <c r="F289" s="25" t="n">
        <f aca="false">IF($O$11="sell",-1,1) * (-(B289*NORMDIST(I289,0,1,0)*$H$11)/(2*SQRT($J$11))/365) *$P$11</f>
        <v>-0</v>
      </c>
      <c r="G289" s="25" t="n">
        <f aca="false">IF($O$11="buy",1,-1)*( IF($K$11="call",B289*NORMDIST(I289,0,1,1) - $B$11*NORMDIST(J289,0,1,1),$B$11*NORMDIST(-J289,0,1,1) - B289*NORMDIST(-I289,0,1,1) ) - $G$11) * $P$11</f>
        <v>-0</v>
      </c>
      <c r="I289" s="26" t="n">
        <f aca="false">(LN(B289/$B$11)+($H$11^2/2)*($J$11))/($H$11*SQRT($J$11))</f>
        <v>0.052106062737196</v>
      </c>
      <c r="J289" s="26" t="n">
        <f aca="false">I289 - $H$11*SQRT($J$11)</f>
        <v>-0.052106062737196</v>
      </c>
    </row>
    <row r="290" customFormat="false" ht="13.5" hidden="false" customHeight="true" outlineLevel="0" collapsed="false">
      <c r="B290" s="29" t="n">
        <f aca="false">B260</f>
        <v>79</v>
      </c>
      <c r="C290" s="25" t="n">
        <f aca="false">IF($O$11="sell",-1,1) *  IF($K$11="call",  NORMDIST(I290,0,1,1),  NORMDIST(I290,0,1,1)-1  ) * $P$11</f>
        <v>-0</v>
      </c>
      <c r="D290" s="25" t="n">
        <f aca="false">IF($O$11="sell",-1,1) * NORMDIST(I290,0,1,0)/(B290*$H$11*SQRT($J$11)) * $P$11</f>
        <v>0</v>
      </c>
      <c r="E290" s="25" t="n">
        <f aca="false">IF($O$11="sell",-1,1) * (B290*NORMDIST(I290,0,1,0)*SQRT($J$11)/365) * $P$11</f>
        <v>0</v>
      </c>
      <c r="F290" s="25" t="n">
        <f aca="false">IF($O$11="sell",-1,1) * (-(B290*NORMDIST(I290,0,1,0)*$H$11)/(2*SQRT($J$11))/365) *$P$11</f>
        <v>-0</v>
      </c>
      <c r="G290" s="25" t="n">
        <f aca="false">IF($O$11="buy",1,-1)*( IF($K$11="call",B290*NORMDIST(I290,0,1,1) - $B$11*NORMDIST(J290,0,1,1),$B$11*NORMDIST(-J290,0,1,1) - B290*NORMDIST(-I290,0,1,1) ) - $G$11) * $P$11</f>
        <v>0</v>
      </c>
      <c r="I290" s="26" t="n">
        <f aca="false">(LN(B290/$B$11)+($H$11^2/2)*($J$11))/($H$11*SQRT($J$11))</f>
        <v>-0.0685975708332666</v>
      </c>
      <c r="J290" s="26" t="n">
        <f aca="false">I290 - $H$11*SQRT($J$11)</f>
        <v>-0.172809696307659</v>
      </c>
    </row>
    <row r="291" customFormat="false" ht="13.5" hidden="false" customHeight="true" outlineLevel="0" collapsed="false">
      <c r="B291" s="29" t="n">
        <f aca="false">B261</f>
        <v>78</v>
      </c>
      <c r="C291" s="25" t="n">
        <f aca="false">IF($O$11="sell",-1,1) *  IF($K$11="call",  NORMDIST(I291,0,1,1),  NORMDIST(I291,0,1,1)-1  ) * $P$11</f>
        <v>-0</v>
      </c>
      <c r="D291" s="25" t="n">
        <f aca="false">IF($O$11="sell",-1,1) * NORMDIST(I291,0,1,0)/(B291*$H$11*SQRT($J$11)) * $P$11</f>
        <v>0</v>
      </c>
      <c r="E291" s="25" t="n">
        <f aca="false">IF($O$11="sell",-1,1) * (B291*NORMDIST(I291,0,1,0)*SQRT($J$11)/365) * $P$11</f>
        <v>0</v>
      </c>
      <c r="F291" s="25" t="n">
        <f aca="false">IF($O$11="sell",-1,1) * (-(B291*NORMDIST(I291,0,1,0)*$H$11)/(2*SQRT($J$11))/365) *$P$11</f>
        <v>-0</v>
      </c>
      <c r="G291" s="25" t="n">
        <f aca="false">IF($O$11="buy",1,-1)*( IF($K$11="call",B291*NORMDIST(I291,0,1,1) - $B$11*NORMDIST(J291,0,1,1),$B$11*NORMDIST(-J291,0,1,1) - B291*NORMDIST(-I291,0,1,1) ) - $G$11) * $P$11</f>
        <v>0</v>
      </c>
      <c r="I291" s="26" t="n">
        <f aca="false">(LN(B291/$B$11)+($H$11^2/2)*($J$11))/($H$11*SQRT($J$11))</f>
        <v>-0.190838871636216</v>
      </c>
      <c r="J291" s="26" t="n">
        <f aca="false">I291 - $H$11*SQRT($J$11)</f>
        <v>-0.295050997110608</v>
      </c>
    </row>
    <row r="292" customFormat="false" ht="13.5" hidden="false" customHeight="true" outlineLevel="0" collapsed="false">
      <c r="B292" s="29" t="n">
        <f aca="false">B262</f>
        <v>77</v>
      </c>
      <c r="C292" s="25" t="n">
        <f aca="false">IF($O$11="sell",-1,1) *  IF($K$11="call",  NORMDIST(I292,0,1,1),  NORMDIST(I292,0,1,1)-1  ) * $P$11</f>
        <v>-0</v>
      </c>
      <c r="D292" s="25" t="n">
        <f aca="false">IF($O$11="sell",-1,1) * NORMDIST(I292,0,1,0)/(B292*$H$11*SQRT($J$11)) * $P$11</f>
        <v>0</v>
      </c>
      <c r="E292" s="25" t="n">
        <f aca="false">IF($O$11="sell",-1,1) * (B292*NORMDIST(I292,0,1,0)*SQRT($J$11)/365) * $P$11</f>
        <v>0</v>
      </c>
      <c r="F292" s="25" t="n">
        <f aca="false">IF($O$11="sell",-1,1) * (-(B292*NORMDIST(I292,0,1,0)*$H$11)/(2*SQRT($J$11))/365) *$P$11</f>
        <v>-0</v>
      </c>
      <c r="G292" s="25" t="n">
        <f aca="false">IF($O$11="buy",1,-1)*( IF($K$11="call",B292*NORMDIST(I292,0,1,1) - $B$11*NORMDIST(J292,0,1,1),$B$11*NORMDIST(-J292,0,1,1) - B292*NORMDIST(-I292,0,1,1) ) - $G$11) * $P$11</f>
        <v>0</v>
      </c>
      <c r="I292" s="26" t="n">
        <f aca="false">(LN(B292/$B$11)+($H$11^2/2)*($J$11))/($H$11*SQRT($J$11))</f>
        <v>-0.314657523037569</v>
      </c>
      <c r="J292" s="26" t="n">
        <f aca="false">I292 - $H$11*SQRT($J$11)</f>
        <v>-0.418869648511961</v>
      </c>
    </row>
    <row r="293" customFormat="false" ht="13.5" hidden="false" customHeight="true" outlineLevel="0" collapsed="false">
      <c r="B293" s="29" t="n">
        <f aca="false">B263</f>
        <v>76</v>
      </c>
      <c r="C293" s="25" t="n">
        <f aca="false">IF($O$11="sell",-1,1) *  IF($K$11="call",  NORMDIST(I293,0,1,1),  NORMDIST(I293,0,1,1)-1  ) * $P$11</f>
        <v>-0</v>
      </c>
      <c r="D293" s="25" t="n">
        <f aca="false">IF($O$11="sell",-1,1) * NORMDIST(I293,0,1,0)/(B293*$H$11*SQRT($J$11)) * $P$11</f>
        <v>0</v>
      </c>
      <c r="E293" s="25" t="n">
        <f aca="false">IF($O$11="sell",-1,1) * (B293*NORMDIST(I293,0,1,0)*SQRT($J$11)/365) * $P$11</f>
        <v>0</v>
      </c>
      <c r="F293" s="25" t="n">
        <f aca="false">IF($O$11="sell",-1,1) * (-(B293*NORMDIST(I293,0,1,0)*$H$11)/(2*SQRT($J$11))/365) *$P$11</f>
        <v>-0</v>
      </c>
      <c r="G293" s="25" t="n">
        <f aca="false">IF($O$11="buy",1,-1)*( IF($K$11="call",B293*NORMDIST(I293,0,1,1) - $B$11*NORMDIST(J293,0,1,1),$B$11*NORMDIST(-J293,0,1,1) - B293*NORMDIST(-I293,0,1,1) ) - $G$11) * $P$11</f>
        <v>0</v>
      </c>
      <c r="I293" s="26" t="n">
        <f aca="false">(LN(B293/$B$11)+($H$11^2/2)*($J$11))/($H$11*SQRT($J$11))</f>
        <v>-0.440094764700633</v>
      </c>
      <c r="J293" s="26" t="n">
        <f aca="false">I293 - $H$11*SQRT($J$11)</f>
        <v>-0.544306890175025</v>
      </c>
    </row>
    <row r="294" customFormat="false" ht="13.5" hidden="false" customHeight="true" outlineLevel="0" collapsed="false">
      <c r="B294" s="29" t="n">
        <f aca="false">B264</f>
        <v>75</v>
      </c>
      <c r="C294" s="25" t="n">
        <f aca="false">IF($O$11="sell",-1,1) *  IF($K$11="call",  NORMDIST(I294,0,1,1),  NORMDIST(I294,0,1,1)-1  ) * $P$11</f>
        <v>-0</v>
      </c>
      <c r="D294" s="25" t="n">
        <f aca="false">IF($O$11="sell",-1,1) * NORMDIST(I294,0,1,0)/(B294*$H$11*SQRT($J$11)) * $P$11</f>
        <v>0</v>
      </c>
      <c r="E294" s="25" t="n">
        <f aca="false">IF($O$11="sell",-1,1) * (B294*NORMDIST(I294,0,1,0)*SQRT($J$11)/365) * $P$11</f>
        <v>0</v>
      </c>
      <c r="F294" s="25" t="n">
        <f aca="false">IF($O$11="sell",-1,1) * (-(B294*NORMDIST(I294,0,1,0)*$H$11)/(2*SQRT($J$11))/365) *$P$11</f>
        <v>-0</v>
      </c>
      <c r="G294" s="25" t="n">
        <f aca="false">IF($O$11="buy",1,-1)*( IF($K$11="call",B294*NORMDIST(I294,0,1,1) - $B$11*NORMDIST(J294,0,1,1),$B$11*NORMDIST(-J294,0,1,1) - B294*NORMDIST(-I294,0,1,1) ) - $G$11) * $P$11</f>
        <v>0</v>
      </c>
      <c r="I294" s="26" t="n">
        <f aca="false">(LN(B294/$B$11)+($H$11^2/2)*($J$11))/($H$11*SQRT($J$11))</f>
        <v>-0.567193475044808</v>
      </c>
      <c r="J294" s="26" t="n">
        <f aca="false">I294 - $H$11*SQRT($J$11)</f>
        <v>-0.6714056005192</v>
      </c>
    </row>
    <row r="295" customFormat="false" ht="13.5" hidden="false" customHeight="true" outlineLevel="0" collapsed="false">
      <c r="B295" s="29" t="n">
        <f aca="false">B265</f>
        <v>74</v>
      </c>
      <c r="C295" s="25" t="n">
        <f aca="false">IF($O$11="sell",-1,1) *  IF($K$11="call",  NORMDIST(I295,0,1,1),  NORMDIST(I295,0,1,1)-1  ) * $P$11</f>
        <v>-0</v>
      </c>
      <c r="D295" s="25" t="n">
        <f aca="false">IF($O$11="sell",-1,1) * NORMDIST(I295,0,1,0)/(B295*$H$11*SQRT($J$11)) * $P$11</f>
        <v>0</v>
      </c>
      <c r="E295" s="25" t="n">
        <f aca="false">IF($O$11="sell",-1,1) * (B295*NORMDIST(I295,0,1,0)*SQRT($J$11)/365) * $P$11</f>
        <v>0</v>
      </c>
      <c r="F295" s="25" t="n">
        <f aca="false">IF($O$11="sell",-1,1) * (-(B295*NORMDIST(I295,0,1,0)*$H$11)/(2*SQRT($J$11))/365) *$P$11</f>
        <v>-0</v>
      </c>
      <c r="G295" s="25" t="n">
        <f aca="false">IF($O$11="buy",1,-1)*( IF($K$11="call",B295*NORMDIST(I295,0,1,1) - $B$11*NORMDIST(J295,0,1,1),$B$11*NORMDIST(-J295,0,1,1) - B295*NORMDIST(-I295,0,1,1) ) - $G$11) * $P$11</f>
        <v>0</v>
      </c>
      <c r="I295" s="26" t="n">
        <f aca="false">(LN(B295/$B$11)+($H$11^2/2)*($J$11))/($H$11*SQRT($J$11))</f>
        <v>-0.695998259238938</v>
      </c>
      <c r="J295" s="26" t="n">
        <f aca="false">I295 - $H$11*SQRT($J$11)</f>
        <v>-0.80021038471333</v>
      </c>
    </row>
    <row r="296" customFormat="false" ht="13.5" hidden="false" customHeight="true" outlineLevel="0" collapsed="false">
      <c r="B296" s="29" t="n">
        <f aca="false">B266</f>
        <v>73</v>
      </c>
      <c r="C296" s="25" t="n">
        <f aca="false">IF($O$11="sell",-1,1) *  IF($K$11="call",  NORMDIST(I296,0,1,1),  NORMDIST(I296,0,1,1)-1  ) * $P$11</f>
        <v>-0</v>
      </c>
      <c r="D296" s="25" t="n">
        <f aca="false">IF($O$11="sell",-1,1) * NORMDIST(I296,0,1,0)/(B296*$H$11*SQRT($J$11)) * $P$11</f>
        <v>0</v>
      </c>
      <c r="E296" s="25" t="n">
        <f aca="false">IF($O$11="sell",-1,1) * (B296*NORMDIST(I296,0,1,0)*SQRT($J$11)/365) * $P$11</f>
        <v>0</v>
      </c>
      <c r="F296" s="25" t="n">
        <f aca="false">IF($O$11="sell",-1,1) * (-(B296*NORMDIST(I296,0,1,0)*$H$11)/(2*SQRT($J$11))/365) *$P$11</f>
        <v>-0</v>
      </c>
      <c r="G296" s="25" t="n">
        <f aca="false">IF($O$11="buy",1,-1)*( IF($K$11="call",B296*NORMDIST(I296,0,1,1) - $B$11*NORMDIST(J296,0,1,1),$B$11*NORMDIST(-J296,0,1,1) - B296*NORMDIST(-I296,0,1,1) ) - $G$11) * $P$11</f>
        <v>0</v>
      </c>
      <c r="I296" s="26" t="n">
        <f aca="false">(LN(B296/$B$11)+($H$11^2/2)*($J$11))/($H$11*SQRT($J$11))</f>
        <v>-0.826555543181122</v>
      </c>
      <c r="J296" s="26" t="n">
        <f aca="false">I296 - $H$11*SQRT($J$11)</f>
        <v>-0.930767668655514</v>
      </c>
    </row>
    <row r="297" customFormat="false" ht="13.5" hidden="false" customHeight="true" outlineLevel="0" collapsed="false">
      <c r="B297" s="29" t="n">
        <f aca="false">B267</f>
        <v>72</v>
      </c>
      <c r="C297" s="25" t="n">
        <f aca="false">IF($O$11="sell",-1,1) *  IF($K$11="call",  NORMDIST(I297,0,1,1),  NORMDIST(I297,0,1,1)-1  ) * $P$11</f>
        <v>-0</v>
      </c>
      <c r="D297" s="25" t="n">
        <f aca="false">IF($O$11="sell",-1,1) * NORMDIST(I297,0,1,0)/(B297*$H$11*SQRT($J$11)) * $P$11</f>
        <v>0</v>
      </c>
      <c r="E297" s="25" t="n">
        <f aca="false">IF($O$11="sell",-1,1) * (B297*NORMDIST(I297,0,1,0)*SQRT($J$11)/365) * $P$11</f>
        <v>0</v>
      </c>
      <c r="F297" s="25" t="n">
        <f aca="false">IF($O$11="sell",-1,1) * (-(B297*NORMDIST(I297,0,1,0)*$H$11)/(2*SQRT($J$11))/365) *$P$11</f>
        <v>-0</v>
      </c>
      <c r="G297" s="25" t="n">
        <f aca="false">IF($O$11="buy",1,-1)*( IF($K$11="call",B297*NORMDIST(I297,0,1,1) - $B$11*NORMDIST(J297,0,1,1),$B$11*NORMDIST(-J297,0,1,1) - B297*NORMDIST(-I297,0,1,1) ) - $G$11) * $P$11</f>
        <v>0</v>
      </c>
      <c r="I297" s="26" t="n">
        <f aca="false">(LN(B297/$B$11)+($H$11^2/2)*($J$11))/($H$11*SQRT($J$11))</f>
        <v>-0.958913673960493</v>
      </c>
      <c r="J297" s="26" t="n">
        <f aca="false">I297 - $H$11*SQRT($J$11)</f>
        <v>-1.06312579943489</v>
      </c>
    </row>
    <row r="298" customFormat="false" ht="13.5" hidden="false" customHeight="true" outlineLevel="0" collapsed="false">
      <c r="B298" s="29" t="n">
        <f aca="false">B268</f>
        <v>71</v>
      </c>
      <c r="C298" s="25" t="n">
        <f aca="false">IF($O$11="sell",-1,1) *  IF($K$11="call",  NORMDIST(I298,0,1,1),  NORMDIST(I298,0,1,1)-1  ) * $P$11</f>
        <v>-0</v>
      </c>
      <c r="D298" s="25" t="n">
        <f aca="false">IF($O$11="sell",-1,1) * NORMDIST(I298,0,1,0)/(B298*$H$11*SQRT($J$11)) * $P$11</f>
        <v>0</v>
      </c>
      <c r="E298" s="25" t="n">
        <f aca="false">IF($O$11="sell",-1,1) * (B298*NORMDIST(I298,0,1,0)*SQRT($J$11)/365) * $P$11</f>
        <v>0</v>
      </c>
      <c r="F298" s="25" t="n">
        <f aca="false">IF($O$11="sell",-1,1) * (-(B298*NORMDIST(I298,0,1,0)*$H$11)/(2*SQRT($J$11))/365) *$P$11</f>
        <v>-0</v>
      </c>
      <c r="G298" s="25" t="n">
        <f aca="false">IF($O$11="buy",1,-1)*( IF($K$11="call",B298*NORMDIST(I298,0,1,1) - $B$11*NORMDIST(J298,0,1,1),$B$11*NORMDIST(-J298,0,1,1) - B298*NORMDIST(-I298,0,1,1) ) - $G$11) * $P$11</f>
        <v>0</v>
      </c>
      <c r="I298" s="26" t="n">
        <f aca="false">(LN(B298/$B$11)+($H$11^2/2)*($J$11))/($H$11*SQRT($J$11))</f>
        <v>-1.09312302734497</v>
      </c>
      <c r="J298" s="26" t="n">
        <f aca="false">I298 - $H$11*SQRT($J$11)</f>
        <v>-1.19733515281936</v>
      </c>
    </row>
    <row r="299" customFormat="false" ht="13.5" hidden="false" customHeight="true" outlineLevel="0" collapsed="false">
      <c r="B299" s="29" t="n">
        <f aca="false">B269</f>
        <v>70</v>
      </c>
      <c r="C299" s="25" t="n">
        <f aca="false">IF($O$11="sell",-1,1) *  IF($K$11="call",  NORMDIST(I299,0,1,1),  NORMDIST(I299,0,1,1)-1  ) * $P$11</f>
        <v>-0</v>
      </c>
      <c r="D299" s="25" t="n">
        <f aca="false">IF($O$11="sell",-1,1) * NORMDIST(I299,0,1,0)/(B299*$H$11*SQRT($J$11)) * $P$11</f>
        <v>0</v>
      </c>
      <c r="E299" s="25" t="n">
        <f aca="false">IF($O$11="sell",-1,1) * (B299*NORMDIST(I299,0,1,0)*SQRT($J$11)/365) * $P$11</f>
        <v>0</v>
      </c>
      <c r="F299" s="25" t="n">
        <f aca="false">IF($O$11="sell",-1,1) * (-(B299*NORMDIST(I299,0,1,0)*$H$11)/(2*SQRT($J$11))/365) *$P$11</f>
        <v>-0</v>
      </c>
      <c r="G299" s="25" t="n">
        <f aca="false">IF($O$11="buy",1,-1)*( IF($K$11="call",B299*NORMDIST(I299,0,1,1) - $B$11*NORMDIST(J299,0,1,1),$B$11*NORMDIST(-J299,0,1,1) - B299*NORMDIST(-I299,0,1,1) ) - $G$11) * $P$11</f>
        <v>0</v>
      </c>
      <c r="I299" s="26" t="n">
        <f aca="false">(LN(B299/$B$11)+($H$11^2/2)*($J$11))/($H$11*SQRT($J$11))</f>
        <v>-1.22923612289297</v>
      </c>
      <c r="J299" s="26" t="n">
        <f aca="false">I299 - $H$11*SQRT($J$11)</f>
        <v>-1.33344824836736</v>
      </c>
    </row>
    <row r="300" customFormat="false" ht="13.5" hidden="false" customHeight="true" outlineLevel="0" collapsed="false">
      <c r="B300" s="29" t="n">
        <f aca="false">B270</f>
        <v>69</v>
      </c>
      <c r="C300" s="25" t="n">
        <f aca="false">IF($O$11="sell",-1,1) *  IF($K$11="call",  NORMDIST(I300,0,1,1),  NORMDIST(I300,0,1,1)-1  ) * $P$11</f>
        <v>-0</v>
      </c>
      <c r="D300" s="25" t="n">
        <f aca="false">IF($O$11="sell",-1,1) * NORMDIST(I300,0,1,0)/(B300*$H$11*SQRT($J$11)) * $P$11</f>
        <v>0</v>
      </c>
      <c r="E300" s="25" t="n">
        <f aca="false">IF($O$11="sell",-1,1) * (B300*NORMDIST(I300,0,1,0)*SQRT($J$11)/365) * $P$11</f>
        <v>0</v>
      </c>
      <c r="F300" s="25" t="n">
        <f aca="false">IF($O$11="sell",-1,1) * (-(B300*NORMDIST(I300,0,1,0)*$H$11)/(2*SQRT($J$11))/365) *$P$11</f>
        <v>-0</v>
      </c>
      <c r="G300" s="25" t="n">
        <f aca="false">IF($O$11="buy",1,-1)*( IF($K$11="call",B300*NORMDIST(I300,0,1,1) - $B$11*NORMDIST(J300,0,1,1),$B$11*NORMDIST(-J300,0,1,1) - B300*NORMDIST(-I300,0,1,1) ) - $G$11) * $P$11</f>
        <v>0</v>
      </c>
      <c r="I300" s="26" t="n">
        <f aca="false">(LN(B300/$B$11)+($H$11^2/2)*($J$11))/($H$11*SQRT($J$11))</f>
        <v>-1.36730774734742</v>
      </c>
      <c r="J300" s="26" t="n">
        <f aca="false">I300 - $H$11*SQRT($J$11)</f>
        <v>-1.47151987282181</v>
      </c>
    </row>
    <row r="301" customFormat="false" ht="13.5" hidden="false" customHeight="true" outlineLevel="0" collapsed="false">
      <c r="B301" s="29" t="n">
        <f aca="false">B271</f>
        <v>68</v>
      </c>
      <c r="C301" s="25" t="n">
        <f aca="false">IF($O$11="sell",-1,1) *  IF($K$11="call",  NORMDIST(I301,0,1,1),  NORMDIST(I301,0,1,1)-1  ) * $P$11</f>
        <v>-0</v>
      </c>
      <c r="D301" s="25" t="n">
        <f aca="false">IF($O$11="sell",-1,1) * NORMDIST(I301,0,1,0)/(B301*$H$11*SQRT($J$11)) * $P$11</f>
        <v>0</v>
      </c>
      <c r="E301" s="25" t="n">
        <f aca="false">IF($O$11="sell",-1,1) * (B301*NORMDIST(I301,0,1,0)*SQRT($J$11)/365) * $P$11</f>
        <v>0</v>
      </c>
      <c r="F301" s="25" t="n">
        <f aca="false">IF($O$11="sell",-1,1) * (-(B301*NORMDIST(I301,0,1,0)*$H$11)/(2*SQRT($J$11))/365) *$P$11</f>
        <v>-0</v>
      </c>
      <c r="G301" s="25" t="n">
        <f aca="false">IF($O$11="buy",1,-1)*( IF($K$11="call",B301*NORMDIST(I301,0,1,1) - $B$11*NORMDIST(J301,0,1,1),$B$11*NORMDIST(-J301,0,1,1) - B301*NORMDIST(-I301,0,1,1) ) - $G$11) * $P$11</f>
        <v>0</v>
      </c>
      <c r="I301" s="26" t="n">
        <f aca="false">(LN(B301/$B$11)+($H$11^2/2)*($J$11))/($H$11*SQRT($J$11))</f>
        <v>-1.50739508703746</v>
      </c>
      <c r="J301" s="26" t="n">
        <f aca="false">I301 - $H$11*SQRT($J$11)</f>
        <v>-1.61160721251185</v>
      </c>
    </row>
    <row r="302" customFormat="false" ht="13.5" hidden="false" customHeight="true" outlineLevel="0" collapsed="false">
      <c r="B302" s="29" t="n">
        <f aca="false">B272</f>
        <v>67</v>
      </c>
      <c r="C302" s="25" t="n">
        <f aca="false">IF($O$11="sell",-1,1) *  IF($K$11="call",  NORMDIST(I302,0,1,1),  NORMDIST(I302,0,1,1)-1  ) * $P$11</f>
        <v>-0</v>
      </c>
      <c r="D302" s="25" t="n">
        <f aca="false">IF($O$11="sell",-1,1) * NORMDIST(I302,0,1,0)/(B302*$H$11*SQRT($J$11)) * $P$11</f>
        <v>0</v>
      </c>
      <c r="E302" s="25" t="n">
        <f aca="false">IF($O$11="sell",-1,1) * (B302*NORMDIST(I302,0,1,0)*SQRT($J$11)/365) * $P$11</f>
        <v>0</v>
      </c>
      <c r="F302" s="25" t="n">
        <f aca="false">IF($O$11="sell",-1,1) * (-(B302*NORMDIST(I302,0,1,0)*$H$11)/(2*SQRT($J$11))/365) *$P$11</f>
        <v>-0</v>
      </c>
      <c r="G302" s="25" t="n">
        <f aca="false">IF($O$11="buy",1,-1)*( IF($K$11="call",B302*NORMDIST(I302,0,1,1) - $B$11*NORMDIST(J302,0,1,1),$B$11*NORMDIST(-J302,0,1,1) - B302*NORMDIST(-I302,0,1,1) ) - $G$11) * $P$11</f>
        <v>0</v>
      </c>
      <c r="I302" s="26" t="n">
        <f aca="false">(LN(B302/$B$11)+($H$11^2/2)*($J$11))/($H$11*SQRT($J$11))</f>
        <v>-1.64955787008885</v>
      </c>
      <c r="J302" s="26" t="n">
        <f aca="false">I302 - $H$11*SQRT($J$11)</f>
        <v>-1.75376999556325</v>
      </c>
    </row>
    <row r="303" customFormat="false" ht="13.5" hidden="false" customHeight="true" outlineLevel="0" collapsed="false">
      <c r="B303" s="29" t="n">
        <f aca="false">B273</f>
        <v>66</v>
      </c>
      <c r="C303" s="25" t="n">
        <f aca="false">IF($O$11="sell",-1,1) *  IF($K$11="call",  NORMDIST(I303,0,1,1),  NORMDIST(I303,0,1,1)-1  ) * $P$11</f>
        <v>-0</v>
      </c>
      <c r="D303" s="25" t="n">
        <f aca="false">IF($O$11="sell",-1,1) * NORMDIST(I303,0,1,0)/(B303*$H$11*SQRT($J$11)) * $P$11</f>
        <v>0</v>
      </c>
      <c r="E303" s="25" t="n">
        <f aca="false">IF($O$11="sell",-1,1) * (B303*NORMDIST(I303,0,1,0)*SQRT($J$11)/365) * $P$11</f>
        <v>0</v>
      </c>
      <c r="F303" s="25" t="n">
        <f aca="false">IF($O$11="sell",-1,1) * (-(B303*NORMDIST(I303,0,1,0)*$H$11)/(2*SQRT($J$11))/365) *$P$11</f>
        <v>-0</v>
      </c>
      <c r="G303" s="25" t="n">
        <f aca="false">IF($O$11="buy",1,-1)*( IF($K$11="call",B303*NORMDIST(I303,0,1,1) - $B$11*NORMDIST(J303,0,1,1),$B$11*NORMDIST(-J303,0,1,1) - B303*NORMDIST(-I303,0,1,1) ) - $G$11) * $P$11</f>
        <v>0</v>
      </c>
      <c r="I303" s="26" t="n">
        <f aca="false">(LN(B303/$B$11)+($H$11^2/2)*($J$11))/($H$11*SQRT($J$11))</f>
        <v>-1.79385851932795</v>
      </c>
      <c r="J303" s="26" t="n">
        <f aca="false">I303 - $H$11*SQRT($J$11)</f>
        <v>-1.89807064480234</v>
      </c>
    </row>
    <row r="304" customFormat="false" ht="13.5" hidden="false" customHeight="true" outlineLevel="0" collapsed="false">
      <c r="B304" s="29" t="n">
        <f aca="false">B274</f>
        <v>65</v>
      </c>
      <c r="C304" s="25" t="n">
        <f aca="false">IF($O$11="sell",-1,1) *  IF($K$11="call",  NORMDIST(I304,0,1,1),  NORMDIST(I304,0,1,1)-1  ) * $P$11</f>
        <v>-0</v>
      </c>
      <c r="D304" s="25" t="n">
        <f aca="false">IF($O$11="sell",-1,1) * NORMDIST(I304,0,1,0)/(B304*$H$11*SQRT($J$11)) * $P$11</f>
        <v>0</v>
      </c>
      <c r="E304" s="25" t="n">
        <f aca="false">IF($O$11="sell",-1,1) * (B304*NORMDIST(I304,0,1,0)*SQRT($J$11)/365) * $P$11</f>
        <v>0</v>
      </c>
      <c r="F304" s="25" t="n">
        <f aca="false">IF($O$11="sell",-1,1) * (-(B304*NORMDIST(I304,0,1,0)*$H$11)/(2*SQRT($J$11))/365) *$P$11</f>
        <v>-0</v>
      </c>
      <c r="G304" s="25" t="n">
        <f aca="false">IF($O$11="buy",1,-1)*( IF($K$11="call",B304*NORMDIST(I304,0,1,1) - $B$11*NORMDIST(J304,0,1,1),$B$11*NORMDIST(-J304,0,1,1) - B304*NORMDIST(-I304,0,1,1) ) - $G$11) * $P$11</f>
        <v>0</v>
      </c>
      <c r="I304" s="26" t="n">
        <f aca="false">(LN(B304/$B$11)+($H$11^2/2)*($J$11))/($H$11*SQRT($J$11))</f>
        <v>-1.94036231685907</v>
      </c>
      <c r="J304" s="26" t="n">
        <f aca="false">I304 - $H$11*SQRT($J$11)</f>
        <v>-2.04457444233346</v>
      </c>
    </row>
    <row r="305" customFormat="false" ht="13.5" hidden="false" customHeight="true" outlineLevel="0" collapsed="false">
      <c r="B305" s="29" t="n">
        <f aca="false">B275</f>
        <v>64</v>
      </c>
      <c r="C305" s="25" t="n">
        <f aca="false">IF($O$11="sell",-1,1) *  IF($K$11="call",  NORMDIST(I305,0,1,1),  NORMDIST(I305,0,1,1)-1  ) * $P$11</f>
        <v>-0</v>
      </c>
      <c r="D305" s="25" t="n">
        <f aca="false">IF($O$11="sell",-1,1) * NORMDIST(I305,0,1,0)/(B305*$H$11*SQRT($J$11)) * $P$11</f>
        <v>0</v>
      </c>
      <c r="E305" s="25" t="n">
        <f aca="false">IF($O$11="sell",-1,1) * (B305*NORMDIST(I305,0,1,0)*SQRT($J$11)/365) * $P$11</f>
        <v>0</v>
      </c>
      <c r="F305" s="25" t="n">
        <f aca="false">IF($O$11="sell",-1,1) * (-(B305*NORMDIST(I305,0,1,0)*$H$11)/(2*SQRT($J$11))/365) *$P$11</f>
        <v>-0</v>
      </c>
      <c r="G305" s="25" t="n">
        <f aca="false">IF($O$11="buy",1,-1)*( IF($K$11="call",B305*NORMDIST(I305,0,1,1) - $B$11*NORMDIST(J305,0,1,1),$B$11*NORMDIST(-J305,0,1,1) - B305*NORMDIST(-I305,0,1,1) ) - $G$11) * $P$11</f>
        <v>0</v>
      </c>
      <c r="I305" s="26" t="n">
        <f aca="false">(LN(B305/$B$11)+($H$11^2/2)*($J$11))/($H$11*SQRT($J$11))</f>
        <v>-2.08913758140134</v>
      </c>
      <c r="J305" s="26" t="n">
        <f aca="false">I305 - $H$11*SQRT($J$11)</f>
        <v>-2.19334970687574</v>
      </c>
    </row>
    <row r="306" customFormat="false" ht="13.5" hidden="false" customHeight="true" outlineLevel="0" collapsed="false">
      <c r="B306" s="29" t="n">
        <f aca="false">B276</f>
        <v>63</v>
      </c>
      <c r="C306" s="25" t="n">
        <f aca="false">IF($O$11="sell",-1,1) *  IF($K$11="call",  NORMDIST(I306,0,1,1),  NORMDIST(I306,0,1,1)-1  ) * $P$11</f>
        <v>-0</v>
      </c>
      <c r="D306" s="25" t="n">
        <f aca="false">IF($O$11="sell",-1,1) * NORMDIST(I306,0,1,0)/(B306*$H$11*SQRT($J$11)) * $P$11</f>
        <v>0</v>
      </c>
      <c r="E306" s="25" t="n">
        <f aca="false">IF($O$11="sell",-1,1) * (B306*NORMDIST(I306,0,1,0)*SQRT($J$11)/365) * $P$11</f>
        <v>0</v>
      </c>
      <c r="F306" s="25" t="n">
        <f aca="false">IF($O$11="sell",-1,1) * (-(B306*NORMDIST(I306,0,1,0)*$H$11)/(2*SQRT($J$11))/365) *$P$11</f>
        <v>-0</v>
      </c>
      <c r="G306" s="25" t="n">
        <f aca="false">IF($O$11="buy",1,-1)*( IF($K$11="call",B306*NORMDIST(I306,0,1,1) - $B$11*NORMDIST(J306,0,1,1),$B$11*NORMDIST(-J306,0,1,1) - B306*NORMDIST(-I306,0,1,1) ) - $G$11) * $P$11</f>
        <v>0</v>
      </c>
      <c r="I306" s="26" t="n">
        <f aca="false">(LN(B306/$B$11)+($H$11^2/2)*($J$11))/($H$11*SQRT($J$11))</f>
        <v>-2.24025585959066</v>
      </c>
      <c r="J306" s="26" t="n">
        <f aca="false">I306 - $H$11*SQRT($J$11)</f>
        <v>-2.34446798506505</v>
      </c>
    </row>
    <row r="307" customFormat="false" ht="13.5" hidden="false" customHeight="true" outlineLevel="0" collapsed="false">
      <c r="B307" s="29" t="n">
        <f aca="false">B277</f>
        <v>62</v>
      </c>
      <c r="C307" s="25" t="n">
        <f aca="false">IF($O$11="sell",-1,1) *  IF($K$11="call",  NORMDIST(I307,0,1,1),  NORMDIST(I307,0,1,1)-1  ) * $P$11</f>
        <v>-0</v>
      </c>
      <c r="D307" s="25" t="n">
        <f aca="false">IF($O$11="sell",-1,1) * NORMDIST(I307,0,1,0)/(B307*$H$11*SQRT($J$11)) * $P$11</f>
        <v>0</v>
      </c>
      <c r="E307" s="25" t="n">
        <f aca="false">IF($O$11="sell",-1,1) * (B307*NORMDIST(I307,0,1,0)*SQRT($J$11)/365) * $P$11</f>
        <v>0</v>
      </c>
      <c r="F307" s="25" t="n">
        <f aca="false">IF($O$11="sell",-1,1) * (-(B307*NORMDIST(I307,0,1,0)*$H$11)/(2*SQRT($J$11))/365) *$P$11</f>
        <v>-0</v>
      </c>
      <c r="G307" s="25" t="n">
        <f aca="false">IF($O$11="buy",1,-1)*( IF($K$11="call",B307*NORMDIST(I307,0,1,1) - $B$11*NORMDIST(J307,0,1,1),$B$11*NORMDIST(-J307,0,1,1) - B307*NORMDIST(-I307,0,1,1) ) - $G$11) * $P$11</f>
        <v>0</v>
      </c>
      <c r="I307" s="26" t="n">
        <f aca="false">(LN(B307/$B$11)+($H$11^2/2)*($J$11))/($H$11*SQRT($J$11))</f>
        <v>-2.39379213258773</v>
      </c>
      <c r="J307" s="26" t="n">
        <f aca="false">I307 - $H$11*SQRT($J$11)</f>
        <v>-2.49800425806212</v>
      </c>
    </row>
    <row r="308" customFormat="false" ht="13.5" hidden="false" customHeight="true" outlineLevel="0" collapsed="false">
      <c r="B308" s="29" t="n">
        <f aca="false">B278</f>
        <v>61</v>
      </c>
      <c r="C308" s="25" t="n">
        <f aca="false">IF($O$11="sell",-1,1) *  IF($K$11="call",  NORMDIST(I308,0,1,1),  NORMDIST(I308,0,1,1)-1  ) * $P$11</f>
        <v>-0</v>
      </c>
      <c r="D308" s="25" t="n">
        <f aca="false">IF($O$11="sell",-1,1) * NORMDIST(I308,0,1,0)/(B308*$H$11*SQRT($J$11)) * $P$11</f>
        <v>0</v>
      </c>
      <c r="E308" s="25" t="n">
        <f aca="false">IF($O$11="sell",-1,1) * (B308*NORMDIST(I308,0,1,0)*SQRT($J$11)/365) * $P$11</f>
        <v>0</v>
      </c>
      <c r="F308" s="25" t="n">
        <f aca="false">IF($O$11="sell",-1,1) * (-(B308*NORMDIST(I308,0,1,0)*$H$11)/(2*SQRT($J$11))/365) *$P$11</f>
        <v>-0</v>
      </c>
      <c r="G308" s="25" t="n">
        <f aca="false">IF($O$11="buy",1,-1)*( IF($K$11="call",B308*NORMDIST(I308,0,1,1) - $B$11*NORMDIST(J308,0,1,1),$B$11*NORMDIST(-J308,0,1,1) - B308*NORMDIST(-I308,0,1,1) ) - $G$11) * $P$11</f>
        <v>0</v>
      </c>
      <c r="I308" s="26" t="n">
        <f aca="false">(LN(B308/$B$11)+($H$11^2/2)*($J$11))/($H$11*SQRT($J$11))</f>
        <v>-2.54982503948565</v>
      </c>
      <c r="J308" s="26" t="n">
        <f aca="false">I308 - $H$11*SQRT($J$11)</f>
        <v>-2.65403716496004</v>
      </c>
    </row>
    <row r="309" customFormat="false" ht="13.5" hidden="false" customHeight="true" outlineLevel="0" collapsed="false">
      <c r="B309" s="29" t="n">
        <f aca="false">B279</f>
        <v>60</v>
      </c>
      <c r="C309" s="25" t="n">
        <f aca="false">IF($O$11="sell",-1,1) *  IF($K$11="call",  NORMDIST(I309,0,1,1),  NORMDIST(I309,0,1,1)-1  ) * $P$11</f>
        <v>-0</v>
      </c>
      <c r="D309" s="25" t="n">
        <f aca="false">IF($O$11="sell",-1,1) * NORMDIST(I309,0,1,0)/(B309*$H$11*SQRT($J$11)) * $P$11</f>
        <v>0</v>
      </c>
      <c r="E309" s="25" t="n">
        <f aca="false">IF($O$11="sell",-1,1) * (B309*NORMDIST(I309,0,1,0)*SQRT($J$11)/365) * $P$11</f>
        <v>0</v>
      </c>
      <c r="F309" s="25" t="n">
        <f aca="false">IF($O$11="sell",-1,1) * (-(B309*NORMDIST(I309,0,1,0)*$H$11)/(2*SQRT($J$11))/365) *$P$11</f>
        <v>-0</v>
      </c>
      <c r="G309" s="25" t="n">
        <f aca="false">IF($O$11="buy",1,-1)*( IF($K$11="call",B309*NORMDIST(I309,0,1,1) - $B$11*NORMDIST(J309,0,1,1),$B$11*NORMDIST(-J309,0,1,1) - B309*NORMDIST(-I309,0,1,1) ) - $G$11) * $P$11</f>
        <v>0</v>
      </c>
      <c r="I309" s="26" t="n">
        <f aca="false">(LN(B309/$B$11)+($H$11^2/2)*($J$11))/($H$11*SQRT($J$11))</f>
        <v>-2.70843711918335</v>
      </c>
      <c r="J309" s="26" t="n">
        <f aca="false">I309 - $H$11*SQRT($J$11)</f>
        <v>-2.81264924465774</v>
      </c>
    </row>
    <row r="310" customFormat="false" ht="13.5" hidden="false" customHeight="true" outlineLevel="0" collapsed="false">
      <c r="B310" s="29" t="n">
        <f aca="false">B280</f>
        <v>59</v>
      </c>
      <c r="C310" s="25" t="n">
        <f aca="false">IF($O$11="sell",-1,1) *  IF($K$11="call",  NORMDIST(I310,0,1,1),  NORMDIST(I310,0,1,1)-1  ) * $P$11</f>
        <v>-0</v>
      </c>
      <c r="D310" s="25" t="n">
        <f aca="false">IF($O$11="sell",-1,1) * NORMDIST(I310,0,1,0)/(B310*$H$11*SQRT($J$11)) * $P$11</f>
        <v>0</v>
      </c>
      <c r="E310" s="25" t="n">
        <f aca="false">IF($O$11="sell",-1,1) * (B310*NORMDIST(I310,0,1,0)*SQRT($J$11)/365) * $P$11</f>
        <v>0</v>
      </c>
      <c r="F310" s="25" t="n">
        <f aca="false">IF($O$11="sell",-1,1) * (-(B310*NORMDIST(I310,0,1,0)*$H$11)/(2*SQRT($J$11))/365) *$P$11</f>
        <v>-0</v>
      </c>
      <c r="G310" s="25" t="n">
        <f aca="false">IF($O$11="buy",1,-1)*( IF($K$11="call",B310*NORMDIST(I310,0,1,1) - $B$11*NORMDIST(J310,0,1,1),$B$11*NORMDIST(-J310,0,1,1) - B310*NORMDIST(-I310,0,1,1) ) - $G$11) * $P$11</f>
        <v>0</v>
      </c>
      <c r="I310" s="26" t="n">
        <f aca="false">(LN(B310/$B$11)+($H$11^2/2)*($J$11))/($H$11*SQRT($J$11))</f>
        <v>-2.86971507258726</v>
      </c>
      <c r="J310" s="26" t="n">
        <f aca="false">I310 - $H$11*SQRT($J$11)</f>
        <v>-2.97392719806165</v>
      </c>
    </row>
    <row r="311" customFormat="false" ht="13.5" hidden="false" customHeight="true" outlineLevel="0" collapsed="false">
      <c r="B311" s="29" t="n">
        <f aca="false">B281</f>
        <v>58</v>
      </c>
      <c r="C311" s="25" t="n">
        <f aca="false">IF($O$11="sell",-1,1) *  IF($K$11="call",  NORMDIST(I311,0,1,1),  NORMDIST(I311,0,1,1)-1  ) * $P$11</f>
        <v>-0</v>
      </c>
      <c r="D311" s="25" t="n">
        <f aca="false">IF($O$11="sell",-1,1) * NORMDIST(I311,0,1,0)/(B311*$H$11*SQRT($J$11)) * $P$11</f>
        <v>0</v>
      </c>
      <c r="E311" s="25" t="n">
        <f aca="false">IF($O$11="sell",-1,1) * (B311*NORMDIST(I311,0,1,0)*SQRT($J$11)/365) * $P$11</f>
        <v>0</v>
      </c>
      <c r="F311" s="25" t="n">
        <f aca="false">IF($O$11="sell",-1,1) * (-(B311*NORMDIST(I311,0,1,0)*$H$11)/(2*SQRT($J$11))/365) *$P$11</f>
        <v>-0</v>
      </c>
      <c r="G311" s="25" t="n">
        <f aca="false">IF($O$11="buy",1,-1)*( IF($K$11="call",B311*NORMDIST(I311,0,1,1) - $B$11*NORMDIST(J311,0,1,1),$B$11*NORMDIST(-J311,0,1,1) - B311*NORMDIST(-I311,0,1,1) ) - $G$11) * $P$11</f>
        <v>0</v>
      </c>
      <c r="I311" s="26" t="n">
        <f aca="false">(LN(B311/$B$11)+($H$11^2/2)*($J$11))/($H$11*SQRT($J$11))</f>
        <v>-3.03375004722656</v>
      </c>
      <c r="J311" s="26" t="n">
        <f aca="false">I311 - $H$11*SQRT($J$11)</f>
        <v>-3.13796217270096</v>
      </c>
    </row>
    <row r="312" customFormat="false" ht="13.5" hidden="false" customHeight="true" outlineLevel="0" collapsed="false">
      <c r="B312" s="29" t="n">
        <f aca="false">B282</f>
        <v>57</v>
      </c>
      <c r="C312" s="25" t="n">
        <f aca="false">IF($O$11="sell",-1,1) *  IF($K$11="call",  NORMDIST(I312,0,1,1),  NORMDIST(I312,0,1,1)-1  ) * $P$11</f>
        <v>-0</v>
      </c>
      <c r="D312" s="25" t="n">
        <f aca="false">IF($O$11="sell",-1,1) * NORMDIST(I312,0,1,0)/(B312*$H$11*SQRT($J$11)) * $P$11</f>
        <v>0</v>
      </c>
      <c r="E312" s="25" t="n">
        <f aca="false">IF($O$11="sell",-1,1) * (B312*NORMDIST(I312,0,1,0)*SQRT($J$11)/365) * $P$11</f>
        <v>0</v>
      </c>
      <c r="F312" s="25" t="n">
        <f aca="false">IF($O$11="sell",-1,1) * (-(B312*NORMDIST(I312,0,1,0)*$H$11)/(2*SQRT($J$11))/365) *$P$11</f>
        <v>-0</v>
      </c>
      <c r="G312" s="25" t="n">
        <f aca="false">IF($O$11="buy",1,-1)*( IF($K$11="call",B312*NORMDIST(I312,0,1,1) - $B$11*NORMDIST(J312,0,1,1),$B$11*NORMDIST(-J312,0,1,1) - B312*NORMDIST(-I312,0,1,1) ) - $G$11) * $P$11</f>
        <v>0</v>
      </c>
      <c r="I312" s="26" t="n">
        <f aca="false">(LN(B312/$B$11)+($H$11^2/2)*($J$11))/($H$11*SQRT($J$11))</f>
        <v>-3.20063794662118</v>
      </c>
      <c r="J312" s="26" t="n">
        <f aca="false">I312 - $H$11*SQRT($J$11)</f>
        <v>-3.30485007209557</v>
      </c>
    </row>
    <row r="313" customFormat="false" ht="13.5" hidden="false" customHeight="true" outlineLevel="0" collapsed="false">
      <c r="B313" s="30"/>
      <c r="C313" s="22"/>
      <c r="D313" s="22"/>
      <c r="E313" s="22"/>
      <c r="F313" s="22"/>
      <c r="G313" s="22"/>
      <c r="I313" s="31"/>
      <c r="J313" s="31"/>
    </row>
    <row r="314" customFormat="false" ht="13.5" hidden="false" customHeight="true" outlineLevel="0" collapsed="false">
      <c r="B314" s="30"/>
      <c r="C314" s="22"/>
      <c r="D314" s="22"/>
      <c r="E314" s="22"/>
      <c r="F314" s="22"/>
      <c r="G314" s="22"/>
      <c r="I314" s="31"/>
      <c r="J314" s="31"/>
    </row>
    <row r="315" customFormat="false" ht="13.5" hidden="false" customHeight="true" outlineLevel="0" collapsed="false">
      <c r="B315" s="23"/>
      <c r="C315" s="19" t="s">
        <v>13</v>
      </c>
      <c r="D315" s="19" t="s">
        <v>14</v>
      </c>
      <c r="E315" s="19" t="s">
        <v>15</v>
      </c>
      <c r="F315" s="19" t="s">
        <v>16</v>
      </c>
      <c r="G315" s="19" t="s">
        <v>17</v>
      </c>
      <c r="I315" s="19" t="s">
        <v>158</v>
      </c>
      <c r="J315" s="19" t="s">
        <v>159</v>
      </c>
    </row>
    <row r="316" customFormat="false" ht="13.5" hidden="false" customHeight="true" outlineLevel="0" collapsed="false">
      <c r="A316" s="2" t="str">
        <f aca="false">A12</f>
        <v>SOL-29MAY26-78-P-USDT</v>
      </c>
      <c r="B316" s="29" t="n">
        <f aca="false">B286</f>
        <v>83</v>
      </c>
      <c r="C316" s="25" t="n">
        <f aca="false">IF($O$12="sell",-1,1) *  IF($K$12="call",  NORMDIST(I316,0,1,1),  NORMDIST(I316,0,1,1)-1  ) * $P$12</f>
        <v>-0</v>
      </c>
      <c r="D316" s="25" t="n">
        <f aca="false">IF($O$12="sell",-1,1) * NORMDIST(I316,0,1,0)/(B316*$H$12*SQRT($J$12)) * $P$12</f>
        <v>0</v>
      </c>
      <c r="E316" s="25" t="n">
        <f aca="false">IF($O$12="sell",-1,1) * (B316*NORMDIST(I316,0,1,0)*SQRT($J$12)/365) * $P$12</f>
        <v>0</v>
      </c>
      <c r="F316" s="25" t="n">
        <f aca="false">IF($O$12="sell",-1,1) * (-(B316*NORMDIST(I316,0,1,0)*$H$12)/(2*SQRT($J$12))/365) *$P$12</f>
        <v>-0</v>
      </c>
      <c r="G316" s="25" t="n">
        <f aca="false">IF($O$12="buy",1,-1)*( IF($K$12="call",B316*NORMDIST(I316,0,1,1) - $B$12*NORMDIST(J316,0,1,1),$B$12*NORMDIST(-J316,0,1,1) - B316*NORMDIST(-I316,0,1,1) ) - $G$12) * $P$12</f>
        <v>-0</v>
      </c>
      <c r="I316" s="26" t="n">
        <f aca="false">(LN(B316/$B$12)+($H$12^2/2)*($J$12))/($H$12*SQRT($J$12))</f>
        <v>0.405949092184844</v>
      </c>
      <c r="J316" s="26" t="n">
        <f aca="false">I316 - $H$12*SQRT($J$12)</f>
        <v>0.201323379744347</v>
      </c>
    </row>
    <row r="317" customFormat="false" ht="13.5" hidden="false" customHeight="true" outlineLevel="0" collapsed="false">
      <c r="B317" s="29" t="n">
        <f aca="false">B287</f>
        <v>82</v>
      </c>
      <c r="C317" s="25" t="n">
        <f aca="false">IF($O$12="sell",-1,1) *  IF($K$12="call",  NORMDIST(I317,0,1,1),  NORMDIST(I317,0,1,1)-1  ) * $P$12</f>
        <v>-0</v>
      </c>
      <c r="D317" s="25" t="n">
        <f aca="false">IF($O$12="sell",-1,1) * NORMDIST(I317,0,1,0)/(B317*$H$12*SQRT($J$12)) * $P$12</f>
        <v>0</v>
      </c>
      <c r="E317" s="25" t="n">
        <f aca="false">IF($O$12="sell",-1,1) * (B317*NORMDIST(I317,0,1,0)*SQRT($J$12)/365) * $P$12</f>
        <v>0</v>
      </c>
      <c r="F317" s="25" t="n">
        <f aca="false">IF($O$12="sell",-1,1) * (-(B317*NORMDIST(I317,0,1,0)*$H$12)/(2*SQRT($J$12))/365) *$P$12</f>
        <v>-0</v>
      </c>
      <c r="G317" s="25" t="n">
        <f aca="false">IF($O$12="buy",1,-1)*( IF($K$12="call",B317*NORMDIST(I317,0,1,1) - $B$12*NORMDIST(J317,0,1,1),$B$12*NORMDIST(-J317,0,1,1) - B317*NORMDIST(-I317,0,1,1) ) - $G$12) * $P$12</f>
        <v>-0</v>
      </c>
      <c r="I317" s="26" t="n">
        <f aca="false">(LN(B317/$B$12)+($H$12^2/2)*($J$12))/($H$12*SQRT($J$12))</f>
        <v>0.346712350194907</v>
      </c>
      <c r="J317" s="26" t="n">
        <f aca="false">I317 - $H$12*SQRT($J$12)</f>
        <v>0.14208663775441</v>
      </c>
    </row>
    <row r="318" customFormat="false" ht="13.5" hidden="false" customHeight="true" outlineLevel="0" collapsed="false">
      <c r="B318" s="29" t="n">
        <f aca="false">B288</f>
        <v>81</v>
      </c>
      <c r="C318" s="25" t="n">
        <f aca="false">IF($O$12="sell",-1,1) *  IF($K$12="call",  NORMDIST(I318,0,1,1),  NORMDIST(I318,0,1,1)-1  ) * $P$12</f>
        <v>-0</v>
      </c>
      <c r="D318" s="25" t="n">
        <f aca="false">IF($O$12="sell",-1,1) * NORMDIST(I318,0,1,0)/(B318*$H$12*SQRT($J$12)) * $P$12</f>
        <v>0</v>
      </c>
      <c r="E318" s="25" t="n">
        <f aca="false">IF($O$12="sell",-1,1) * (B318*NORMDIST(I318,0,1,0)*SQRT($J$12)/365) * $P$12</f>
        <v>0</v>
      </c>
      <c r="F318" s="25" t="n">
        <f aca="false">IF($O$12="sell",-1,1) * (-(B318*NORMDIST(I318,0,1,0)*$H$12)/(2*SQRT($J$12))/365) *$P$12</f>
        <v>-0</v>
      </c>
      <c r="G318" s="25" t="n">
        <f aca="false">IF($O$12="buy",1,-1)*( IF($K$12="call",B318*NORMDIST(I318,0,1,1) - $B$12*NORMDIST(J318,0,1,1),$B$12*NORMDIST(-J318,0,1,1) - B318*NORMDIST(-I318,0,1,1) ) - $G$12) * $P$12</f>
        <v>-0</v>
      </c>
      <c r="I318" s="26" t="n">
        <f aca="false">(LN(B318/$B$12)+($H$12^2/2)*($J$12))/($H$12*SQRT($J$12))</f>
        <v>0.286748758887278</v>
      </c>
      <c r="J318" s="26" t="n">
        <f aca="false">I318 - $H$12*SQRT($J$12)</f>
        <v>0.0821230464467816</v>
      </c>
    </row>
    <row r="319" customFormat="false" ht="13.5" hidden="false" customHeight="true" outlineLevel="0" collapsed="false">
      <c r="B319" s="29" t="n">
        <f aca="false">B289</f>
        <v>80</v>
      </c>
      <c r="C319" s="25" t="n">
        <f aca="false">IF($O$12="sell",-1,1) *  IF($K$12="call",  NORMDIST(I319,0,1,1),  NORMDIST(I319,0,1,1)-1  ) * $P$12</f>
        <v>-0</v>
      </c>
      <c r="D319" s="25" t="n">
        <f aca="false">IF($O$12="sell",-1,1) * NORMDIST(I319,0,1,0)/(B319*$H$12*SQRT($J$12)) * $P$12</f>
        <v>0</v>
      </c>
      <c r="E319" s="25" t="n">
        <f aca="false">IF($O$12="sell",-1,1) * (B319*NORMDIST(I319,0,1,0)*SQRT($J$12)/365) * $P$12</f>
        <v>0</v>
      </c>
      <c r="F319" s="25" t="n">
        <f aca="false">IF($O$12="sell",-1,1) * (-(B319*NORMDIST(I319,0,1,0)*$H$12)/(2*SQRT($J$12))/365) *$P$12</f>
        <v>-0</v>
      </c>
      <c r="G319" s="25" t="n">
        <f aca="false">IF($O$12="buy",1,-1)*( IF($K$12="call",B319*NORMDIST(I319,0,1,1) - $B$12*NORMDIST(J319,0,1,1),$B$12*NORMDIST(-J319,0,1,1) - B319*NORMDIST(-I319,0,1,1) ) - $G$12) * $P$12</f>
        <v>0</v>
      </c>
      <c r="I319" s="26" t="n">
        <f aca="false">(LN(B319/$B$12)+($H$12^2/2)*($J$12))/($H$12*SQRT($J$12))</f>
        <v>0.226040259205599</v>
      </c>
      <c r="J319" s="26" t="n">
        <f aca="false">I319 - $H$12*SQRT($J$12)</f>
        <v>0.0214145467651022</v>
      </c>
    </row>
    <row r="320" customFormat="false" ht="13.5" hidden="false" customHeight="true" outlineLevel="0" collapsed="false">
      <c r="B320" s="29" t="n">
        <f aca="false">B290</f>
        <v>79</v>
      </c>
      <c r="C320" s="25" t="n">
        <f aca="false">IF($O$12="sell",-1,1) *  IF($K$12="call",  NORMDIST(I320,0,1,1),  NORMDIST(I320,0,1,1)-1  ) * $P$12</f>
        <v>-0</v>
      </c>
      <c r="D320" s="25" t="n">
        <f aca="false">IF($O$12="sell",-1,1) * NORMDIST(I320,0,1,0)/(B320*$H$12*SQRT($J$12)) * $P$12</f>
        <v>0</v>
      </c>
      <c r="E320" s="25" t="n">
        <f aca="false">IF($O$12="sell",-1,1) * (B320*NORMDIST(I320,0,1,0)*SQRT($J$12)/365) * $P$12</f>
        <v>0</v>
      </c>
      <c r="F320" s="25" t="n">
        <f aca="false">IF($O$12="sell",-1,1) * (-(B320*NORMDIST(I320,0,1,0)*$H$12)/(2*SQRT($J$12))/365) *$P$12</f>
        <v>-0</v>
      </c>
      <c r="G320" s="25" t="n">
        <f aca="false">IF($O$12="buy",1,-1)*( IF($K$12="call",B320*NORMDIST(I320,0,1,1) - $B$12*NORMDIST(J320,0,1,1),$B$12*NORMDIST(-J320,0,1,1) - B320*NORMDIST(-I320,0,1,1) ) - $G$12) * $P$12</f>
        <v>0</v>
      </c>
      <c r="I320" s="26" t="n">
        <f aca="false">(LN(B320/$B$12)+($H$12^2/2)*($J$12))/($H$12*SQRT($J$12))</f>
        <v>0.164568110584404</v>
      </c>
      <c r="J320" s="26" t="n">
        <f aca="false">I320 - $H$12*SQRT($J$12)</f>
        <v>-0.0400576018560926</v>
      </c>
    </row>
    <row r="321" customFormat="false" ht="13.5" hidden="false" customHeight="true" outlineLevel="0" collapsed="false">
      <c r="B321" s="29" t="n">
        <f aca="false">B291</f>
        <v>78</v>
      </c>
      <c r="C321" s="25" t="n">
        <f aca="false">IF($O$12="sell",-1,1) *  IF($K$12="call",  NORMDIST(I321,0,1,1),  NORMDIST(I321,0,1,1)-1  ) * $P$12</f>
        <v>-0</v>
      </c>
      <c r="D321" s="25" t="n">
        <f aca="false">IF($O$12="sell",-1,1) * NORMDIST(I321,0,1,0)/(B321*$H$12*SQRT($J$12)) * $P$12</f>
        <v>0</v>
      </c>
      <c r="E321" s="25" t="n">
        <f aca="false">IF($O$12="sell",-1,1) * (B321*NORMDIST(I321,0,1,0)*SQRT($J$12)/365) * $P$12</f>
        <v>0</v>
      </c>
      <c r="F321" s="25" t="n">
        <f aca="false">IF($O$12="sell",-1,1) * (-(B321*NORMDIST(I321,0,1,0)*$H$12)/(2*SQRT($J$12))/365) *$P$12</f>
        <v>-0</v>
      </c>
      <c r="G321" s="25" t="n">
        <f aca="false">IF($O$12="buy",1,-1)*( IF($K$12="call",B321*NORMDIST(I321,0,1,1) - $B$12*NORMDIST(J321,0,1,1),$B$12*NORMDIST(-J321,0,1,1) - B321*NORMDIST(-I321,0,1,1) ) - $G$12) * $P$12</f>
        <v>0</v>
      </c>
      <c r="I321" s="26" t="n">
        <f aca="false">(LN(B321/$B$12)+($H$12^2/2)*($J$12))/($H$12*SQRT($J$12))</f>
        <v>0.102312856220248</v>
      </c>
      <c r="J321" s="26" t="n">
        <f aca="false">I321 - $H$12*SQRT($J$12)</f>
        <v>-0.102312856220248</v>
      </c>
    </row>
    <row r="322" customFormat="false" ht="13.5" hidden="false" customHeight="true" outlineLevel="0" collapsed="false">
      <c r="B322" s="29" t="n">
        <f aca="false">B292</f>
        <v>77</v>
      </c>
      <c r="C322" s="25" t="n">
        <f aca="false">IF($O$12="sell",-1,1) *  IF($K$12="call",  NORMDIST(I322,0,1,1),  NORMDIST(I322,0,1,1)-1  ) * $P$12</f>
        <v>-0</v>
      </c>
      <c r="D322" s="25" t="n">
        <f aca="false">IF($O$12="sell",-1,1) * NORMDIST(I322,0,1,0)/(B322*$H$12*SQRT($J$12)) * $P$12</f>
        <v>0</v>
      </c>
      <c r="E322" s="25" t="n">
        <f aca="false">IF($O$12="sell",-1,1) * (B322*NORMDIST(I322,0,1,0)*SQRT($J$12)/365) * $P$12</f>
        <v>0</v>
      </c>
      <c r="F322" s="25" t="n">
        <f aca="false">IF($O$12="sell",-1,1) * (-(B322*NORMDIST(I322,0,1,0)*$H$12)/(2*SQRT($J$12))/365) *$P$12</f>
        <v>-0</v>
      </c>
      <c r="G322" s="25" t="n">
        <f aca="false">IF($O$12="buy",1,-1)*( IF($K$12="call",B322*NORMDIST(I322,0,1,1) - $B$12*NORMDIST(J322,0,1,1),$B$12*NORMDIST(-J322,0,1,1) - B322*NORMDIST(-I322,0,1,1) ) - $G$12) * $P$12</f>
        <v>0</v>
      </c>
      <c r="I322" s="26" t="n">
        <f aca="false">(LN(B322/$B$12)+($H$12^2/2)*($J$12))/($H$12*SQRT($J$12))</f>
        <v>0.0392542861020867</v>
      </c>
      <c r="J322" s="26" t="n">
        <f aca="false">I322 - $H$12*SQRT($J$12)</f>
        <v>-0.16537142633841</v>
      </c>
    </row>
    <row r="323" customFormat="false" ht="13.5" hidden="false" customHeight="true" outlineLevel="0" collapsed="false">
      <c r="B323" s="29" t="n">
        <f aca="false">B293</f>
        <v>76</v>
      </c>
      <c r="C323" s="25" t="n">
        <f aca="false">IF($O$12="sell",-1,1) *  IF($K$12="call",  NORMDIST(I323,0,1,1),  NORMDIST(I323,0,1,1)-1  ) * $P$12</f>
        <v>-0</v>
      </c>
      <c r="D323" s="25" t="n">
        <f aca="false">IF($O$12="sell",-1,1) * NORMDIST(I323,0,1,0)/(B323*$H$12*SQRT($J$12)) * $P$12</f>
        <v>0</v>
      </c>
      <c r="E323" s="25" t="n">
        <f aca="false">IF($O$12="sell",-1,1) * (B323*NORMDIST(I323,0,1,0)*SQRT($J$12)/365) * $P$12</f>
        <v>0</v>
      </c>
      <c r="F323" s="25" t="n">
        <f aca="false">IF($O$12="sell",-1,1) * (-(B323*NORMDIST(I323,0,1,0)*$H$12)/(2*SQRT($J$12))/365) *$P$12</f>
        <v>-0</v>
      </c>
      <c r="G323" s="25" t="n">
        <f aca="false">IF($O$12="buy",1,-1)*( IF($K$12="call",B323*NORMDIST(I323,0,1,1) - $B$12*NORMDIST(J323,0,1,1),$B$12*NORMDIST(-J323,0,1,1) - B323*NORMDIST(-I323,0,1,1) ) - $G$12) * $P$12</f>
        <v>0</v>
      </c>
      <c r="I323" s="26" t="n">
        <f aca="false">(LN(B323/$B$12)+($H$12^2/2)*($J$12))/($H$12*SQRT($J$12))</f>
        <v>-0.024628602374864</v>
      </c>
      <c r="J323" s="26" t="n">
        <f aca="false">I323 - $H$12*SQRT($J$12)</f>
        <v>-0.229254314815361</v>
      </c>
    </row>
    <row r="324" customFormat="false" ht="13.5" hidden="false" customHeight="true" outlineLevel="0" collapsed="false">
      <c r="B324" s="29" t="n">
        <f aca="false">B294</f>
        <v>75</v>
      </c>
      <c r="C324" s="25" t="n">
        <f aca="false">IF($O$12="sell",-1,1) *  IF($K$12="call",  NORMDIST(I324,0,1,1),  NORMDIST(I324,0,1,1)-1  ) * $P$12</f>
        <v>-0</v>
      </c>
      <c r="D324" s="25" t="n">
        <f aca="false">IF($O$12="sell",-1,1) * NORMDIST(I324,0,1,0)/(B324*$H$12*SQRT($J$12)) * $P$12</f>
        <v>0</v>
      </c>
      <c r="E324" s="25" t="n">
        <f aca="false">IF($O$12="sell",-1,1) * (B324*NORMDIST(I324,0,1,0)*SQRT($J$12)/365) * $P$12</f>
        <v>0</v>
      </c>
      <c r="F324" s="25" t="n">
        <f aca="false">IF($O$12="sell",-1,1) * (-(B324*NORMDIST(I324,0,1,0)*$H$12)/(2*SQRT($J$12))/365) *$P$12</f>
        <v>-0</v>
      </c>
      <c r="G324" s="25" t="n">
        <f aca="false">IF($O$12="buy",1,-1)*( IF($K$12="call",B324*NORMDIST(I324,0,1,1) - $B$12*NORMDIST(J324,0,1,1),$B$12*NORMDIST(-J324,0,1,1) - B324*NORMDIST(-I324,0,1,1) ) - $G$12) * $P$12</f>
        <v>0</v>
      </c>
      <c r="I324" s="26" t="n">
        <f aca="false">(LN(B324/$B$12)+($H$12^2/2)*($J$12))/($H$12*SQRT($J$12))</f>
        <v>-0.0893576464038356</v>
      </c>
      <c r="J324" s="26" t="n">
        <f aca="false">I324 - $H$12*SQRT($J$12)</f>
        <v>-0.293983358844332</v>
      </c>
    </row>
    <row r="325" customFormat="false" ht="13.5" hidden="false" customHeight="true" outlineLevel="0" collapsed="false">
      <c r="B325" s="29" t="n">
        <f aca="false">B295</f>
        <v>74</v>
      </c>
      <c r="C325" s="25" t="n">
        <f aca="false">IF($O$12="sell",-1,1) *  IF($K$12="call",  NORMDIST(I325,0,1,1),  NORMDIST(I325,0,1,1)-1  ) * $P$12</f>
        <v>-0</v>
      </c>
      <c r="D325" s="25" t="n">
        <f aca="false">IF($O$12="sell",-1,1) * NORMDIST(I325,0,1,0)/(B325*$H$12*SQRT($J$12)) * $P$12</f>
        <v>0</v>
      </c>
      <c r="E325" s="25" t="n">
        <f aca="false">IF($O$12="sell",-1,1) * (B325*NORMDIST(I325,0,1,0)*SQRT($J$12)/365) * $P$12</f>
        <v>0</v>
      </c>
      <c r="F325" s="25" t="n">
        <f aca="false">IF($O$12="sell",-1,1) * (-(B325*NORMDIST(I325,0,1,0)*$H$12)/(2*SQRT($J$12))/365) *$P$12</f>
        <v>-0</v>
      </c>
      <c r="G325" s="25" t="n">
        <f aca="false">IF($O$12="buy",1,-1)*( IF($K$12="call",B325*NORMDIST(I325,0,1,1) - $B$12*NORMDIST(J325,0,1,1),$B$12*NORMDIST(-J325,0,1,1) - B325*NORMDIST(-I325,0,1,1) ) - $G$12) * $P$12</f>
        <v>0</v>
      </c>
      <c r="I325" s="26" t="n">
        <f aca="false">(LN(B325/$B$12)+($H$12^2/2)*($J$12))/($H$12*SQRT($J$12))</f>
        <v>-0.154955562579908</v>
      </c>
      <c r="J325" s="26" t="n">
        <f aca="false">I325 - $H$12*SQRT($J$12)</f>
        <v>-0.359581275020405</v>
      </c>
    </row>
    <row r="326" customFormat="false" ht="13.5" hidden="false" customHeight="true" outlineLevel="0" collapsed="false">
      <c r="B326" s="29" t="n">
        <f aca="false">B296</f>
        <v>73</v>
      </c>
      <c r="C326" s="25" t="n">
        <f aca="false">IF($O$12="sell",-1,1) *  IF($K$12="call",  NORMDIST(I326,0,1,1),  NORMDIST(I326,0,1,1)-1  ) * $P$12</f>
        <v>-0</v>
      </c>
      <c r="D326" s="25" t="n">
        <f aca="false">IF($O$12="sell",-1,1) * NORMDIST(I326,0,1,0)/(B326*$H$12*SQRT($J$12)) * $P$12</f>
        <v>0</v>
      </c>
      <c r="E326" s="25" t="n">
        <f aca="false">IF($O$12="sell",-1,1) * (B326*NORMDIST(I326,0,1,0)*SQRT($J$12)/365) * $P$12</f>
        <v>0</v>
      </c>
      <c r="F326" s="25" t="n">
        <f aca="false">IF($O$12="sell",-1,1) * (-(B326*NORMDIST(I326,0,1,0)*$H$12)/(2*SQRT($J$12))/365) *$P$12</f>
        <v>-0</v>
      </c>
      <c r="G326" s="25" t="n">
        <f aca="false">IF($O$12="buy",1,-1)*( IF($K$12="call",B326*NORMDIST(I326,0,1,1) - $B$12*NORMDIST(J326,0,1,1),$B$12*NORMDIST(-J326,0,1,1) - B326*NORMDIST(-I326,0,1,1) ) - $G$12) * $P$12</f>
        <v>0</v>
      </c>
      <c r="I326" s="26" t="n">
        <f aca="false">(LN(B326/$B$12)+($H$12^2/2)*($J$12))/($H$12*SQRT($J$12))</f>
        <v>-0.221445994762203</v>
      </c>
      <c r="J326" s="26" t="n">
        <f aca="false">I326 - $H$12*SQRT($J$12)</f>
        <v>-0.426071707202699</v>
      </c>
    </row>
    <row r="327" customFormat="false" ht="13.5" hidden="false" customHeight="true" outlineLevel="0" collapsed="false">
      <c r="B327" s="29" t="n">
        <f aca="false">B297</f>
        <v>72</v>
      </c>
      <c r="C327" s="25" t="n">
        <f aca="false">IF($O$12="sell",-1,1) *  IF($K$12="call",  NORMDIST(I327,0,1,1),  NORMDIST(I327,0,1,1)-1  ) * $P$12</f>
        <v>-0</v>
      </c>
      <c r="D327" s="25" t="n">
        <f aca="false">IF($O$12="sell",-1,1) * NORMDIST(I327,0,1,0)/(B327*$H$12*SQRT($J$12)) * $P$12</f>
        <v>0</v>
      </c>
      <c r="E327" s="25" t="n">
        <f aca="false">IF($O$12="sell",-1,1) * (B327*NORMDIST(I327,0,1,0)*SQRT($J$12)/365) * $P$12</f>
        <v>0</v>
      </c>
      <c r="F327" s="25" t="n">
        <f aca="false">IF($O$12="sell",-1,1) * (-(B327*NORMDIST(I327,0,1,0)*$H$12)/(2*SQRT($J$12))/365) *$P$12</f>
        <v>-0</v>
      </c>
      <c r="G327" s="25" t="n">
        <f aca="false">IF($O$12="buy",1,-1)*( IF($K$12="call",B327*NORMDIST(I327,0,1,1) - $B$12*NORMDIST(J327,0,1,1),$B$12*NORMDIST(-J327,0,1,1) - B327*NORMDIST(-I327,0,1,1) ) - $G$12) * $P$12</f>
        <v>0</v>
      </c>
      <c r="I327" s="26" t="n">
        <f aca="false">(LN(B327/$B$12)+($H$12^2/2)*($J$12))/($H$12*SQRT($J$12))</f>
        <v>-0.288853565237231</v>
      </c>
      <c r="J327" s="26" t="n">
        <f aca="false">I327 - $H$12*SQRT($J$12)</f>
        <v>-0.493479277677728</v>
      </c>
    </row>
    <row r="328" customFormat="false" ht="13.5" hidden="false" customHeight="true" outlineLevel="0" collapsed="false">
      <c r="B328" s="29" t="n">
        <f aca="false">B298</f>
        <v>71</v>
      </c>
      <c r="C328" s="25" t="n">
        <f aca="false">IF($O$12="sell",-1,1) *  IF($K$12="call",  NORMDIST(I328,0,1,1),  NORMDIST(I328,0,1,1)-1  ) * $P$12</f>
        <v>-0</v>
      </c>
      <c r="D328" s="25" t="n">
        <f aca="false">IF($O$12="sell",-1,1) * NORMDIST(I328,0,1,0)/(B328*$H$12*SQRT($J$12)) * $P$12</f>
        <v>0</v>
      </c>
      <c r="E328" s="25" t="n">
        <f aca="false">IF($O$12="sell",-1,1) * (B328*NORMDIST(I328,0,1,0)*SQRT($J$12)/365) * $P$12</f>
        <v>0</v>
      </c>
      <c r="F328" s="25" t="n">
        <f aca="false">IF($O$12="sell",-1,1) * (-(B328*NORMDIST(I328,0,1,0)*$H$12)/(2*SQRT($J$12))/365) *$P$12</f>
        <v>-0</v>
      </c>
      <c r="G328" s="25" t="n">
        <f aca="false">IF($O$12="buy",1,-1)*( IF($K$12="call",B328*NORMDIST(I328,0,1,1) - $B$12*NORMDIST(J328,0,1,1),$B$12*NORMDIST(-J328,0,1,1) - B328*NORMDIST(-I328,0,1,1) ) - $G$12) * $P$12</f>
        <v>0</v>
      </c>
      <c r="I328" s="26" t="n">
        <f aca="false">(LN(B328/$B$12)+($H$12^2/2)*($J$12))/($H$12*SQRT($J$12))</f>
        <v>-0.357203929460433</v>
      </c>
      <c r="J328" s="26" t="n">
        <f aca="false">I328 - $H$12*SQRT($J$12)</f>
        <v>-0.561829641900929</v>
      </c>
    </row>
    <row r="329" customFormat="false" ht="13.5" hidden="false" customHeight="true" outlineLevel="0" collapsed="false">
      <c r="B329" s="29" t="n">
        <f aca="false">B299</f>
        <v>70</v>
      </c>
      <c r="C329" s="25" t="n">
        <f aca="false">IF($O$12="sell",-1,1) *  IF($K$12="call",  NORMDIST(I329,0,1,1),  NORMDIST(I329,0,1,1)-1  ) * $P$12</f>
        <v>-0</v>
      </c>
      <c r="D329" s="25" t="n">
        <f aca="false">IF($O$12="sell",-1,1) * NORMDIST(I329,0,1,0)/(B329*$H$12*SQRT($J$12)) * $P$12</f>
        <v>0</v>
      </c>
      <c r="E329" s="25" t="n">
        <f aca="false">IF($O$12="sell",-1,1) * (B329*NORMDIST(I329,0,1,0)*SQRT($J$12)/365) * $P$12</f>
        <v>0</v>
      </c>
      <c r="F329" s="25" t="n">
        <f aca="false">IF($O$12="sell",-1,1) * (-(B329*NORMDIST(I329,0,1,0)*$H$12)/(2*SQRT($J$12))/365) *$P$12</f>
        <v>-0</v>
      </c>
      <c r="G329" s="25" t="n">
        <f aca="false">IF($O$12="buy",1,-1)*( IF($K$12="call",B329*NORMDIST(I329,0,1,1) - $B$12*NORMDIST(J329,0,1,1),$B$12*NORMDIST(-J329,0,1,1) - B329*NORMDIST(-I329,0,1,1) ) - $G$12) * $P$12</f>
        <v>0</v>
      </c>
      <c r="I329" s="26" t="n">
        <f aca="false">(LN(B329/$B$12)+($H$12^2/2)*($J$12))/($H$12*SQRT($J$12))</f>
        <v>-0.426523834680463</v>
      </c>
      <c r="J329" s="26" t="n">
        <f aca="false">I329 - $H$12*SQRT($J$12)</f>
        <v>-0.631149547120959</v>
      </c>
    </row>
    <row r="330" customFormat="false" ht="13.5" hidden="false" customHeight="true" outlineLevel="0" collapsed="false">
      <c r="B330" s="29" t="n">
        <f aca="false">B300</f>
        <v>69</v>
      </c>
      <c r="C330" s="25" t="n">
        <f aca="false">IF($O$12="sell",-1,1) *  IF($K$12="call",  NORMDIST(I330,0,1,1),  NORMDIST(I330,0,1,1)-1  ) * $P$12</f>
        <v>-0</v>
      </c>
      <c r="D330" s="25" t="n">
        <f aca="false">IF($O$12="sell",-1,1) * NORMDIST(I330,0,1,0)/(B330*$H$12*SQRT($J$12)) * $P$12</f>
        <v>0</v>
      </c>
      <c r="E330" s="25" t="n">
        <f aca="false">IF($O$12="sell",-1,1) * (B330*NORMDIST(I330,0,1,0)*SQRT($J$12)/365) * $P$12</f>
        <v>0</v>
      </c>
      <c r="F330" s="25" t="n">
        <f aca="false">IF($O$12="sell",-1,1) * (-(B330*NORMDIST(I330,0,1,0)*$H$12)/(2*SQRT($J$12))/365) *$P$12</f>
        <v>-0</v>
      </c>
      <c r="G330" s="25" t="n">
        <f aca="false">IF($O$12="buy",1,-1)*( IF($K$12="call",B330*NORMDIST(I330,0,1,1) - $B$12*NORMDIST(J330,0,1,1),$B$12*NORMDIST(-J330,0,1,1) - B330*NORMDIST(-I330,0,1,1) ) - $G$12) * $P$12</f>
        <v>0</v>
      </c>
      <c r="I330" s="26" t="n">
        <f aca="false">(LN(B330/$B$12)+($H$12^2/2)*($J$12))/($H$12*SQRT($J$12))</f>
        <v>-0.496841182781493</v>
      </c>
      <c r="J330" s="26" t="n">
        <f aca="false">I330 - $H$12*SQRT($J$12)</f>
        <v>-0.701466895221989</v>
      </c>
    </row>
    <row r="331" customFormat="false" ht="13.5" hidden="false" customHeight="true" outlineLevel="0" collapsed="false">
      <c r="B331" s="29" t="n">
        <f aca="false">B301</f>
        <v>68</v>
      </c>
      <c r="C331" s="25" t="n">
        <f aca="false">IF($O$12="sell",-1,1) *  IF($K$12="call",  NORMDIST(I331,0,1,1),  NORMDIST(I331,0,1,1)-1  ) * $P$12</f>
        <v>-0</v>
      </c>
      <c r="D331" s="25" t="n">
        <f aca="false">IF($O$12="sell",-1,1) * NORMDIST(I331,0,1,0)/(B331*$H$12*SQRT($J$12)) * $P$12</f>
        <v>0</v>
      </c>
      <c r="E331" s="25" t="n">
        <f aca="false">IF($O$12="sell",-1,1) * (B331*NORMDIST(I331,0,1,0)*SQRT($J$12)/365) * $P$12</f>
        <v>0</v>
      </c>
      <c r="F331" s="25" t="n">
        <f aca="false">IF($O$12="sell",-1,1) * (-(B331*NORMDIST(I331,0,1,0)*$H$12)/(2*SQRT($J$12))/365) *$P$12</f>
        <v>-0</v>
      </c>
      <c r="G331" s="25" t="n">
        <f aca="false">IF($O$12="buy",1,-1)*( IF($K$12="call",B331*NORMDIST(I331,0,1,1) - $B$12*NORMDIST(J331,0,1,1),$B$12*NORMDIST(-J331,0,1,1) - B331*NORMDIST(-I331,0,1,1) ) - $G$12) * $P$12</f>
        <v>0</v>
      </c>
      <c r="I331" s="26" t="n">
        <f aca="false">(LN(B331/$B$12)+($H$12^2/2)*($J$12))/($H$12*SQRT($J$12))</f>
        <v>-0.568185097712994</v>
      </c>
      <c r="J331" s="26" t="n">
        <f aca="false">I331 - $H$12*SQRT($J$12)</f>
        <v>-0.772810810153491</v>
      </c>
    </row>
    <row r="332" customFormat="false" ht="13.5" hidden="false" customHeight="true" outlineLevel="0" collapsed="false">
      <c r="B332" s="29" t="n">
        <f aca="false">B302</f>
        <v>67</v>
      </c>
      <c r="C332" s="25" t="n">
        <f aca="false">IF($O$12="sell",-1,1) *  IF($K$12="call",  NORMDIST(I332,0,1,1),  NORMDIST(I332,0,1,1)-1  ) * $P$12</f>
        <v>-0</v>
      </c>
      <c r="D332" s="25" t="n">
        <f aca="false">IF($O$12="sell",-1,1) * NORMDIST(I332,0,1,0)/(B332*$H$12*SQRT($J$12)) * $P$12</f>
        <v>0</v>
      </c>
      <c r="E332" s="25" t="n">
        <f aca="false">IF($O$12="sell",-1,1) * (B332*NORMDIST(I332,0,1,0)*SQRT($J$12)/365) * $P$12</f>
        <v>0</v>
      </c>
      <c r="F332" s="25" t="n">
        <f aca="false">IF($O$12="sell",-1,1) * (-(B332*NORMDIST(I332,0,1,0)*$H$12)/(2*SQRT($J$12))/365) *$P$12</f>
        <v>-0</v>
      </c>
      <c r="G332" s="25" t="n">
        <f aca="false">IF($O$12="buy",1,-1)*( IF($K$12="call",B332*NORMDIST(I332,0,1,1) - $B$12*NORMDIST(J332,0,1,1),$B$12*NORMDIST(-J332,0,1,1) - B332*NORMDIST(-I332,0,1,1) ) - $G$12) * $P$12</f>
        <v>0</v>
      </c>
      <c r="I332" s="26" t="n">
        <f aca="false">(LN(B332/$B$12)+($H$12^2/2)*($J$12))/($H$12*SQRT($J$12))</f>
        <v>-0.640585997914863</v>
      </c>
      <c r="J332" s="26" t="n">
        <f aca="false">I332 - $H$12*SQRT($J$12)</f>
        <v>-0.84521171035536</v>
      </c>
    </row>
    <row r="333" customFormat="false" ht="13.5" hidden="false" customHeight="true" outlineLevel="0" collapsed="false">
      <c r="B333" s="29" t="n">
        <f aca="false">B303</f>
        <v>66</v>
      </c>
      <c r="C333" s="25" t="n">
        <f aca="false">IF($O$12="sell",-1,1) *  IF($K$12="call",  NORMDIST(I333,0,1,1),  NORMDIST(I333,0,1,1)-1  ) * $P$12</f>
        <v>-0</v>
      </c>
      <c r="D333" s="25" t="n">
        <f aca="false">IF($O$12="sell",-1,1) * NORMDIST(I333,0,1,0)/(B333*$H$12*SQRT($J$12)) * $P$12</f>
        <v>0</v>
      </c>
      <c r="E333" s="25" t="n">
        <f aca="false">IF($O$12="sell",-1,1) * (B333*NORMDIST(I333,0,1,0)*SQRT($J$12)/365) * $P$12</f>
        <v>0</v>
      </c>
      <c r="F333" s="25" t="n">
        <f aca="false">IF($O$12="sell",-1,1) * (-(B333*NORMDIST(I333,0,1,0)*$H$12)/(2*SQRT($J$12))/365) *$P$12</f>
        <v>-0</v>
      </c>
      <c r="G333" s="25" t="n">
        <f aca="false">IF($O$12="buy",1,-1)*( IF($K$12="call",B333*NORMDIST(I333,0,1,1) - $B$12*NORMDIST(J333,0,1,1),$B$12*NORMDIST(-J333,0,1,1) - B333*NORMDIST(-I333,0,1,1) ) - $G$12) * $P$12</f>
        <v>0</v>
      </c>
      <c r="I333" s="26" t="n">
        <f aca="false">(LN(B333/$B$12)+($H$12^2/2)*($J$12))/($H$12*SQRT($J$12))</f>
        <v>-0.714075674188627</v>
      </c>
      <c r="J333" s="26" t="n">
        <f aca="false">I333 - $H$12*SQRT($J$12)</f>
        <v>-0.918701386629124</v>
      </c>
    </row>
    <row r="334" customFormat="false" ht="13.5" hidden="false" customHeight="true" outlineLevel="0" collapsed="false">
      <c r="B334" s="29" t="n">
        <f aca="false">B304</f>
        <v>65</v>
      </c>
      <c r="C334" s="25" t="n">
        <f aca="false">IF($O$12="sell",-1,1) *  IF($K$12="call",  NORMDIST(I334,0,1,1),  NORMDIST(I334,0,1,1)-1  ) * $P$12</f>
        <v>-0</v>
      </c>
      <c r="D334" s="25" t="n">
        <f aca="false">IF($O$12="sell",-1,1) * NORMDIST(I334,0,1,0)/(B334*$H$12*SQRT($J$12)) * $P$12</f>
        <v>0</v>
      </c>
      <c r="E334" s="25" t="n">
        <f aca="false">IF($O$12="sell",-1,1) * (B334*NORMDIST(I334,0,1,0)*SQRT($J$12)/365) * $P$12</f>
        <v>0</v>
      </c>
      <c r="F334" s="25" t="n">
        <f aca="false">IF($O$12="sell",-1,1) * (-(B334*NORMDIST(I334,0,1,0)*$H$12)/(2*SQRT($J$12))/365) *$P$12</f>
        <v>-0</v>
      </c>
      <c r="G334" s="25" t="n">
        <f aca="false">IF($O$12="buy",1,-1)*( IF($K$12="call",B334*NORMDIST(I334,0,1,1) - $B$12*NORMDIST(J334,0,1,1),$B$12*NORMDIST(-J334,0,1,1) - B334*NORMDIST(-I334,0,1,1) ) - $G$12) * $P$12</f>
        <v>0</v>
      </c>
      <c r="I334" s="26" t="n">
        <f aca="false">(LN(B334/$B$12)+($H$12^2/2)*($J$12))/($H$12*SQRT($J$12))</f>
        <v>-0.788687373513696</v>
      </c>
      <c r="J334" s="26" t="n">
        <f aca="false">I334 - $H$12*SQRT($J$12)</f>
        <v>-0.993313085954193</v>
      </c>
    </row>
    <row r="335" customFormat="false" ht="13.5" hidden="false" customHeight="true" outlineLevel="0" collapsed="false">
      <c r="B335" s="29" t="n">
        <f aca="false">B305</f>
        <v>64</v>
      </c>
      <c r="C335" s="25" t="n">
        <f aca="false">IF($O$12="sell",-1,1) *  IF($K$12="call",  NORMDIST(I335,0,1,1),  NORMDIST(I335,0,1,1)-1  ) * $P$12</f>
        <v>-0</v>
      </c>
      <c r="D335" s="25" t="n">
        <f aca="false">IF($O$12="sell",-1,1) * NORMDIST(I335,0,1,0)/(B335*$H$12*SQRT($J$12)) * $P$12</f>
        <v>0</v>
      </c>
      <c r="E335" s="25" t="n">
        <f aca="false">IF($O$12="sell",-1,1) * (B335*NORMDIST(I335,0,1,0)*SQRT($J$12)/365) * $P$12</f>
        <v>0</v>
      </c>
      <c r="F335" s="25" t="n">
        <f aca="false">IF($O$12="sell",-1,1) * (-(B335*NORMDIST(I335,0,1,0)*$H$12)/(2*SQRT($J$12))/365) *$P$12</f>
        <v>-0</v>
      </c>
      <c r="G335" s="25" t="n">
        <f aca="false">IF($O$12="buy",1,-1)*( IF($K$12="call",B335*NORMDIST(I335,0,1,1) - $B$12*NORMDIST(J335,0,1,1),$B$12*NORMDIST(-J335,0,1,1) - B335*NORMDIST(-I335,0,1,1) ) - $G$12) * $P$12</f>
        <v>0</v>
      </c>
      <c r="I335" s="26" t="n">
        <f aca="false">(LN(B335/$B$12)+($H$12^2/2)*($J$12))/($H$12*SQRT($J$12))</f>
        <v>-0.864455889361741</v>
      </c>
      <c r="J335" s="26" t="n">
        <f aca="false">I335 - $H$12*SQRT($J$12)</f>
        <v>-1.06908160180224</v>
      </c>
    </row>
    <row r="336" customFormat="false" ht="13.5" hidden="false" customHeight="true" outlineLevel="0" collapsed="false">
      <c r="B336" s="29" t="n">
        <f aca="false">B306</f>
        <v>63</v>
      </c>
      <c r="C336" s="25" t="n">
        <f aca="false">IF($O$12="sell",-1,1) *  IF($K$12="call",  NORMDIST(I336,0,1,1),  NORMDIST(I336,0,1,1)-1  ) * $P$12</f>
        <v>-0</v>
      </c>
      <c r="D336" s="25" t="n">
        <f aca="false">IF($O$12="sell",-1,1) * NORMDIST(I336,0,1,0)/(B336*$H$12*SQRT($J$12)) * $P$12</f>
        <v>0</v>
      </c>
      <c r="E336" s="25" t="n">
        <f aca="false">IF($O$12="sell",-1,1) * (B336*NORMDIST(I336,0,1,0)*SQRT($J$12)/365) * $P$12</f>
        <v>0</v>
      </c>
      <c r="F336" s="25" t="n">
        <f aca="false">IF($O$12="sell",-1,1) * (-(B336*NORMDIST(I336,0,1,0)*$H$12)/(2*SQRT($J$12))/365) *$P$12</f>
        <v>-0</v>
      </c>
      <c r="G336" s="25" t="n">
        <f aca="false">IF($O$12="buy",1,-1)*( IF($K$12="call",B336*NORMDIST(I336,0,1,1) - $B$12*NORMDIST(J336,0,1,1),$B$12*NORMDIST(-J336,0,1,1) - B336*NORMDIST(-I336,0,1,1) ) - $G$12) * $P$12</f>
        <v>0</v>
      </c>
      <c r="I336" s="26" t="n">
        <f aca="false">(LN(B336/$B$12)+($H$12^2/2)*($J$12))/($H$12*SQRT($J$12))</f>
        <v>-0.941417659123294</v>
      </c>
      <c r="J336" s="26" t="n">
        <f aca="false">I336 - $H$12*SQRT($J$12)</f>
        <v>-1.14604337156379</v>
      </c>
    </row>
    <row r="337" customFormat="false" ht="13.5" hidden="false" customHeight="true" outlineLevel="0" collapsed="false">
      <c r="B337" s="29" t="n">
        <f aca="false">B307</f>
        <v>62</v>
      </c>
      <c r="C337" s="25" t="n">
        <f aca="false">IF($O$12="sell",-1,1) *  IF($K$12="call",  NORMDIST(I337,0,1,1),  NORMDIST(I337,0,1,1)-1  ) * $P$12</f>
        <v>-0</v>
      </c>
      <c r="D337" s="25" t="n">
        <f aca="false">IF($O$12="sell",-1,1) * NORMDIST(I337,0,1,0)/(B337*$H$12*SQRT($J$12)) * $P$12</f>
        <v>0</v>
      </c>
      <c r="E337" s="25" t="n">
        <f aca="false">IF($O$12="sell",-1,1) * (B337*NORMDIST(I337,0,1,0)*SQRT($J$12)/365) * $P$12</f>
        <v>0</v>
      </c>
      <c r="F337" s="25" t="n">
        <f aca="false">IF($O$12="sell",-1,1) * (-(B337*NORMDIST(I337,0,1,0)*$H$12)/(2*SQRT($J$12))/365) *$P$12</f>
        <v>-0</v>
      </c>
      <c r="G337" s="25" t="n">
        <f aca="false">IF($O$12="buy",1,-1)*( IF($K$12="call",B337*NORMDIST(I337,0,1,1) - $B$12*NORMDIST(J337,0,1,1),$B$12*NORMDIST(-J337,0,1,1) - B337*NORMDIST(-I337,0,1,1) ) - $G$12) * $P$12</f>
        <v>0</v>
      </c>
      <c r="I337" s="26" t="n">
        <f aca="false">(LN(B337/$B$12)+($H$12^2/2)*($J$12))/($H$12*SQRT($J$12))</f>
        <v>-1.01961086932944</v>
      </c>
      <c r="J337" s="26" t="n">
        <f aca="false">I337 - $H$12*SQRT($J$12)</f>
        <v>-1.22423658176993</v>
      </c>
    </row>
    <row r="338" customFormat="false" ht="13.5" hidden="false" customHeight="true" outlineLevel="0" collapsed="false">
      <c r="B338" s="29" t="n">
        <f aca="false">B308</f>
        <v>61</v>
      </c>
      <c r="C338" s="25" t="n">
        <f aca="false">IF($O$12="sell",-1,1) *  IF($K$12="call",  NORMDIST(I338,0,1,1),  NORMDIST(I338,0,1,1)-1  ) * $P$12</f>
        <v>-0</v>
      </c>
      <c r="D338" s="25" t="n">
        <f aca="false">IF($O$12="sell",-1,1) * NORMDIST(I338,0,1,0)/(B338*$H$12*SQRT($J$12)) * $P$12</f>
        <v>0</v>
      </c>
      <c r="E338" s="25" t="n">
        <f aca="false">IF($O$12="sell",-1,1) * (B338*NORMDIST(I338,0,1,0)*SQRT($J$12)/365) * $P$12</f>
        <v>0</v>
      </c>
      <c r="F338" s="25" t="n">
        <f aca="false">IF($O$12="sell",-1,1) * (-(B338*NORMDIST(I338,0,1,0)*$H$12)/(2*SQRT($J$12))/365) *$P$12</f>
        <v>-0</v>
      </c>
      <c r="G338" s="25" t="n">
        <f aca="false">IF($O$12="buy",1,-1)*( IF($K$12="call",B338*NORMDIST(I338,0,1,1) - $B$12*NORMDIST(J338,0,1,1),$B$12*NORMDIST(-J338,0,1,1) - B338*NORMDIST(-I338,0,1,1) ) - $G$12) * $P$12</f>
        <v>0</v>
      </c>
      <c r="I338" s="26" t="n">
        <f aca="false">(LN(B338/$B$12)+($H$12^2/2)*($J$12))/($H$12*SQRT($J$12))</f>
        <v>-1.09907556942918</v>
      </c>
      <c r="J338" s="26" t="n">
        <f aca="false">I338 - $H$12*SQRT($J$12)</f>
        <v>-1.30370128186967</v>
      </c>
    </row>
    <row r="339" customFormat="false" ht="13.5" hidden="false" customHeight="true" outlineLevel="0" collapsed="false">
      <c r="B339" s="29" t="n">
        <f aca="false">B309</f>
        <v>60</v>
      </c>
      <c r="C339" s="25" t="n">
        <f aca="false">IF($O$12="sell",-1,1) *  IF($K$12="call",  NORMDIST(I339,0,1,1),  NORMDIST(I339,0,1,1)-1  ) * $P$12</f>
        <v>-0</v>
      </c>
      <c r="D339" s="25" t="n">
        <f aca="false">IF($O$12="sell",-1,1) * NORMDIST(I339,0,1,0)/(B339*$H$12*SQRT($J$12)) * $P$12</f>
        <v>0</v>
      </c>
      <c r="E339" s="25" t="n">
        <f aca="false">IF($O$12="sell",-1,1) * (B339*NORMDIST(I339,0,1,0)*SQRT($J$12)/365) * $P$12</f>
        <v>0</v>
      </c>
      <c r="F339" s="25" t="n">
        <f aca="false">IF($O$12="sell",-1,1) * (-(B339*NORMDIST(I339,0,1,0)*$H$12)/(2*SQRT($J$12))/365) *$P$12</f>
        <v>-0</v>
      </c>
      <c r="G339" s="25" t="n">
        <f aca="false">IF($O$12="buy",1,-1)*( IF($K$12="call",B339*NORMDIST(I339,0,1,1) - $B$12*NORMDIST(J339,0,1,1),$B$12*NORMDIST(-J339,0,1,1) - B339*NORMDIST(-I339,0,1,1) ) - $G$12) * $P$12</f>
        <v>0</v>
      </c>
      <c r="I339" s="26" t="n">
        <f aca="false">(LN(B339/$B$12)+($H$12^2/2)*($J$12))/($H$12*SQRT($J$12))</f>
        <v>-1.17985379497118</v>
      </c>
      <c r="J339" s="26" t="n">
        <f aca="false">I339 - $H$12*SQRT($J$12)</f>
        <v>-1.38447950741167</v>
      </c>
    </row>
    <row r="340" customFormat="false" ht="13.5" hidden="false" customHeight="true" outlineLevel="0" collapsed="false">
      <c r="B340" s="29" t="n">
        <f aca="false">B310</f>
        <v>59</v>
      </c>
      <c r="C340" s="25" t="n">
        <f aca="false">IF($O$12="sell",-1,1) *  IF($K$12="call",  NORMDIST(I340,0,1,1),  NORMDIST(I340,0,1,1)-1  ) * $P$12</f>
        <v>-0</v>
      </c>
      <c r="D340" s="25" t="n">
        <f aca="false">IF($O$12="sell",-1,1) * NORMDIST(I340,0,1,0)/(B340*$H$12*SQRT($J$12)) * $P$12</f>
        <v>0</v>
      </c>
      <c r="E340" s="25" t="n">
        <f aca="false">IF($O$12="sell",-1,1) * (B340*NORMDIST(I340,0,1,0)*SQRT($J$12)/365) * $P$12</f>
        <v>0</v>
      </c>
      <c r="F340" s="25" t="n">
        <f aca="false">IF($O$12="sell",-1,1) * (-(B340*NORMDIST(I340,0,1,0)*$H$12)/(2*SQRT($J$12))/365) *$P$12</f>
        <v>-0</v>
      </c>
      <c r="G340" s="25" t="n">
        <f aca="false">IF($O$12="buy",1,-1)*( IF($K$12="call",B340*NORMDIST(I340,0,1,1) - $B$12*NORMDIST(J340,0,1,1),$B$12*NORMDIST(-J340,0,1,1) - B340*NORMDIST(-I340,0,1,1) ) - $G$12) * $P$12</f>
        <v>0</v>
      </c>
      <c r="I340" s="26" t="n">
        <f aca="false">(LN(B340/$B$12)+($H$12^2/2)*($J$12))/($H$12*SQRT($J$12))</f>
        <v>-1.26198970113824</v>
      </c>
      <c r="J340" s="26" t="n">
        <f aca="false">I340 - $H$12*SQRT($J$12)</f>
        <v>-1.46661541357874</v>
      </c>
    </row>
    <row r="341" customFormat="false" ht="13.5" hidden="false" customHeight="true" outlineLevel="0" collapsed="false">
      <c r="B341" s="29" t="n">
        <f aca="false">B311</f>
        <v>58</v>
      </c>
      <c r="C341" s="25" t="n">
        <f aca="false">IF($O$12="sell",-1,1) *  IF($K$12="call",  NORMDIST(I341,0,1,1),  NORMDIST(I341,0,1,1)-1  ) * $P$12</f>
        <v>-0</v>
      </c>
      <c r="D341" s="25" t="n">
        <f aca="false">IF($O$12="sell",-1,1) * NORMDIST(I341,0,1,0)/(B341*$H$12*SQRT($J$12)) * $P$12</f>
        <v>0</v>
      </c>
      <c r="E341" s="25" t="n">
        <f aca="false">IF($O$12="sell",-1,1) * (B341*NORMDIST(I341,0,1,0)*SQRT($J$12)/365) * $P$12</f>
        <v>0</v>
      </c>
      <c r="F341" s="25" t="n">
        <f aca="false">IF($O$12="sell",-1,1) * (-(B341*NORMDIST(I341,0,1,0)*$H$12)/(2*SQRT($J$12))/365) *$P$12</f>
        <v>-0</v>
      </c>
      <c r="G341" s="25" t="n">
        <f aca="false">IF($O$12="buy",1,-1)*( IF($K$12="call",B341*NORMDIST(I341,0,1,1) - $B$12*NORMDIST(J341,0,1,1),$B$12*NORMDIST(-J341,0,1,1) - B341*NORMDIST(-I341,0,1,1) ) - $G$12) * $P$12</f>
        <v>0</v>
      </c>
      <c r="I341" s="26" t="n">
        <f aca="false">(LN(B341/$B$12)+($H$12^2/2)*($J$12))/($H$12*SQRT($J$12))</f>
        <v>-1.34552970769666</v>
      </c>
      <c r="J341" s="26" t="n">
        <f aca="false">I341 - $H$12*SQRT($J$12)</f>
        <v>-1.55015542013716</v>
      </c>
    </row>
    <row r="342" customFormat="false" ht="13.5" hidden="false" customHeight="true" outlineLevel="0" collapsed="false">
      <c r="B342" s="29" t="n">
        <f aca="false">B312</f>
        <v>57</v>
      </c>
      <c r="C342" s="25" t="n">
        <f aca="false">IF($O$12="sell",-1,1) *  IF($K$12="call",  NORMDIST(I342,0,1,1),  NORMDIST(I342,0,1,1)-1  ) * $P$12</f>
        <v>-0</v>
      </c>
      <c r="D342" s="25" t="n">
        <f aca="false">IF($O$12="sell",-1,1) * NORMDIST(I342,0,1,0)/(B342*$H$12*SQRT($J$12)) * $P$12</f>
        <v>0</v>
      </c>
      <c r="E342" s="25" t="n">
        <f aca="false">IF($O$12="sell",-1,1) * (B342*NORMDIST(I342,0,1,0)*SQRT($J$12)/365) * $P$12</f>
        <v>0</v>
      </c>
      <c r="F342" s="25" t="n">
        <f aca="false">IF($O$12="sell",-1,1) * (-(B342*NORMDIST(I342,0,1,0)*$H$12)/(2*SQRT($J$12))/365) *$P$12</f>
        <v>-0</v>
      </c>
      <c r="G342" s="25" t="n">
        <f aca="false">IF($O$12="buy",1,-1)*( IF($K$12="call",B342*NORMDIST(I342,0,1,1) - $B$12*NORMDIST(J342,0,1,1),$B$12*NORMDIST(-J342,0,1,1) - B342*NORMDIST(-I342,0,1,1) ) - $G$12) * $P$12</f>
        <v>0</v>
      </c>
      <c r="I342" s="26" t="n">
        <f aca="false">(LN(B342/$B$12)+($H$12^2/2)*($J$12))/($H$12*SQRT($J$12))</f>
        <v>-1.43052265655164</v>
      </c>
      <c r="J342" s="26" t="n">
        <f aca="false">I342 - $H$12*SQRT($J$12)</f>
        <v>-1.63514836899214</v>
      </c>
    </row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>
      <c r="B345" s="23"/>
      <c r="C345" s="19" t="s">
        <v>13</v>
      </c>
      <c r="D345" s="19" t="s">
        <v>14</v>
      </c>
      <c r="E345" s="19" t="s">
        <v>15</v>
      </c>
      <c r="F345" s="19" t="s">
        <v>16</v>
      </c>
      <c r="G345" s="19" t="s">
        <v>17</v>
      </c>
      <c r="I345" s="19" t="s">
        <v>158</v>
      </c>
      <c r="J345" s="19" t="s">
        <v>159</v>
      </c>
    </row>
    <row r="346" customFormat="false" ht="13.5" hidden="false" customHeight="true" outlineLevel="0" collapsed="false">
      <c r="A346" s="2" t="str">
        <f aca="false">A13</f>
        <v>SOL-29MAY26-80-P-USDT</v>
      </c>
      <c r="B346" s="29" t="n">
        <f aca="false">B316</f>
        <v>83</v>
      </c>
      <c r="C346" s="25" t="n">
        <f aca="false">IF($O$13="sell",-1,1) *  IF($K$13="call",  NORMDIST(I346,0,1,1),  NORMDIST(I346,0,1,1)-1  ) * $P$13</f>
        <v>-0</v>
      </c>
      <c r="D346" s="25" t="n">
        <f aca="false">IF($O$13="sell",-1,1) * NORMDIST(I346,0,1,0)/(B346*$H$13*SQRT($J$13)) * $P$13</f>
        <v>0</v>
      </c>
      <c r="E346" s="25" t="n">
        <f aca="false">IF($O$13="sell",-1,1) * (B346*NORMDIST(I346,0,1,0)*SQRT($J$13)/365) * $P$13</f>
        <v>0</v>
      </c>
      <c r="F346" s="25" t="n">
        <f aca="false">IF($O$13="sell",-1,1) * (-(B346*NORMDIST(I346,0,1,0)*$H$13)/(2*SQRT($J$13))/365) *$P$13</f>
        <v>-0</v>
      </c>
      <c r="G346" s="25" t="n">
        <f aca="false">IF($O$13="buy",1,-1)*( IF($K$13="call",B346*NORMDIST(I346,0,1,1) - $B$13*NORMDIST(J346,0,1,1),$B$13*NORMDIST(-J346,0,1,1) - B346*NORMDIST(-I346,0,1,1) ) - $G$13) * $P$13</f>
        <v>-0</v>
      </c>
      <c r="I346" s="26" t="n">
        <f aca="false">(LN(B346/$B$13)+($H$13^2/2)*($J$13))/($H$13*SQRT($J$13))</f>
        <v>0.282956217989289</v>
      </c>
      <c r="J346" s="26" t="n">
        <f aca="false">I346 - $H$13*SQRT($J$13)</f>
        <v>0.0802263987311483</v>
      </c>
    </row>
    <row r="347" customFormat="false" ht="13.5" hidden="false" customHeight="true" outlineLevel="0" collapsed="false">
      <c r="B347" s="29" t="n">
        <f aca="false">B317</f>
        <v>82</v>
      </c>
      <c r="C347" s="25" t="n">
        <f aca="false">IF($O$13="sell",-1,1) *  IF($K$13="call",  NORMDIST(I347,0,1,1),  NORMDIST(I347,0,1,1)-1  ) * $P$13</f>
        <v>-0</v>
      </c>
      <c r="D347" s="25" t="n">
        <f aca="false">IF($O$13="sell",-1,1) * NORMDIST(I347,0,1,0)/(B347*$H$13*SQRT($J$13)) * $P$13</f>
        <v>0</v>
      </c>
      <c r="E347" s="25" t="n">
        <f aca="false">IF($O$13="sell",-1,1) * (B347*NORMDIST(I347,0,1,0)*SQRT($J$13)/365) * $P$13</f>
        <v>0</v>
      </c>
      <c r="F347" s="25" t="n">
        <f aca="false">IF($O$13="sell",-1,1) * (-(B347*NORMDIST(I347,0,1,0)*$H$13)/(2*SQRT($J$13))/365) *$P$13</f>
        <v>-0</v>
      </c>
      <c r="G347" s="25" t="n">
        <f aca="false">IF($O$13="buy",1,-1)*( IF($K$13="call",B347*NORMDIST(I347,0,1,1) - $B$13*NORMDIST(J347,0,1,1),$B$13*NORMDIST(-J347,0,1,1) - B347*NORMDIST(-I347,0,1,1) ) - $G$13) * $P$13</f>
        <v>-0</v>
      </c>
      <c r="I347" s="26" t="n">
        <f aca="false">(LN(B347/$B$13)+($H$13^2/2)*($J$13))/($H$13*SQRT($J$13))</f>
        <v>0.223165504532821</v>
      </c>
      <c r="J347" s="26" t="n">
        <f aca="false">I347 - $H$13*SQRT($J$13)</f>
        <v>0.0204356852746806</v>
      </c>
    </row>
    <row r="348" customFormat="false" ht="13.5" hidden="false" customHeight="true" outlineLevel="0" collapsed="false">
      <c r="B348" s="29" t="n">
        <f aca="false">B318</f>
        <v>81</v>
      </c>
      <c r="C348" s="25" t="n">
        <f aca="false">IF($O$13="sell",-1,1) *  IF($K$13="call",  NORMDIST(I348,0,1,1),  NORMDIST(I348,0,1,1)-1  ) * $P$13</f>
        <v>-0</v>
      </c>
      <c r="D348" s="25" t="n">
        <f aca="false">IF($O$13="sell",-1,1) * NORMDIST(I348,0,1,0)/(B348*$H$13*SQRT($J$13)) * $P$13</f>
        <v>0</v>
      </c>
      <c r="E348" s="25" t="n">
        <f aca="false">IF($O$13="sell",-1,1) * (B348*NORMDIST(I348,0,1,0)*SQRT($J$13)/365) * $P$13</f>
        <v>0</v>
      </c>
      <c r="F348" s="25" t="n">
        <f aca="false">IF($O$13="sell",-1,1) * (-(B348*NORMDIST(I348,0,1,0)*$H$13)/(2*SQRT($J$13))/365) *$P$13</f>
        <v>-0</v>
      </c>
      <c r="G348" s="25" t="n">
        <f aca="false">IF($O$13="buy",1,-1)*( IF($K$13="call",B348*NORMDIST(I348,0,1,1) - $B$13*NORMDIST(J348,0,1,1),$B$13*NORMDIST(-J348,0,1,1) - B348*NORMDIST(-I348,0,1,1) ) - $G$13) * $P$13</f>
        <v>-0</v>
      </c>
      <c r="I348" s="26" t="n">
        <f aca="false">(LN(B348/$B$13)+($H$13^2/2)*($J$13))/($H$13*SQRT($J$13))</f>
        <v>0.162641144393228</v>
      </c>
      <c r="J348" s="26" t="n">
        <f aca="false">I348 - $H$13*SQRT($J$13)</f>
        <v>-0.0400886748649125</v>
      </c>
    </row>
    <row r="349" customFormat="false" ht="13.5" hidden="false" customHeight="true" outlineLevel="0" collapsed="false">
      <c r="B349" s="29" t="n">
        <f aca="false">B319</f>
        <v>80</v>
      </c>
      <c r="C349" s="25" t="n">
        <f aca="false">IF($O$13="sell",-1,1) *  IF($K$13="call",  NORMDIST(I349,0,1,1),  NORMDIST(I349,0,1,1)-1  ) * $P$13</f>
        <v>-0</v>
      </c>
      <c r="D349" s="25" t="n">
        <f aca="false">IF($O$13="sell",-1,1) * NORMDIST(I349,0,1,0)/(B349*$H$13*SQRT($J$13)) * $P$13</f>
        <v>0</v>
      </c>
      <c r="E349" s="25" t="n">
        <f aca="false">IF($O$13="sell",-1,1) * (B349*NORMDIST(I349,0,1,0)*SQRT($J$13)/365) * $P$13</f>
        <v>0</v>
      </c>
      <c r="F349" s="25" t="n">
        <f aca="false">IF($O$13="sell",-1,1) * (-(B349*NORMDIST(I349,0,1,0)*$H$13)/(2*SQRT($J$13))/365) *$P$13</f>
        <v>-0</v>
      </c>
      <c r="G349" s="25" t="n">
        <f aca="false">IF($O$13="buy",1,-1)*( IF($K$13="call",B349*NORMDIST(I349,0,1,1) - $B$13*NORMDIST(J349,0,1,1),$B$13*NORMDIST(-J349,0,1,1) - B349*NORMDIST(-I349,0,1,1) ) - $G$13) * $P$13</f>
        <v>0</v>
      </c>
      <c r="I349" s="26" t="n">
        <f aca="false">(LN(B349/$B$13)+($H$13^2/2)*($J$13))/($H$13*SQRT($J$13))</f>
        <v>0.10136490962907</v>
      </c>
      <c r="J349" s="26" t="n">
        <f aca="false">I349 - $H$13*SQRT($J$13)</f>
        <v>-0.10136490962907</v>
      </c>
    </row>
    <row r="350" customFormat="false" ht="13.5" hidden="false" customHeight="true" outlineLevel="0" collapsed="false">
      <c r="B350" s="29" t="n">
        <f aca="false">B320</f>
        <v>79</v>
      </c>
      <c r="C350" s="25" t="n">
        <f aca="false">IF($O$13="sell",-1,1) *  IF($K$13="call",  NORMDIST(I350,0,1,1),  NORMDIST(I350,0,1,1)-1  ) * $P$13</f>
        <v>-0</v>
      </c>
      <c r="D350" s="25" t="n">
        <f aca="false">IF($O$13="sell",-1,1) * NORMDIST(I350,0,1,0)/(B350*$H$13*SQRT($J$13)) * $P$13</f>
        <v>0</v>
      </c>
      <c r="E350" s="25" t="n">
        <f aca="false">IF($O$13="sell",-1,1) * (B350*NORMDIST(I350,0,1,0)*SQRT($J$13)/365) * $P$13</f>
        <v>0</v>
      </c>
      <c r="F350" s="25" t="n">
        <f aca="false">IF($O$13="sell",-1,1) * (-(B350*NORMDIST(I350,0,1,0)*$H$13)/(2*SQRT($J$13))/365) *$P$13</f>
        <v>-0</v>
      </c>
      <c r="G350" s="25" t="n">
        <f aca="false">IF($O$13="buy",1,-1)*( IF($K$13="call",B350*NORMDIST(I350,0,1,1) - $B$13*NORMDIST(J350,0,1,1),$B$13*NORMDIST(-J350,0,1,1) - B350*NORMDIST(-I350,0,1,1) ) - $G$13) * $P$13</f>
        <v>0</v>
      </c>
      <c r="I350" s="26" t="n">
        <f aca="false">(LN(B350/$B$13)+($H$13^2/2)*($J$13))/($H$13*SQRT($J$13))</f>
        <v>0.0393178844164487</v>
      </c>
      <c r="J350" s="26" t="n">
        <f aca="false">I350 - $H$13*SQRT($J$13)</f>
        <v>-0.163411934841692</v>
      </c>
    </row>
    <row r="351" customFormat="false" ht="13.5" hidden="false" customHeight="true" outlineLevel="0" collapsed="false">
      <c r="B351" s="29" t="n">
        <f aca="false">B321</f>
        <v>78</v>
      </c>
      <c r="C351" s="25" t="n">
        <f aca="false">IF($O$13="sell",-1,1) *  IF($K$13="call",  NORMDIST(I351,0,1,1),  NORMDIST(I351,0,1,1)-1  ) * $P$13</f>
        <v>-0</v>
      </c>
      <c r="D351" s="25" t="n">
        <f aca="false">IF($O$13="sell",-1,1) * NORMDIST(I351,0,1,0)/(B351*$H$13*SQRT($J$13)) * $P$13</f>
        <v>0</v>
      </c>
      <c r="E351" s="25" t="n">
        <f aca="false">IF($O$13="sell",-1,1) * (B351*NORMDIST(I351,0,1,0)*SQRT($J$13)/365) * $P$13</f>
        <v>0</v>
      </c>
      <c r="F351" s="25" t="n">
        <f aca="false">IF($O$13="sell",-1,1) * (-(B351*NORMDIST(I351,0,1,0)*$H$13)/(2*SQRT($J$13))/365) *$P$13</f>
        <v>-0</v>
      </c>
      <c r="G351" s="25" t="n">
        <f aca="false">IF($O$13="buy",1,-1)*( IF($K$13="call",B351*NORMDIST(I351,0,1,1) - $B$13*NORMDIST(J351,0,1,1),$B$13*NORMDIST(-J351,0,1,1) - B351*NORMDIST(-I351,0,1,1) ) - $G$13) * $P$13</f>
        <v>0</v>
      </c>
      <c r="I351" s="26" t="n">
        <f aca="false">(LN(B351/$B$13)+($H$13^2/2)*($J$13))/($H$13*SQRT($J$13))</f>
        <v>-0.0235195700046442</v>
      </c>
      <c r="J351" s="26" t="n">
        <f aca="false">I351 - $H$13*SQRT($J$13)</f>
        <v>-0.226249389262785</v>
      </c>
    </row>
    <row r="352" customFormat="false" ht="13.5" hidden="false" customHeight="true" outlineLevel="0" collapsed="false">
      <c r="B352" s="29" t="n">
        <f aca="false">B322</f>
        <v>77</v>
      </c>
      <c r="C352" s="25" t="n">
        <f aca="false">IF($O$13="sell",-1,1) *  IF($K$13="call",  NORMDIST(I352,0,1,1),  NORMDIST(I352,0,1,1)-1  ) * $P$13</f>
        <v>-0</v>
      </c>
      <c r="D352" s="25" t="n">
        <f aca="false">IF($O$13="sell",-1,1) * NORMDIST(I352,0,1,0)/(B352*$H$13*SQRT($J$13)) * $P$13</f>
        <v>0</v>
      </c>
      <c r="E352" s="25" t="n">
        <f aca="false">IF($O$13="sell",-1,1) * (B352*NORMDIST(I352,0,1,0)*SQRT($J$13)/365) * $P$13</f>
        <v>0</v>
      </c>
      <c r="F352" s="25" t="n">
        <f aca="false">IF($O$13="sell",-1,1) * (-(B352*NORMDIST(I352,0,1,0)*$H$13)/(2*SQRT($J$13))/365) *$P$13</f>
        <v>-0</v>
      </c>
      <c r="G352" s="25" t="n">
        <f aca="false">IF($O$13="buy",1,-1)*( IF($K$13="call",B352*NORMDIST(I352,0,1,1) - $B$13*NORMDIST(J352,0,1,1),$B$13*NORMDIST(-J352,0,1,1) - B352*NORMDIST(-I352,0,1,1) ) - $G$13) * $P$13</f>
        <v>0</v>
      </c>
      <c r="I352" s="26" t="n">
        <f aca="false">(LN(B352/$B$13)+($H$13^2/2)*($J$13))/($H$13*SQRT($J$13))</f>
        <v>-0.0871678526456781</v>
      </c>
      <c r="J352" s="26" t="n">
        <f aca="false">I352 - $H$13*SQRT($J$13)</f>
        <v>-0.289897671903819</v>
      </c>
    </row>
    <row r="353" customFormat="false" ht="13.5" hidden="false" customHeight="true" outlineLevel="0" collapsed="false">
      <c r="B353" s="29" t="n">
        <f aca="false">B323</f>
        <v>76</v>
      </c>
      <c r="C353" s="25" t="n">
        <f aca="false">IF($O$13="sell",-1,1) *  IF($K$13="call",  NORMDIST(I353,0,1,1),  NORMDIST(I353,0,1,1)-1  ) * $P$13</f>
        <v>-0</v>
      </c>
      <c r="D353" s="25" t="n">
        <f aca="false">IF($O$13="sell",-1,1) * NORMDIST(I353,0,1,0)/(B353*$H$13*SQRT($J$13)) * $P$13</f>
        <v>0</v>
      </c>
      <c r="E353" s="25" t="n">
        <f aca="false">IF($O$13="sell",-1,1) * (B353*NORMDIST(I353,0,1,0)*SQRT($J$13)/365) * $P$13</f>
        <v>0</v>
      </c>
      <c r="F353" s="25" t="n">
        <f aca="false">IF($O$13="sell",-1,1) * (-(B353*NORMDIST(I353,0,1,0)*$H$13)/(2*SQRT($J$13))/365) *$P$13</f>
        <v>-0</v>
      </c>
      <c r="G353" s="25" t="n">
        <f aca="false">IF($O$13="buy",1,-1)*( IF($K$13="call",B353*NORMDIST(I353,0,1,1) - $B$13*NORMDIST(J353,0,1,1),$B$13*NORMDIST(-J353,0,1,1) - B353*NORMDIST(-I353,0,1,1) ) - $G$13) * $P$13</f>
        <v>0</v>
      </c>
      <c r="I353" s="26" t="n">
        <f aca="false">(LN(B353/$B$13)+($H$13^2/2)*($J$13))/($H$13*SQRT($J$13))</f>
        <v>-0.151648162524058</v>
      </c>
      <c r="J353" s="26" t="n">
        <f aca="false">I353 - $H$13*SQRT($J$13)</f>
        <v>-0.354377981782199</v>
      </c>
    </row>
    <row r="354" customFormat="false" ht="13.5" hidden="false" customHeight="true" outlineLevel="0" collapsed="false">
      <c r="B354" s="29" t="n">
        <f aca="false">B324</f>
        <v>75</v>
      </c>
      <c r="C354" s="25" t="n">
        <f aca="false">IF($O$13="sell",-1,1) *  IF($K$13="call",  NORMDIST(I354,0,1,1),  NORMDIST(I354,0,1,1)-1  ) * $P$13</f>
        <v>-0</v>
      </c>
      <c r="D354" s="25" t="n">
        <f aca="false">IF($O$13="sell",-1,1) * NORMDIST(I354,0,1,0)/(B354*$H$13*SQRT($J$13)) * $P$13</f>
        <v>0</v>
      </c>
      <c r="E354" s="25" t="n">
        <f aca="false">IF($O$13="sell",-1,1) * (B354*NORMDIST(I354,0,1,0)*SQRT($J$13)/365) * $P$13</f>
        <v>0</v>
      </c>
      <c r="F354" s="25" t="n">
        <f aca="false">IF($O$13="sell",-1,1) * (-(B354*NORMDIST(I354,0,1,0)*$H$13)/(2*SQRT($J$13))/365) *$P$13</f>
        <v>-0</v>
      </c>
      <c r="G354" s="25" t="n">
        <f aca="false">IF($O$13="buy",1,-1)*( IF($K$13="call",B354*NORMDIST(I354,0,1,1) - $B$13*NORMDIST(J354,0,1,1),$B$13*NORMDIST(-J354,0,1,1) - B354*NORMDIST(-I354,0,1,1) ) - $G$13) * $P$13</f>
        <v>0</v>
      </c>
      <c r="I354" s="26" t="n">
        <f aca="false">(LN(B354/$B$13)+($H$13^2/2)*($J$13))/($H$13*SQRT($J$13))</f>
        <v>-0.216982541050559</v>
      </c>
      <c r="J354" s="26" t="n">
        <f aca="false">I354 - $H$13*SQRT($J$13)</f>
        <v>-0.4197123603087</v>
      </c>
    </row>
    <row r="355" customFormat="false" ht="13.5" hidden="false" customHeight="true" outlineLevel="0" collapsed="false">
      <c r="B355" s="29" t="n">
        <f aca="false">B325</f>
        <v>74</v>
      </c>
      <c r="C355" s="25" t="n">
        <f aca="false">IF($O$13="sell",-1,1) *  IF($K$13="call",  NORMDIST(I355,0,1,1),  NORMDIST(I355,0,1,1)-1  ) * $P$13</f>
        <v>-0</v>
      </c>
      <c r="D355" s="25" t="n">
        <f aca="false">IF($O$13="sell",-1,1) * NORMDIST(I355,0,1,0)/(B355*$H$13*SQRT($J$13)) * $P$13</f>
        <v>0</v>
      </c>
      <c r="E355" s="25" t="n">
        <f aca="false">IF($O$13="sell",-1,1) * (B355*NORMDIST(I355,0,1,0)*SQRT($J$13)/365) * $P$13</f>
        <v>0</v>
      </c>
      <c r="F355" s="25" t="n">
        <f aca="false">IF($O$13="sell",-1,1) * (-(B355*NORMDIST(I355,0,1,0)*$H$13)/(2*SQRT($J$13))/365) *$P$13</f>
        <v>-0</v>
      </c>
      <c r="G355" s="25" t="n">
        <f aca="false">IF($O$13="buy",1,-1)*( IF($K$13="call",B355*NORMDIST(I355,0,1,1) - $B$13*NORMDIST(J355,0,1,1),$B$13*NORMDIST(-J355,0,1,1) - B355*NORMDIST(-I355,0,1,1) ) - $G$13) * $P$13</f>
        <v>0</v>
      </c>
      <c r="I355" s="26" t="n">
        <f aca="false">(LN(B355/$B$13)+($H$13^2/2)*($J$13))/($H$13*SQRT($J$13))</f>
        <v>-0.283193917261815</v>
      </c>
      <c r="J355" s="26" t="n">
        <f aca="false">I355 - $H$13*SQRT($J$13)</f>
        <v>-0.485923736519956</v>
      </c>
    </row>
    <row r="356" customFormat="false" ht="13.5" hidden="false" customHeight="true" outlineLevel="0" collapsed="false">
      <c r="B356" s="29" t="n">
        <f aca="false">B326</f>
        <v>73</v>
      </c>
      <c r="C356" s="25" t="n">
        <f aca="false">IF($O$13="sell",-1,1) *  IF($K$13="call",  NORMDIST(I356,0,1,1),  NORMDIST(I356,0,1,1)-1  ) * $P$13</f>
        <v>-0</v>
      </c>
      <c r="D356" s="25" t="n">
        <f aca="false">IF($O$13="sell",-1,1) * NORMDIST(I356,0,1,0)/(B356*$H$13*SQRT($J$13)) * $P$13</f>
        <v>0</v>
      </c>
      <c r="E356" s="25" t="n">
        <f aca="false">IF($O$13="sell",-1,1) * (B356*NORMDIST(I356,0,1,0)*SQRT($J$13)/365) * $P$13</f>
        <v>0</v>
      </c>
      <c r="F356" s="25" t="n">
        <f aca="false">IF($O$13="sell",-1,1) * (-(B356*NORMDIST(I356,0,1,0)*$H$13)/(2*SQRT($J$13))/365) *$P$13</f>
        <v>-0</v>
      </c>
      <c r="G356" s="25" t="n">
        <f aca="false">IF($O$13="buy",1,-1)*( IF($K$13="call",B356*NORMDIST(I356,0,1,1) - $B$13*NORMDIST(J356,0,1,1),$B$13*NORMDIST(-J356,0,1,1) - B356*NORMDIST(-I356,0,1,1) ) - $G$13) * $P$13</f>
        <v>0</v>
      </c>
      <c r="I356" s="26" t="n">
        <f aca="false">(LN(B356/$B$13)+($H$13^2/2)*($J$13))/($H$13*SQRT($J$13))</f>
        <v>-0.350306156130111</v>
      </c>
      <c r="J356" s="26" t="n">
        <f aca="false">I356 - $H$13*SQRT($J$13)</f>
        <v>-0.553035975388251</v>
      </c>
    </row>
    <row r="357" customFormat="false" ht="13.5" hidden="false" customHeight="true" outlineLevel="0" collapsed="false">
      <c r="B357" s="29" t="n">
        <f aca="false">B327</f>
        <v>72</v>
      </c>
      <c r="C357" s="25" t="n">
        <f aca="false">IF($O$13="sell",-1,1) *  IF($K$13="call",  NORMDIST(I357,0,1,1),  NORMDIST(I357,0,1,1)-1  ) * $P$13</f>
        <v>-0</v>
      </c>
      <c r="D357" s="25" t="n">
        <f aca="false">IF($O$13="sell",-1,1) * NORMDIST(I357,0,1,0)/(B357*$H$13*SQRT($J$13)) * $P$13</f>
        <v>0</v>
      </c>
      <c r="E357" s="25" t="n">
        <f aca="false">IF($O$13="sell",-1,1) * (B357*NORMDIST(I357,0,1,0)*SQRT($J$13)/365) * $P$13</f>
        <v>0</v>
      </c>
      <c r="F357" s="25" t="n">
        <f aca="false">IF($O$13="sell",-1,1) * (-(B357*NORMDIST(I357,0,1,0)*$H$13)/(2*SQRT($J$13))/365) *$P$13</f>
        <v>-0</v>
      </c>
      <c r="G357" s="25" t="n">
        <f aca="false">IF($O$13="buy",1,-1)*( IF($K$13="call",B357*NORMDIST(I357,0,1,1) - $B$13*NORMDIST(J357,0,1,1),$B$13*NORMDIST(-J357,0,1,1) - B357*NORMDIST(-I357,0,1,1) ) - $G$13) * $P$13</f>
        <v>0</v>
      </c>
      <c r="I357" s="26" t="n">
        <f aca="false">(LN(B357/$B$13)+($H$13^2/2)*($J$13))/($H$13*SQRT($J$13))</f>
        <v>-0.418344110205196</v>
      </c>
      <c r="J357" s="26" t="n">
        <f aca="false">I357 - $H$13*SQRT($J$13)</f>
        <v>-0.621073929463337</v>
      </c>
    </row>
    <row r="358" customFormat="false" ht="13.5" hidden="false" customHeight="true" outlineLevel="0" collapsed="false">
      <c r="B358" s="29" t="n">
        <f aca="false">B328</f>
        <v>71</v>
      </c>
      <c r="C358" s="25" t="n">
        <f aca="false">IF($O$13="sell",-1,1) *  IF($K$13="call",  NORMDIST(I358,0,1,1),  NORMDIST(I358,0,1,1)-1  ) * $P$13</f>
        <v>-0</v>
      </c>
      <c r="D358" s="25" t="n">
        <f aca="false">IF($O$13="sell",-1,1) * NORMDIST(I358,0,1,0)/(B358*$H$13*SQRT($J$13)) * $P$13</f>
        <v>0</v>
      </c>
      <c r="E358" s="25" t="n">
        <f aca="false">IF($O$13="sell",-1,1) * (B358*NORMDIST(I358,0,1,0)*SQRT($J$13)/365) * $P$13</f>
        <v>0</v>
      </c>
      <c r="F358" s="25" t="n">
        <f aca="false">IF($O$13="sell",-1,1) * (-(B358*NORMDIST(I358,0,1,0)*$H$13)/(2*SQRT($J$13))/365) *$P$13</f>
        <v>-0</v>
      </c>
      <c r="G358" s="25" t="n">
        <f aca="false">IF($O$13="buy",1,-1)*( IF($K$13="call",B358*NORMDIST(I358,0,1,1) - $B$13*NORMDIST(J358,0,1,1),$B$13*NORMDIST(-J358,0,1,1) - B358*NORMDIST(-I358,0,1,1) ) - $G$13) * $P$13</f>
        <v>0</v>
      </c>
      <c r="I358" s="26" t="n">
        <f aca="false">(LN(B358/$B$13)+($H$13^2/2)*($J$13))/($H$13*SQRT($J$13))</f>
        <v>-0.487333674867763</v>
      </c>
      <c r="J358" s="26" t="n">
        <f aca="false">I358 - $H$13*SQRT($J$13)</f>
        <v>-0.690063494125904</v>
      </c>
    </row>
    <row r="359" customFormat="false" ht="13.5" hidden="false" customHeight="true" outlineLevel="0" collapsed="false">
      <c r="B359" s="29" t="n">
        <f aca="false">B329</f>
        <v>70</v>
      </c>
      <c r="C359" s="25" t="n">
        <f aca="false">IF($O$13="sell",-1,1) *  IF($K$13="call",  NORMDIST(I359,0,1,1),  NORMDIST(I359,0,1,1)-1  ) * $P$13</f>
        <v>-0</v>
      </c>
      <c r="D359" s="25" t="n">
        <f aca="false">IF($O$13="sell",-1,1) * NORMDIST(I359,0,1,0)/(B359*$H$13*SQRT($J$13)) * $P$13</f>
        <v>0</v>
      </c>
      <c r="E359" s="25" t="n">
        <f aca="false">IF($O$13="sell",-1,1) * (B359*NORMDIST(I359,0,1,0)*SQRT($J$13)/365) * $P$13</f>
        <v>0</v>
      </c>
      <c r="F359" s="25" t="n">
        <f aca="false">IF($O$13="sell",-1,1) * (-(B359*NORMDIST(I359,0,1,0)*$H$13)/(2*SQRT($J$13))/365) *$P$13</f>
        <v>-0</v>
      </c>
      <c r="G359" s="25" t="n">
        <f aca="false">IF($O$13="buy",1,-1)*( IF($K$13="call",B359*NORMDIST(I359,0,1,1) - $B$13*NORMDIST(J359,0,1,1),$B$13*NORMDIST(-J359,0,1,1) - B359*NORMDIST(-I359,0,1,1) ) - $G$13) * $P$13</f>
        <v>0</v>
      </c>
      <c r="I359" s="26" t="n">
        <f aca="false">(LN(B359/$B$13)+($H$13^2/2)*($J$13))/($H$13*SQRT($J$13))</f>
        <v>-0.557301847501976</v>
      </c>
      <c r="J359" s="26" t="n">
        <f aca="false">I359 - $H$13*SQRT($J$13)</f>
        <v>-0.760031666760117</v>
      </c>
    </row>
    <row r="360" customFormat="false" ht="13.5" hidden="false" customHeight="true" outlineLevel="0" collapsed="false">
      <c r="B360" s="29" t="n">
        <f aca="false">B330</f>
        <v>69</v>
      </c>
      <c r="C360" s="25" t="n">
        <f aca="false">IF($O$13="sell",-1,1) *  IF($K$13="call",  NORMDIST(I360,0,1,1),  NORMDIST(I360,0,1,1)-1  ) * $P$13</f>
        <v>-0</v>
      </c>
      <c r="D360" s="25" t="n">
        <f aca="false">IF($O$13="sell",-1,1) * NORMDIST(I360,0,1,0)/(B360*$H$13*SQRT($J$13)) * $P$13</f>
        <v>0</v>
      </c>
      <c r="E360" s="25" t="n">
        <f aca="false">IF($O$13="sell",-1,1) * (B360*NORMDIST(I360,0,1,0)*SQRT($J$13)/365) * $P$13</f>
        <v>0</v>
      </c>
      <c r="F360" s="25" t="n">
        <f aca="false">IF($O$13="sell",-1,1) * (-(B360*NORMDIST(I360,0,1,0)*$H$13)/(2*SQRT($J$13))/365) *$P$13</f>
        <v>-0</v>
      </c>
      <c r="G360" s="25" t="n">
        <f aca="false">IF($O$13="buy",1,-1)*( IF($K$13="call",B360*NORMDIST(I360,0,1,1) - $B$13*NORMDIST(J360,0,1,1),$B$13*NORMDIST(-J360,0,1,1) - B360*NORMDIST(-I360,0,1,1) ) - $G$13) * $P$13</f>
        <v>0</v>
      </c>
      <c r="I360" s="26" t="n">
        <f aca="false">(LN(B360/$B$13)+($H$13^2/2)*($J$13))/($H$13*SQRT($J$13))</f>
        <v>-0.628276790925459</v>
      </c>
      <c r="J360" s="26" t="n">
        <f aca="false">I360 - $H$13*SQRT($J$13)</f>
        <v>-0.8310066101836</v>
      </c>
    </row>
    <row r="361" customFormat="false" ht="13.5" hidden="false" customHeight="true" outlineLevel="0" collapsed="false">
      <c r="B361" s="29" t="n">
        <f aca="false">B331</f>
        <v>68</v>
      </c>
      <c r="C361" s="25" t="n">
        <f aca="false">IF($O$13="sell",-1,1) *  IF($K$13="call",  NORMDIST(I361,0,1,1),  NORMDIST(I361,0,1,1)-1  ) * $P$13</f>
        <v>-0</v>
      </c>
      <c r="D361" s="25" t="n">
        <f aca="false">IF($O$13="sell",-1,1) * NORMDIST(I361,0,1,0)/(B361*$H$13*SQRT($J$13)) * $P$13</f>
        <v>0</v>
      </c>
      <c r="E361" s="25" t="n">
        <f aca="false">IF($O$13="sell",-1,1) * (B361*NORMDIST(I361,0,1,0)*SQRT($J$13)/365) * $P$13</f>
        <v>0</v>
      </c>
      <c r="F361" s="25" t="n">
        <f aca="false">IF($O$13="sell",-1,1) * (-(B361*NORMDIST(I361,0,1,0)*$H$13)/(2*SQRT($J$13))/365) *$P$13</f>
        <v>-0</v>
      </c>
      <c r="G361" s="25" t="n">
        <f aca="false">IF($O$13="buy",1,-1)*( IF($K$13="call",B361*NORMDIST(I361,0,1,1) - $B$13*NORMDIST(J361,0,1,1),$B$13*NORMDIST(-J361,0,1,1) - B361*NORMDIST(-I361,0,1,1) ) - $G$13) * $P$13</f>
        <v>0</v>
      </c>
      <c r="I361" s="26" t="n">
        <f aca="false">(LN(B361/$B$13)+($H$13^2/2)*($J$13))/($H$13*SQRT($J$13))</f>
        <v>-0.700287901449678</v>
      </c>
      <c r="J361" s="26" t="n">
        <f aca="false">I361 - $H$13*SQRT($J$13)</f>
        <v>-0.903017720707818</v>
      </c>
    </row>
    <row r="362" customFormat="false" ht="13.5" hidden="false" customHeight="true" outlineLevel="0" collapsed="false">
      <c r="B362" s="29" t="n">
        <f aca="false">B332</f>
        <v>67</v>
      </c>
      <c r="C362" s="25" t="n">
        <f aca="false">IF($O$13="sell",-1,1) *  IF($K$13="call",  NORMDIST(I362,0,1,1),  NORMDIST(I362,0,1,1)-1  ) * $P$13</f>
        <v>-0</v>
      </c>
      <c r="D362" s="25" t="n">
        <f aca="false">IF($O$13="sell",-1,1) * NORMDIST(I362,0,1,0)/(B362*$H$13*SQRT($J$13)) * $P$13</f>
        <v>0</v>
      </c>
      <c r="E362" s="25" t="n">
        <f aca="false">IF($O$13="sell",-1,1) * (B362*NORMDIST(I362,0,1,0)*SQRT($J$13)/365) * $P$13</f>
        <v>0</v>
      </c>
      <c r="F362" s="25" t="n">
        <f aca="false">IF($O$13="sell",-1,1) * (-(B362*NORMDIST(I362,0,1,0)*$H$13)/(2*SQRT($J$13))/365) *$P$13</f>
        <v>-0</v>
      </c>
      <c r="G362" s="25" t="n">
        <f aca="false">IF($O$13="buy",1,-1)*( IF($K$13="call",B362*NORMDIST(I362,0,1,1) - $B$13*NORMDIST(J362,0,1,1),$B$13*NORMDIST(-J362,0,1,1) - B362*NORMDIST(-I362,0,1,1) ) - $G$13) * $P$13</f>
        <v>0</v>
      </c>
      <c r="I362" s="26" t="n">
        <f aca="false">(LN(B362/$B$13)+($H$13^2/2)*($J$13))/($H$13*SQRT($J$13))</f>
        <v>-0.77336588198236</v>
      </c>
      <c r="J362" s="26" t="n">
        <f aca="false">I362 - $H$13*SQRT($J$13)</f>
        <v>-0.976095701240501</v>
      </c>
    </row>
    <row r="363" customFormat="false" ht="13.5" hidden="false" customHeight="true" outlineLevel="0" collapsed="false">
      <c r="B363" s="29" t="n">
        <f aca="false">B333</f>
        <v>66</v>
      </c>
      <c r="C363" s="25" t="n">
        <f aca="false">IF($O$13="sell",-1,1) *  IF($K$13="call",  NORMDIST(I363,0,1,1),  NORMDIST(I363,0,1,1)-1  ) * $P$13</f>
        <v>-0</v>
      </c>
      <c r="D363" s="25" t="n">
        <f aca="false">IF($O$13="sell",-1,1) * NORMDIST(I363,0,1,0)/(B363*$H$13*SQRT($J$13)) * $P$13</f>
        <v>0</v>
      </c>
      <c r="E363" s="25" t="n">
        <f aca="false">IF($O$13="sell",-1,1) * (B363*NORMDIST(I363,0,1,0)*SQRT($J$13)/365) * $P$13</f>
        <v>0</v>
      </c>
      <c r="F363" s="25" t="n">
        <f aca="false">IF($O$13="sell",-1,1) * (-(B363*NORMDIST(I363,0,1,0)*$H$13)/(2*SQRT($J$13))/365) *$P$13</f>
        <v>-0</v>
      </c>
      <c r="G363" s="25" t="n">
        <f aca="false">IF($O$13="buy",1,-1)*( IF($K$13="call",B363*NORMDIST(I363,0,1,1) - $B$13*NORMDIST(J363,0,1,1),$B$13*NORMDIST(-J363,0,1,1) - B363*NORMDIST(-I363,0,1,1) ) - $G$13) * $P$13</f>
        <v>0</v>
      </c>
      <c r="I363" s="26" t="n">
        <f aca="false">(LN(B363/$B$13)+($H$13^2/2)*($J$13))/($H$13*SQRT($J$13))</f>
        <v>-0.847542820626953</v>
      </c>
      <c r="J363" s="26" t="n">
        <f aca="false">I363 - $H$13*SQRT($J$13)</f>
        <v>-1.05027263988509</v>
      </c>
    </row>
    <row r="364" customFormat="false" ht="13.5" hidden="false" customHeight="true" outlineLevel="0" collapsed="false">
      <c r="B364" s="29" t="n">
        <f aca="false">B334</f>
        <v>65</v>
      </c>
      <c r="C364" s="25" t="n">
        <f aca="false">IF($O$13="sell",-1,1) *  IF($K$13="call",  NORMDIST(I364,0,1,1),  NORMDIST(I364,0,1,1)-1  ) * $P$13</f>
        <v>-0</v>
      </c>
      <c r="D364" s="25" t="n">
        <f aca="false">IF($O$13="sell",-1,1) * NORMDIST(I364,0,1,0)/(B364*$H$13*SQRT($J$13)) * $P$13</f>
        <v>0</v>
      </c>
      <c r="E364" s="25" t="n">
        <f aca="false">IF($O$13="sell",-1,1) * (B364*NORMDIST(I364,0,1,0)*SQRT($J$13)/365) * $P$13</f>
        <v>0</v>
      </c>
      <c r="F364" s="25" t="n">
        <f aca="false">IF($O$13="sell",-1,1) * (-(B364*NORMDIST(I364,0,1,0)*$H$13)/(2*SQRT($J$13))/365) *$P$13</f>
        <v>-0</v>
      </c>
      <c r="G364" s="25" t="n">
        <f aca="false">IF($O$13="buy",1,-1)*( IF($K$13="call",B364*NORMDIST(I364,0,1,1) - $B$13*NORMDIST(J364,0,1,1),$B$13*NORMDIST(-J364,0,1,1) - B364*NORMDIST(-I364,0,1,1) ) - $G$13) * $P$13</f>
        <v>0</v>
      </c>
      <c r="I364" s="26" t="n">
        <f aca="false">(LN(B364/$B$13)+($H$13^2/2)*($J$13))/($H$13*SQRT($J$13))</f>
        <v>-0.922852275282698</v>
      </c>
      <c r="J364" s="26" t="n">
        <f aca="false">I364 - $H$13*SQRT($J$13)</f>
        <v>-1.12558209454084</v>
      </c>
    </row>
    <row r="365" customFormat="false" ht="13.5" hidden="false" customHeight="true" outlineLevel="0" collapsed="false">
      <c r="B365" s="29" t="n">
        <f aca="false">B335</f>
        <v>64</v>
      </c>
      <c r="C365" s="25" t="n">
        <f aca="false">IF($O$13="sell",-1,1) *  IF($K$13="call",  NORMDIST(I365,0,1,1),  NORMDIST(I365,0,1,1)-1  ) * $P$13</f>
        <v>-0</v>
      </c>
      <c r="D365" s="25" t="n">
        <f aca="false">IF($O$13="sell",-1,1) * NORMDIST(I365,0,1,0)/(B365*$H$13*SQRT($J$13)) * $P$13</f>
        <v>0</v>
      </c>
      <c r="E365" s="25" t="n">
        <f aca="false">IF($O$13="sell",-1,1) * (B365*NORMDIST(I365,0,1,0)*SQRT($J$13)/365) * $P$13</f>
        <v>0</v>
      </c>
      <c r="F365" s="25" t="n">
        <f aca="false">IF($O$13="sell",-1,1) * (-(B365*NORMDIST(I365,0,1,0)*$H$13)/(2*SQRT($J$13))/365) *$P$13</f>
        <v>-0</v>
      </c>
      <c r="G365" s="25" t="n">
        <f aca="false">IF($O$13="buy",1,-1)*( IF($K$13="call",B365*NORMDIST(I365,0,1,1) - $B$13*NORMDIST(J365,0,1,1),$B$13*NORMDIST(-J365,0,1,1) - B365*NORMDIST(-I365,0,1,1) ) - $G$13) * $P$13</f>
        <v>0</v>
      </c>
      <c r="I365" s="26" t="n">
        <f aca="false">(LN(B365/$B$13)+($H$13^2/2)*($J$13))/($H$13*SQRT($J$13))</f>
        <v>-0.999329364803621</v>
      </c>
      <c r="J365" s="26" t="n">
        <f aca="false">I365 - $H$13*SQRT($J$13)</f>
        <v>-1.20205918406176</v>
      </c>
    </row>
    <row r="366" customFormat="false" ht="13.5" hidden="false" customHeight="true" outlineLevel="0" collapsed="false">
      <c r="B366" s="29" t="n">
        <f aca="false">B336</f>
        <v>63</v>
      </c>
      <c r="C366" s="25" t="n">
        <f aca="false">IF($O$13="sell",-1,1) *  IF($K$13="call",  NORMDIST(I366,0,1,1),  NORMDIST(I366,0,1,1)-1  ) * $P$13</f>
        <v>-0</v>
      </c>
      <c r="D366" s="25" t="n">
        <f aca="false">IF($O$13="sell",-1,1) * NORMDIST(I366,0,1,0)/(B366*$H$13*SQRT($J$13)) * $P$13</f>
        <v>0</v>
      </c>
      <c r="E366" s="25" t="n">
        <f aca="false">IF($O$13="sell",-1,1) * (B366*NORMDIST(I366,0,1,0)*SQRT($J$13)/365) * $P$13</f>
        <v>0</v>
      </c>
      <c r="F366" s="25" t="n">
        <f aca="false">IF($O$13="sell",-1,1) * (-(B366*NORMDIST(I366,0,1,0)*$H$13)/(2*SQRT($J$13))/365) *$P$13</f>
        <v>-0</v>
      </c>
      <c r="G366" s="25" t="n">
        <f aca="false">IF($O$13="buy",1,-1)*( IF($K$13="call",B366*NORMDIST(I366,0,1,1) - $B$13*NORMDIST(J366,0,1,1),$B$13*NORMDIST(-J366,0,1,1) - B366*NORMDIST(-I366,0,1,1) ) - $G$13) * $P$13</f>
        <v>0</v>
      </c>
      <c r="I366" s="26" t="n">
        <f aca="false">(LN(B366/$B$13)+($H$13^2/2)*($J$13))/($H$13*SQRT($J$13))</f>
        <v>-1.07701086733624</v>
      </c>
      <c r="J366" s="26" t="n">
        <f aca="false">I366 - $H$13*SQRT($J$13)</f>
        <v>-1.27974068659438</v>
      </c>
    </row>
    <row r="367" customFormat="false" ht="13.5" hidden="false" customHeight="true" outlineLevel="0" collapsed="false">
      <c r="B367" s="29" t="n">
        <f aca="false">B337</f>
        <v>62</v>
      </c>
      <c r="C367" s="25" t="n">
        <f aca="false">IF($O$13="sell",-1,1) *  IF($K$13="call",  NORMDIST(I367,0,1,1),  NORMDIST(I367,0,1,1)-1  ) * $P$13</f>
        <v>-0</v>
      </c>
      <c r="D367" s="25" t="n">
        <f aca="false">IF($O$13="sell",-1,1) * NORMDIST(I367,0,1,0)/(B367*$H$13*SQRT($J$13)) * $P$13</f>
        <v>0</v>
      </c>
      <c r="E367" s="25" t="n">
        <f aca="false">IF($O$13="sell",-1,1) * (B367*NORMDIST(I367,0,1,0)*SQRT($J$13)/365) * $P$13</f>
        <v>0</v>
      </c>
      <c r="F367" s="25" t="n">
        <f aca="false">IF($O$13="sell",-1,1) * (-(B367*NORMDIST(I367,0,1,0)*$H$13)/(2*SQRT($J$13))/365) *$P$13</f>
        <v>-0</v>
      </c>
      <c r="G367" s="25" t="n">
        <f aca="false">IF($O$13="buy",1,-1)*( IF($K$13="call",B367*NORMDIST(I367,0,1,1) - $B$13*NORMDIST(J367,0,1,1),$B$13*NORMDIST(-J367,0,1,1) - B367*NORMDIST(-I367,0,1,1) ) - $G$13) * $P$13</f>
        <v>0</v>
      </c>
      <c r="I367" s="26" t="n">
        <f aca="false">(LN(B367/$B$13)+($H$13^2/2)*($J$13))/($H$13*SQRT($J$13))</f>
        <v>-1.15593532652529</v>
      </c>
      <c r="J367" s="26" t="n">
        <f aca="false">I367 - $H$13*SQRT($J$13)</f>
        <v>-1.35866514578343</v>
      </c>
    </row>
    <row r="368" customFormat="false" ht="13.5" hidden="false" customHeight="true" outlineLevel="0" collapsed="false">
      <c r="B368" s="29" t="n">
        <f aca="false">B338</f>
        <v>61</v>
      </c>
      <c r="C368" s="25" t="n">
        <f aca="false">IF($O$13="sell",-1,1) *  IF($K$13="call",  NORMDIST(I368,0,1,1),  NORMDIST(I368,0,1,1)-1  ) * $P$13</f>
        <v>-0</v>
      </c>
      <c r="D368" s="25" t="n">
        <f aca="false">IF($O$13="sell",-1,1) * NORMDIST(I368,0,1,0)/(B368*$H$13*SQRT($J$13)) * $P$13</f>
        <v>0</v>
      </c>
      <c r="E368" s="25" t="n">
        <f aca="false">IF($O$13="sell",-1,1) * (B368*NORMDIST(I368,0,1,0)*SQRT($J$13)/365) * $P$13</f>
        <v>0</v>
      </c>
      <c r="F368" s="25" t="n">
        <f aca="false">IF($O$13="sell",-1,1) * (-(B368*NORMDIST(I368,0,1,0)*$H$13)/(2*SQRT($J$13))/365) *$P$13</f>
        <v>-0</v>
      </c>
      <c r="G368" s="25" t="n">
        <f aca="false">IF($O$13="buy",1,-1)*( IF($K$13="call",B368*NORMDIST(I368,0,1,1) - $B$13*NORMDIST(J368,0,1,1),$B$13*NORMDIST(-J368,0,1,1) - B368*NORMDIST(-I368,0,1,1) ) - $G$13) * $P$13</f>
        <v>0</v>
      </c>
      <c r="I368" s="26" t="n">
        <f aca="false">(LN(B368/$B$13)+($H$13^2/2)*($J$13))/($H$13*SQRT($J$13))</f>
        <v>-1.23614316635508</v>
      </c>
      <c r="J368" s="26" t="n">
        <f aca="false">I368 - $H$13*SQRT($J$13)</f>
        <v>-1.43887298561322</v>
      </c>
    </row>
    <row r="369" customFormat="false" ht="13.5" hidden="false" customHeight="true" outlineLevel="0" collapsed="false">
      <c r="B369" s="29" t="n">
        <f aca="false">B339</f>
        <v>60</v>
      </c>
      <c r="C369" s="25" t="n">
        <f aca="false">IF($O$13="sell",-1,1) *  IF($K$13="call",  NORMDIST(I369,0,1,1),  NORMDIST(I369,0,1,1)-1  ) * $P$13</f>
        <v>-0</v>
      </c>
      <c r="D369" s="25" t="n">
        <f aca="false">IF($O$13="sell",-1,1) * NORMDIST(I369,0,1,0)/(B369*$H$13*SQRT($J$13)) * $P$13</f>
        <v>0</v>
      </c>
      <c r="E369" s="25" t="n">
        <f aca="false">IF($O$13="sell",-1,1) * (B369*NORMDIST(I369,0,1,0)*SQRT($J$13)/365) * $P$13</f>
        <v>0</v>
      </c>
      <c r="F369" s="25" t="n">
        <f aca="false">IF($O$13="sell",-1,1) * (-(B369*NORMDIST(I369,0,1,0)*$H$13)/(2*SQRT($J$13))/365) *$P$13</f>
        <v>-0</v>
      </c>
      <c r="G369" s="25" t="n">
        <f aca="false">IF($O$13="buy",1,-1)*( IF($K$13="call",B369*NORMDIST(I369,0,1,1) - $B$13*NORMDIST(J369,0,1,1),$B$13*NORMDIST(-J369,0,1,1) - B369*NORMDIST(-I369,0,1,1) ) - $G$13) * $P$13</f>
        <v>0</v>
      </c>
      <c r="I369" s="26" t="n">
        <f aca="false">(LN(B369/$B$13)+($H$13^2/2)*($J$13))/($H$13*SQRT($J$13))</f>
        <v>-1.31767681548325</v>
      </c>
      <c r="J369" s="26" t="n">
        <f aca="false">I369 - $H$13*SQRT($J$13)</f>
        <v>-1.52040663474139</v>
      </c>
    </row>
    <row r="370" customFormat="false" ht="13.5" hidden="false" customHeight="true" outlineLevel="0" collapsed="false">
      <c r="B370" s="29" t="n">
        <f aca="false">B340</f>
        <v>59</v>
      </c>
      <c r="C370" s="25" t="n">
        <f aca="false">IF($O$13="sell",-1,1) *  IF($K$13="call",  NORMDIST(I370,0,1,1),  NORMDIST(I370,0,1,1)-1  ) * $P$13</f>
        <v>-0</v>
      </c>
      <c r="D370" s="25" t="n">
        <f aca="false">IF($O$13="sell",-1,1) * NORMDIST(I370,0,1,0)/(B370*$H$13*SQRT($J$13)) * $P$13</f>
        <v>0</v>
      </c>
      <c r="E370" s="25" t="n">
        <f aca="false">IF($O$13="sell",-1,1) * (B370*NORMDIST(I370,0,1,0)*SQRT($J$13)/365) * $P$13</f>
        <v>0</v>
      </c>
      <c r="F370" s="25" t="n">
        <f aca="false">IF($O$13="sell",-1,1) * (-(B370*NORMDIST(I370,0,1,0)*$H$13)/(2*SQRT($J$13))/365) *$P$13</f>
        <v>-0</v>
      </c>
      <c r="G370" s="25" t="n">
        <f aca="false">IF($O$13="buy",1,-1)*( IF($K$13="call",B370*NORMDIST(I370,0,1,1) - $B$13*NORMDIST(J370,0,1,1),$B$13*NORMDIST(-J370,0,1,1) - B370*NORMDIST(-I370,0,1,1) ) - $G$13) * $P$13</f>
        <v>0</v>
      </c>
      <c r="I370" s="26" t="n">
        <f aca="false">(LN(B370/$B$13)+($H$13^2/2)*($J$13))/($H$13*SQRT($J$13))</f>
        <v>-1.40058084202401</v>
      </c>
      <c r="J370" s="26" t="n">
        <f aca="false">I370 - $H$13*SQRT($J$13)</f>
        <v>-1.60331066128216</v>
      </c>
    </row>
    <row r="371" customFormat="false" ht="13.5" hidden="false" customHeight="true" outlineLevel="0" collapsed="false">
      <c r="B371" s="29" t="n">
        <f aca="false">B341</f>
        <v>58</v>
      </c>
      <c r="C371" s="25" t="n">
        <f aca="false">IF($O$13="sell",-1,1) *  IF($K$13="call",  NORMDIST(I371,0,1,1),  NORMDIST(I371,0,1,1)-1  ) * $P$13</f>
        <v>-0</v>
      </c>
      <c r="D371" s="25" t="n">
        <f aca="false">IF($O$13="sell",-1,1) * NORMDIST(I371,0,1,0)/(B371*$H$13*SQRT($J$13)) * $P$13</f>
        <v>0</v>
      </c>
      <c r="E371" s="25" t="n">
        <f aca="false">IF($O$13="sell",-1,1) * (B371*NORMDIST(I371,0,1,0)*SQRT($J$13)/365) * $P$13</f>
        <v>0</v>
      </c>
      <c r="F371" s="25" t="n">
        <f aca="false">IF($O$13="sell",-1,1) * (-(B371*NORMDIST(I371,0,1,0)*$H$13)/(2*SQRT($J$13))/365) *$P$13</f>
        <v>-0</v>
      </c>
      <c r="G371" s="25" t="n">
        <f aca="false">IF($O$13="buy",1,-1)*( IF($K$13="call",B371*NORMDIST(I371,0,1,1) - $B$13*NORMDIST(J371,0,1,1),$B$13*NORMDIST(-J371,0,1,1) - B371*NORMDIST(-I371,0,1,1) ) - $G$13) * $P$13</f>
        <v>0</v>
      </c>
      <c r="I371" s="26" t="n">
        <f aca="false">(LN(B371/$B$13)+($H$13^2/2)*($J$13))/($H$13*SQRT($J$13))</f>
        <v>-1.48490209985305</v>
      </c>
      <c r="J371" s="26" t="n">
        <f aca="false">I371 - $H$13*SQRT($J$13)</f>
        <v>-1.68763191911119</v>
      </c>
    </row>
    <row r="372" customFormat="false" ht="13.5" hidden="false" customHeight="true" outlineLevel="0" collapsed="false">
      <c r="B372" s="29" t="n">
        <f aca="false">B342</f>
        <v>57</v>
      </c>
      <c r="C372" s="25" t="n">
        <f aca="false">IF($O$13="sell",-1,1) *  IF($K$13="call",  NORMDIST(I372,0,1,1),  NORMDIST(I372,0,1,1)-1  ) * $P$13</f>
        <v>-0</v>
      </c>
      <c r="D372" s="25" t="n">
        <f aca="false">IF($O$13="sell",-1,1) * NORMDIST(I372,0,1,0)/(B372*$H$13*SQRT($J$13)) * $P$13</f>
        <v>0</v>
      </c>
      <c r="E372" s="25" t="n">
        <f aca="false">IF($O$13="sell",-1,1) * (B372*NORMDIST(I372,0,1,0)*SQRT($J$13)/365) * $P$13</f>
        <v>0</v>
      </c>
      <c r="F372" s="25" t="n">
        <f aca="false">IF($O$13="sell",-1,1) * (-(B372*NORMDIST(I372,0,1,0)*$H$13)/(2*SQRT($J$13))/365) *$P$13</f>
        <v>-0</v>
      </c>
      <c r="G372" s="25" t="n">
        <f aca="false">IF($O$13="buy",1,-1)*( IF($K$13="call",B372*NORMDIST(I372,0,1,1) - $B$13*NORMDIST(J372,0,1,1),$B$13*NORMDIST(-J372,0,1,1) - B372*NORMDIST(-I372,0,1,1) ) - $G$13) * $P$13</f>
        <v>0</v>
      </c>
      <c r="I372" s="26" t="n">
        <f aca="false">(LN(B372/$B$13)+($H$13^2/2)*($J$13))/($H$13*SQRT($J$13))</f>
        <v>-1.57068988763638</v>
      </c>
      <c r="J372" s="26" t="n">
        <f aca="false">I372 - $H$13*SQRT($J$13)</f>
        <v>-1.77341970689452</v>
      </c>
    </row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7.25" hidden="false" customHeight="true" outlineLevel="0" collapsed="false">
      <c r="A378" s="2" t="s">
        <v>160</v>
      </c>
      <c r="B378" s="23"/>
      <c r="C378" s="19" t="s">
        <v>13</v>
      </c>
      <c r="D378" s="19" t="s">
        <v>14</v>
      </c>
      <c r="E378" s="19" t="s">
        <v>15</v>
      </c>
      <c r="F378" s="19" t="s">
        <v>16</v>
      </c>
      <c r="G378" s="19" t="s">
        <v>17</v>
      </c>
    </row>
    <row r="379" customFormat="false" ht="13.5" hidden="false" customHeight="true" outlineLevel="0" collapsed="false">
      <c r="B379" s="29" t="n">
        <f aca="false">B19</f>
        <v>83</v>
      </c>
      <c r="C379" s="25" t="e">
        <f aca="false">C19+C48+C77+C106+C136+C166+C196+C226+C256+C286+C316+C346</f>
        <v>#N/A</v>
      </c>
      <c r="D379" s="25" t="e">
        <f aca="false">D19+D48+D77+D106+D136+D166+D196+D226+D256+D286+D316+D346</f>
        <v>#N/A</v>
      </c>
      <c r="E379" s="25" t="e">
        <f aca="false">E19+E48+E77+E106+E136+E166+E196+E226+E256+E286+E316+E346</f>
        <v>#N/A</v>
      </c>
      <c r="F379" s="25" t="e">
        <f aca="false">F19+F48+F77+F106+F136+F166+F196+F226+F256+F286+F316+F346</f>
        <v>#N/A</v>
      </c>
      <c r="G379" s="25" t="e">
        <f aca="false">G19+G48+G77+G106+G136+G166+G196+G226+G256+G286+G316+G346</f>
        <v>#N/A</v>
      </c>
    </row>
    <row r="380" customFormat="false" ht="13.5" hidden="false" customHeight="true" outlineLevel="0" collapsed="false">
      <c r="B380" s="29" t="n">
        <f aca="false">B20</f>
        <v>82</v>
      </c>
      <c r="C380" s="25" t="e">
        <f aca="false">C20+C49+C78+C107+C137+C167+C197+C227+C257+C287+C317+C347</f>
        <v>#N/A</v>
      </c>
      <c r="D380" s="25" t="e">
        <f aca="false">D20+D49+D78+D107+D137+D167+D197+D227+D257+D287+D317+D347</f>
        <v>#N/A</v>
      </c>
      <c r="E380" s="25" t="e">
        <f aca="false">E20+E49+E78+E107+E137+E167+E197+E227+E257+E287+E317+E347</f>
        <v>#N/A</v>
      </c>
      <c r="F380" s="25" t="e">
        <f aca="false">F20+F49+F78+F107+F137+F167+F197+F227+F257+F287+F317+F347</f>
        <v>#N/A</v>
      </c>
      <c r="G380" s="25" t="e">
        <f aca="false">G20+G49+G78+G107+G137+G167+G197+G227+G257+G287+G317+G347</f>
        <v>#N/A</v>
      </c>
    </row>
    <row r="381" customFormat="false" ht="13.5" hidden="false" customHeight="true" outlineLevel="0" collapsed="false">
      <c r="B381" s="29" t="n">
        <f aca="false">B21</f>
        <v>81</v>
      </c>
      <c r="C381" s="25" t="e">
        <f aca="false">C21+C50+C79+C108+C138+C168+C198+C228+C258+C288+C318+C348</f>
        <v>#N/A</v>
      </c>
      <c r="D381" s="25" t="e">
        <f aca="false">D21+D50+D79+D108+D138+D168+D198+D228+D258+D288+D318+D348</f>
        <v>#N/A</v>
      </c>
      <c r="E381" s="25" t="e">
        <f aca="false">E21+E50+E79+E108+E138+E168+E198+E228+E258+E288+E318+E348</f>
        <v>#N/A</v>
      </c>
      <c r="F381" s="25" t="e">
        <f aca="false">F21+F50+F79+F108+F138+F168+F198+F228+F258+F288+F318+F348</f>
        <v>#N/A</v>
      </c>
      <c r="G381" s="25" t="e">
        <f aca="false">G21+G50+G79+G108+G138+G168+G198+G228+G258+G288+G318+G348</f>
        <v>#N/A</v>
      </c>
    </row>
    <row r="382" customFormat="false" ht="13.5" hidden="false" customHeight="true" outlineLevel="0" collapsed="false">
      <c r="B382" s="29" t="n">
        <f aca="false">B22</f>
        <v>80</v>
      </c>
      <c r="C382" s="25" t="e">
        <f aca="false">C22+C51+C80+C109+C139+C169+C199+C229+C259+C289+C319+C349</f>
        <v>#N/A</v>
      </c>
      <c r="D382" s="25" t="e">
        <f aca="false">D22+D51+D80+D109+D139+D169+D199+D229+D259+D289+D319+D349</f>
        <v>#N/A</v>
      </c>
      <c r="E382" s="25" t="e">
        <f aca="false">E22+E51+E80+E109+E139+E169+E199+E229+E259+E289+E319+E349</f>
        <v>#N/A</v>
      </c>
      <c r="F382" s="25" t="e">
        <f aca="false">F22+F51+F80+F109+F139+F169+F199+F229+F259+F289+F319+F349</f>
        <v>#N/A</v>
      </c>
      <c r="G382" s="25" t="e">
        <f aca="false">G22+G51+G80+G109+G139+G169+G199+G229+G259+G289+G319+G349</f>
        <v>#N/A</v>
      </c>
    </row>
    <row r="383" customFormat="false" ht="13.5" hidden="false" customHeight="true" outlineLevel="0" collapsed="false">
      <c r="B383" s="29" t="n">
        <f aca="false">B23</f>
        <v>79</v>
      </c>
      <c r="C383" s="25" t="e">
        <f aca="false">C23+C52+C81+C110+C140+C170+C200+C230+C260+C290+C320+C350</f>
        <v>#N/A</v>
      </c>
      <c r="D383" s="25" t="e">
        <f aca="false">D23+D52+D81+D110+D140+D170+D200+D230+D260+D290+D320+D350</f>
        <v>#N/A</v>
      </c>
      <c r="E383" s="25" t="e">
        <f aca="false">E23+E52+E81+E110+E140+E170+E200+E230+E260+E290+E320+E350</f>
        <v>#N/A</v>
      </c>
      <c r="F383" s="25" t="e">
        <f aca="false">F23+F52+F81+F110+F140+F170+F200+F230+F260+F290+F320+F350</f>
        <v>#N/A</v>
      </c>
      <c r="G383" s="25" t="e">
        <f aca="false">G23+G52+G81+G110+G140+G170+G200+G230+G260+G290+G320+G350</f>
        <v>#N/A</v>
      </c>
    </row>
    <row r="384" customFormat="false" ht="13.5" hidden="false" customHeight="true" outlineLevel="0" collapsed="false">
      <c r="B384" s="29" t="n">
        <f aca="false">B24</f>
        <v>78</v>
      </c>
      <c r="C384" s="25" t="e">
        <f aca="false">C24+C53+C82+C111+C141+C171+C201+C231+C261+C291+C321+C351</f>
        <v>#N/A</v>
      </c>
      <c r="D384" s="25" t="e">
        <f aca="false">D24+D53+D82+D111+D141+D171+D201+D231+D261+D291+D321+D351</f>
        <v>#N/A</v>
      </c>
      <c r="E384" s="25" t="e">
        <f aca="false">E24+E53+E82+E111+E141+E171+E201+E231+E261+E291+E321+E351</f>
        <v>#N/A</v>
      </c>
      <c r="F384" s="25" t="e">
        <f aca="false">F24+F53+F82+F111+F141+F171+F201+F231+F261+F291+F321+F351</f>
        <v>#N/A</v>
      </c>
      <c r="G384" s="25" t="e">
        <f aca="false">G24+G53+G82+G111+G141+G171+G201+G231+G261+G291+G321+G351</f>
        <v>#N/A</v>
      </c>
    </row>
    <row r="385" customFormat="false" ht="13.5" hidden="false" customHeight="true" outlineLevel="0" collapsed="false">
      <c r="B385" s="29" t="n">
        <f aca="false">B25</f>
        <v>77</v>
      </c>
      <c r="C385" s="25" t="e">
        <f aca="false">C25+C54+C83+C112+C142+C172+C202+C232+C262+C292+C322+C352</f>
        <v>#N/A</v>
      </c>
      <c r="D385" s="25" t="e">
        <f aca="false">D25+D54+D83+D112+D142+D172+D202+D232+D262+D292+D322+D352</f>
        <v>#N/A</v>
      </c>
      <c r="E385" s="25" t="e">
        <f aca="false">E25+E54+E83+E112+E142+E172+E202+E232+E262+E292+E322+E352</f>
        <v>#N/A</v>
      </c>
      <c r="F385" s="25" t="e">
        <f aca="false">F25+F54+F83+F112+F142+F172+F202+F232+F262+F292+F322+F352</f>
        <v>#N/A</v>
      </c>
      <c r="G385" s="25" t="e">
        <f aca="false">G25+G54+G83+G112+G142+G172+G202+G232+G262+G292+G322+G352</f>
        <v>#N/A</v>
      </c>
    </row>
    <row r="386" customFormat="false" ht="13.5" hidden="false" customHeight="true" outlineLevel="0" collapsed="false">
      <c r="B386" s="29" t="n">
        <f aca="false">B26</f>
        <v>76</v>
      </c>
      <c r="C386" s="25" t="e">
        <f aca="false">C26+C55+C84+C113+C143+C173+C203+C233+C263+C293+C323+C353</f>
        <v>#N/A</v>
      </c>
      <c r="D386" s="25" t="e">
        <f aca="false">D26+D55+D84+D113+D143+D173+D203+D233+D263+D293+D323+D353</f>
        <v>#N/A</v>
      </c>
      <c r="E386" s="25" t="e">
        <f aca="false">E26+E55+E84+E113+E143+E173+E203+E233+E263+E293+E323+E353</f>
        <v>#N/A</v>
      </c>
      <c r="F386" s="25" t="e">
        <f aca="false">F26+F55+F84+F113+F143+F173+F203+F233+F263+F293+F323+F353</f>
        <v>#N/A</v>
      </c>
      <c r="G386" s="25" t="e">
        <f aca="false">G26+G55+G84+G113+G143+G173+G203+G233+G263+G293+G323+G353</f>
        <v>#N/A</v>
      </c>
    </row>
    <row r="387" customFormat="false" ht="13.5" hidden="false" customHeight="true" outlineLevel="0" collapsed="false">
      <c r="B387" s="29" t="n">
        <f aca="false">B27</f>
        <v>75</v>
      </c>
      <c r="C387" s="25" t="e">
        <f aca="false">C27+C56+C85+C114+C144+C174+C204+C234+C264+C294+C324+C354</f>
        <v>#N/A</v>
      </c>
      <c r="D387" s="25" t="e">
        <f aca="false">D27+D56+D85+D114+D144+D174+D204+D234+D264+D294+D324+D354</f>
        <v>#N/A</v>
      </c>
      <c r="E387" s="25" t="e">
        <f aca="false">E27+E56+E85+E114+E144+E174+E204+E234+E264+E294+E324+E354</f>
        <v>#N/A</v>
      </c>
      <c r="F387" s="25" t="e">
        <f aca="false">F27+F56+F85+F114+F144+F174+F204+F234+F264+F294+F324+F354</f>
        <v>#N/A</v>
      </c>
      <c r="G387" s="25" t="e">
        <f aca="false">G27+G56+G85+G114+G144+G174+G204+G234+G264+G294+G324+G354</f>
        <v>#N/A</v>
      </c>
    </row>
    <row r="388" customFormat="false" ht="13.5" hidden="false" customHeight="true" outlineLevel="0" collapsed="false">
      <c r="B388" s="29" t="n">
        <f aca="false">B28</f>
        <v>74</v>
      </c>
      <c r="C388" s="25" t="e">
        <f aca="false">C28+C57+C86+C115+C145+C175+C205+C235+C265+C295+C325+C355</f>
        <v>#N/A</v>
      </c>
      <c r="D388" s="25" t="e">
        <f aca="false">D28+D57+D86+D115+D145+D175+D205+D235+D265+D295+D325+D355</f>
        <v>#N/A</v>
      </c>
      <c r="E388" s="25" t="e">
        <f aca="false">E28+E57+E86+E115+E145+E175+E205+E235+E265+E295+E325+E355</f>
        <v>#N/A</v>
      </c>
      <c r="F388" s="25" t="e">
        <f aca="false">F28+F57+F86+F115+F145+F175+F205+F235+F265+F295+F325+F355</f>
        <v>#N/A</v>
      </c>
      <c r="G388" s="25" t="e">
        <f aca="false">G28+G57+G86+G115+G145+G175+G205+G235+G265+G295+G325+G355</f>
        <v>#N/A</v>
      </c>
    </row>
    <row r="389" customFormat="false" ht="13.5" hidden="false" customHeight="true" outlineLevel="0" collapsed="false">
      <c r="B389" s="29" t="n">
        <f aca="false">B29</f>
        <v>73</v>
      </c>
      <c r="C389" s="25" t="e">
        <f aca="false">C29+C58+C87+C116+C146+C176+C206+C236+C266+C296+C326+C356</f>
        <v>#N/A</v>
      </c>
      <c r="D389" s="25" t="e">
        <f aca="false">D29+D58+D87+D116+D146+D176+D206+D236+D266+D296+D326+D356</f>
        <v>#N/A</v>
      </c>
      <c r="E389" s="25" t="e">
        <f aca="false">E29+E58+E87+E116+E146+E176+E206+E236+E266+E296+E326+E356</f>
        <v>#N/A</v>
      </c>
      <c r="F389" s="25" t="e">
        <f aca="false">F29+F58+F87+F116+F146+F176+F206+F236+F266+F296+F326+F356</f>
        <v>#N/A</v>
      </c>
      <c r="G389" s="25" t="e">
        <f aca="false">G29+G58+G87+G116+G146+G176+G206+G236+G266+G296+G326+G356</f>
        <v>#N/A</v>
      </c>
    </row>
    <row r="390" customFormat="false" ht="13.5" hidden="false" customHeight="true" outlineLevel="0" collapsed="false">
      <c r="B390" s="29" t="n">
        <f aca="false">B30</f>
        <v>72</v>
      </c>
      <c r="C390" s="25" t="e">
        <f aca="false">C30+C59+C88+C117+C147+C177+C207+C237+C267+C297+C327+C357</f>
        <v>#N/A</v>
      </c>
      <c r="D390" s="25" t="e">
        <f aca="false">D30+D59+D88+D117+D147+D177+D207+D237+D267+D297+D327+D357</f>
        <v>#N/A</v>
      </c>
      <c r="E390" s="25" t="e">
        <f aca="false">E30+E59+E88+E117+E147+E177+E207+E237+E267+E297+E327+E357</f>
        <v>#N/A</v>
      </c>
      <c r="F390" s="25" t="e">
        <f aca="false">F30+F59+F88+F117+F147+F177+F207+F237+F267+F297+F327+F357</f>
        <v>#N/A</v>
      </c>
      <c r="G390" s="25" t="e">
        <f aca="false">G30+G59+G88+G117+G147+G177+G207+G237+G267+G297+G327+G357</f>
        <v>#N/A</v>
      </c>
    </row>
    <row r="391" customFormat="false" ht="13.5" hidden="false" customHeight="true" outlineLevel="0" collapsed="false">
      <c r="B391" s="29" t="n">
        <f aca="false">B31</f>
        <v>71</v>
      </c>
      <c r="C391" s="25" t="e">
        <f aca="false">C31+C60+C89+C118+C148+C178+C208+C238+C268+C298+C328+C358</f>
        <v>#N/A</v>
      </c>
      <c r="D391" s="25" t="e">
        <f aca="false">D31+D60+D89+D118+D148+D178+D208+D238+D268+D298+D328+D358</f>
        <v>#N/A</v>
      </c>
      <c r="E391" s="25" t="e">
        <f aca="false">E31+E60+E89+E118+E148+E178+E208+E238+E268+E298+E328+E358</f>
        <v>#N/A</v>
      </c>
      <c r="F391" s="25" t="e">
        <f aca="false">F31+F60+F89+F118+F148+F178+F208+F238+F268+F298+F328+F358</f>
        <v>#N/A</v>
      </c>
      <c r="G391" s="25" t="e">
        <f aca="false">G31+G60+G89+G118+G148+G178+G208+G238+G268+G298+G328+G358</f>
        <v>#N/A</v>
      </c>
    </row>
    <row r="392" customFormat="false" ht="13.5" hidden="false" customHeight="true" outlineLevel="0" collapsed="false">
      <c r="B392" s="29" t="n">
        <f aca="false">B32</f>
        <v>70</v>
      </c>
      <c r="C392" s="25" t="e">
        <f aca="false">C32+C61+C90+C119+C149+C179+C209+C239+C269+C299+C329+C359</f>
        <v>#N/A</v>
      </c>
      <c r="D392" s="25" t="e">
        <f aca="false">D32+D61+D90+D119+D149+D179+D209+D239+D269+D299+D329+D359</f>
        <v>#N/A</v>
      </c>
      <c r="E392" s="25" t="e">
        <f aca="false">E32+E61+E90+E119+E149+E179+E209+E239+E269+E299+E329+E359</f>
        <v>#N/A</v>
      </c>
      <c r="F392" s="25" t="e">
        <f aca="false">F32+F61+F90+F119+F149+F179+F209+F239+F269+F299+F329+F359</f>
        <v>#N/A</v>
      </c>
      <c r="G392" s="25" t="e">
        <f aca="false">G32+G61+G90+G119+G149+G179+G209+G239+G269+G299+G329+G359</f>
        <v>#N/A</v>
      </c>
    </row>
    <row r="393" customFormat="false" ht="13.5" hidden="false" customHeight="true" outlineLevel="0" collapsed="false">
      <c r="B393" s="29" t="n">
        <f aca="false">B33</f>
        <v>69</v>
      </c>
      <c r="C393" s="25" t="e">
        <f aca="false">C33+C62+C91+C120+C150+C180+C210+C240+C270+C300+C330+C360</f>
        <v>#N/A</v>
      </c>
      <c r="D393" s="25" t="e">
        <f aca="false">D33+D62+D91+D120+D150+D180+D210+D240+D270+D300+D330+D360</f>
        <v>#N/A</v>
      </c>
      <c r="E393" s="25" t="e">
        <f aca="false">E33+E62+E91+E120+E150+E180+E210+E240+E270+E300+E330+E360</f>
        <v>#N/A</v>
      </c>
      <c r="F393" s="25" t="e">
        <f aca="false">F33+F62+F91+F120+F150+F180+F210+F240+F270+F300+F330+F360</f>
        <v>#N/A</v>
      </c>
      <c r="G393" s="25" t="e">
        <f aca="false">G33+G62+G91+G120+G150+G180+G210+G240+G270+G300+G330+G360</f>
        <v>#N/A</v>
      </c>
    </row>
    <row r="394" customFormat="false" ht="13.5" hidden="false" customHeight="true" outlineLevel="0" collapsed="false">
      <c r="B394" s="29" t="n">
        <f aca="false">B34</f>
        <v>68</v>
      </c>
      <c r="C394" s="25" t="e">
        <f aca="false">C34+C63+C92+C121+C151+C181+C211+C241+C271+C301+C331+C361</f>
        <v>#N/A</v>
      </c>
      <c r="D394" s="25" t="e">
        <f aca="false">D34+D63+D92+D121+D151+D181+D211+D241+D271+D301+D331+D361</f>
        <v>#N/A</v>
      </c>
      <c r="E394" s="25" t="e">
        <f aca="false">E34+E63+E92+E121+E151+E181+E211+E241+E271+E301+E331+E361</f>
        <v>#N/A</v>
      </c>
      <c r="F394" s="25" t="e">
        <f aca="false">F34+F63+F92+F121+F151+F181+F211+F241+F271+F301+F331+F361</f>
        <v>#N/A</v>
      </c>
      <c r="G394" s="25" t="e">
        <f aca="false">G34+G63+G92+G121+G151+G181+G211+G241+G271+G301+G331+G361</f>
        <v>#N/A</v>
      </c>
    </row>
    <row r="395" customFormat="false" ht="13.5" hidden="false" customHeight="true" outlineLevel="0" collapsed="false">
      <c r="B395" s="29" t="n">
        <f aca="false">B35</f>
        <v>67</v>
      </c>
      <c r="C395" s="25" t="e">
        <f aca="false">C35+C64+C93+C122+C152+C182+C212+C242+C272+C302+C332+C362</f>
        <v>#N/A</v>
      </c>
      <c r="D395" s="25" t="e">
        <f aca="false">D35+D64+D93+D122+D152+D182+D212+D242+D272+D302+D332+D362</f>
        <v>#N/A</v>
      </c>
      <c r="E395" s="25" t="e">
        <f aca="false">E35+E64+E93+E122+E152+E182+E212+E242+E272+E302+E332+E362</f>
        <v>#N/A</v>
      </c>
      <c r="F395" s="25" t="e">
        <f aca="false">F35+F64+F93+F122+F152+F182+F212+F242+F272+F302+F332+F362</f>
        <v>#N/A</v>
      </c>
      <c r="G395" s="25" t="e">
        <f aca="false">G35+G64+G93+G122+G152+G182+G212+G242+G272+G302+G332+G362</f>
        <v>#N/A</v>
      </c>
    </row>
    <row r="396" customFormat="false" ht="13.5" hidden="false" customHeight="true" outlineLevel="0" collapsed="false">
      <c r="B396" s="29" t="n">
        <f aca="false">B36</f>
        <v>66</v>
      </c>
      <c r="C396" s="25" t="e">
        <f aca="false">C36+C65+C94+C123+C153+C183+C213+C243+C273+C303+C333+C363</f>
        <v>#N/A</v>
      </c>
      <c r="D396" s="25" t="e">
        <f aca="false">D36+D65+D94+D123+D153+D183+D213+D243+D273+D303+D333+D363</f>
        <v>#N/A</v>
      </c>
      <c r="E396" s="25" t="e">
        <f aca="false">E36+E65+E94+E123+E153+E183+E213+E243+E273+E303+E333+E363</f>
        <v>#N/A</v>
      </c>
      <c r="F396" s="25" t="e">
        <f aca="false">F36+F65+F94+F123+F153+F183+F213+F243+F273+F303+F333+F363</f>
        <v>#N/A</v>
      </c>
      <c r="G396" s="25" t="e">
        <f aca="false">G36+G65+G94+G123+G153+G183+G213+G243+G273+G303+G333+G363</f>
        <v>#N/A</v>
      </c>
    </row>
    <row r="397" customFormat="false" ht="13.5" hidden="false" customHeight="true" outlineLevel="0" collapsed="false">
      <c r="B397" s="29" t="n">
        <f aca="false">B37</f>
        <v>65</v>
      </c>
      <c r="C397" s="25" t="e">
        <f aca="false">C37+C66+C95+C124+C154+C184+C214+C244+C274+C304+C334+C364</f>
        <v>#N/A</v>
      </c>
      <c r="D397" s="25" t="e">
        <f aca="false">D37+D66+D95+D124+D154+D184+D214+D244+D274+D304+D334+D364</f>
        <v>#N/A</v>
      </c>
      <c r="E397" s="25" t="e">
        <f aca="false">E37+E66+E95+E124+E154+E184+E214+E244+E274+E304+E334+E364</f>
        <v>#N/A</v>
      </c>
      <c r="F397" s="25" t="e">
        <f aca="false">F37+F66+F95+F124+F154+F184+F214+F244+F274+F304+F334+F364</f>
        <v>#N/A</v>
      </c>
      <c r="G397" s="25" t="e">
        <f aca="false">G37+G66+G95+G124+G154+G184+G214+G244+G274+G304+G334+G364</f>
        <v>#N/A</v>
      </c>
    </row>
    <row r="398" customFormat="false" ht="13.5" hidden="false" customHeight="true" outlineLevel="0" collapsed="false">
      <c r="B398" s="29" t="n">
        <f aca="false">B38</f>
        <v>64</v>
      </c>
      <c r="C398" s="25" t="e">
        <f aca="false">C38+C67+C96+C125+C155+C185+C215+C245+C275+C305+C335+C365</f>
        <v>#N/A</v>
      </c>
      <c r="D398" s="25" t="e">
        <f aca="false">D38+D67+D96+D125+D155+D185+D215+D245+D275+D305+D335+D365</f>
        <v>#N/A</v>
      </c>
      <c r="E398" s="25" t="e">
        <f aca="false">E38+E67+E96+E125+E155+E185+E215+E245+E275+E305+E335+E365</f>
        <v>#N/A</v>
      </c>
      <c r="F398" s="25" t="e">
        <f aca="false">F38+F67+F96+F125+F155+F185+F215+F245+F275+F305+F335+F365</f>
        <v>#N/A</v>
      </c>
      <c r="G398" s="25" t="e">
        <f aca="false">G38+G67+G96+G125+G155+G185+G215+G245+G275+G305+G335+G365</f>
        <v>#N/A</v>
      </c>
    </row>
    <row r="399" customFormat="false" ht="13.5" hidden="false" customHeight="true" outlineLevel="0" collapsed="false">
      <c r="B399" s="29" t="n">
        <f aca="false">B39</f>
        <v>63</v>
      </c>
      <c r="C399" s="25" t="e">
        <f aca="false">C39+C68+C97+C126+C156+C186+C216+C246+C276+C306+C336+C366</f>
        <v>#N/A</v>
      </c>
      <c r="D399" s="25" t="e">
        <f aca="false">D39+D68+D97+D126+D156+D186+D216+D246+D276+D306+D336+D366</f>
        <v>#N/A</v>
      </c>
      <c r="E399" s="25" t="e">
        <f aca="false">E39+E68+E97+E126+E156+E186+E216+E246+E276+E306+E336+E366</f>
        <v>#N/A</v>
      </c>
      <c r="F399" s="25" t="e">
        <f aca="false">F39+F68+F97+F126+F156+F186+F216+F246+F276+F306+F336+F366</f>
        <v>#N/A</v>
      </c>
      <c r="G399" s="25" t="e">
        <f aca="false">G39+G68+G97+G126+G156+G186+G216+G246+G276+G306+G336+G366</f>
        <v>#N/A</v>
      </c>
    </row>
    <row r="400" customFormat="false" ht="13.5" hidden="false" customHeight="true" outlineLevel="0" collapsed="false">
      <c r="B400" s="29" t="n">
        <f aca="false">B40</f>
        <v>62</v>
      </c>
      <c r="C400" s="25" t="e">
        <f aca="false">C40+C69+C98+C127+C157+C187+C217+C247+C277+C307+C337+C367</f>
        <v>#N/A</v>
      </c>
      <c r="D400" s="25" t="e">
        <f aca="false">D40+D69+D98+D127+D157+D187+D217+D247+D277+D307+D337+D367</f>
        <v>#N/A</v>
      </c>
      <c r="E400" s="25" t="e">
        <f aca="false">E40+E69+E98+E127+E157+E187+E217+E247+E277+E307+E337+E367</f>
        <v>#N/A</v>
      </c>
      <c r="F400" s="25" t="e">
        <f aca="false">F40+F69+F98+F127+F157+F187+F217+F247+F277+F307+F337+F367</f>
        <v>#N/A</v>
      </c>
      <c r="G400" s="25" t="e">
        <f aca="false">G40+G69+G98+G127+G157+G187+G217+G247+G277+G307+G337+G367</f>
        <v>#N/A</v>
      </c>
    </row>
    <row r="401" customFormat="false" ht="13.5" hidden="false" customHeight="true" outlineLevel="0" collapsed="false">
      <c r="B401" s="29" t="n">
        <f aca="false">B41</f>
        <v>61</v>
      </c>
      <c r="C401" s="25" t="e">
        <f aca="false">C41+C70+C99+C128+C158+C188+C218+C248+C278+C308+C338+C368</f>
        <v>#N/A</v>
      </c>
      <c r="D401" s="25" t="e">
        <f aca="false">D41+D70+D99+D128+D158+D188+D218+D248+D278+D308+D338+D368</f>
        <v>#N/A</v>
      </c>
      <c r="E401" s="25" t="e">
        <f aca="false">E41+E70+E99+E128+E158+E188+E218+E248+E278+E308+E338+E368</f>
        <v>#N/A</v>
      </c>
      <c r="F401" s="25" t="e">
        <f aca="false">F41+F70+F99+F128+F158+F188+F218+F248+F278+F308+F338+F368</f>
        <v>#N/A</v>
      </c>
      <c r="G401" s="25" t="e">
        <f aca="false">G41+G70+G99+G128+G158+G188+G218+G248+G278+G308+G338+G368</f>
        <v>#N/A</v>
      </c>
    </row>
    <row r="402" customFormat="false" ht="13.5" hidden="false" customHeight="true" outlineLevel="0" collapsed="false">
      <c r="B402" s="29" t="n">
        <f aca="false">B42</f>
        <v>60</v>
      </c>
      <c r="C402" s="25" t="e">
        <f aca="false">C42+C71+C100+C129+C159+C189+C219+C249+C279+C309+C339+C369</f>
        <v>#N/A</v>
      </c>
      <c r="D402" s="25" t="e">
        <f aca="false">D42+D71+D100+D129+D159+D189+D219+D249+D279+D309+D339+D369</f>
        <v>#N/A</v>
      </c>
      <c r="E402" s="25" t="e">
        <f aca="false">E42+E71+E100+E129+E159+E189+E219+E249+E279+E309+E339+E369</f>
        <v>#N/A</v>
      </c>
      <c r="F402" s="25" t="e">
        <f aca="false">F42+F71+F100+F129+F159+F189+F219+F249+F279+F309+F339+F369</f>
        <v>#N/A</v>
      </c>
      <c r="G402" s="25" t="e">
        <f aca="false">G42+G71+G100+G129+G159+G189+G219+G249+G279+G309+G339+G369</f>
        <v>#N/A</v>
      </c>
    </row>
    <row r="403" customFormat="false" ht="13.5" hidden="false" customHeight="true" outlineLevel="0" collapsed="false">
      <c r="B403" s="29" t="n">
        <f aca="false">B43</f>
        <v>59</v>
      </c>
      <c r="C403" s="25" t="e">
        <f aca="false">C43+C72+C101+C130+C160+C190+C220+C250+C280+C310+C340+C370</f>
        <v>#N/A</v>
      </c>
      <c r="D403" s="25" t="e">
        <f aca="false">D43+D72+D101+D130+D160+D190+D220+D250+D280+D310+D340+D370</f>
        <v>#N/A</v>
      </c>
      <c r="E403" s="25" t="e">
        <f aca="false">E43+E72+E101+E130+E160+E190+E220+E250+E280+E310+E340+E370</f>
        <v>#N/A</v>
      </c>
      <c r="F403" s="25" t="e">
        <f aca="false">F43+F72+F101+F130+F160+F190+F220+F250+F280+F310+F340+F370</f>
        <v>#N/A</v>
      </c>
      <c r="G403" s="25" t="e">
        <f aca="false">G43+G72+G101+G130+G160+G190+G220+G250+G280+G310+G340+G370</f>
        <v>#N/A</v>
      </c>
    </row>
    <row r="404" customFormat="false" ht="13.5" hidden="false" customHeight="true" outlineLevel="0" collapsed="false">
      <c r="B404" s="29" t="n">
        <f aca="false">B44</f>
        <v>58</v>
      </c>
      <c r="C404" s="25" t="e">
        <f aca="false">C44+C73+C102+C131+C161+C191+C221+C251+C281+C311+C341+C371</f>
        <v>#N/A</v>
      </c>
      <c r="D404" s="25" t="e">
        <f aca="false">D44+D73+D102+D131+D161+D191+D221+D251+D281+D311+D341+D371</f>
        <v>#N/A</v>
      </c>
      <c r="E404" s="25" t="e">
        <f aca="false">E44+E73+E102+E131+E161+E191+E221+E251+E281+E311+E341+E371</f>
        <v>#N/A</v>
      </c>
      <c r="F404" s="25" t="e">
        <f aca="false">F44+F73+F102+F131+F161+F191+F221+F251+F281+F311+F341+F371</f>
        <v>#N/A</v>
      </c>
      <c r="G404" s="25" t="e">
        <f aca="false">G44+G73+G102+G131+G161+G191+G221+G251+G281+G311+G341+G371</f>
        <v>#N/A</v>
      </c>
    </row>
    <row r="405" customFormat="false" ht="13.5" hidden="false" customHeight="true" outlineLevel="0" collapsed="false">
      <c r="B405" s="29" t="n">
        <f aca="false">B45</f>
        <v>57</v>
      </c>
      <c r="C405" s="25" t="e">
        <f aca="false">C45+C74+C103+C132+C162+C192+C222+C252+C282+C312+C342+C372</f>
        <v>#N/A</v>
      </c>
      <c r="D405" s="25" t="e">
        <f aca="false">D45+D74+D103+D132+D162+D192+D222+D252+D282+D312+D342+D372</f>
        <v>#N/A</v>
      </c>
      <c r="E405" s="25" t="e">
        <f aca="false">E45+E74+E103+E132+E162+E192+E222+E252+E282+E312+E342+E372</f>
        <v>#N/A</v>
      </c>
      <c r="F405" s="25" t="e">
        <f aca="false">F45+F74+F103+F132+F162+F192+F222+F252+F282+F312+F342+F372</f>
        <v>#N/A</v>
      </c>
      <c r="G405" s="25" t="e">
        <f aca="false">G45+G74+G103+G132+G162+G192+G222+G252+G282+G312+G342+G372</f>
        <v>#N/A</v>
      </c>
    </row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5" activeCellId="0" sqref="K25"/>
    </sheetView>
  </sheetViews>
  <sheetFormatPr defaultColWidth="11.53515625" defaultRowHeight="14.25" zeroHeight="false" outlineLevelRow="0" outlineLevelCol="0"/>
  <cols>
    <col collapsed="false" customWidth="true" hidden="false" outlineLevel="0" max="1" min="1" style="2" width="4.31"/>
    <col collapsed="false" customWidth="true" hidden="false" outlineLevel="0" max="2" min="2" style="2" width="22.76"/>
    <col collapsed="false" customWidth="true" hidden="false" outlineLevel="0" max="3" min="3" style="2" width="13.95"/>
    <col collapsed="false" customWidth="true" hidden="false" outlineLevel="0" max="4" min="4" style="2" width="11.03"/>
    <col collapsed="false" customWidth="true" hidden="false" outlineLevel="0" max="5" min="5" style="2" width="9.53"/>
    <col collapsed="false" customWidth="true" hidden="false" outlineLevel="0" max="6" min="6" style="2" width="10.76"/>
    <col collapsed="false" customWidth="false" hidden="false" outlineLevel="0" max="13" min="7" style="2" width="11.53"/>
    <col collapsed="false" customWidth="true" hidden="false" outlineLevel="0" max="14" min="14" style="2" width="7.69"/>
    <col collapsed="false" customWidth="true" hidden="false" outlineLevel="0" max="16" min="15" style="2" width="8.8"/>
    <col collapsed="false" customWidth="true" hidden="false" outlineLevel="0" max="17" min="17" style="2" width="9.36"/>
    <col collapsed="false" customWidth="true" hidden="false" outlineLevel="0" max="18" min="18" style="2" width="9.08"/>
    <col collapsed="false" customWidth="true" hidden="false" outlineLevel="0" max="19" min="19" style="2" width="9.53"/>
    <col collapsed="false" customWidth="true" hidden="false" outlineLevel="0" max="21" min="20" style="2" width="10.76"/>
    <col collapsed="false" customWidth="true" hidden="false" outlineLevel="0" max="22" min="22" style="2" width="11.03"/>
    <col collapsed="false" customWidth="true" hidden="false" outlineLevel="0" max="23" min="23" style="2" width="7.09"/>
    <col collapsed="false" customWidth="false" hidden="false" outlineLevel="0" max="28" min="24" style="2" width="11.53"/>
    <col collapsed="false" customWidth="true" hidden="false" outlineLevel="0" max="29" min="29" style="2" width="8.8"/>
    <col collapsed="false" customWidth="true" hidden="false" outlineLevel="0" max="30" min="30" style="2" width="7.69"/>
    <col collapsed="false" customWidth="true" hidden="false" outlineLevel="0" max="31" min="31" style="2" width="9.53"/>
    <col collapsed="false" customWidth="true" hidden="false" outlineLevel="0" max="32" min="32" style="2" width="8.8"/>
    <col collapsed="false" customWidth="true" hidden="false" outlineLevel="0" max="34" min="33" style="2" width="7.69"/>
    <col collapsed="false" customWidth="true" hidden="false" outlineLevel="0" max="35" min="35" style="2" width="9.53"/>
    <col collapsed="false" customWidth="true" hidden="false" outlineLevel="0" max="36" min="36" style="2" width="8.8"/>
    <col collapsed="false" customWidth="true" hidden="false" outlineLevel="0" max="38" min="37" style="2" width="7.69"/>
    <col collapsed="false" customWidth="true" hidden="false" outlineLevel="0" max="39" min="39" style="2" width="9.53"/>
    <col collapsed="false" customWidth="true" hidden="false" outlineLevel="0" max="40" min="40" style="2" width="8.8"/>
    <col collapsed="false" customWidth="true" hidden="false" outlineLevel="0" max="42" min="41" style="2" width="7.69"/>
    <col collapsed="false" customWidth="true" hidden="false" outlineLevel="0" max="43" min="43" style="2" width="9.53"/>
    <col collapsed="false" customWidth="true" hidden="false" outlineLevel="0" max="44" min="44" style="2" width="8.8"/>
    <col collapsed="false" customWidth="true" hidden="false" outlineLevel="0" max="46" min="45" style="2" width="7.69"/>
    <col collapsed="false" customWidth="true" hidden="false" outlineLevel="0" max="47" min="47" style="2" width="9.53"/>
    <col collapsed="false" customWidth="true" hidden="false" outlineLevel="0" max="48" min="48" style="2" width="8.8"/>
    <col collapsed="false" customWidth="true" hidden="false" outlineLevel="0" max="50" min="49" style="2" width="7.69"/>
    <col collapsed="false" customWidth="true" hidden="false" outlineLevel="0" max="51" min="51" style="2" width="9.53"/>
    <col collapsed="false" customWidth="true" hidden="false" outlineLevel="0" max="52" min="52" style="2" width="8.8"/>
  </cols>
  <sheetData>
    <row r="1" customFormat="false" ht="12.75" hidden="false" customHeight="true" outlineLevel="0" collapsed="false">
      <c r="B1" s="15"/>
      <c r="C1" s="66" t="s">
        <v>199</v>
      </c>
      <c r="D1" s="66" t="s">
        <v>141</v>
      </c>
      <c r="E1" s="66" t="s">
        <v>200</v>
      </c>
    </row>
    <row r="2" customFormat="false" ht="12.75" hidden="false" customHeight="true" outlineLevel="0" collapsed="false">
      <c r="B2" s="15" t="s">
        <v>203</v>
      </c>
      <c r="C2" s="34" t="n">
        <f aca="false">Portfolio!C10</f>
        <v>16.371245</v>
      </c>
      <c r="D2" s="18" t="n">
        <f aca="false">Portfolio!D10</f>
        <v>83.4293253403452</v>
      </c>
      <c r="E2" s="18" t="n">
        <f aca="false">Portfolio!F10</f>
        <v>1365.8419253315</v>
      </c>
      <c r="G2" s="95" t="s">
        <v>215</v>
      </c>
      <c r="H2" s="95" t="n">
        <v>0.2</v>
      </c>
      <c r="I2" s="95" t="n">
        <v>0.3</v>
      </c>
      <c r="P2" s="3" t="s">
        <v>161</v>
      </c>
      <c r="Q2" s="4" t="s">
        <v>162</v>
      </c>
      <c r="R2" s="4"/>
    </row>
    <row r="3" customFormat="false" ht="12.75" hidden="false" customHeight="true" outlineLevel="0" collapsed="false">
      <c r="C3" s="17"/>
      <c r="D3" s="17"/>
      <c r="O3" s="35" t="s">
        <v>165</v>
      </c>
      <c r="P3" s="34" t="s">
        <v>166</v>
      </c>
      <c r="Q3" s="36" t="n">
        <v>0</v>
      </c>
      <c r="R3" s="36" t="n">
        <v>0.05</v>
      </c>
    </row>
    <row r="4" customFormat="false" ht="12.75" hidden="false" customHeight="true" outlineLevel="0" collapsed="false">
      <c r="B4" s="15" t="s">
        <v>179</v>
      </c>
      <c r="C4" s="18" t="n">
        <f aca="false">Portfolio!D14</f>
        <v>20.4876288799725</v>
      </c>
      <c r="D4" s="18" t="n">
        <f aca="false">Portfolio!E14</f>
        <v>27.31683850663</v>
      </c>
      <c r="O4" s="98" t="s">
        <v>167</v>
      </c>
      <c r="P4" s="99" t="s">
        <v>168</v>
      </c>
      <c r="Q4" s="100" t="n">
        <v>0.05</v>
      </c>
      <c r="R4" s="100" t="n">
        <v>0.15</v>
      </c>
    </row>
    <row r="5" customFormat="false" ht="12.75" hidden="false" customHeight="true" outlineLevel="0" collapsed="false">
      <c r="O5" s="35" t="s">
        <v>169</v>
      </c>
      <c r="P5" s="34" t="s">
        <v>170</v>
      </c>
      <c r="Q5" s="36" t="n">
        <v>0.16</v>
      </c>
      <c r="R5" s="36" t="s">
        <v>171</v>
      </c>
    </row>
    <row r="6" customFormat="false" ht="12.75" hidden="false" customHeight="true" outlineLevel="0" collapsed="false"/>
    <row r="7" customFormat="false" ht="12.75" hidden="false" customHeight="true" outlineLevel="0" collapsed="false">
      <c r="R7" s="32"/>
      <c r="X7" s="4"/>
      <c r="Y7" s="4"/>
      <c r="Z7" s="3"/>
      <c r="AA7" s="3"/>
    </row>
    <row r="8" customFormat="false" ht="14.25" hidden="false" customHeight="true" outlineLevel="0" collapsed="false">
      <c r="B8" s="19" t="s">
        <v>0</v>
      </c>
      <c r="C8" s="19" t="s">
        <v>12</v>
      </c>
      <c r="D8" s="19" t="s">
        <v>13</v>
      </c>
      <c r="E8" s="19" t="s">
        <v>161</v>
      </c>
      <c r="F8" s="19" t="s">
        <v>206</v>
      </c>
      <c r="G8" s="19" t="s">
        <v>175</v>
      </c>
      <c r="H8" s="19" t="s">
        <v>213</v>
      </c>
      <c r="I8" s="19" t="s">
        <v>176</v>
      </c>
      <c r="J8" s="19" t="s">
        <v>202</v>
      </c>
      <c r="K8" s="19" t="s">
        <v>207</v>
      </c>
      <c r="L8" s="2" t="s">
        <v>216</v>
      </c>
      <c r="N8" s="33"/>
      <c r="O8" s="19" t="s">
        <v>209</v>
      </c>
      <c r="P8" s="34" t="s">
        <v>193</v>
      </c>
      <c r="Q8" s="34" t="s">
        <v>144</v>
      </c>
      <c r="R8" s="34" t="s">
        <v>194</v>
      </c>
      <c r="S8" s="15" t="s">
        <v>212</v>
      </c>
      <c r="X8" s="4"/>
      <c r="Y8" s="4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</row>
    <row r="9" customFormat="false" ht="14.25" hidden="false" customHeight="true" outlineLevel="0" collapsed="false">
      <c r="B9" s="101" t="str">
        <f aca="false">Far_laeyr!B59</f>
        <v>SOL-29MAY26-60-P-USDT</v>
      </c>
      <c r="C9" s="102" t="n">
        <f aca="false">Far_laeyr!C59</f>
        <v>60</v>
      </c>
      <c r="D9" s="103" t="n">
        <f aca="false">Far_laeyr!D59</f>
        <v>-0.10159583</v>
      </c>
      <c r="E9" s="102" t="n">
        <v>12</v>
      </c>
      <c r="F9" s="104" t="n">
        <f aca="false">Far_laeyr!F59</f>
        <v>1.26</v>
      </c>
      <c r="G9" s="102" t="n">
        <f aca="false">Far_laeyr!G59</f>
        <v>7</v>
      </c>
      <c r="H9" s="103" t="n">
        <f aca="false">Far_laeyr!H59</f>
        <v>8.82</v>
      </c>
      <c r="I9" s="103" t="n">
        <f aca="false">Far_laeyr!I59</f>
        <v>0.192008486562942</v>
      </c>
      <c r="J9" s="104" t="n">
        <f aca="false">Far_laeyr!J59</f>
        <v>0</v>
      </c>
      <c r="K9" s="104" t="n">
        <f aca="false">Far_laeyr!L59</f>
        <v>0</v>
      </c>
      <c r="M9" s="17"/>
      <c r="N9" s="3"/>
      <c r="O9" s="74" t="n">
        <v>80</v>
      </c>
      <c r="P9" s="34" t="e">
        <f aca="false">VLOOKUP(O9,$N$78:$Q$104,2,0)</f>
        <v>#N/A</v>
      </c>
      <c r="Q9" s="18" t="e">
        <f aca="false">VLOOKUP(O9,$N$78:$Q$104,3,0)</f>
        <v>#N/A</v>
      </c>
      <c r="R9" s="16" t="n">
        <f aca="false">VLOOKUP(O9,$N$78:$Q$104,4,0)</f>
        <v>-13.4172277227723</v>
      </c>
      <c r="S9" s="15"/>
      <c r="T9" s="20"/>
      <c r="X9" s="4"/>
      <c r="Y9" s="4"/>
    </row>
    <row r="10" customFormat="false" ht="14.25" hidden="false" customHeight="true" outlineLevel="0" collapsed="false">
      <c r="B10" s="102" t="str">
        <f aca="false">Far_laeyr!B60</f>
        <v>SOL-29MAY26-70-P-USDT</v>
      </c>
      <c r="C10" s="102" t="n">
        <f aca="false">Far_laeyr!C60</f>
        <v>70</v>
      </c>
      <c r="D10" s="103" t="n">
        <f aca="false">Far_laeyr!D60</f>
        <v>-0.22409187</v>
      </c>
      <c r="E10" s="102" t="n">
        <v>12</v>
      </c>
      <c r="F10" s="104" t="n">
        <f aca="false">Far_laeyr!F60</f>
        <v>3.55</v>
      </c>
      <c r="G10" s="102" t="n">
        <f aca="false">Far_laeyr!G60</f>
        <v>2</v>
      </c>
      <c r="H10" s="103" t="n">
        <f aca="false">Far_laeyr!H60</f>
        <v>7.1</v>
      </c>
      <c r="I10" s="103" t="n">
        <f aca="false">Far_laeyr!I60</f>
        <v>0.251060820367751</v>
      </c>
      <c r="J10" s="104" t="n">
        <f aca="false">Far_laeyr!J60</f>
        <v>0</v>
      </c>
      <c r="K10" s="104" t="n">
        <f aca="false">Far_laeyr!L60</f>
        <v>0</v>
      </c>
      <c r="N10" s="3"/>
      <c r="O10" s="74" t="n">
        <v>78</v>
      </c>
      <c r="P10" s="34" t="e">
        <f aca="false">VLOOKUP(O10,$N$78:$Q$104,2,0)</f>
        <v>#N/A</v>
      </c>
      <c r="Q10" s="18" t="e">
        <f aca="false">VLOOKUP(O10,$N$78:$Q$104,3,0)</f>
        <v>#N/A</v>
      </c>
      <c r="R10" s="16" t="n">
        <f aca="false">VLOOKUP(O10,$N$78:$Q$104,4,0)</f>
        <v>-9.41722772277228</v>
      </c>
      <c r="S10" s="16" t="e">
        <f aca="false">Q10-Q9</f>
        <v>#N/A</v>
      </c>
      <c r="T10" s="20"/>
      <c r="X10" s="37"/>
      <c r="Y10" s="37"/>
    </row>
    <row r="11" customFormat="false" ht="14.25" hidden="false" customHeight="true" outlineLevel="0" collapsed="false">
      <c r="B11" s="102" t="str">
        <f aca="false">Far_laeyr!B61</f>
        <v>SOL-1MAY26-60-P-USDT</v>
      </c>
      <c r="C11" s="102" t="n">
        <f aca="false">Far_laeyr!C61</f>
        <v>60</v>
      </c>
      <c r="D11" s="103" t="n">
        <f aca="false">Far_laeyr!D61</f>
        <v>-0.03792071</v>
      </c>
      <c r="E11" s="102" t="n">
        <v>47</v>
      </c>
      <c r="F11" s="104" t="n">
        <f aca="false">Far_laeyr!F61</f>
        <v>0.43</v>
      </c>
      <c r="G11" s="102" t="n">
        <v>1</v>
      </c>
      <c r="H11" s="103" t="n">
        <f aca="false">Far_laeyr!H61</f>
        <v>0.43</v>
      </c>
      <c r="I11" s="103" t="n">
        <f aca="false">Far_laeyr!I61</f>
        <v>0.0152050919377652</v>
      </c>
      <c r="J11" s="104" t="n">
        <f aca="false">Far_laeyr!J61</f>
        <v>0</v>
      </c>
      <c r="K11" s="104" t="n">
        <f aca="false">Far_laeyr!L61</f>
        <v>0</v>
      </c>
      <c r="N11" s="3"/>
      <c r="O11" s="74" t="n">
        <v>76</v>
      </c>
      <c r="P11" s="34" t="e">
        <f aca="false">VLOOKUP(O11,$N$78:$Q$104,2,0)</f>
        <v>#N/A</v>
      </c>
      <c r="Q11" s="18" t="e">
        <f aca="false">VLOOKUP(O11,$N$78:$Q$104,3,0)</f>
        <v>#N/A</v>
      </c>
      <c r="R11" s="16" t="n">
        <f aca="false">VLOOKUP(O11,$N$78:$Q$104,4,0)</f>
        <v>0.582772277227723</v>
      </c>
      <c r="S11" s="16" t="e">
        <f aca="false">Q11-Q10</f>
        <v>#N/A</v>
      </c>
      <c r="T11" s="20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</row>
    <row r="12" customFormat="false" ht="14.25" hidden="false" customHeight="true" outlineLevel="0" collapsed="false">
      <c r="B12" s="102" t="str">
        <f aca="false">Far_laeyr!B62</f>
        <v>SOL-1MAY26-70-P-USDT</v>
      </c>
      <c r="C12" s="102" t="n">
        <f aca="false">Far_laeyr!C62</f>
        <v>70</v>
      </c>
      <c r="D12" s="103" t="n">
        <f aca="false">Far_laeyr!D62</f>
        <v>-0.13970333</v>
      </c>
      <c r="E12" s="102" t="n">
        <v>12</v>
      </c>
      <c r="F12" s="104" t="n">
        <f aca="false">Far_laeyr!F62</f>
        <v>1.06</v>
      </c>
      <c r="G12" s="102" t="n">
        <f aca="false">Far_laeyr!G62</f>
        <v>3</v>
      </c>
      <c r="H12" s="103" t="n">
        <f aca="false">Far_laeyr!H62</f>
        <v>2</v>
      </c>
      <c r="I12" s="103" t="n">
        <f aca="false">Far_laeyr!I62</f>
        <v>0.0707213578500707</v>
      </c>
      <c r="J12" s="104" t="n">
        <f aca="false">Far_laeyr!J62</f>
        <v>0</v>
      </c>
      <c r="K12" s="104" t="n">
        <f aca="false">Far_laeyr!L62</f>
        <v>0</v>
      </c>
      <c r="N12" s="3"/>
      <c r="O12" s="74" t="n">
        <v>75</v>
      </c>
      <c r="P12" s="34" t="e">
        <f aca="false">VLOOKUP(O12,$N$78:$Q$104,2,0)</f>
        <v>#N/A</v>
      </c>
      <c r="Q12" s="18" t="e">
        <f aca="false">VLOOKUP(O12,$N$78:$Q$104,3,0)</f>
        <v>#N/A</v>
      </c>
      <c r="R12" s="16" t="n">
        <f aca="false">VLOOKUP(O12,$N$78:$Q$104,4,0)</f>
        <v>5.58277227722772</v>
      </c>
      <c r="S12" s="16" t="e">
        <f aca="false">Q12-Q11</f>
        <v>#N/A</v>
      </c>
      <c r="T12" s="20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  <c r="AS12" s="38"/>
      <c r="AT12" s="38"/>
      <c r="AU12" s="38"/>
      <c r="AV12" s="38"/>
    </row>
    <row r="13" customFormat="false" ht="15" hidden="false" customHeight="true" outlineLevel="0" collapsed="false">
      <c r="A13" s="6"/>
      <c r="B13" s="102" t="str">
        <f aca="false">Far_laeyr!B63</f>
        <v>SOL-24APR26-60-P-USDT</v>
      </c>
      <c r="C13" s="102" t="n">
        <f aca="false">Far_laeyr!C63</f>
        <v>60</v>
      </c>
      <c r="D13" s="103" t="n">
        <f aca="false">Far_laeyr!D63</f>
        <v>-0.03169814</v>
      </c>
      <c r="E13" s="102" t="n">
        <v>19</v>
      </c>
      <c r="F13" s="104" t="n">
        <f aca="false">Far_laeyr!F63</f>
        <v>0.47</v>
      </c>
      <c r="G13" s="102" t="n">
        <f aca="false">Far_laeyr!G63</f>
        <v>6</v>
      </c>
      <c r="H13" s="103" t="n">
        <f aca="false">Far_laeyr!H63</f>
        <v>2.82</v>
      </c>
      <c r="I13" s="103" t="n">
        <f aca="false">Far_laeyr!I63</f>
        <v>0.0997171145685997</v>
      </c>
      <c r="J13" s="104" t="n">
        <f aca="false">Far_laeyr!J63</f>
        <v>0</v>
      </c>
      <c r="K13" s="104" t="n">
        <f aca="false">Far_laeyr!L63</f>
        <v>0</v>
      </c>
      <c r="N13" s="3"/>
      <c r="O13" s="74" t="n">
        <v>74</v>
      </c>
      <c r="P13" s="34" t="e">
        <f aca="false">VLOOKUP(O13,$N$78:$Q$104,2,0)</f>
        <v>#N/A</v>
      </c>
      <c r="Q13" s="18" t="e">
        <f aca="false">VLOOKUP(O13,$N$78:$Q$104,3,0)</f>
        <v>#N/A</v>
      </c>
      <c r="R13" s="16" t="n">
        <f aca="false">VLOOKUP(O13,$N$78:$Q$104,4,0)</f>
        <v>13.5827722772277</v>
      </c>
      <c r="S13" s="16" t="e">
        <f aca="false">Q13-Q12</f>
        <v>#N/A</v>
      </c>
      <c r="T13" s="20"/>
      <c r="V13" s="6"/>
      <c r="W13" s="6"/>
      <c r="Y13" s="6"/>
      <c r="Z13" s="6"/>
      <c r="AA13" s="6"/>
      <c r="AB13" s="6"/>
      <c r="AC13" s="6"/>
      <c r="AD13" s="6"/>
      <c r="AG13" s="38"/>
      <c r="AH13" s="38"/>
      <c r="AI13" s="38"/>
      <c r="AJ13" s="38"/>
      <c r="AK13" s="38"/>
      <c r="AL13" s="38"/>
      <c r="AM13" s="38"/>
      <c r="AN13" s="38"/>
      <c r="AO13" s="38"/>
      <c r="AP13" s="38"/>
      <c r="AQ13" s="38"/>
      <c r="AR13" s="38"/>
      <c r="AS13" s="38"/>
      <c r="AT13" s="38"/>
      <c r="AU13" s="38"/>
      <c r="AV13" s="38"/>
    </row>
    <row r="14" customFormat="false" ht="14.25" hidden="false" customHeight="true" outlineLevel="0" collapsed="false">
      <c r="B14" s="102" t="str">
        <f aca="false">Far_laeyr!B64</f>
        <v>SOL-24APR26-65-P-USDT</v>
      </c>
      <c r="C14" s="102" t="n">
        <f aca="false">Far_laeyr!C64</f>
        <v>65</v>
      </c>
      <c r="D14" s="103" t="n">
        <f aca="false">Far_laeyr!D64</f>
        <v>-0.05661972</v>
      </c>
      <c r="E14" s="102" t="n">
        <v>47</v>
      </c>
      <c r="F14" s="104" t="n">
        <f aca="false">Far_laeyr!F64</f>
        <v>0.84</v>
      </c>
      <c r="G14" s="102" t="n">
        <f aca="false">Far_laeyr!G64</f>
        <v>5</v>
      </c>
      <c r="H14" s="103" t="n">
        <f aca="false">Far_laeyr!H64</f>
        <v>4.2</v>
      </c>
      <c r="I14" s="103" t="n">
        <f aca="false">Far_laeyr!I64</f>
        <v>0.148514851485149</v>
      </c>
      <c r="J14" s="104" t="n">
        <f aca="false">Far_laeyr!J64</f>
        <v>0</v>
      </c>
      <c r="K14" s="104" t="n">
        <f aca="false">Far_laeyr!L64</f>
        <v>0</v>
      </c>
      <c r="N14" s="3"/>
      <c r="O14" s="74" t="n">
        <v>72</v>
      </c>
      <c r="P14" s="34" t="e">
        <f aca="false">VLOOKUP(O14,$N$78:$Q$104,2,0)</f>
        <v>#N/A</v>
      </c>
      <c r="Q14" s="18" t="e">
        <f aca="false">VLOOKUP(O14,$N$78:$Q$104,3,0)</f>
        <v>#N/A</v>
      </c>
      <c r="R14" s="16" t="n">
        <f aca="false">VLOOKUP(O14,$N$78:$Q$104,4,0)</f>
        <v>29.5827722772277</v>
      </c>
      <c r="S14" s="16" t="e">
        <f aca="false">Q14-Q13</f>
        <v>#N/A</v>
      </c>
      <c r="T14" s="20"/>
    </row>
    <row r="15" customFormat="false" ht="15" hidden="false" customHeight="true" outlineLevel="0" collapsed="false">
      <c r="A15" s="9"/>
      <c r="B15" s="95" t="s">
        <v>40</v>
      </c>
      <c r="C15" s="93" t="n">
        <f aca="false">'Hedge_Midle(Test)'!B8</f>
        <v>75</v>
      </c>
      <c r="D15" s="105" t="n">
        <f aca="false">'Hedge_Midle(Test)'!C8</f>
        <v>-0.06935478</v>
      </c>
      <c r="E15" s="93" t="n">
        <f aca="false">'Hedge_Midle(Test)'!I8</f>
        <v>4</v>
      </c>
      <c r="F15" s="106" t="n">
        <f aca="false">($D$2-C15)/$D$2</f>
        <v>0.101035520855026</v>
      </c>
      <c r="G15" s="93" t="n">
        <v>3</v>
      </c>
      <c r="H15" s="107" t="n">
        <f aca="false">'Hedge_Midle(Test)'!G8</f>
        <v>1.2</v>
      </c>
      <c r="I15" s="107" t="n">
        <f aca="false">'Hedge_Midle(Test)'!N8</f>
        <v>3.6</v>
      </c>
      <c r="J15" s="106" t="n">
        <f aca="false">I15/$I$21</f>
        <v>0.284810126582278</v>
      </c>
      <c r="K15" s="106" t="n">
        <f aca="false">(Portfolio!$C$4-C15)/Portfolio!$C$4</f>
        <v>0.21875</v>
      </c>
      <c r="L15" s="2" t="e">
        <f aca="false">P15-T15</f>
        <v>#N/A</v>
      </c>
      <c r="N15" s="3"/>
      <c r="O15" s="74" t="n">
        <v>70</v>
      </c>
      <c r="P15" s="108" t="e">
        <f aca="false">VLOOKUP(O15,$N$78:$Q$104,2,0)</f>
        <v>#N/A</v>
      </c>
      <c r="Q15" s="18" t="e">
        <f aca="false">VLOOKUP(O15,$N$78:$Q$104,3,0)</f>
        <v>#N/A</v>
      </c>
      <c r="R15" s="16" t="n">
        <f aca="false">VLOOKUP(O15,$N$78:$Q$104,4,0)</f>
        <v>45.5827722772277</v>
      </c>
      <c r="S15" s="16" t="e">
        <f aca="false">Q15-Q14</f>
        <v>#N/A</v>
      </c>
      <c r="T15" s="20" t="n">
        <f aca="false">P68</f>
        <v>-10.3541862871945</v>
      </c>
      <c r="W15" s="9"/>
      <c r="Y15" s="39"/>
      <c r="Z15" s="40"/>
      <c r="AA15" s="39"/>
      <c r="AB15" s="9"/>
      <c r="AC15" s="9"/>
      <c r="AD15" s="9"/>
    </row>
    <row r="16" customFormat="false" ht="15" hidden="false" customHeight="true" outlineLevel="0" collapsed="false">
      <c r="A16" s="40"/>
      <c r="B16" s="95" t="s">
        <v>42</v>
      </c>
      <c r="C16" s="93" t="n">
        <f aca="false">'Hedge_Midle(Test)'!B9</f>
        <v>78</v>
      </c>
      <c r="D16" s="105" t="n">
        <f aca="false">'Hedge_Midle(Test)'!C9</f>
        <v>-0.12393151</v>
      </c>
      <c r="E16" s="93" t="n">
        <f aca="false">'Hedge_Midle(Test)'!I9</f>
        <v>4</v>
      </c>
      <c r="F16" s="106" t="n">
        <f aca="false">($D$2-C16)/$D$2</f>
        <v>0.0650769416892273</v>
      </c>
      <c r="G16" s="93" t="n">
        <v>3</v>
      </c>
      <c r="H16" s="107" t="n">
        <f aca="false">'Hedge_Midle(Test)'!G9</f>
        <v>1.74</v>
      </c>
      <c r="I16" s="107" t="n">
        <f aca="false">'Hedge_Midle(Test)'!N9</f>
        <v>5.22</v>
      </c>
      <c r="J16" s="106" t="n">
        <f aca="false">I16/$I$21</f>
        <v>0.412974683544304</v>
      </c>
      <c r="K16" s="106" t="n">
        <f aca="false">(Portfolio!$C$4-C16)/Portfolio!$C$4</f>
        <v>0.1875</v>
      </c>
      <c r="N16" s="3"/>
      <c r="O16" s="74" t="n">
        <v>65</v>
      </c>
      <c r="P16" s="34" t="e">
        <f aca="false">VLOOKUP(O16,$N$78:$Q$104,2,0)</f>
        <v>#N/A</v>
      </c>
      <c r="Q16" s="18" t="e">
        <f aca="false">VLOOKUP(O16,$N$78:$Q$104,3,0)</f>
        <v>#N/A</v>
      </c>
      <c r="R16" s="16" t="n">
        <f aca="false">VLOOKUP(O16,$N$78:$Q$104,4,0)</f>
        <v>110.582772277228</v>
      </c>
      <c r="S16" s="16" t="e">
        <f aca="false">Q16-Q15</f>
        <v>#N/A</v>
      </c>
      <c r="W16" s="14"/>
      <c r="Y16" s="39"/>
      <c r="Z16" s="40"/>
      <c r="AA16" s="39"/>
      <c r="AB16" s="14"/>
      <c r="AC16" s="14"/>
      <c r="AD16" s="14"/>
    </row>
    <row r="17" customFormat="false" ht="15" hidden="false" customHeight="true" outlineLevel="0" collapsed="false">
      <c r="A17" s="47"/>
      <c r="B17" s="95" t="s">
        <v>44</v>
      </c>
      <c r="C17" s="93" t="n">
        <f aca="false">'Hedge_Midle(Test)'!B10</f>
        <v>80</v>
      </c>
      <c r="D17" s="105" t="n">
        <f aca="false">'Hedge_Midle(Test)'!C10</f>
        <v>-0.18348904</v>
      </c>
      <c r="E17" s="93" t="n">
        <f aca="false">'Hedge_Midle(Test)'!I10</f>
        <v>4</v>
      </c>
      <c r="F17" s="106" t="n">
        <f aca="false">($D$2-C17)/$D$2</f>
        <v>0.0411045555786946</v>
      </c>
      <c r="G17" s="93" t="n">
        <v>2</v>
      </c>
      <c r="H17" s="107" t="n">
        <f aca="false">'Hedge_Midle(Test)'!G10</f>
        <v>1.91</v>
      </c>
      <c r="I17" s="107" t="n">
        <f aca="false">'Hedge_Midle(Test)'!N10</f>
        <v>3.82</v>
      </c>
      <c r="J17" s="106" t="n">
        <f aca="false">I17/$I$21</f>
        <v>0.302215189873418</v>
      </c>
      <c r="K17" s="106" t="n">
        <f aca="false">(Portfolio!$C$4-C17)/Portfolio!$C$4</f>
        <v>0.166666666666667</v>
      </c>
      <c r="N17" s="3"/>
      <c r="O17" s="74" t="n">
        <v>60</v>
      </c>
      <c r="P17" s="34" t="e">
        <f aca="false">VLOOKUP(O17,$N$78:$Q$104,2,0)</f>
        <v>#N/A</v>
      </c>
      <c r="Q17" s="18" t="e">
        <f aca="false">VLOOKUP(O17,$N$78:$Q$104,3,0)</f>
        <v>#N/A</v>
      </c>
      <c r="R17" s="16" t="n">
        <f aca="false">VLOOKUP(O17,$N$78:$Q$104,4,0)</f>
        <v>200.582772277228</v>
      </c>
      <c r="S17" s="16" t="e">
        <f aca="false">Q17-Q16</f>
        <v>#N/A</v>
      </c>
      <c r="W17" s="14"/>
      <c r="Y17" s="39"/>
      <c r="Z17" s="40"/>
      <c r="AA17" s="39"/>
      <c r="AB17" s="14"/>
      <c r="AC17" s="14"/>
      <c r="AD17" s="14"/>
    </row>
    <row r="18" customFormat="false" ht="15" hidden="false" customHeight="true" outlineLevel="0" collapsed="false">
      <c r="A18" s="49"/>
      <c r="B18" s="95" t="s">
        <v>75</v>
      </c>
      <c r="C18" s="93" t="n">
        <f aca="false">'Hedge_Midle(Test)'!B11</f>
        <v>80</v>
      </c>
      <c r="D18" s="105" t="n">
        <f aca="false">'Hedge_Midle(Test)'!C11</f>
        <v>-0.25249976</v>
      </c>
      <c r="E18" s="93" t="n">
        <f aca="false">'Hedge_Midle(Test)'!I11</f>
        <v>11</v>
      </c>
      <c r="F18" s="106" t="n">
        <f aca="false">($D$2-C18)/$D$2</f>
        <v>0.0411045555786946</v>
      </c>
      <c r="G18" s="93"/>
      <c r="H18" s="107" t="n">
        <f aca="false">'Hedge_Midle(Test)'!G11</f>
        <v>3.77</v>
      </c>
      <c r="I18" s="107" t="n">
        <f aca="false">'Hedge_Midle(Test)'!N11</f>
        <v>0</v>
      </c>
      <c r="J18" s="106" t="n">
        <f aca="false">I18/$I$21</f>
        <v>0</v>
      </c>
      <c r="K18" s="106" t="n">
        <f aca="false">(Portfolio!$C$4-C18)/Portfolio!$C$4</f>
        <v>0.166666666666667</v>
      </c>
      <c r="N18" s="3"/>
      <c r="O18" s="74" t="n">
        <v>59</v>
      </c>
      <c r="P18" s="34" t="e">
        <f aca="false">VLOOKUP(O18,$N$78:$Q$104,2,0)</f>
        <v>#N/A</v>
      </c>
      <c r="Q18" s="18" t="e">
        <f aca="false">VLOOKUP(O18,$N$78:$Q$104,3,0)</f>
        <v>#N/A</v>
      </c>
      <c r="R18" s="16" t="n">
        <f aca="false">VLOOKUP(O18,$N$78:$Q$104,4,0)</f>
        <v>232.582772277228</v>
      </c>
      <c r="S18" s="16" t="e">
        <f aca="false">Q18-Q17</f>
        <v>#N/A</v>
      </c>
      <c r="W18" s="14"/>
      <c r="Y18" s="39"/>
      <c r="Z18" s="14"/>
      <c r="AA18" s="39"/>
      <c r="AB18" s="14"/>
      <c r="AC18" s="14"/>
      <c r="AD18" s="14"/>
    </row>
    <row r="19" customFormat="false" ht="15" hidden="false" customHeight="true" outlineLevel="0" collapsed="false">
      <c r="A19" s="49"/>
      <c r="B19" s="95" t="s">
        <v>114</v>
      </c>
      <c r="C19" s="93" t="n">
        <f aca="false">'Hedge_Midle(Test)'!B12</f>
        <v>78</v>
      </c>
      <c r="D19" s="105" t="n">
        <f aca="false">'Hedge_Midle(Test)'!C12</f>
        <v>-0.29435913</v>
      </c>
      <c r="E19" s="93" t="n">
        <f aca="false">'Hedge_Midle(Test)'!I12</f>
        <v>39</v>
      </c>
      <c r="F19" s="106" t="n">
        <f aca="false">($D$2-C19)/$D$2</f>
        <v>0.0650769416892273</v>
      </c>
      <c r="G19" s="93"/>
      <c r="H19" s="107" t="n">
        <f aca="false">'Hedge_Midle(Test)'!G12</f>
        <v>5.27</v>
      </c>
      <c r="I19" s="107" t="n">
        <f aca="false">'Hedge_Midle(Test)'!N12</f>
        <v>0</v>
      </c>
      <c r="J19" s="106" t="n">
        <f aca="false">I19/$I$21</f>
        <v>0</v>
      </c>
      <c r="K19" s="106" t="n">
        <f aca="false">(Portfolio!$C$4-C19)/Portfolio!$C$4</f>
        <v>0.1875</v>
      </c>
      <c r="N19" s="3"/>
      <c r="O19" s="74" t="n">
        <v>58</v>
      </c>
      <c r="P19" s="34" t="e">
        <f aca="false">VLOOKUP(O19,$N$78:$Q$104,2,0)</f>
        <v>#N/A</v>
      </c>
      <c r="Q19" s="18" t="e">
        <f aca="false">VLOOKUP(O19,$N$78:$Q$104,3,0)</f>
        <v>#N/A</v>
      </c>
      <c r="R19" s="16" t="n">
        <f aca="false">VLOOKUP(O19,$N$78:$Q$104,4,0)</f>
        <v>264.582772277228</v>
      </c>
      <c r="S19" s="16" t="e">
        <f aca="false">Q19-Q18</f>
        <v>#N/A</v>
      </c>
      <c r="W19" s="14"/>
      <c r="Y19" s="39"/>
      <c r="Z19" s="14"/>
      <c r="AA19" s="39"/>
      <c r="AB19" s="14"/>
      <c r="AC19" s="14"/>
      <c r="AD19" s="14"/>
    </row>
    <row r="20" customFormat="false" ht="15" hidden="false" customHeight="true" outlineLevel="0" collapsed="false">
      <c r="A20" s="49"/>
      <c r="B20" s="95" t="s">
        <v>116</v>
      </c>
      <c r="C20" s="93" t="n">
        <f aca="false">'Hedge_Midle(Test)'!B13</f>
        <v>80</v>
      </c>
      <c r="D20" s="105" t="n">
        <f aca="false">'Hedge_Midle(Test)'!C13</f>
        <v>-0.33717089</v>
      </c>
      <c r="E20" s="93" t="n">
        <f aca="false">'Hedge_Midle(Test)'!I13</f>
        <v>39</v>
      </c>
      <c r="F20" s="106" t="n">
        <f aca="false">($D$2-C20)/$D$2</f>
        <v>0.0411045555786946</v>
      </c>
      <c r="G20" s="93"/>
      <c r="H20" s="107" t="n">
        <f aca="false">'Hedge_Midle(Test)'!G13</f>
        <v>6.05</v>
      </c>
      <c r="I20" s="107" t="n">
        <f aca="false">'Hedge_Midle(Test)'!N13</f>
        <v>0</v>
      </c>
      <c r="J20" s="106" t="n">
        <f aca="false">I20/$I$21</f>
        <v>0</v>
      </c>
      <c r="K20" s="106" t="n">
        <f aca="false">(Portfolio!$C$4-C20)/Portfolio!$C$4</f>
        <v>0.166666666666667</v>
      </c>
      <c r="N20" s="3"/>
      <c r="O20" s="74" t="n">
        <v>57</v>
      </c>
      <c r="P20" s="34" t="e">
        <f aca="false">VLOOKUP(O20,$N$78:$Q$104,2,0)</f>
        <v>#N/A</v>
      </c>
      <c r="Q20" s="18" t="e">
        <f aca="false">VLOOKUP(O20,$N$78:$Q$104,3,0)</f>
        <v>#N/A</v>
      </c>
      <c r="R20" s="16" t="n">
        <f aca="false">VLOOKUP(O20,$N$78:$Q$104,4,0)</f>
        <v>296.582772277228</v>
      </c>
      <c r="S20" s="16" t="e">
        <f aca="false">Q20-Q19</f>
        <v>#N/A</v>
      </c>
      <c r="W20" s="14"/>
      <c r="Y20" s="39"/>
      <c r="Z20" s="14"/>
      <c r="AA20" s="39"/>
      <c r="AB20" s="14"/>
      <c r="AC20" s="14"/>
      <c r="AD20" s="14"/>
    </row>
    <row r="21" customFormat="false" ht="16.5" hidden="false" customHeight="true" outlineLevel="0" collapsed="false">
      <c r="B21" s="52"/>
      <c r="C21" s="78"/>
      <c r="G21" s="3"/>
      <c r="H21" s="78"/>
      <c r="I21" s="78" t="n">
        <f aca="false">SUM(I15:I20)</f>
        <v>12.64</v>
      </c>
      <c r="J21" s="3"/>
      <c r="K21" s="3"/>
      <c r="L21" s="3"/>
      <c r="M21" s="3"/>
      <c r="Q21" s="18" t="e">
        <f aca="false">AVERAGE(Q$9:Q$14)</f>
        <v>#N/A</v>
      </c>
      <c r="W21" s="14"/>
      <c r="Y21" s="39"/>
      <c r="Z21" s="40"/>
      <c r="AA21" s="39"/>
      <c r="AB21" s="14"/>
      <c r="AC21" s="14"/>
      <c r="AD21" s="14"/>
    </row>
    <row r="22" customFormat="false" ht="16.5" hidden="false" customHeight="true" outlineLevel="0" collapsed="false">
      <c r="B22" s="52"/>
      <c r="C22" s="78"/>
      <c r="G22" s="3"/>
      <c r="H22" s="78"/>
      <c r="I22" s="78" t="n">
        <f aca="false">SUM(I9:I20)</f>
        <v>13.4172277227723</v>
      </c>
      <c r="J22" s="3"/>
      <c r="K22" s="3"/>
      <c r="L22" s="3"/>
      <c r="M22" s="3"/>
      <c r="W22" s="14"/>
      <c r="Y22" s="39"/>
      <c r="Z22" s="40"/>
      <c r="AA22" s="39"/>
      <c r="AB22" s="14"/>
      <c r="AC22" s="14"/>
      <c r="AD22" s="14"/>
    </row>
    <row r="23" customFormat="false" ht="16.5" hidden="false" customHeight="true" outlineLevel="0" collapsed="false">
      <c r="B23" s="52"/>
      <c r="C23" s="34" t="n">
        <v>12</v>
      </c>
      <c r="D23" s="34" t="n">
        <v>19</v>
      </c>
      <c r="E23" s="74" t="s">
        <v>201</v>
      </c>
      <c r="F23" s="66" t="s">
        <v>176</v>
      </c>
      <c r="G23" s="66" t="s">
        <v>202</v>
      </c>
      <c r="H23" s="78"/>
      <c r="I23" s="3"/>
      <c r="J23" s="3"/>
      <c r="K23" s="3"/>
      <c r="L23" s="3"/>
      <c r="M23" s="3"/>
      <c r="W23" s="14"/>
      <c r="Y23" s="39"/>
      <c r="Z23" s="40"/>
      <c r="AA23" s="39"/>
      <c r="AB23" s="14"/>
      <c r="AC23" s="14"/>
      <c r="AD23" s="14"/>
    </row>
    <row r="24" customFormat="false" ht="16.5" hidden="false" customHeight="true" outlineLevel="0" collapsed="false">
      <c r="B24" s="52" t="n">
        <v>72</v>
      </c>
      <c r="C24" s="34"/>
      <c r="D24" s="34"/>
      <c r="E24" s="74"/>
      <c r="F24" s="66"/>
      <c r="G24" s="66"/>
      <c r="H24" s="78"/>
      <c r="I24" s="3"/>
      <c r="J24" s="71"/>
      <c r="K24" s="3"/>
      <c r="L24" s="3"/>
      <c r="M24" s="3"/>
      <c r="W24" s="14"/>
      <c r="Y24" s="39"/>
      <c r="Z24" s="40"/>
      <c r="AA24" s="39"/>
      <c r="AB24" s="14"/>
      <c r="AC24" s="14"/>
      <c r="AD24" s="14"/>
    </row>
    <row r="25" customFormat="false" ht="16.5" hidden="false" customHeight="true" outlineLevel="0" collapsed="false">
      <c r="B25" s="52" t="n">
        <v>75</v>
      </c>
      <c r="C25" s="34" t="n">
        <f aca="false">G15</f>
        <v>3</v>
      </c>
      <c r="D25" s="34"/>
      <c r="E25" s="34" t="n">
        <f aca="false">SUM(C25:D25)</f>
        <v>3</v>
      </c>
      <c r="F25" s="18" t="n">
        <f aca="false">I15</f>
        <v>3.6</v>
      </c>
      <c r="G25" s="36" t="n">
        <f aca="false">F25/$F$28</f>
        <v>0.284810126582278</v>
      </c>
      <c r="H25" s="78"/>
      <c r="I25" s="39"/>
      <c r="J25" s="17" t="e">
        <f aca="false">Q21-Q74</f>
        <v>#N/A</v>
      </c>
      <c r="K25" s="109" t="e">
        <f aca="false">J25/L15</f>
        <v>#N/A</v>
      </c>
      <c r="L25" s="3"/>
      <c r="M25" s="3"/>
      <c r="W25" s="14"/>
      <c r="Y25" s="39"/>
      <c r="Z25" s="40"/>
      <c r="AA25" s="39"/>
      <c r="AB25" s="14"/>
      <c r="AC25" s="14"/>
      <c r="AD25" s="14"/>
    </row>
    <row r="26" customFormat="false" ht="16.5" hidden="false" customHeight="true" outlineLevel="0" collapsed="false">
      <c r="B26" s="52" t="n">
        <v>78</v>
      </c>
      <c r="C26" s="34" t="n">
        <f aca="false">G16</f>
        <v>3</v>
      </c>
      <c r="D26" s="34"/>
      <c r="E26" s="34" t="n">
        <f aca="false">SUM(C26:D26)</f>
        <v>3</v>
      </c>
      <c r="F26" s="18" t="n">
        <f aca="false">I16</f>
        <v>5.22</v>
      </c>
      <c r="G26" s="36" t="n">
        <f aca="false">F26/$F$28</f>
        <v>0.412974683544304</v>
      </c>
      <c r="H26" s="78"/>
      <c r="I26" s="39"/>
      <c r="K26" s="3"/>
      <c r="L26" s="3"/>
      <c r="M26" s="3"/>
      <c r="W26" s="14"/>
      <c r="Y26" s="39"/>
      <c r="Z26" s="40"/>
      <c r="AA26" s="39"/>
      <c r="AB26" s="14"/>
      <c r="AC26" s="14"/>
      <c r="AD26" s="14"/>
    </row>
    <row r="27" customFormat="false" ht="16.5" hidden="false" customHeight="true" outlineLevel="0" collapsed="false">
      <c r="B27" s="52" t="n">
        <v>80</v>
      </c>
      <c r="C27" s="34" t="n">
        <f aca="false">G17</f>
        <v>2</v>
      </c>
      <c r="D27" s="34" t="n">
        <f aca="false">G18</f>
        <v>0</v>
      </c>
      <c r="E27" s="34" t="n">
        <f aca="false">SUM(C27:D27)</f>
        <v>2</v>
      </c>
      <c r="F27" s="18" t="n">
        <f aca="false">I17+I18</f>
        <v>3.82</v>
      </c>
      <c r="G27" s="36" t="n">
        <f aca="false">F27/$F$28</f>
        <v>0.302215189873418</v>
      </c>
      <c r="H27" s="78"/>
      <c r="I27" s="39"/>
      <c r="J27" s="3"/>
      <c r="K27" s="3"/>
      <c r="L27" s="3"/>
      <c r="M27" s="3"/>
      <c r="W27" s="14"/>
      <c r="Y27" s="39"/>
      <c r="Z27" s="40"/>
      <c r="AA27" s="39"/>
      <c r="AB27" s="14"/>
      <c r="AC27" s="14"/>
      <c r="AD27" s="14"/>
    </row>
    <row r="28" customFormat="false" ht="16.5" hidden="false" customHeight="true" outlineLevel="0" collapsed="false">
      <c r="B28" s="52"/>
      <c r="C28" s="78"/>
      <c r="F28" s="78" t="n">
        <f aca="false">SUM(F25:F27)</f>
        <v>12.64</v>
      </c>
      <c r="G28" s="3"/>
      <c r="H28" s="78"/>
      <c r="I28" s="3"/>
      <c r="J28" s="3"/>
      <c r="K28" s="3"/>
      <c r="L28" s="3"/>
      <c r="M28" s="3"/>
      <c r="W28" s="14"/>
      <c r="Y28" s="39"/>
      <c r="Z28" s="40"/>
      <c r="AA28" s="39"/>
      <c r="AB28" s="14"/>
      <c r="AC28" s="14"/>
      <c r="AD28" s="14"/>
    </row>
    <row r="29" customFormat="false" ht="16.5" hidden="false" customHeight="true" outlineLevel="0" collapsed="false">
      <c r="B29" s="52"/>
      <c r="C29" s="78"/>
      <c r="G29" s="3"/>
      <c r="H29" s="78"/>
      <c r="I29" s="3"/>
      <c r="J29" s="3"/>
      <c r="K29" s="3"/>
      <c r="L29" s="3"/>
      <c r="M29" s="3"/>
      <c r="W29" s="14"/>
      <c r="Y29" s="39"/>
      <c r="Z29" s="40"/>
      <c r="AA29" s="39"/>
      <c r="AB29" s="14"/>
      <c r="AC29" s="14"/>
      <c r="AD29" s="14"/>
    </row>
    <row r="30" customFormat="false" ht="16.5" hidden="false" customHeight="true" outlineLevel="0" collapsed="false">
      <c r="B30" s="19" t="s">
        <v>0</v>
      </c>
      <c r="C30" s="19" t="s">
        <v>175</v>
      </c>
      <c r="D30" s="19" t="s">
        <v>13</v>
      </c>
      <c r="E30" s="19" t="s">
        <v>161</v>
      </c>
      <c r="F30" s="19" t="s">
        <v>206</v>
      </c>
      <c r="G30" s="19" t="s">
        <v>175</v>
      </c>
      <c r="H30" s="19" t="s">
        <v>176</v>
      </c>
      <c r="I30" s="19" t="s">
        <v>202</v>
      </c>
      <c r="J30" s="19"/>
      <c r="K30" s="19"/>
      <c r="L30" s="33"/>
      <c r="M30" s="33"/>
      <c r="O30" s="19" t="s">
        <v>209</v>
      </c>
      <c r="P30" s="34" t="s">
        <v>193</v>
      </c>
      <c r="Q30" s="34" t="s">
        <v>144</v>
      </c>
      <c r="R30" s="34" t="s">
        <v>194</v>
      </c>
      <c r="S30" s="15" t="s">
        <v>212</v>
      </c>
      <c r="W30" s="14"/>
      <c r="Y30" s="39"/>
      <c r="Z30" s="40"/>
      <c r="AA30" s="39"/>
      <c r="AB30" s="14"/>
      <c r="AC30" s="14"/>
      <c r="AD30" s="14"/>
    </row>
    <row r="31" customFormat="false" ht="16.5" hidden="false" customHeight="true" outlineLevel="0" collapsed="false">
      <c r="B31" s="15" t="str">
        <f aca="false">B9</f>
        <v>SOL-29MAY26-60-P-USDT</v>
      </c>
      <c r="C31" s="93" t="n">
        <v>60</v>
      </c>
      <c r="D31" s="18" t="n">
        <v>-0.02064356</v>
      </c>
      <c r="E31" s="34" t="n">
        <v>12</v>
      </c>
      <c r="F31" s="34" t="n">
        <v>0.280828416684021</v>
      </c>
      <c r="G31" s="34" t="n">
        <v>5</v>
      </c>
      <c r="H31" s="36" t="n">
        <v>0.61</v>
      </c>
      <c r="I31" s="36" t="n">
        <v>3.05</v>
      </c>
      <c r="J31" s="36" t="n">
        <v>0.11302475780409</v>
      </c>
      <c r="K31" s="36" t="n">
        <v>0.278412507516536</v>
      </c>
      <c r="L31" s="39"/>
      <c r="M31" s="39"/>
      <c r="O31" s="74" t="n">
        <v>80</v>
      </c>
      <c r="P31" s="34" t="n">
        <v>-4.01266580732875</v>
      </c>
      <c r="Q31" s="16" t="n">
        <v>2.53526040585978</v>
      </c>
      <c r="R31" s="16" t="n">
        <v>-25.7</v>
      </c>
      <c r="S31" s="15"/>
      <c r="T31" s="27"/>
      <c r="W31" s="14"/>
      <c r="Y31" s="39"/>
      <c r="Z31" s="40"/>
      <c r="AA31" s="39"/>
      <c r="AB31" s="14"/>
      <c r="AC31" s="14"/>
      <c r="AD31" s="14"/>
    </row>
    <row r="32" customFormat="false" ht="16.5" hidden="false" customHeight="true" outlineLevel="0" collapsed="false">
      <c r="B32" s="15" t="str">
        <f aca="false">B10</f>
        <v>SOL-29MAY26-70-P-USDT</v>
      </c>
      <c r="C32" s="93" t="n">
        <v>65</v>
      </c>
      <c r="D32" s="18" t="n">
        <v>-0.04448515</v>
      </c>
      <c r="E32" s="34" t="n">
        <v>12</v>
      </c>
      <c r="F32" s="34" t="n">
        <v>0.220897451407689</v>
      </c>
      <c r="G32" s="34" t="n">
        <v>4</v>
      </c>
      <c r="H32" s="36" t="n">
        <v>0.59</v>
      </c>
      <c r="I32" s="36" t="n">
        <v>2.36</v>
      </c>
      <c r="J32" s="36" t="n">
        <v>0.150699677072121</v>
      </c>
      <c r="K32" s="36" t="n">
        <v>0.218280216476248</v>
      </c>
      <c r="L32" s="39"/>
      <c r="M32" s="39"/>
      <c r="O32" s="74" t="n">
        <v>78</v>
      </c>
      <c r="P32" s="34" t="n">
        <v>-5.04173039605074</v>
      </c>
      <c r="Q32" s="16" t="n">
        <v>11.5666322035319</v>
      </c>
      <c r="R32" s="16" t="n">
        <v>-23.7</v>
      </c>
      <c r="S32" s="110" t="n">
        <v>9.03137179767213</v>
      </c>
      <c r="T32" s="27"/>
      <c r="W32" s="14"/>
      <c r="Y32" s="39"/>
      <c r="Z32" s="40"/>
      <c r="AA32" s="39"/>
      <c r="AB32" s="14"/>
      <c r="AC32" s="14"/>
      <c r="AD32" s="14"/>
    </row>
    <row r="33" customFormat="false" ht="16.5" hidden="false" customHeight="true" outlineLevel="0" collapsed="false">
      <c r="B33" s="15" t="str">
        <f aca="false">B11</f>
        <v>SOL-1MAY26-60-P-USDT</v>
      </c>
      <c r="C33" s="93" t="n">
        <v>60</v>
      </c>
      <c r="D33" s="18" t="n">
        <v>-0.09576622</v>
      </c>
      <c r="E33" s="34" t="n">
        <v>47</v>
      </c>
      <c r="F33" s="34" t="n">
        <v>0.280828416684021</v>
      </c>
      <c r="G33" s="34" t="n">
        <v>1</v>
      </c>
      <c r="H33" s="36" t="n">
        <v>1.74</v>
      </c>
      <c r="I33" s="36" t="n">
        <v>1.74</v>
      </c>
      <c r="J33" s="36" t="n">
        <v>0.136706135629709</v>
      </c>
      <c r="K33" s="36" t="n">
        <v>0.278412507516536</v>
      </c>
      <c r="L33" s="39"/>
      <c r="M33" s="39"/>
      <c r="O33" s="74" t="n">
        <v>76</v>
      </c>
      <c r="P33" s="34" t="n">
        <v>-6.19984079061948</v>
      </c>
      <c r="Q33" s="16" t="n">
        <v>22.7884407213219</v>
      </c>
      <c r="R33" s="16" t="n">
        <v>-15.7</v>
      </c>
      <c r="S33" s="110" t="n">
        <v>11.22180851779</v>
      </c>
      <c r="T33" s="27"/>
      <c r="W33" s="14"/>
      <c r="Y33" s="39"/>
      <c r="Z33" s="40"/>
      <c r="AA33" s="39"/>
      <c r="AB33" s="14"/>
      <c r="AC33" s="14"/>
      <c r="AD33" s="14"/>
    </row>
    <row r="34" customFormat="false" ht="16.5" hidden="false" customHeight="true" outlineLevel="0" collapsed="false">
      <c r="B34" s="15" t="str">
        <f aca="false">B12</f>
        <v>SOL-1MAY26-70-P-USDT</v>
      </c>
      <c r="C34" s="93" t="n">
        <v>70</v>
      </c>
      <c r="D34" s="18" t="n">
        <v>-0.09456793</v>
      </c>
      <c r="E34" s="34" t="n">
        <v>12</v>
      </c>
      <c r="F34" s="34" t="n">
        <v>0.160966486131358</v>
      </c>
      <c r="G34" s="34" t="n">
        <v>2</v>
      </c>
      <c r="H34" s="36" t="n">
        <v>0.98</v>
      </c>
      <c r="I34" s="36" t="n">
        <v>1.96</v>
      </c>
      <c r="J34" s="36" t="n">
        <v>0.135629709364908</v>
      </c>
      <c r="K34" s="36" t="n">
        <v>0.158147925435959</v>
      </c>
      <c r="L34" s="39"/>
      <c r="M34" s="39"/>
      <c r="O34" s="74" t="n">
        <v>75</v>
      </c>
      <c r="P34" s="34" t="n">
        <v>-6.82003169540375</v>
      </c>
      <c r="Q34" s="16" t="n">
        <v>29.296337467458</v>
      </c>
      <c r="R34" s="16" t="n">
        <v>-11.7</v>
      </c>
      <c r="S34" s="110" t="n">
        <v>6.5078967461361</v>
      </c>
      <c r="T34" s="27"/>
      <c r="W34" s="14"/>
      <c r="Y34" s="39"/>
      <c r="Z34" s="40"/>
      <c r="AA34" s="39"/>
      <c r="AB34" s="14"/>
      <c r="AC34" s="14"/>
      <c r="AD34" s="14"/>
    </row>
    <row r="35" customFormat="false" ht="16.5" hidden="false" customHeight="true" outlineLevel="0" collapsed="false">
      <c r="B35" s="15" t="str">
        <f aca="false">B13</f>
        <v>SOL-24APR26-60-P-USDT</v>
      </c>
      <c r="C35" s="93" t="n">
        <v>70</v>
      </c>
      <c r="D35" s="18" t="n">
        <v>-0.13750328</v>
      </c>
      <c r="E35" s="34" t="n">
        <v>19</v>
      </c>
      <c r="F35" s="34" t="n">
        <v>0.160966486131358</v>
      </c>
      <c r="G35" s="34" t="n">
        <v>1</v>
      </c>
      <c r="H35" s="36" t="n">
        <v>1.51</v>
      </c>
      <c r="I35" s="36" t="n">
        <v>1.51</v>
      </c>
      <c r="J35" s="36" t="n">
        <v>0.144241119483315</v>
      </c>
      <c r="K35" s="36" t="n">
        <v>0.158147925435959</v>
      </c>
      <c r="L35" s="39"/>
      <c r="M35" s="39"/>
      <c r="O35" s="74" t="n">
        <v>74</v>
      </c>
      <c r="P35" s="34" t="n">
        <v>-7.46270549135703</v>
      </c>
      <c r="Q35" s="16" t="n">
        <v>36.4360024539176</v>
      </c>
      <c r="R35" s="16" t="n">
        <v>-3.7</v>
      </c>
      <c r="S35" s="110" t="n">
        <v>7.13966498645958</v>
      </c>
      <c r="T35" s="27"/>
      <c r="W35" s="14"/>
      <c r="Y35" s="39"/>
      <c r="Z35" s="40"/>
      <c r="AA35" s="39"/>
      <c r="AB35" s="14"/>
      <c r="AC35" s="14"/>
      <c r="AD35" s="14"/>
    </row>
    <row r="36" customFormat="false" ht="16.5" hidden="false" customHeight="true" outlineLevel="0" collapsed="false">
      <c r="B36" s="15" t="str">
        <f aca="false">B14</f>
        <v>SOL-24APR26-65-P-USDT</v>
      </c>
      <c r="C36" s="93" t="n">
        <v>70</v>
      </c>
      <c r="D36" s="18" t="n">
        <v>-0.2091895</v>
      </c>
      <c r="E36" s="34" t="n">
        <v>47</v>
      </c>
      <c r="F36" s="34" t="n">
        <v>0.160966486131358</v>
      </c>
      <c r="G36" s="34" t="n">
        <v>1</v>
      </c>
      <c r="H36" s="36" t="n">
        <v>3.15</v>
      </c>
      <c r="I36" s="36" t="n">
        <v>3.15</v>
      </c>
      <c r="J36" s="36" t="n">
        <v>0.319698600645856</v>
      </c>
      <c r="K36" s="36" t="n">
        <v>0.158147925435959</v>
      </c>
      <c r="L36" s="39"/>
      <c r="M36" s="39"/>
      <c r="O36" s="74" t="n">
        <v>72</v>
      </c>
      <c r="P36" s="34" t="n">
        <v>-8.79852336123369</v>
      </c>
      <c r="Q36" s="16" t="n">
        <v>52.6879785564973</v>
      </c>
      <c r="R36" s="16" t="n">
        <v>12.3</v>
      </c>
      <c r="S36" s="110" t="n">
        <v>16.2519761025797</v>
      </c>
      <c r="T36" s="27"/>
      <c r="W36" s="14"/>
      <c r="Y36" s="39"/>
      <c r="Z36" s="40"/>
      <c r="AA36" s="39"/>
      <c r="AB36" s="14"/>
      <c r="AC36" s="14"/>
      <c r="AD36" s="14"/>
    </row>
    <row r="37" customFormat="false" ht="16.5" hidden="false" customHeight="true" outlineLevel="0" collapsed="false">
      <c r="B37" s="15" t="str">
        <f aca="false">B15</f>
        <v>SOL-24APR26-75-P-USDT</v>
      </c>
      <c r="C37" s="93" t="n">
        <v>75</v>
      </c>
      <c r="D37" s="18" t="n">
        <v>-0.13670913</v>
      </c>
      <c r="E37" s="34" t="n">
        <v>12</v>
      </c>
      <c r="F37" s="34" t="n">
        <v>0.101035520855026</v>
      </c>
      <c r="G37" s="34" t="n">
        <v>4</v>
      </c>
      <c r="H37" s="36" t="n">
        <v>1.2</v>
      </c>
      <c r="I37" s="36" t="n">
        <v>4.8</v>
      </c>
      <c r="J37" s="36" t="n">
        <v>0.402347024308466</v>
      </c>
      <c r="K37" s="36" t="n">
        <v>0.11660777385159</v>
      </c>
      <c r="L37" s="3" t="n">
        <v>-6.27111681573827</v>
      </c>
      <c r="M37" s="109" t="n">
        <v>-3.95824818324058</v>
      </c>
      <c r="O37" s="74" t="n">
        <v>70</v>
      </c>
      <c r="P37" s="108" t="n">
        <v>-10.1719271794543</v>
      </c>
      <c r="Q37" s="16" t="n">
        <v>71.6551334839265</v>
      </c>
      <c r="R37" s="16" t="n">
        <v>28.3</v>
      </c>
      <c r="S37" s="110" t="n">
        <v>18.9671549274292</v>
      </c>
      <c r="W37" s="14"/>
      <c r="Y37" s="39"/>
      <c r="Z37" s="40"/>
      <c r="AA37" s="39"/>
      <c r="AB37" s="14"/>
      <c r="AC37" s="14"/>
      <c r="AD37" s="14"/>
    </row>
    <row r="38" customFormat="false" ht="16.5" hidden="false" customHeight="true" outlineLevel="0" collapsed="false">
      <c r="B38" s="15" t="str">
        <f aca="false">B16</f>
        <v>SOL-24APR26-78-P-USDT</v>
      </c>
      <c r="C38" s="108" t="n">
        <v>78</v>
      </c>
      <c r="D38" s="111" t="n">
        <v>-0.21041525</v>
      </c>
      <c r="E38" s="108" t="n">
        <v>12</v>
      </c>
      <c r="F38" s="108" t="n">
        <v>0.0650769416892273</v>
      </c>
      <c r="G38" s="34" t="n">
        <v>3</v>
      </c>
      <c r="H38" s="112" t="n">
        <v>1.74</v>
      </c>
      <c r="I38" s="112" t="n">
        <v>5.22</v>
      </c>
      <c r="J38" s="112" t="n">
        <v>0.437552388935457</v>
      </c>
      <c r="K38" s="112" t="n">
        <v>0.0812720848056538</v>
      </c>
      <c r="L38" s="39"/>
      <c r="M38" s="39"/>
      <c r="O38" s="74" t="n">
        <v>65</v>
      </c>
      <c r="P38" s="34" t="n">
        <v>-13.5539371222682</v>
      </c>
      <c r="Q38" s="16" t="n">
        <v>131.057009013378</v>
      </c>
      <c r="R38" s="16" t="n">
        <v>88.3</v>
      </c>
      <c r="S38" s="110" t="n">
        <v>59.4018755294518</v>
      </c>
      <c r="W38" s="14"/>
      <c r="Y38" s="39"/>
      <c r="Z38" s="40"/>
      <c r="AA38" s="39"/>
      <c r="AB38" s="14"/>
      <c r="AC38" s="14"/>
      <c r="AD38" s="14"/>
    </row>
    <row r="39" customFormat="false" ht="16.5" hidden="false" customHeight="true" outlineLevel="0" collapsed="false">
      <c r="B39" s="15" t="str">
        <f aca="false">B17</f>
        <v>SOL-24APR26-80-P-USDT</v>
      </c>
      <c r="C39" s="108" t="n">
        <v>80</v>
      </c>
      <c r="D39" s="111" t="n">
        <v>-0.27609847</v>
      </c>
      <c r="E39" s="108" t="n">
        <v>12</v>
      </c>
      <c r="F39" s="108" t="n">
        <v>0.0411045555786946</v>
      </c>
      <c r="G39" s="34" t="n">
        <v>1</v>
      </c>
      <c r="H39" s="112" t="n">
        <v>1.91</v>
      </c>
      <c r="I39" s="112" t="n">
        <v>1.91</v>
      </c>
      <c r="J39" s="112" t="n">
        <v>0.160100586756077</v>
      </c>
      <c r="K39" s="112" t="n">
        <v>0.0577149587750295</v>
      </c>
      <c r="L39" s="39"/>
      <c r="M39" s="39"/>
      <c r="O39" s="74" t="n">
        <v>60</v>
      </c>
      <c r="P39" s="34" t="n">
        <v>-16.5645791782512</v>
      </c>
      <c r="Q39" s="16" t="n">
        <v>206.565212059561</v>
      </c>
      <c r="R39" s="16" t="n">
        <v>168.3</v>
      </c>
      <c r="S39" s="110" t="n">
        <v>75.5082030461826</v>
      </c>
      <c r="W39" s="14"/>
      <c r="Y39" s="39"/>
      <c r="Z39" s="40"/>
      <c r="AA39" s="39"/>
      <c r="AB39" s="14"/>
      <c r="AC39" s="14"/>
      <c r="AD39" s="14"/>
    </row>
    <row r="40" customFormat="false" ht="16.5" hidden="false" customHeight="true" outlineLevel="0" collapsed="false">
      <c r="B40" s="15" t="str">
        <f aca="false">B18</f>
        <v>SOL-1MAY26-80-P-USDT</v>
      </c>
      <c r="C40" s="108" t="n">
        <v>80</v>
      </c>
      <c r="D40" s="111" t="n">
        <v>-0.31532837</v>
      </c>
      <c r="E40" s="108" t="n">
        <v>19</v>
      </c>
      <c r="F40" s="108" t="n">
        <v>0.0411045555786946</v>
      </c>
      <c r="G40" s="34"/>
      <c r="H40" s="112" t="n">
        <v>3.77</v>
      </c>
      <c r="I40" s="112" t="n">
        <v>0</v>
      </c>
      <c r="J40" s="112" t="n">
        <v>0</v>
      </c>
      <c r="K40" s="112" t="n">
        <v>0.0577149587750295</v>
      </c>
      <c r="L40" s="39"/>
      <c r="M40" s="39"/>
      <c r="O40" s="74" t="n">
        <v>59</v>
      </c>
      <c r="P40" s="34" t="n">
        <v>-17.09981848788</v>
      </c>
      <c r="Q40" s="16" t="n">
        <v>223.399513761447</v>
      </c>
      <c r="R40" s="16" t="n">
        <v>190.3</v>
      </c>
      <c r="S40" s="110" t="n">
        <v>16.8343017018859</v>
      </c>
      <c r="W40" s="14"/>
      <c r="Y40" s="39"/>
      <c r="Z40" s="40"/>
      <c r="AA40" s="39"/>
      <c r="AB40" s="14"/>
      <c r="AC40" s="14"/>
      <c r="AD40" s="14"/>
    </row>
    <row r="41" customFormat="false" ht="16.5" hidden="false" customHeight="true" outlineLevel="0" collapsed="false">
      <c r="B41" s="15" t="str">
        <f aca="false">B19</f>
        <v>SOL-29MAY26-78-P-USDT</v>
      </c>
      <c r="C41" s="108" t="n">
        <v>78</v>
      </c>
      <c r="D41" s="111" t="n">
        <v>-0.324669</v>
      </c>
      <c r="E41" s="108" t="n">
        <v>47</v>
      </c>
      <c r="F41" s="108" t="n">
        <v>0.0650769416892273</v>
      </c>
      <c r="G41" s="112"/>
      <c r="H41" s="112" t="n">
        <v>5.27</v>
      </c>
      <c r="I41" s="112" t="n">
        <v>0</v>
      </c>
      <c r="J41" s="112" t="n">
        <v>0</v>
      </c>
      <c r="K41" s="112" t="n">
        <v>0.0812720848056538</v>
      </c>
      <c r="L41" s="39"/>
      <c r="M41" s="39"/>
      <c r="O41" s="74" t="n">
        <v>58</v>
      </c>
      <c r="P41" s="34" t="n">
        <v>-17.6090700496311</v>
      </c>
      <c r="Q41" s="16" t="n">
        <v>240.75618595484</v>
      </c>
      <c r="R41" s="16" t="n">
        <v>212.3</v>
      </c>
      <c r="S41" s="110" t="n">
        <v>17.3566721933929</v>
      </c>
      <c r="W41" s="14"/>
      <c r="Y41" s="39"/>
      <c r="Z41" s="40"/>
      <c r="AA41" s="39"/>
      <c r="AB41" s="14"/>
      <c r="AC41" s="14"/>
      <c r="AD41" s="14"/>
    </row>
    <row r="42" customFormat="false" ht="16.5" hidden="false" customHeight="true" outlineLevel="0" collapsed="false">
      <c r="B42" s="15" t="str">
        <f aca="false">B20</f>
        <v>SOL-29MAY26-80-P-USDT</v>
      </c>
      <c r="C42" s="108" t="n">
        <v>80</v>
      </c>
      <c r="D42" s="111" t="n">
        <v>-0.36366731</v>
      </c>
      <c r="E42" s="108" t="n">
        <v>47</v>
      </c>
      <c r="F42" s="108" t="n">
        <v>0.0411045555786946</v>
      </c>
      <c r="G42" s="112"/>
      <c r="H42" s="112" t="n">
        <v>6.05</v>
      </c>
      <c r="I42" s="112" t="n">
        <v>0</v>
      </c>
      <c r="J42" s="112" t="n">
        <v>0</v>
      </c>
      <c r="K42" s="112" t="n">
        <v>0.0577149587750295</v>
      </c>
      <c r="L42" s="39"/>
      <c r="M42" s="39"/>
      <c r="O42" s="74" t="n">
        <v>57</v>
      </c>
      <c r="P42" s="34" t="n">
        <v>-18.0908606578741</v>
      </c>
      <c r="Q42" s="16" t="n">
        <v>258.608499355517</v>
      </c>
      <c r="R42" s="16" t="n">
        <v>234.3</v>
      </c>
      <c r="S42" s="110" t="n">
        <v>17.8523134006777</v>
      </c>
      <c r="W42" s="14"/>
      <c r="Y42" s="39"/>
      <c r="Z42" s="40"/>
      <c r="AA42" s="39"/>
      <c r="AB42" s="14"/>
      <c r="AC42" s="14"/>
      <c r="AD42" s="14"/>
    </row>
    <row r="43" customFormat="false" ht="16.5" hidden="false" customHeight="true" outlineLevel="0" collapsed="false">
      <c r="B43" s="52"/>
      <c r="C43" s="78"/>
      <c r="D43" s="78"/>
      <c r="E43" s="78"/>
      <c r="G43" s="3"/>
      <c r="H43" s="3"/>
      <c r="I43" s="3" t="n">
        <v>11.93</v>
      </c>
      <c r="J43" s="3"/>
      <c r="K43" s="3"/>
      <c r="L43" s="3"/>
      <c r="M43" s="3"/>
      <c r="Q43" s="2" t="n">
        <v>25.8851086347644</v>
      </c>
      <c r="W43" s="14"/>
      <c r="Y43" s="39"/>
      <c r="Z43" s="40"/>
      <c r="AA43" s="39"/>
      <c r="AB43" s="14"/>
      <c r="AC43" s="14"/>
      <c r="AD43" s="14"/>
    </row>
    <row r="44" customFormat="false" ht="16.5" hidden="false" customHeight="true" outlineLevel="0" collapsed="false">
      <c r="B44" s="52"/>
      <c r="C44" s="78"/>
      <c r="D44" s="78"/>
      <c r="E44" s="78"/>
      <c r="G44" s="3"/>
      <c r="H44" s="3"/>
      <c r="I44" s="3"/>
      <c r="J44" s="3"/>
      <c r="K44" s="3"/>
      <c r="L44" s="3"/>
      <c r="M44" s="3"/>
      <c r="W44" s="14"/>
      <c r="Y44" s="39"/>
      <c r="Z44" s="40"/>
      <c r="AA44" s="39"/>
      <c r="AB44" s="14"/>
      <c r="AC44" s="14"/>
      <c r="AD44" s="14"/>
    </row>
    <row r="45" customFormat="false" ht="16.5" hidden="false" customHeight="true" outlineLevel="0" collapsed="false">
      <c r="B45" s="19" t="s">
        <v>0</v>
      </c>
      <c r="C45" s="19" t="s">
        <v>175</v>
      </c>
      <c r="D45" s="19" t="s">
        <v>13</v>
      </c>
      <c r="E45" s="19" t="s">
        <v>161</v>
      </c>
      <c r="F45" s="19" t="s">
        <v>206</v>
      </c>
      <c r="G45" s="19" t="s">
        <v>175</v>
      </c>
      <c r="H45" s="19" t="s">
        <v>176</v>
      </c>
      <c r="I45" s="19" t="s">
        <v>202</v>
      </c>
      <c r="J45" s="19"/>
      <c r="K45" s="19"/>
      <c r="L45" s="33"/>
      <c r="M45" s="33"/>
      <c r="O45" s="19" t="s">
        <v>209</v>
      </c>
      <c r="P45" s="34" t="s">
        <v>193</v>
      </c>
      <c r="Q45" s="34" t="s">
        <v>144</v>
      </c>
      <c r="R45" s="34" t="s">
        <v>194</v>
      </c>
      <c r="S45" s="15" t="s">
        <v>212</v>
      </c>
      <c r="W45" s="14"/>
      <c r="Y45" s="39"/>
      <c r="Z45" s="40"/>
      <c r="AA45" s="39"/>
      <c r="AB45" s="14"/>
      <c r="AC45" s="14"/>
      <c r="AD45" s="14"/>
    </row>
    <row r="46" customFormat="false" ht="16.5" hidden="false" customHeight="true" outlineLevel="0" collapsed="false">
      <c r="B46" s="15" t="str">
        <f aca="false">B31</f>
        <v>SOL-29MAY26-60-P-USDT</v>
      </c>
      <c r="C46" s="93"/>
      <c r="D46" s="18"/>
      <c r="E46" s="34"/>
      <c r="F46" s="34"/>
      <c r="G46" s="36"/>
      <c r="H46" s="36"/>
      <c r="I46" s="36"/>
      <c r="J46" s="36"/>
      <c r="K46" s="36"/>
      <c r="L46" s="39"/>
      <c r="M46" s="39"/>
      <c r="O46" s="74"/>
      <c r="P46" s="34"/>
      <c r="Q46" s="16"/>
      <c r="R46" s="16"/>
      <c r="S46" s="15"/>
      <c r="T46" s="27"/>
      <c r="W46" s="14"/>
      <c r="Y46" s="39"/>
      <c r="Z46" s="40"/>
      <c r="AA46" s="39"/>
      <c r="AB46" s="14"/>
      <c r="AC46" s="14"/>
      <c r="AD46" s="14"/>
    </row>
    <row r="47" customFormat="false" ht="16.5" hidden="false" customHeight="true" outlineLevel="0" collapsed="false">
      <c r="B47" s="15" t="str">
        <f aca="false">B32</f>
        <v>SOL-29MAY26-70-P-USDT</v>
      </c>
      <c r="C47" s="93"/>
      <c r="D47" s="18"/>
      <c r="E47" s="34"/>
      <c r="F47" s="34"/>
      <c r="G47" s="36"/>
      <c r="H47" s="36"/>
      <c r="I47" s="36"/>
      <c r="J47" s="36"/>
      <c r="K47" s="36"/>
      <c r="L47" s="39"/>
      <c r="M47" s="39"/>
      <c r="O47" s="74"/>
      <c r="P47" s="34"/>
      <c r="Q47" s="16"/>
      <c r="R47" s="16"/>
      <c r="S47" s="16"/>
      <c r="T47" s="27"/>
      <c r="W47" s="14"/>
      <c r="Y47" s="39"/>
      <c r="Z47" s="40"/>
      <c r="AA47" s="39"/>
      <c r="AB47" s="14"/>
      <c r="AC47" s="14"/>
      <c r="AD47" s="14"/>
    </row>
    <row r="48" customFormat="false" ht="16.5" hidden="false" customHeight="true" outlineLevel="0" collapsed="false">
      <c r="B48" s="15" t="str">
        <f aca="false">B33</f>
        <v>SOL-1MAY26-60-P-USDT</v>
      </c>
      <c r="C48" s="93"/>
      <c r="D48" s="18"/>
      <c r="E48" s="34"/>
      <c r="F48" s="34"/>
      <c r="G48" s="36"/>
      <c r="H48" s="36"/>
      <c r="I48" s="36"/>
      <c r="J48" s="36"/>
      <c r="K48" s="36"/>
      <c r="L48" s="39"/>
      <c r="M48" s="39"/>
      <c r="O48" s="74"/>
      <c r="P48" s="34"/>
      <c r="Q48" s="16"/>
      <c r="R48" s="16"/>
      <c r="S48" s="16"/>
      <c r="T48" s="27"/>
      <c r="W48" s="14"/>
      <c r="Y48" s="39"/>
      <c r="Z48" s="40"/>
      <c r="AA48" s="39"/>
      <c r="AB48" s="14"/>
      <c r="AC48" s="14"/>
      <c r="AD48" s="14"/>
    </row>
    <row r="49" customFormat="false" ht="16.5" hidden="false" customHeight="true" outlineLevel="0" collapsed="false">
      <c r="B49" s="15" t="str">
        <f aca="false">B34</f>
        <v>SOL-1MAY26-70-P-USDT</v>
      </c>
      <c r="C49" s="93"/>
      <c r="D49" s="18"/>
      <c r="E49" s="34"/>
      <c r="F49" s="34"/>
      <c r="G49" s="36"/>
      <c r="H49" s="36"/>
      <c r="I49" s="36"/>
      <c r="J49" s="36"/>
      <c r="K49" s="36"/>
      <c r="L49" s="39"/>
      <c r="M49" s="39"/>
      <c r="O49" s="74"/>
      <c r="P49" s="34"/>
      <c r="Q49" s="16"/>
      <c r="R49" s="16"/>
      <c r="S49" s="16"/>
      <c r="T49" s="27"/>
      <c r="W49" s="14"/>
      <c r="Y49" s="39"/>
      <c r="Z49" s="40"/>
      <c r="AA49" s="39"/>
      <c r="AB49" s="14"/>
      <c r="AC49" s="14"/>
      <c r="AD49" s="14"/>
    </row>
    <row r="50" customFormat="false" ht="16.5" hidden="false" customHeight="true" outlineLevel="0" collapsed="false">
      <c r="B50" s="15" t="str">
        <f aca="false">B35</f>
        <v>SOL-24APR26-60-P-USDT</v>
      </c>
      <c r="C50" s="93"/>
      <c r="D50" s="18"/>
      <c r="E50" s="34"/>
      <c r="F50" s="34"/>
      <c r="G50" s="36"/>
      <c r="H50" s="36"/>
      <c r="I50" s="36"/>
      <c r="J50" s="36"/>
      <c r="K50" s="36"/>
      <c r="L50" s="39"/>
      <c r="M50" s="39"/>
      <c r="O50" s="74"/>
      <c r="P50" s="34"/>
      <c r="Q50" s="16"/>
      <c r="R50" s="16"/>
      <c r="S50" s="16"/>
      <c r="T50" s="27"/>
      <c r="W50" s="14"/>
      <c r="Y50" s="39"/>
      <c r="Z50" s="40"/>
      <c r="AA50" s="39"/>
      <c r="AB50" s="14"/>
      <c r="AC50" s="14"/>
      <c r="AD50" s="14"/>
    </row>
    <row r="51" customFormat="false" ht="16.5" hidden="false" customHeight="true" outlineLevel="0" collapsed="false">
      <c r="B51" s="15" t="str">
        <f aca="false">B36</f>
        <v>SOL-24APR26-65-P-USDT</v>
      </c>
      <c r="C51" s="93"/>
      <c r="D51" s="18"/>
      <c r="E51" s="34"/>
      <c r="F51" s="34"/>
      <c r="G51" s="36"/>
      <c r="H51" s="36"/>
      <c r="I51" s="36"/>
      <c r="J51" s="36"/>
      <c r="K51" s="36"/>
      <c r="L51" s="39"/>
      <c r="M51" s="39"/>
      <c r="O51" s="74"/>
      <c r="P51" s="34"/>
      <c r="Q51" s="16"/>
      <c r="R51" s="16"/>
      <c r="S51" s="16"/>
      <c r="T51" s="27"/>
      <c r="W51" s="14"/>
      <c r="Y51" s="39"/>
      <c r="Z51" s="40"/>
      <c r="AA51" s="39"/>
      <c r="AB51" s="14"/>
      <c r="AC51" s="14"/>
      <c r="AD51" s="14"/>
    </row>
    <row r="52" customFormat="false" ht="16.5" hidden="false" customHeight="true" outlineLevel="0" collapsed="false">
      <c r="B52" s="15" t="str">
        <f aca="false">B37</f>
        <v>SOL-24APR26-75-P-USDT</v>
      </c>
      <c r="C52" s="93"/>
      <c r="D52" s="18"/>
      <c r="E52" s="34"/>
      <c r="F52" s="34"/>
      <c r="G52" s="36"/>
      <c r="H52" s="36"/>
      <c r="I52" s="36"/>
      <c r="J52" s="36"/>
      <c r="K52" s="36"/>
      <c r="L52" s="39"/>
      <c r="M52" s="39"/>
      <c r="W52" s="14"/>
      <c r="Y52" s="39"/>
      <c r="Z52" s="40"/>
      <c r="AA52" s="39"/>
      <c r="AB52" s="14"/>
      <c r="AC52" s="14"/>
      <c r="AD52" s="14"/>
    </row>
    <row r="53" customFormat="false" ht="16.5" hidden="false" customHeight="true" outlineLevel="0" collapsed="false">
      <c r="B53" s="15" t="str">
        <f aca="false">B38</f>
        <v>SOL-24APR26-78-P-USDT</v>
      </c>
      <c r="C53" s="108"/>
      <c r="D53" s="111"/>
      <c r="E53" s="108"/>
      <c r="F53" s="108"/>
      <c r="G53" s="112"/>
      <c r="H53" s="112"/>
      <c r="I53" s="112"/>
      <c r="J53" s="112"/>
      <c r="K53" s="112"/>
      <c r="L53" s="39"/>
      <c r="M53" s="39"/>
      <c r="W53" s="14"/>
      <c r="Y53" s="39"/>
      <c r="Z53" s="40"/>
      <c r="AA53" s="39"/>
      <c r="AB53" s="14"/>
      <c r="AC53" s="14"/>
      <c r="AD53" s="14"/>
    </row>
    <row r="54" customFormat="false" ht="16.5" hidden="false" customHeight="true" outlineLevel="0" collapsed="false">
      <c r="B54" s="15" t="str">
        <f aca="false">B39</f>
        <v>SOL-24APR26-80-P-USDT</v>
      </c>
      <c r="C54" s="108"/>
      <c r="D54" s="111"/>
      <c r="E54" s="108"/>
      <c r="F54" s="108"/>
      <c r="G54" s="112"/>
      <c r="H54" s="112"/>
      <c r="I54" s="112"/>
      <c r="J54" s="112"/>
      <c r="K54" s="112"/>
      <c r="L54" s="39"/>
      <c r="M54" s="39"/>
      <c r="W54" s="14"/>
      <c r="Y54" s="39"/>
      <c r="Z54" s="40"/>
      <c r="AA54" s="39"/>
      <c r="AB54" s="14"/>
      <c r="AC54" s="14"/>
      <c r="AD54" s="14"/>
    </row>
    <row r="55" customFormat="false" ht="16.5" hidden="false" customHeight="true" outlineLevel="0" collapsed="false">
      <c r="B55" s="15" t="str">
        <f aca="false">B40</f>
        <v>SOL-1MAY26-80-P-USDT</v>
      </c>
      <c r="C55" s="108"/>
      <c r="D55" s="111"/>
      <c r="E55" s="108"/>
      <c r="F55" s="108"/>
      <c r="G55" s="112"/>
      <c r="H55" s="112"/>
      <c r="I55" s="112"/>
      <c r="J55" s="112"/>
      <c r="K55" s="112"/>
      <c r="L55" s="39"/>
      <c r="M55" s="39"/>
      <c r="W55" s="14"/>
      <c r="Y55" s="39"/>
      <c r="Z55" s="40"/>
      <c r="AA55" s="39"/>
      <c r="AB55" s="14"/>
      <c r="AC55" s="14"/>
      <c r="AD55" s="14"/>
    </row>
    <row r="56" customFormat="false" ht="16.5" hidden="false" customHeight="true" outlineLevel="0" collapsed="false">
      <c r="B56" s="15"/>
      <c r="C56" s="108"/>
      <c r="D56" s="111"/>
      <c r="E56" s="108"/>
      <c r="F56" s="108"/>
      <c r="G56" s="112"/>
      <c r="H56" s="112"/>
      <c r="I56" s="112"/>
      <c r="J56" s="112"/>
      <c r="K56" s="112"/>
      <c r="L56" s="39"/>
      <c r="M56" s="39"/>
      <c r="W56" s="14"/>
      <c r="Y56" s="39"/>
      <c r="Z56" s="40"/>
      <c r="AA56" s="39"/>
      <c r="AB56" s="14"/>
      <c r="AC56" s="14"/>
      <c r="AD56" s="14"/>
    </row>
    <row r="57" customFormat="false" ht="16.5" hidden="false" customHeight="true" outlineLevel="0" collapsed="false">
      <c r="B57" s="15"/>
      <c r="C57" s="108"/>
      <c r="D57" s="111"/>
      <c r="E57" s="108"/>
      <c r="F57" s="108"/>
      <c r="G57" s="112"/>
      <c r="H57" s="112"/>
      <c r="I57" s="112"/>
      <c r="J57" s="112"/>
      <c r="K57" s="112"/>
      <c r="L57" s="39"/>
      <c r="M57" s="39"/>
      <c r="W57" s="14"/>
      <c r="Y57" s="39"/>
      <c r="Z57" s="40"/>
      <c r="AA57" s="39"/>
      <c r="AB57" s="14"/>
      <c r="AC57" s="14"/>
      <c r="AD57" s="14"/>
    </row>
    <row r="58" customFormat="false" ht="16.5" hidden="false" customHeight="true" outlineLevel="0" collapsed="false">
      <c r="C58" s="3"/>
      <c r="D58" s="78"/>
      <c r="E58" s="3"/>
      <c r="F58" s="3"/>
      <c r="G58" s="39"/>
      <c r="H58" s="39"/>
      <c r="I58" s="39"/>
      <c r="J58" s="39"/>
      <c r="K58" s="39"/>
      <c r="L58" s="39"/>
      <c r="M58" s="39"/>
      <c r="W58" s="14"/>
      <c r="Y58" s="39"/>
      <c r="Z58" s="40"/>
      <c r="AA58" s="39"/>
      <c r="AB58" s="14"/>
      <c r="AC58" s="14"/>
      <c r="AD58" s="14"/>
    </row>
    <row r="59" customFormat="false" ht="16.5" hidden="false" customHeight="true" outlineLevel="0" collapsed="false">
      <c r="B59" s="52"/>
      <c r="C59" s="78"/>
      <c r="D59" s="78"/>
      <c r="E59" s="78"/>
      <c r="G59" s="3"/>
      <c r="H59" s="3"/>
      <c r="I59" s="3"/>
      <c r="J59" s="3"/>
      <c r="K59" s="3"/>
      <c r="L59" s="3"/>
      <c r="M59" s="3"/>
      <c r="W59" s="14"/>
      <c r="Y59" s="39"/>
      <c r="Z59" s="40"/>
      <c r="AA59" s="39"/>
      <c r="AB59" s="14"/>
      <c r="AC59" s="14"/>
      <c r="AD59" s="14"/>
    </row>
    <row r="60" customFormat="false" ht="16.5" hidden="false" customHeight="true" outlineLevel="0" collapsed="false">
      <c r="B60" s="52"/>
      <c r="C60" s="78"/>
      <c r="D60" s="78"/>
      <c r="E60" s="78"/>
      <c r="G60" s="3"/>
      <c r="H60" s="3"/>
      <c r="I60" s="3"/>
      <c r="J60" s="3"/>
      <c r="K60" s="3"/>
      <c r="L60" s="79" t="s">
        <v>217</v>
      </c>
      <c r="M60" s="79"/>
      <c r="W60" s="14"/>
      <c r="Y60" s="39"/>
      <c r="Z60" s="40"/>
      <c r="AA60" s="39"/>
      <c r="AB60" s="14"/>
      <c r="AC60" s="14"/>
      <c r="AD60" s="14"/>
    </row>
    <row r="61" customFormat="false" ht="16.5" hidden="false" customHeight="true" outlineLevel="0" collapsed="false">
      <c r="B61" s="19" t="s">
        <v>0</v>
      </c>
      <c r="C61" s="19" t="s">
        <v>12</v>
      </c>
      <c r="D61" s="19" t="s">
        <v>13</v>
      </c>
      <c r="E61" s="19" t="s">
        <v>161</v>
      </c>
      <c r="F61" s="19" t="s">
        <v>206</v>
      </c>
      <c r="G61" s="19" t="s">
        <v>175</v>
      </c>
      <c r="H61" s="19" t="s">
        <v>213</v>
      </c>
      <c r="I61" s="19" t="s">
        <v>176</v>
      </c>
      <c r="J61" s="19" t="s">
        <v>202</v>
      </c>
      <c r="K61" s="19" t="s">
        <v>207</v>
      </c>
      <c r="L61" s="19" t="s">
        <v>213</v>
      </c>
      <c r="M61" s="19" t="s">
        <v>218</v>
      </c>
      <c r="O61" s="19" t="s">
        <v>209</v>
      </c>
      <c r="P61" s="34" t="s">
        <v>193</v>
      </c>
      <c r="Q61" s="34" t="s">
        <v>144</v>
      </c>
      <c r="R61" s="34" t="s">
        <v>194</v>
      </c>
      <c r="S61" s="15" t="s">
        <v>212</v>
      </c>
      <c r="W61" s="14"/>
      <c r="Y61" s="39"/>
      <c r="Z61" s="40"/>
      <c r="AA61" s="39"/>
      <c r="AB61" s="14"/>
      <c r="AC61" s="14"/>
      <c r="AD61" s="14"/>
    </row>
    <row r="62" customFormat="false" ht="16.5" hidden="false" customHeight="true" outlineLevel="0" collapsed="false">
      <c r="B62" s="15" t="str">
        <f aca="false">B9</f>
        <v>SOL-29MAY26-60-P-USDT</v>
      </c>
      <c r="C62" s="93" t="n">
        <v>60</v>
      </c>
      <c r="D62" s="18" t="n">
        <v>-0.02064356</v>
      </c>
      <c r="E62" s="34" t="n">
        <v>12</v>
      </c>
      <c r="F62" s="34" t="n">
        <v>0.280828416684021</v>
      </c>
      <c r="G62" s="34" t="n">
        <v>5</v>
      </c>
      <c r="H62" s="103" t="n">
        <v>0.61</v>
      </c>
      <c r="I62" s="103" t="n">
        <v>3.05</v>
      </c>
      <c r="J62" s="36" t="n">
        <v>0.11302475780409</v>
      </c>
      <c r="K62" s="36" t="n">
        <v>0.278412507516536</v>
      </c>
      <c r="L62" s="103" t="n">
        <f aca="false">Far_laeyr!L59</f>
        <v>0</v>
      </c>
      <c r="M62" s="113" t="n">
        <f aca="false">Far_laeyr!M59</f>
        <v>70</v>
      </c>
      <c r="O62" s="74" t="n">
        <v>80</v>
      </c>
      <c r="P62" s="34" t="n">
        <v>-4.22024035470236</v>
      </c>
      <c r="Q62" s="16" t="n">
        <v>3.5772224896422</v>
      </c>
      <c r="R62" s="16" t="n">
        <v>-26.41</v>
      </c>
      <c r="S62" s="15"/>
      <c r="T62" s="27"/>
      <c r="W62" s="14"/>
      <c r="Y62" s="39"/>
      <c r="Z62" s="40"/>
      <c r="AA62" s="39"/>
      <c r="AB62" s="14"/>
      <c r="AC62" s="14"/>
      <c r="AD62" s="14"/>
    </row>
    <row r="63" customFormat="false" ht="16.5" hidden="false" customHeight="true" outlineLevel="0" collapsed="false">
      <c r="B63" s="15" t="str">
        <f aca="false">B10</f>
        <v>SOL-29MAY26-70-P-USDT</v>
      </c>
      <c r="C63" s="93" t="n">
        <v>65</v>
      </c>
      <c r="D63" s="18" t="n">
        <v>-0.04448515</v>
      </c>
      <c r="E63" s="34" t="n">
        <v>12</v>
      </c>
      <c r="F63" s="34" t="n">
        <v>0.220897451407689</v>
      </c>
      <c r="G63" s="34" t="n">
        <v>4</v>
      </c>
      <c r="H63" s="103" t="n">
        <v>0.59</v>
      </c>
      <c r="I63" s="103" t="n">
        <v>2.36</v>
      </c>
      <c r="J63" s="36" t="n">
        <v>0.150699677072121</v>
      </c>
      <c r="K63" s="36" t="n">
        <v>0.218280216476248</v>
      </c>
      <c r="L63" s="103" t="n">
        <f aca="false">Far_laeyr!L60</f>
        <v>0</v>
      </c>
      <c r="M63" s="113" t="n">
        <f aca="false">Far_laeyr!M60</f>
        <v>65</v>
      </c>
      <c r="O63" s="74" t="n">
        <v>78</v>
      </c>
      <c r="P63" s="34" t="n">
        <v>-5.26753238945508</v>
      </c>
      <c r="Q63" s="16" t="n">
        <v>13.0435036230173</v>
      </c>
      <c r="R63" s="16" t="n">
        <v>-22.41</v>
      </c>
      <c r="S63" s="110" t="n">
        <v>9.4662811333751</v>
      </c>
      <c r="T63" s="27"/>
      <c r="W63" s="14"/>
      <c r="Y63" s="39"/>
      <c r="Z63" s="40"/>
      <c r="AA63" s="39"/>
      <c r="AB63" s="14"/>
      <c r="AC63" s="14"/>
      <c r="AD63" s="14"/>
    </row>
    <row r="64" customFormat="false" ht="16.5" hidden="false" customHeight="true" outlineLevel="0" collapsed="false">
      <c r="B64" s="15" t="str">
        <f aca="false">B11</f>
        <v>SOL-1MAY26-60-P-USDT</v>
      </c>
      <c r="C64" s="93" t="n">
        <v>60</v>
      </c>
      <c r="D64" s="18" t="n">
        <v>-0.09576622</v>
      </c>
      <c r="E64" s="34" t="n">
        <v>47</v>
      </c>
      <c r="F64" s="34" t="n">
        <v>0.280828416684021</v>
      </c>
      <c r="G64" s="34" t="n">
        <v>1</v>
      </c>
      <c r="H64" s="103" t="n">
        <v>1.74</v>
      </c>
      <c r="I64" s="103" t="n">
        <v>1.74</v>
      </c>
      <c r="J64" s="36" t="n">
        <v>0.136706135629709</v>
      </c>
      <c r="K64" s="36" t="n">
        <v>0.278412507516536</v>
      </c>
      <c r="L64" s="103" t="n">
        <f aca="false">Far_laeyr!L61</f>
        <v>0</v>
      </c>
      <c r="M64" s="113" t="n">
        <f aca="false">Far_laeyr!M61</f>
        <v>64</v>
      </c>
      <c r="O64" s="74" t="n">
        <v>76</v>
      </c>
      <c r="P64" s="34" t="n">
        <v>-6.43321280770579</v>
      </c>
      <c r="Q64" s="16" t="n">
        <v>24.7264776564608</v>
      </c>
      <c r="R64" s="16" t="n">
        <v>-12.41</v>
      </c>
      <c r="S64" s="110" t="n">
        <v>11.6829740334435</v>
      </c>
      <c r="T64" s="27"/>
      <c r="W64" s="14"/>
      <c r="Y64" s="39"/>
      <c r="Z64" s="40"/>
      <c r="AA64" s="39"/>
      <c r="AB64" s="14"/>
      <c r="AC64" s="14"/>
      <c r="AD64" s="14"/>
    </row>
    <row r="65" customFormat="false" ht="16.5" hidden="false" customHeight="true" outlineLevel="0" collapsed="false">
      <c r="B65" s="15" t="str">
        <f aca="false">B12</f>
        <v>SOL-1MAY26-70-P-USDT</v>
      </c>
      <c r="C65" s="93" t="n">
        <v>70</v>
      </c>
      <c r="D65" s="18" t="n">
        <v>-0.09456793</v>
      </c>
      <c r="E65" s="34" t="n">
        <v>12</v>
      </c>
      <c r="F65" s="34" t="n">
        <v>0.160966486131358</v>
      </c>
      <c r="G65" s="34" t="n">
        <v>2</v>
      </c>
      <c r="H65" s="103" t="n">
        <v>0.98</v>
      </c>
      <c r="I65" s="103" t="n">
        <v>1.96</v>
      </c>
      <c r="J65" s="36" t="n">
        <v>0.135629709364908</v>
      </c>
      <c r="K65" s="36" t="n">
        <v>0.158147925435959</v>
      </c>
      <c r="L65" s="103" t="n">
        <f aca="false">Far_laeyr!L62</f>
        <v>0</v>
      </c>
      <c r="M65" s="113" t="n">
        <f aca="false">Far_laeyr!M62</f>
        <v>63</v>
      </c>
      <c r="O65" s="74" t="n">
        <v>75</v>
      </c>
      <c r="P65" s="34" t="n">
        <v>-7.05250449871111</v>
      </c>
      <c r="Q65" s="16" t="n">
        <v>31.4675678354523</v>
      </c>
      <c r="R65" s="16" t="n">
        <v>-7.41</v>
      </c>
      <c r="S65" s="110" t="n">
        <v>6.74109017899153</v>
      </c>
      <c r="T65" s="27"/>
      <c r="W65" s="14"/>
      <c r="Y65" s="39"/>
      <c r="Z65" s="40"/>
      <c r="AA65" s="39"/>
      <c r="AB65" s="14"/>
      <c r="AC65" s="14"/>
      <c r="AD65" s="14"/>
    </row>
    <row r="66" customFormat="false" ht="16.5" hidden="false" customHeight="true" outlineLevel="0" collapsed="false">
      <c r="B66" s="15" t="str">
        <f aca="false">B13</f>
        <v>SOL-24APR26-60-P-USDT</v>
      </c>
      <c r="C66" s="93" t="n">
        <v>70</v>
      </c>
      <c r="D66" s="18" t="n">
        <v>-0.13750328</v>
      </c>
      <c r="E66" s="34" t="n">
        <v>19</v>
      </c>
      <c r="F66" s="34" t="n">
        <v>0.160966486131358</v>
      </c>
      <c r="G66" s="34" t="n">
        <v>1</v>
      </c>
      <c r="H66" s="103" t="n">
        <v>1.51</v>
      </c>
      <c r="I66" s="103" t="n">
        <v>1.51</v>
      </c>
      <c r="J66" s="36" t="n">
        <v>0.144241119483315</v>
      </c>
      <c r="K66" s="36" t="n">
        <v>0.158147925435959</v>
      </c>
      <c r="L66" s="103" t="n">
        <f aca="false">Far_laeyr!L63</f>
        <v>0</v>
      </c>
      <c r="M66" s="113" t="n">
        <f aca="false">Far_laeyr!M63</f>
        <v>62</v>
      </c>
      <c r="O66" s="74" t="n">
        <v>74</v>
      </c>
      <c r="P66" s="34" t="n">
        <v>-7.69101276845929</v>
      </c>
      <c r="Q66" s="16" t="n">
        <v>38.8378946898137</v>
      </c>
      <c r="R66" s="16" t="n">
        <v>0.590000000000001</v>
      </c>
      <c r="S66" s="110" t="n">
        <v>7.37032685436135</v>
      </c>
      <c r="T66" s="27"/>
      <c r="W66" s="14"/>
      <c r="Y66" s="39"/>
      <c r="Z66" s="40"/>
      <c r="AA66" s="39"/>
      <c r="AB66" s="14"/>
      <c r="AC66" s="14"/>
      <c r="AD66" s="14"/>
    </row>
    <row r="67" customFormat="false" ht="16.5" hidden="false" customHeight="true" outlineLevel="0" collapsed="false">
      <c r="B67" s="15" t="str">
        <f aca="false">B14</f>
        <v>SOL-24APR26-65-P-USDT</v>
      </c>
      <c r="C67" s="93" t="n">
        <v>70</v>
      </c>
      <c r="D67" s="18" t="n">
        <v>-0.2091895</v>
      </c>
      <c r="E67" s="34" t="n">
        <v>47</v>
      </c>
      <c r="F67" s="34" t="n">
        <v>0.160966486131358</v>
      </c>
      <c r="G67" s="34" t="n">
        <v>1</v>
      </c>
      <c r="H67" s="103" t="n">
        <v>3.15</v>
      </c>
      <c r="I67" s="103" t="n">
        <v>3.15</v>
      </c>
      <c r="J67" s="36" t="n">
        <v>0.319698600645856</v>
      </c>
      <c r="K67" s="36" t="n">
        <v>0.158147925435959</v>
      </c>
      <c r="L67" s="103" t="n">
        <f aca="false">Far_laeyr!L64</f>
        <v>0</v>
      </c>
      <c r="M67" s="113" t="n">
        <f aca="false">Far_laeyr!M64</f>
        <v>61</v>
      </c>
      <c r="O67" s="74" t="n">
        <v>72</v>
      </c>
      <c r="P67" s="34" t="n">
        <v>-9.00908359131486</v>
      </c>
      <c r="Q67" s="16" t="n">
        <v>55.5307396778395</v>
      </c>
      <c r="R67" s="16" t="n">
        <v>16.59</v>
      </c>
      <c r="S67" s="110" t="n">
        <v>16.6928449880259</v>
      </c>
      <c r="T67" s="27"/>
      <c r="W67" s="14"/>
      <c r="Y67" s="39"/>
      <c r="Z67" s="40"/>
      <c r="AA67" s="39"/>
      <c r="AB67" s="14"/>
      <c r="AC67" s="14"/>
      <c r="AD67" s="14"/>
    </row>
    <row r="68" customFormat="false" ht="16.5" hidden="false" customHeight="true" outlineLevel="0" collapsed="false">
      <c r="B68" s="15" t="str">
        <f aca="false">B15</f>
        <v>SOL-24APR26-75-P-USDT</v>
      </c>
      <c r="C68" s="93" t="n">
        <v>75</v>
      </c>
      <c r="D68" s="18" t="n">
        <v>-0.13670913</v>
      </c>
      <c r="E68" s="34" t="n">
        <v>12</v>
      </c>
      <c r="F68" s="34" t="n">
        <v>0.101035520855026</v>
      </c>
      <c r="G68" s="34" t="n">
        <v>3</v>
      </c>
      <c r="H68" s="103" t="n">
        <v>1.2</v>
      </c>
      <c r="I68" s="103" t="n">
        <v>3.6</v>
      </c>
      <c r="J68" s="36" t="n">
        <v>0.284810126582278</v>
      </c>
      <c r="K68" s="36" t="n">
        <v>0.11660777385159</v>
      </c>
      <c r="L68" s="103" t="n">
        <v>1.76</v>
      </c>
      <c r="M68" s="113" t="n">
        <v>3</v>
      </c>
      <c r="O68" s="74" t="n">
        <v>70</v>
      </c>
      <c r="P68" s="34" t="n">
        <v>-10.3541862871945</v>
      </c>
      <c r="Q68" s="16" t="n">
        <v>74.8921886612381</v>
      </c>
      <c r="R68" s="16" t="n">
        <v>32.59</v>
      </c>
      <c r="S68" s="110" t="n">
        <v>19.3614489833986</v>
      </c>
      <c r="W68" s="14"/>
      <c r="Y68" s="39"/>
      <c r="Z68" s="40"/>
      <c r="AA68" s="39"/>
      <c r="AB68" s="14"/>
      <c r="AC68" s="14"/>
      <c r="AD68" s="14"/>
    </row>
    <row r="69" customFormat="false" ht="16.5" hidden="false" customHeight="true" outlineLevel="0" collapsed="false">
      <c r="B69" s="15" t="str">
        <f aca="false">B16</f>
        <v>SOL-24APR26-78-P-USDT</v>
      </c>
      <c r="C69" s="93" t="n">
        <v>78</v>
      </c>
      <c r="D69" s="18" t="n">
        <v>-0.21041525</v>
      </c>
      <c r="E69" s="34" t="n">
        <v>12</v>
      </c>
      <c r="F69" s="34" t="n">
        <v>0.0650769416892273</v>
      </c>
      <c r="G69" s="34" t="n">
        <v>3</v>
      </c>
      <c r="H69" s="103" t="n">
        <v>1.74</v>
      </c>
      <c r="I69" s="103" t="n">
        <v>5.22</v>
      </c>
      <c r="J69" s="36" t="n">
        <v>0.412974683544304</v>
      </c>
      <c r="K69" s="36" t="n">
        <v>0.0812720848056538</v>
      </c>
      <c r="L69" s="103"/>
      <c r="M69" s="113"/>
      <c r="O69" s="74" t="n">
        <v>65</v>
      </c>
      <c r="P69" s="34" t="n">
        <v>-13.6470592895619</v>
      </c>
      <c r="Q69" s="16" t="n">
        <v>134.984093178241</v>
      </c>
      <c r="R69" s="16" t="n">
        <v>92.59</v>
      </c>
      <c r="S69" s="110" t="n">
        <v>60.0919045170027</v>
      </c>
      <c r="W69" s="14"/>
      <c r="Y69" s="39"/>
      <c r="Z69" s="40"/>
      <c r="AA69" s="39"/>
      <c r="AB69" s="14"/>
      <c r="AC69" s="14"/>
      <c r="AD69" s="14"/>
    </row>
    <row r="70" customFormat="false" ht="16.5" hidden="false" customHeight="true" outlineLevel="0" collapsed="false">
      <c r="B70" s="15" t="str">
        <f aca="false">B17</f>
        <v>SOL-24APR26-80-P-USDT</v>
      </c>
      <c r="C70" s="93" t="n">
        <v>80</v>
      </c>
      <c r="D70" s="18" t="n">
        <v>-0.27609847</v>
      </c>
      <c r="E70" s="34" t="n">
        <v>12</v>
      </c>
      <c r="F70" s="34" t="n">
        <v>0.0411045555786946</v>
      </c>
      <c r="G70" s="34" t="n">
        <v>2</v>
      </c>
      <c r="H70" s="103" t="n">
        <v>1.91</v>
      </c>
      <c r="I70" s="103" t="n">
        <v>3.82</v>
      </c>
      <c r="J70" s="36" t="n">
        <v>0.302215189873418</v>
      </c>
      <c r="K70" s="36" t="n">
        <v>0.0577149587750295</v>
      </c>
      <c r="L70" s="103"/>
      <c r="M70" s="113"/>
      <c r="O70" s="74" t="n">
        <v>60</v>
      </c>
      <c r="P70" s="34" t="n">
        <v>-16.5928868699235</v>
      </c>
      <c r="Q70" s="16" t="n">
        <v>210.777452989892</v>
      </c>
      <c r="R70" s="16" t="n">
        <v>172.59</v>
      </c>
      <c r="S70" s="110" t="n">
        <v>75.7933598116508</v>
      </c>
      <c r="W70" s="14"/>
      <c r="Y70" s="39"/>
      <c r="Z70" s="40"/>
      <c r="AA70" s="39"/>
      <c r="AB70" s="14"/>
      <c r="AC70" s="14"/>
      <c r="AD70" s="14"/>
    </row>
    <row r="71" customFormat="false" ht="16.5" hidden="false" customHeight="true" outlineLevel="0" collapsed="false">
      <c r="B71" s="15" t="str">
        <f aca="false">B18</f>
        <v>SOL-1MAY26-80-P-USDT</v>
      </c>
      <c r="C71" s="93" t="n">
        <v>80</v>
      </c>
      <c r="D71" s="18" t="n">
        <v>-0.31532837</v>
      </c>
      <c r="E71" s="34" t="n">
        <v>19</v>
      </c>
      <c r="F71" s="34" t="n">
        <v>0.0411045555786946</v>
      </c>
      <c r="G71" s="34"/>
      <c r="H71" s="103" t="n">
        <v>3.77</v>
      </c>
      <c r="I71" s="103" t="n">
        <v>0</v>
      </c>
      <c r="J71" s="36" t="n">
        <v>0</v>
      </c>
      <c r="K71" s="36" t="n">
        <v>0.0577149587750295</v>
      </c>
      <c r="L71" s="103"/>
      <c r="M71" s="113"/>
      <c r="O71" s="74" t="n">
        <v>59</v>
      </c>
      <c r="P71" s="34" t="n">
        <v>-17.1205738146857</v>
      </c>
      <c r="Q71" s="16" t="n">
        <v>227.636143818319</v>
      </c>
      <c r="R71" s="16" t="n">
        <v>194.59</v>
      </c>
      <c r="S71" s="110" t="n">
        <v>16.8586908284269</v>
      </c>
      <c r="W71" s="14"/>
      <c r="Y71" s="39"/>
      <c r="Z71" s="40"/>
      <c r="AA71" s="39"/>
      <c r="AB71" s="14"/>
      <c r="AC71" s="14"/>
      <c r="AD71" s="14"/>
    </row>
    <row r="72" customFormat="false" ht="16.5" hidden="false" customHeight="true" outlineLevel="0" collapsed="false">
      <c r="B72" s="15" t="str">
        <f aca="false">B19</f>
        <v>SOL-29MAY26-78-P-USDT</v>
      </c>
      <c r="C72" s="93" t="n">
        <v>78</v>
      </c>
      <c r="D72" s="18" t="n">
        <v>-0.324669</v>
      </c>
      <c r="E72" s="34" t="n">
        <v>47</v>
      </c>
      <c r="F72" s="34" t="n">
        <v>0.0650769416892273</v>
      </c>
      <c r="G72" s="34"/>
      <c r="H72" s="103" t="n">
        <v>5.27</v>
      </c>
      <c r="I72" s="103" t="n">
        <v>0</v>
      </c>
      <c r="J72" s="36" t="n">
        <v>0</v>
      </c>
      <c r="K72" s="36" t="n">
        <v>0.0812720848056538</v>
      </c>
      <c r="L72" s="103"/>
      <c r="M72" s="113"/>
      <c r="O72" s="74" t="n">
        <v>58</v>
      </c>
      <c r="P72" s="34" t="n">
        <v>-17.623889503228</v>
      </c>
      <c r="Q72" s="16" t="n">
        <v>245.010476870522</v>
      </c>
      <c r="R72" s="16" t="n">
        <v>216.59</v>
      </c>
      <c r="S72" s="110" t="n">
        <v>17.3743330522037</v>
      </c>
      <c r="W72" s="14"/>
      <c r="Y72" s="39"/>
      <c r="Z72" s="40"/>
      <c r="AA72" s="39"/>
      <c r="AB72" s="14"/>
      <c r="AC72" s="14"/>
      <c r="AD72" s="14"/>
    </row>
    <row r="73" customFormat="false" ht="16.5" hidden="false" customHeight="true" outlineLevel="0" collapsed="false">
      <c r="B73" s="15" t="str">
        <f aca="false">B20</f>
        <v>SOL-29MAY26-80-P-USDT</v>
      </c>
      <c r="C73" s="93" t="n">
        <v>80</v>
      </c>
      <c r="D73" s="18" t="n">
        <v>-0.36366731</v>
      </c>
      <c r="E73" s="34" t="n">
        <v>47</v>
      </c>
      <c r="F73" s="34" t="n">
        <v>0.0411045555786946</v>
      </c>
      <c r="G73" s="34"/>
      <c r="H73" s="103" t="n">
        <v>6.05</v>
      </c>
      <c r="I73" s="103" t="n">
        <v>0</v>
      </c>
      <c r="J73" s="36" t="n">
        <v>0</v>
      </c>
      <c r="K73" s="36" t="n">
        <v>0.0577149587750295</v>
      </c>
      <c r="L73" s="103"/>
      <c r="M73" s="113"/>
      <c r="O73" s="74" t="n">
        <v>57</v>
      </c>
      <c r="P73" s="34" t="n">
        <v>-18.1011525112378</v>
      </c>
      <c r="Q73" s="16" t="n">
        <v>262.875237973737</v>
      </c>
      <c r="R73" s="16" t="n">
        <v>238.59</v>
      </c>
      <c r="S73" s="110" t="n">
        <v>17.8647611032151</v>
      </c>
      <c r="W73" s="14"/>
      <c r="Y73" s="39"/>
      <c r="Z73" s="40"/>
      <c r="AA73" s="39"/>
      <c r="AB73" s="14"/>
      <c r="AC73" s="14"/>
      <c r="AD73" s="14"/>
    </row>
    <row r="74" customFormat="false" ht="16.5" hidden="false" customHeight="true" outlineLevel="0" collapsed="false">
      <c r="B74" s="52"/>
      <c r="C74" s="78"/>
      <c r="D74" s="78"/>
      <c r="E74" s="78"/>
      <c r="G74" s="3"/>
      <c r="H74" s="3"/>
      <c r="I74" s="3" t="n">
        <v>12.64</v>
      </c>
      <c r="J74" s="3"/>
      <c r="K74" s="3"/>
      <c r="L74" s="3"/>
      <c r="M74" s="3"/>
      <c r="Q74" s="2" t="n">
        <v>27.863900995371</v>
      </c>
      <c r="W74" s="14"/>
      <c r="Y74" s="39"/>
      <c r="Z74" s="40"/>
      <c r="AA74" s="39"/>
      <c r="AB74" s="14"/>
      <c r="AC74" s="14"/>
      <c r="AD74" s="14"/>
    </row>
    <row r="75" customFormat="false" ht="13.5" hidden="false" customHeight="true" outlineLevel="0" collapsed="false">
      <c r="I75" s="3" t="n">
        <v>26.41</v>
      </c>
      <c r="AC75" s="37"/>
    </row>
    <row r="76" customFormat="false" ht="14.25" hidden="false" customHeight="true" outlineLevel="0" collapsed="false">
      <c r="B76" s="63" t="s">
        <v>187</v>
      </c>
      <c r="C76" s="63"/>
      <c r="D76" s="63"/>
      <c r="E76" s="63"/>
      <c r="F76" s="63"/>
      <c r="N76" s="63" t="s">
        <v>188</v>
      </c>
      <c r="O76" s="63"/>
      <c r="P76" s="63"/>
      <c r="Q76" s="63"/>
      <c r="R76" s="63"/>
      <c r="S76" s="63"/>
      <c r="T76" s="63"/>
      <c r="U76" s="63"/>
      <c r="V76" s="64"/>
      <c r="Y76" s="63" t="str">
        <f aca="false">B9</f>
        <v>SOL-29MAY26-60-P-USDT</v>
      </c>
      <c r="Z76" s="63"/>
      <c r="AA76" s="63"/>
      <c r="AB76" s="63"/>
      <c r="AC76" s="63" t="str">
        <f aca="false">B10</f>
        <v>SOL-29MAY26-70-P-USDT</v>
      </c>
      <c r="AD76" s="63"/>
      <c r="AE76" s="63"/>
      <c r="AF76" s="63"/>
      <c r="AG76" s="63" t="str">
        <f aca="false">B11</f>
        <v>SOL-1MAY26-60-P-USDT</v>
      </c>
      <c r="AH76" s="63"/>
      <c r="AI76" s="63"/>
      <c r="AJ76" s="63"/>
      <c r="AK76" s="63" t="str">
        <f aca="false">B12</f>
        <v>SOL-1MAY26-70-P-USDT</v>
      </c>
      <c r="AL76" s="63"/>
      <c r="AM76" s="63"/>
      <c r="AN76" s="63"/>
      <c r="AO76" s="63" t="str">
        <f aca="false">B13</f>
        <v>SOL-24APR26-60-P-USDT</v>
      </c>
      <c r="AP76" s="63"/>
      <c r="AQ76" s="63"/>
      <c r="AR76" s="63"/>
      <c r="AS76" s="63" t="str">
        <f aca="false">B14</f>
        <v>SOL-24APR26-65-P-USDT</v>
      </c>
      <c r="AT76" s="63"/>
      <c r="AU76" s="63"/>
      <c r="AV76" s="63"/>
      <c r="AW76" s="63" t="str">
        <f aca="false">B15</f>
        <v>SOL-24APR26-75-P-USDT</v>
      </c>
      <c r="AX76" s="63"/>
      <c r="AY76" s="63"/>
      <c r="AZ76" s="63"/>
      <c r="BA76" s="63" t="str">
        <f aca="false">B16</f>
        <v>SOL-24APR26-78-P-USDT</v>
      </c>
      <c r="BB76" s="63"/>
      <c r="BC76" s="63"/>
      <c r="BD76" s="63"/>
      <c r="BE76" s="63" t="str">
        <f aca="false">B17</f>
        <v>SOL-24APR26-80-P-USDT</v>
      </c>
      <c r="BF76" s="63"/>
      <c r="BG76" s="63"/>
      <c r="BH76" s="63"/>
      <c r="BI76" s="63" t="str">
        <f aca="false">B18</f>
        <v>SOL-1MAY26-80-P-USDT</v>
      </c>
      <c r="BJ76" s="63"/>
      <c r="BK76" s="63"/>
      <c r="BL76" s="63"/>
      <c r="BM76" s="63" t="str">
        <f aca="false">B19</f>
        <v>SOL-29MAY26-78-P-USDT</v>
      </c>
      <c r="BN76" s="63"/>
      <c r="BO76" s="63"/>
      <c r="BP76" s="63"/>
      <c r="BQ76" s="63" t="str">
        <f aca="false">B20</f>
        <v>SOL-29MAY26-80-P-USDT</v>
      </c>
      <c r="BR76" s="63"/>
      <c r="BS76" s="63"/>
      <c r="BT76" s="63"/>
    </row>
    <row r="77" customFormat="false" ht="14.25" hidden="false" customHeight="true" outlineLevel="0" collapsed="false">
      <c r="B77" s="34" t="s">
        <v>189</v>
      </c>
      <c r="C77" s="34" t="s">
        <v>190</v>
      </c>
      <c r="D77" s="34" t="s">
        <v>191</v>
      </c>
      <c r="E77" s="34" t="s">
        <v>144</v>
      </c>
      <c r="F77" s="34" t="s">
        <v>192</v>
      </c>
      <c r="N77" s="34" t="s">
        <v>189</v>
      </c>
      <c r="O77" s="34" t="s">
        <v>193</v>
      </c>
      <c r="P77" s="34" t="s">
        <v>144</v>
      </c>
      <c r="Q77" s="34" t="s">
        <v>194</v>
      </c>
      <c r="R77" s="34" t="s">
        <v>195</v>
      </c>
      <c r="S77" s="34" t="s">
        <v>196</v>
      </c>
      <c r="T77" s="34" t="s">
        <v>197</v>
      </c>
      <c r="U77" s="34" t="s">
        <v>198</v>
      </c>
      <c r="V77" s="34"/>
      <c r="X77" s="34" t="s">
        <v>189</v>
      </c>
      <c r="Y77" s="66" t="s">
        <v>144</v>
      </c>
      <c r="Z77" s="66" t="s">
        <v>194</v>
      </c>
      <c r="AA77" s="66" t="s">
        <v>219</v>
      </c>
      <c r="AB77" s="66" t="s">
        <v>220</v>
      </c>
      <c r="AC77" s="66" t="s">
        <v>144</v>
      </c>
      <c r="AD77" s="66" t="s">
        <v>194</v>
      </c>
      <c r="AE77" s="66" t="s">
        <v>219</v>
      </c>
      <c r="AF77" s="66" t="s">
        <v>220</v>
      </c>
      <c r="AG77" s="66" t="s">
        <v>144</v>
      </c>
      <c r="AH77" s="66" t="s">
        <v>194</v>
      </c>
      <c r="AI77" s="66" t="s">
        <v>219</v>
      </c>
      <c r="AJ77" s="66" t="s">
        <v>220</v>
      </c>
      <c r="AK77" s="66" t="s">
        <v>144</v>
      </c>
      <c r="AL77" s="66" t="s">
        <v>194</v>
      </c>
      <c r="AM77" s="66" t="s">
        <v>219</v>
      </c>
      <c r="AN77" s="66" t="s">
        <v>220</v>
      </c>
      <c r="AO77" s="66" t="s">
        <v>144</v>
      </c>
      <c r="AP77" s="66" t="s">
        <v>194</v>
      </c>
      <c r="AQ77" s="66" t="s">
        <v>219</v>
      </c>
      <c r="AR77" s="66" t="s">
        <v>220</v>
      </c>
      <c r="AS77" s="66" t="s">
        <v>144</v>
      </c>
      <c r="AT77" s="66" t="s">
        <v>194</v>
      </c>
      <c r="AU77" s="66" t="s">
        <v>219</v>
      </c>
      <c r="AV77" s="66" t="s">
        <v>220</v>
      </c>
      <c r="AW77" s="66" t="s">
        <v>144</v>
      </c>
      <c r="AX77" s="66" t="s">
        <v>194</v>
      </c>
      <c r="AY77" s="66" t="s">
        <v>219</v>
      </c>
      <c r="AZ77" s="66" t="s">
        <v>220</v>
      </c>
      <c r="BA77" s="66" t="s">
        <v>144</v>
      </c>
      <c r="BB77" s="66" t="s">
        <v>194</v>
      </c>
      <c r="BC77" s="66" t="s">
        <v>219</v>
      </c>
      <c r="BD77" s="66" t="s">
        <v>220</v>
      </c>
      <c r="BE77" s="66" t="s">
        <v>144</v>
      </c>
      <c r="BF77" s="66" t="s">
        <v>194</v>
      </c>
      <c r="BG77" s="66" t="s">
        <v>219</v>
      </c>
      <c r="BH77" s="66" t="s">
        <v>220</v>
      </c>
      <c r="BI77" s="66" t="s">
        <v>144</v>
      </c>
      <c r="BJ77" s="66" t="s">
        <v>194</v>
      </c>
      <c r="BK77" s="66" t="s">
        <v>219</v>
      </c>
      <c r="BL77" s="66" t="s">
        <v>220</v>
      </c>
      <c r="BM77" s="66" t="s">
        <v>144</v>
      </c>
      <c r="BN77" s="66" t="s">
        <v>194</v>
      </c>
      <c r="BO77" s="66" t="s">
        <v>219</v>
      </c>
      <c r="BP77" s="66" t="s">
        <v>220</v>
      </c>
      <c r="BQ77" s="66" t="s">
        <v>144</v>
      </c>
      <c r="BR77" s="66" t="s">
        <v>194</v>
      </c>
      <c r="BS77" s="66" t="s">
        <v>219</v>
      </c>
      <c r="BT77" s="66" t="s">
        <v>220</v>
      </c>
    </row>
    <row r="78" customFormat="false" ht="14.25" hidden="false" customHeight="true" outlineLevel="0" collapsed="false">
      <c r="B78" s="67" t="n">
        <f aca="false">ROUND(Portfolio!D10,0)</f>
        <v>83</v>
      </c>
      <c r="C78" s="68" t="e">
        <f aca="false">P78/$I$22</f>
        <v>#N/A</v>
      </c>
      <c r="D78" s="68" t="n">
        <f aca="false">Q78/$I$22</f>
        <v>-1</v>
      </c>
      <c r="E78" s="16" t="n">
        <f aca="false">(Portfolio!$C$10*B78)-Portfolio!$F$10</f>
        <v>-7.02859033150003</v>
      </c>
      <c r="F78" s="69" t="n">
        <f aca="false">(E78/Portfolio!$F$10)</f>
        <v>-0.00514597641289576</v>
      </c>
      <c r="N78" s="67" t="n">
        <f aca="false">B78</f>
        <v>83</v>
      </c>
      <c r="O78" s="68" t="e">
        <f aca="false">'Hedge_Midle(Test)'!C379</f>
        <v>#N/A</v>
      </c>
      <c r="P78" s="16" t="e">
        <f aca="false">'Hedge_Midle(Test)'!G379</f>
        <v>#N/A</v>
      </c>
      <c r="Q78" s="16" t="n">
        <f aca="false">Z78+AD78+AH78+AL78+AP78+AT78+AX78+BB78+BF78+BJ78+BN78+BR78</f>
        <v>-13.4172277227723</v>
      </c>
      <c r="R78" s="69" t="e">
        <f aca="false">T78/Portfolio!$F$10</f>
        <v>#N/A</v>
      </c>
      <c r="S78" s="69" t="n">
        <f aca="false">U78/Portfolio!$F$10</f>
        <v>-0.0149693882396456</v>
      </c>
      <c r="T78" s="16" t="e">
        <f aca="false">E78+P78</f>
        <v>#N/A</v>
      </c>
      <c r="U78" s="16" t="n">
        <f aca="false">E78+Q78</f>
        <v>-20.4458180542723</v>
      </c>
      <c r="V78" s="16"/>
      <c r="X78" s="67" t="n">
        <f aca="false">B78</f>
        <v>83</v>
      </c>
      <c r="Y78" s="16" t="n">
        <f aca="false">'Hedge_Midle(Test)'!G19</f>
        <v>0.0371681514398162</v>
      </c>
      <c r="Z78" s="16" t="n">
        <f aca="false">IF(B78&gt;$C$9,-1*$I$9,(($C$9-B78)*$G$9)-$I$9)</f>
        <v>-0.192008486562942</v>
      </c>
      <c r="AA78" s="16" t="n">
        <f aca="false">E78+Z78</f>
        <v>-7.22059881806297</v>
      </c>
      <c r="AB78" s="69" t="n">
        <f aca="false">AA78/Portfolio!$F$10</f>
        <v>-0.00528655526246969</v>
      </c>
      <c r="AC78" s="16" t="n">
        <f aca="false">'Hedge_Midle(Test)'!G48</f>
        <v>2.7908909020179</v>
      </c>
      <c r="AD78" s="16" t="n">
        <f aca="false">IF(B78&gt;$C$10,-1*$I$10,(($C$10-B78)*$G$10)-$I$10)</f>
        <v>-0.251060820367751</v>
      </c>
      <c r="AE78" s="16" t="n">
        <f aca="false">E78+AD78</f>
        <v>-7.27965115186778</v>
      </c>
      <c r="AF78" s="69" t="n">
        <f aca="false">AE78/Portfolio!$F$10</f>
        <v>-0.00532979037826867</v>
      </c>
      <c r="AG78" s="16" t="n">
        <f aca="false">'Hedge_Midle(Test)'!G77</f>
        <v>-1.62878656773891</v>
      </c>
      <c r="AH78" s="16" t="n">
        <f aca="false">IF(B78&gt;$C$11,-1*$I$11,(($C$11-B78)*$G$11)-$I$11)</f>
        <v>-0.0152050919377652</v>
      </c>
      <c r="AI78" s="16" t="n">
        <f aca="false">E78+AH78</f>
        <v>-7.04379542343779</v>
      </c>
      <c r="AJ78" s="69" t="n">
        <f aca="false">AI78/Portfolio!$F$10</f>
        <v>-0.00515710880798172</v>
      </c>
      <c r="AK78" s="16" t="n">
        <f aca="false">'Hedge_Midle(Test)'!G106</f>
        <v>-1.5995388976207</v>
      </c>
      <c r="AL78" s="16" t="n">
        <f aca="false">IF(B78&gt;$C$12,-1*$I$12,(($C$12-B78)*$G$12)-$I$12)</f>
        <v>-0.0707213578500707</v>
      </c>
      <c r="AM78" s="16" t="n">
        <f aca="false">E78+AL78</f>
        <v>-7.0993116893501</v>
      </c>
      <c r="AN78" s="69" t="n">
        <f aca="false">AM78/Portfolio!$F$10</f>
        <v>-0.00519775499469094</v>
      </c>
      <c r="AO78" s="16" t="e">
        <f aca="false">'Hedge_Midle(Test)'!G136</f>
        <v>#N/A</v>
      </c>
      <c r="AP78" s="16" t="n">
        <f aca="false">IF(B78&gt;$C$13,-1*$I$13,(($C$13-B78)*$G$13)-$I$13)</f>
        <v>-0.0997171145685997</v>
      </c>
      <c r="AQ78" s="16" t="n">
        <f aca="false">E78+AP78</f>
        <v>-7.12830744606863</v>
      </c>
      <c r="AR78" s="69" t="n">
        <f aca="false">AQ78/Portfolio!$F$10</f>
        <v>-0.00521898421322697</v>
      </c>
      <c r="AS78" s="16" t="n">
        <f aca="false">'Hedge_Midle(Test)'!G166</f>
        <v>-15.5105701077106</v>
      </c>
      <c r="AT78" s="16" t="n">
        <f aca="false">IF(B78&gt;$C$14,-1*$I$14,(($C$14-B78)*$G$14)-$I$14)</f>
        <v>-0.148514851485149</v>
      </c>
      <c r="AU78" s="16" t="n">
        <f aca="false">E78+AT78</f>
        <v>-7.17710518298518</v>
      </c>
      <c r="AV78" s="69" t="n">
        <f aca="false">AU78/Portfolio!$F$10</f>
        <v>-0.00525471143466565</v>
      </c>
      <c r="AW78" s="16" t="n">
        <f aca="false">'Hedge_Midle(Test)'!G196</f>
        <v>-2.52016209352944</v>
      </c>
      <c r="AX78" s="16" t="n">
        <f aca="false">IF(B78&gt;$C$15,-1*$I$15,(($C$15-B78)*$G$15)-$I$15)</f>
        <v>-3.6</v>
      </c>
      <c r="AY78" s="16" t="n">
        <f aca="false">E78+AX78</f>
        <v>-10.6285903315</v>
      </c>
      <c r="AZ78" s="69" t="n">
        <f aca="false">AY78/Portfolio!$F$10</f>
        <v>-0.00778171334059788</v>
      </c>
      <c r="BA78" s="16" t="n">
        <f aca="false">'Hedge_Midle(Test)'!G226</f>
        <v>-3.11888841666186</v>
      </c>
      <c r="BB78" s="16" t="n">
        <f aca="false">IF(B78&gt;$C$16,-1*$I$16,(($C$16-B78)*$G$16)-$I$16)</f>
        <v>-5.22</v>
      </c>
      <c r="BC78" s="16" t="n">
        <f aca="false">E78+BB78</f>
        <v>-12.2485903315</v>
      </c>
      <c r="BD78" s="69" t="n">
        <f aca="false">BC78/Portfolio!$F$10</f>
        <v>-0.00896779495806383</v>
      </c>
      <c r="BE78" s="16" t="n">
        <f aca="false">'Hedge_Midle(Test)'!G256</f>
        <v>-1.61774708570307</v>
      </c>
      <c r="BF78" s="16" t="n">
        <f aca="false">IF(B78&gt;$C$17,-1*$I$17,(($C$17-B78)*$G$17)-$I$17)</f>
        <v>-3.82</v>
      </c>
      <c r="BG78" s="16" t="n">
        <f aca="false">E78+BF78</f>
        <v>-10.8485903315</v>
      </c>
      <c r="BH78" s="69" t="n">
        <f aca="false">BG78/Portfolio!$F$10</f>
        <v>-0.00794278615284634</v>
      </c>
      <c r="BI78" s="16" t="n">
        <f aca="false">'Hedge_Midle(Test)'!G286</f>
        <v>-0</v>
      </c>
      <c r="BJ78" s="16" t="n">
        <f aca="false">IF(B78&gt;$C$18,-1*$I$18,(($C$18-B78)*$G$18)-$I$18)</f>
        <v>-0</v>
      </c>
      <c r="BK78" s="16" t="n">
        <f aca="false">E78+BJ78</f>
        <v>-7.02859033150003</v>
      </c>
      <c r="BL78" s="69" t="n">
        <f aca="false">BK78/Portfolio!$F$10</f>
        <v>-0.00514597641289576</v>
      </c>
      <c r="BM78" s="16" t="n">
        <f aca="false">'Hedge_Midle(Test)'!G316</f>
        <v>-0</v>
      </c>
      <c r="BN78" s="16" t="n">
        <f aca="false">IF(F78&gt;$C$19,-1*$I$19,(($C$19-F78)*$G$19)-$I$19)</f>
        <v>0</v>
      </c>
      <c r="BO78" s="16" t="n">
        <f aca="false">E78+BN78</f>
        <v>-7.02859033150003</v>
      </c>
      <c r="BP78" s="69" t="n">
        <f aca="false">BO78/Portfolio!$F$10</f>
        <v>-0.00514597641289576</v>
      </c>
      <c r="BQ78" s="16" t="n">
        <f aca="false">'Hedge_Midle(Test)'!C346</f>
        <v>-0</v>
      </c>
      <c r="BR78" s="16" t="n">
        <f aca="false">IF(J78&gt;$C$20,-1*$I$20,(($C$20-J78)*$G$20)-$I$20)</f>
        <v>0</v>
      </c>
      <c r="BS78" s="16" t="n">
        <f aca="false">E78+BR78</f>
        <v>-7.02859033150003</v>
      </c>
      <c r="BT78" s="69" t="n">
        <f aca="false">BS78/Portfolio!$F$10</f>
        <v>-0.00514597641289576</v>
      </c>
    </row>
    <row r="79" customFormat="false" ht="14.25" hidden="false" customHeight="true" outlineLevel="0" collapsed="false">
      <c r="B79" s="67" t="n">
        <f aca="false">B78-1</f>
        <v>82</v>
      </c>
      <c r="C79" s="68" t="e">
        <f aca="false">P79/$I$22</f>
        <v>#N/A</v>
      </c>
      <c r="D79" s="68" t="n">
        <f aca="false">Q79/$I$22</f>
        <v>-1</v>
      </c>
      <c r="E79" s="16" t="n">
        <f aca="false">(Portfolio!$C$10*B79)-Portfolio!$F$10</f>
        <v>-23.3998353314998</v>
      </c>
      <c r="F79" s="69" t="n">
        <f aca="false">(E79/Portfolio!$F$10)</f>
        <v>-0.0171321694681619</v>
      </c>
      <c r="N79" s="67" t="n">
        <f aca="false">N78-1</f>
        <v>82</v>
      </c>
      <c r="O79" s="68" t="e">
        <f aca="false">'Hedge_Midle(Test)'!C380</f>
        <v>#N/A</v>
      </c>
      <c r="P79" s="16" t="e">
        <f aca="false">'Hedge_Midle(Test)'!G380</f>
        <v>#N/A</v>
      </c>
      <c r="Q79" s="16" t="n">
        <f aca="false">Z79+AD79+AH79+AL79+AP79+AT79+AX79+BB79+BF79+BJ79+BN79+BR79</f>
        <v>-13.4172277227723</v>
      </c>
      <c r="R79" s="69" t="e">
        <f aca="false">T79/Portfolio!$F$10</f>
        <v>#N/A</v>
      </c>
      <c r="S79" s="69" t="n">
        <f aca="false">U79/Portfolio!$F$10</f>
        <v>-0.0269555812949118</v>
      </c>
      <c r="T79" s="16" t="e">
        <f aca="false">E79+P79</f>
        <v>#N/A</v>
      </c>
      <c r="U79" s="16" t="n">
        <f aca="false">E79+Q79</f>
        <v>-36.8170630542721</v>
      </c>
      <c r="V79" s="70" t="e">
        <f aca="false">P80-2*P79+P78</f>
        <v>#N/A</v>
      </c>
      <c r="W79" s="70" t="n">
        <f aca="false">Q80-2*Q79+Q78</f>
        <v>0</v>
      </c>
      <c r="X79" s="67" t="n">
        <f aca="false">X78-1</f>
        <v>82</v>
      </c>
      <c r="Y79" s="16" t="n">
        <f aca="false">'Hedge_Midle(Test)'!G20</f>
        <v>0.522973252855641</v>
      </c>
      <c r="Z79" s="16" t="n">
        <f aca="false">IF(B79&gt;$C$9,-1*$I$9,(($C$9-B79)*$G$9)-$I$9)</f>
        <v>-0.192008486562942</v>
      </c>
      <c r="AA79" s="16" t="n">
        <f aca="false">E79+Z79</f>
        <v>-23.5918438180628</v>
      </c>
      <c r="AB79" s="69" t="n">
        <f aca="false">AA79/Portfolio!$F$10</f>
        <v>-0.0172727483177359</v>
      </c>
      <c r="AC79" s="16" t="n">
        <f aca="false">'Hedge_Midle(Test)'!G49</f>
        <v>3.17399389372204</v>
      </c>
      <c r="AD79" s="16" t="n">
        <f aca="false">IF(B79&gt;$C$10,-1*$I$10,(($C$10-B79)*$G$10)-$I$10)</f>
        <v>-0.251060820367751</v>
      </c>
      <c r="AE79" s="16" t="n">
        <f aca="false">E79+AD79</f>
        <v>-23.6508961518676</v>
      </c>
      <c r="AF79" s="69" t="n">
        <f aca="false">AE79/Portfolio!$F$10</f>
        <v>-0.0173159834335348</v>
      </c>
      <c r="AG79" s="16" t="n">
        <f aca="false">'Hedge_Midle(Test)'!G78</f>
        <v>-1.60618087738082</v>
      </c>
      <c r="AH79" s="16" t="n">
        <f aca="false">IF(B79&gt;$C$11,-1*$I$11,(($C$11-B79)*$G$11)-$I$11)</f>
        <v>-0.0152050919377652</v>
      </c>
      <c r="AI79" s="16" t="n">
        <f aca="false">E79+AH79</f>
        <v>-23.4150404234376</v>
      </c>
      <c r="AJ79" s="69" t="n">
        <f aca="false">AI79/Portfolio!$F$10</f>
        <v>-0.0171433018632479</v>
      </c>
      <c r="AK79" s="16" t="n">
        <f aca="false">'Hedge_Midle(Test)'!G107</f>
        <v>-1.32126300711901</v>
      </c>
      <c r="AL79" s="16" t="n">
        <f aca="false">IF(B79&gt;$C$12,-1*$I$12,(($C$12-B79)*$G$12)-$I$12)</f>
        <v>-0.0707213578500707</v>
      </c>
      <c r="AM79" s="16" t="n">
        <f aca="false">E79+AL79</f>
        <v>-23.4705566893499</v>
      </c>
      <c r="AN79" s="69" t="n">
        <f aca="false">AM79/Portfolio!$F$10</f>
        <v>-0.0171839480499571</v>
      </c>
      <c r="AO79" s="16" t="e">
        <f aca="false">'Hedge_Midle(Test)'!G137</f>
        <v>#N/A</v>
      </c>
      <c r="AP79" s="16" t="n">
        <f aca="false">IF(B79&gt;$C$13,-1*$I$13,(($C$13-B79)*$G$13)-$I$13)</f>
        <v>-0.0997171145685997</v>
      </c>
      <c r="AQ79" s="16" t="n">
        <f aca="false">E79+AP79</f>
        <v>-23.4995524460684</v>
      </c>
      <c r="AR79" s="69" t="n">
        <f aca="false">AQ79/Portfolio!$F$10</f>
        <v>-0.0172051772684932</v>
      </c>
      <c r="AS79" s="16" t="n">
        <f aca="false">'Hedge_Midle(Test)'!G167</f>
        <v>-15.4310582548624</v>
      </c>
      <c r="AT79" s="16" t="n">
        <f aca="false">IF(B79&gt;$C$14,-1*$I$14,(($C$14-B79)*$G$14)-$I$14)</f>
        <v>-0.148514851485149</v>
      </c>
      <c r="AU79" s="16" t="n">
        <f aca="false">E79+AT79</f>
        <v>-23.548350182985</v>
      </c>
      <c r="AV79" s="69" t="n">
        <f aca="false">AU79/Portfolio!$F$10</f>
        <v>-0.0172409044899318</v>
      </c>
      <c r="AW79" s="16" t="n">
        <f aca="false">'Hedge_Midle(Test)'!G197</f>
        <v>-2.1639359983015</v>
      </c>
      <c r="AX79" s="16" t="n">
        <f aca="false">IF(B79&gt;$C$15,-1*$I$15,(($C$15-B79)*$G$15)-$I$15)</f>
        <v>-3.6</v>
      </c>
      <c r="AY79" s="16" t="n">
        <f aca="false">E79+AX79</f>
        <v>-26.9998353314998</v>
      </c>
      <c r="AZ79" s="69" t="n">
        <f aca="false">AY79/Portfolio!$F$10</f>
        <v>-0.0197679063958641</v>
      </c>
      <c r="BA79" s="16" t="n">
        <f aca="false">'Hedge_Midle(Test)'!G227</f>
        <v>-2.46575416978373</v>
      </c>
      <c r="BB79" s="16" t="n">
        <f aca="false">IF(B79&gt;$C$16,-1*$I$16,(($C$16-B79)*$G$16)-$I$16)</f>
        <v>-5.22</v>
      </c>
      <c r="BC79" s="16" t="n">
        <f aca="false">E79+BB79</f>
        <v>-28.6198353314998</v>
      </c>
      <c r="BD79" s="69" t="n">
        <f aca="false">BC79/Portfolio!$F$10</f>
        <v>-0.02095398801333</v>
      </c>
      <c r="BE79" s="16" t="n">
        <f aca="false">'Hedge_Midle(Test)'!G257</f>
        <v>-0.979578892316539</v>
      </c>
      <c r="BF79" s="16" t="n">
        <f aca="false">IF(B79&gt;$C$17,-1*$I$17,(($C$17-B79)*$G$17)-$I$17)</f>
        <v>-3.82</v>
      </c>
      <c r="BG79" s="16" t="n">
        <f aca="false">E79+BF79</f>
        <v>-27.2198353314998</v>
      </c>
      <c r="BH79" s="69" t="n">
        <f aca="false">BG79/Portfolio!$F$10</f>
        <v>-0.0199289792081125</v>
      </c>
      <c r="BI79" s="16" t="n">
        <f aca="false">'Hedge_Midle(Test)'!G287</f>
        <v>-0</v>
      </c>
      <c r="BJ79" s="16" t="n">
        <f aca="false">IF(B79&gt;$C$18,-1*$I$18,(($C$18-B79)*$G$18)-$I$18)</f>
        <v>-0</v>
      </c>
      <c r="BK79" s="16" t="n">
        <f aca="false">E79+BJ79</f>
        <v>-23.3998353314998</v>
      </c>
      <c r="BL79" s="69" t="n">
        <f aca="false">BK79/Portfolio!$F$10</f>
        <v>-0.0171321694681619</v>
      </c>
      <c r="BM79" s="16" t="n">
        <f aca="false">'Hedge_Midle(Test)'!G317</f>
        <v>-0</v>
      </c>
      <c r="BN79" s="16" t="n">
        <f aca="false">IF(F79&gt;$C$19,-1*$I$19,(($C$19-F79)*$G$19)-$I$19)</f>
        <v>0</v>
      </c>
      <c r="BO79" s="16" t="n">
        <f aca="false">E79+BN79</f>
        <v>-23.3998353314998</v>
      </c>
      <c r="BP79" s="69" t="n">
        <f aca="false">BO79/Portfolio!$F$10</f>
        <v>-0.0171321694681619</v>
      </c>
      <c r="BQ79" s="16" t="n">
        <f aca="false">'Hedge_Midle(Test)'!C347</f>
        <v>-0</v>
      </c>
      <c r="BR79" s="16" t="n">
        <f aca="false">IF(J79&gt;$C$20,-1*$I$20,(($C$20-J79)*$G$20)-$I$20)</f>
        <v>0</v>
      </c>
      <c r="BS79" s="16" t="n">
        <f aca="false">E79+BR79</f>
        <v>-23.3998353314998</v>
      </c>
      <c r="BT79" s="69" t="n">
        <f aca="false">BS79/Portfolio!$F$10</f>
        <v>-0.0171321694681619</v>
      </c>
    </row>
    <row r="80" customFormat="false" ht="14.25" hidden="false" customHeight="true" outlineLevel="0" collapsed="false">
      <c r="B80" s="67" t="n">
        <f aca="false">B79-1</f>
        <v>81</v>
      </c>
      <c r="C80" s="68" t="e">
        <f aca="false">P80/$I$22</f>
        <v>#N/A</v>
      </c>
      <c r="D80" s="68" t="n">
        <f aca="false">Q80/$I$22</f>
        <v>-1</v>
      </c>
      <c r="E80" s="16" t="n">
        <f aca="false">(Portfolio!$C$10*B80)-Portfolio!$F$10</f>
        <v>-39.7710803314999</v>
      </c>
      <c r="F80" s="69" t="n">
        <f aca="false">(E80/Portfolio!$F$10)</f>
        <v>-0.0291183625234283</v>
      </c>
      <c r="N80" s="67" t="n">
        <f aca="false">N79-1</f>
        <v>81</v>
      </c>
      <c r="O80" s="68" t="e">
        <f aca="false">'Hedge_Midle(Test)'!C381</f>
        <v>#N/A</v>
      </c>
      <c r="P80" s="16" t="e">
        <f aca="false">'Hedge_Midle(Test)'!G381</f>
        <v>#N/A</v>
      </c>
      <c r="Q80" s="16" t="n">
        <f aca="false">Z80+AD80+AH80+AL80+AP80+AT80+AX80+BB80+BF80+BJ80+BN80+BR80</f>
        <v>-13.4172277227723</v>
      </c>
      <c r="R80" s="69" t="e">
        <f aca="false">T80/Portfolio!$F$10</f>
        <v>#N/A</v>
      </c>
      <c r="S80" s="69" t="n">
        <f aca="false">U80/Portfolio!$F$10</f>
        <v>-0.0389417743501782</v>
      </c>
      <c r="T80" s="16" t="e">
        <f aca="false">E80+P80</f>
        <v>#N/A</v>
      </c>
      <c r="U80" s="16" t="n">
        <f aca="false">E80+Q80</f>
        <v>-53.1883080542722</v>
      </c>
      <c r="V80" s="70" t="e">
        <f aca="false">P81-2*P80+P79</f>
        <v>#N/A</v>
      </c>
      <c r="W80" s="70" t="n">
        <f aca="false">Q81-2*Q80+Q79</f>
        <v>0</v>
      </c>
      <c r="X80" s="67" t="n">
        <f aca="false">X79-1</f>
        <v>81</v>
      </c>
      <c r="Y80" s="16" t="n">
        <f aca="false">'Hedge_Midle(Test)'!G21</f>
        <v>1.05944738537698</v>
      </c>
      <c r="Z80" s="16" t="n">
        <f aca="false">IF(B80&gt;$C$9,-1*$I$9,(($C$9-B80)*$G$9)-$I$9)</f>
        <v>-0.192008486562942</v>
      </c>
      <c r="AA80" s="16" t="n">
        <f aca="false">E80+Z80</f>
        <v>-39.9630888180628</v>
      </c>
      <c r="AB80" s="69" t="n">
        <f aca="false">AA80/Portfolio!$F$10</f>
        <v>-0.0292589413730022</v>
      </c>
      <c r="AC80" s="16" t="n">
        <f aca="false">'Hedge_Midle(Test)'!G50</f>
        <v>3.58882576301384</v>
      </c>
      <c r="AD80" s="16" t="n">
        <f aca="false">IF(B80&gt;$C$10,-1*$I$10,(($C$10-B80)*$G$10)-$I$10)</f>
        <v>-0.251060820367751</v>
      </c>
      <c r="AE80" s="16" t="n">
        <f aca="false">E80+AD80</f>
        <v>-40.0221411518676</v>
      </c>
      <c r="AF80" s="69" t="n">
        <f aca="false">AE80/Portfolio!$F$10</f>
        <v>-0.0293021764888012</v>
      </c>
      <c r="AG80" s="16" t="n">
        <f aca="false">'Hedge_Midle(Test)'!G79</f>
        <v>-1.57932481877074</v>
      </c>
      <c r="AH80" s="16" t="n">
        <f aca="false">IF(B80&gt;$C$11,-1*$I$11,(($C$11-B80)*$G$11)-$I$11)</f>
        <v>-0.0152050919377652</v>
      </c>
      <c r="AI80" s="16" t="n">
        <f aca="false">E80+AH80</f>
        <v>-39.7862854234377</v>
      </c>
      <c r="AJ80" s="69" t="n">
        <f aca="false">AI80/Portfolio!$F$10</f>
        <v>-0.0291294949185143</v>
      </c>
      <c r="AK80" s="16" t="n">
        <f aca="false">'Hedge_Midle(Test)'!G108</f>
        <v>-0.993505107539179</v>
      </c>
      <c r="AL80" s="16" t="n">
        <f aca="false">IF(B80&gt;$C$12,-1*$I$12,(($C$12-B80)*$G$12)-$I$12)</f>
        <v>-0.0707213578500707</v>
      </c>
      <c r="AM80" s="16" t="n">
        <f aca="false">E80+AL80</f>
        <v>-39.84180168935</v>
      </c>
      <c r="AN80" s="69" t="n">
        <f aca="false">AM80/Portfolio!$F$10</f>
        <v>-0.0291701411052235</v>
      </c>
      <c r="AO80" s="16" t="e">
        <f aca="false">'Hedge_Midle(Test)'!G138</f>
        <v>#N/A</v>
      </c>
      <c r="AP80" s="16" t="n">
        <f aca="false">IF(B80&gt;$C$13,-1*$I$13,(($C$13-B80)*$G$13)-$I$13)</f>
        <v>-0.0997171145685997</v>
      </c>
      <c r="AQ80" s="16" t="n">
        <f aca="false">E80+AP80</f>
        <v>-39.8707974460685</v>
      </c>
      <c r="AR80" s="69" t="n">
        <f aca="false">AQ80/Portfolio!$F$10</f>
        <v>-0.0291913703237595</v>
      </c>
      <c r="AS80" s="16" t="n">
        <f aca="false">'Hedge_Midle(Test)'!G168</f>
        <v>-15.3276641467055</v>
      </c>
      <c r="AT80" s="16" t="n">
        <f aca="false">IF(B80&gt;$C$14,-1*$I$14,(($C$14-B80)*$G$14)-$I$14)</f>
        <v>-0.148514851485149</v>
      </c>
      <c r="AU80" s="16" t="n">
        <f aca="false">E80+AT80</f>
        <v>-39.919595182985</v>
      </c>
      <c r="AV80" s="69" t="n">
        <f aca="false">AU80/Portfolio!$F$10</f>
        <v>-0.0292270975451982</v>
      </c>
      <c r="AW80" s="16" t="n">
        <f aca="false">'Hedge_Midle(Test)'!G198</f>
        <v>-1.71325128387361</v>
      </c>
      <c r="AX80" s="16" t="n">
        <f aca="false">IF(B80&gt;$C$15,-1*$I$15,(($C$15-B80)*$G$15)-$I$15)</f>
        <v>-3.6</v>
      </c>
      <c r="AY80" s="16" t="n">
        <f aca="false">E80+AX80</f>
        <v>-43.3710803314999</v>
      </c>
      <c r="AZ80" s="69" t="n">
        <f aca="false">AY80/Portfolio!$F$10</f>
        <v>-0.0317540994511304</v>
      </c>
      <c r="BA80" s="16" t="n">
        <f aca="false">'Hedge_Midle(Test)'!G228</f>
        <v>-1.66141145392869</v>
      </c>
      <c r="BB80" s="16" t="n">
        <f aca="false">IF(B80&gt;$C$16,-1*$I$16,(($C$16-B80)*$G$16)-$I$16)</f>
        <v>-5.22</v>
      </c>
      <c r="BC80" s="16" t="n">
        <f aca="false">E80+BB80</f>
        <v>-44.9910803314999</v>
      </c>
      <c r="BD80" s="69" t="n">
        <f aca="false">BC80/Portfolio!$F$10</f>
        <v>-0.0329401810685964</v>
      </c>
      <c r="BE80" s="16" t="n">
        <f aca="false">'Hedge_Midle(Test)'!G258</f>
        <v>-0.213742388904812</v>
      </c>
      <c r="BF80" s="16" t="n">
        <f aca="false">IF(B80&gt;$C$17,-1*$I$17,(($C$17-B80)*$G$17)-$I$17)</f>
        <v>-3.82</v>
      </c>
      <c r="BG80" s="16" t="n">
        <f aca="false">E80+BF80</f>
        <v>-43.5910803314999</v>
      </c>
      <c r="BH80" s="69" t="n">
        <f aca="false">BG80/Portfolio!$F$10</f>
        <v>-0.0319151722633789</v>
      </c>
      <c r="BI80" s="16" t="n">
        <f aca="false">'Hedge_Midle(Test)'!G288</f>
        <v>-0</v>
      </c>
      <c r="BJ80" s="16" t="n">
        <f aca="false">IF(B80&gt;$C$18,-1*$I$18,(($C$18-B80)*$G$18)-$I$18)</f>
        <v>-0</v>
      </c>
      <c r="BK80" s="16" t="n">
        <f aca="false">E80+BJ80</f>
        <v>-39.7710803314999</v>
      </c>
      <c r="BL80" s="69" t="n">
        <f aca="false">BK80/Portfolio!$F$10</f>
        <v>-0.0291183625234283</v>
      </c>
      <c r="BM80" s="16" t="n">
        <f aca="false">'Hedge_Midle(Test)'!G318</f>
        <v>-0</v>
      </c>
      <c r="BN80" s="16" t="n">
        <f aca="false">IF(F80&gt;$C$19,-1*$I$19,(($C$19-F80)*$G$19)-$I$19)</f>
        <v>0</v>
      </c>
      <c r="BO80" s="16" t="n">
        <f aca="false">E80+BN80</f>
        <v>-39.7710803314999</v>
      </c>
      <c r="BP80" s="69" t="n">
        <f aca="false">BO80/Portfolio!$F$10</f>
        <v>-0.0291183625234283</v>
      </c>
      <c r="BQ80" s="16" t="n">
        <f aca="false">'Hedge_Midle(Test)'!C348</f>
        <v>-0</v>
      </c>
      <c r="BR80" s="16" t="n">
        <f aca="false">IF(J80&gt;$C$20,-1*$I$20,(($C$20-J80)*$G$20)-$I$20)</f>
        <v>0</v>
      </c>
      <c r="BS80" s="16" t="n">
        <f aca="false">E80+BR80</f>
        <v>-39.7710803314999</v>
      </c>
      <c r="BT80" s="69" t="n">
        <f aca="false">BS80/Portfolio!$F$10</f>
        <v>-0.0291183625234283</v>
      </c>
    </row>
    <row r="81" customFormat="false" ht="14.25" hidden="false" customHeight="true" outlineLevel="0" collapsed="false">
      <c r="B81" s="67" t="n">
        <f aca="false">B80-1</f>
        <v>80</v>
      </c>
      <c r="C81" s="68" t="e">
        <f aca="false">P81/$I$22</f>
        <v>#N/A</v>
      </c>
      <c r="D81" s="68" t="n">
        <f aca="false">Q81/$I$22</f>
        <v>-1</v>
      </c>
      <c r="E81" s="16" t="n">
        <f aca="false">(Portfolio!$C$10*B81)-Portfolio!$F$10</f>
        <v>-56.1423253314999</v>
      </c>
      <c r="F81" s="69" t="n">
        <f aca="false">(E81/Portfolio!$F$10)</f>
        <v>-0.0411045555786946</v>
      </c>
      <c r="N81" s="67" t="n">
        <f aca="false">N80-1</f>
        <v>80</v>
      </c>
      <c r="O81" s="68" t="e">
        <f aca="false">'Hedge_Midle(Test)'!C382</f>
        <v>#N/A</v>
      </c>
      <c r="P81" s="16" t="e">
        <f aca="false">'Hedge_Midle(Test)'!G382</f>
        <v>#N/A</v>
      </c>
      <c r="Q81" s="16" t="n">
        <f aca="false">Z81+AD81+AH81+AL81+AP81+AT81+AX81+BB81+BF81+BJ81+BN81+BR81</f>
        <v>-13.4172277227723</v>
      </c>
      <c r="R81" s="69" t="e">
        <f aca="false">T81/Portfolio!$F$10</f>
        <v>#N/A</v>
      </c>
      <c r="S81" s="69" t="n">
        <f aca="false">U81/Portfolio!$F$10</f>
        <v>-0.0509279674054445</v>
      </c>
      <c r="T81" s="16" t="e">
        <f aca="false">E81+P81</f>
        <v>#N/A</v>
      </c>
      <c r="U81" s="16" t="n">
        <f aca="false">E81+Q81</f>
        <v>-69.5595530542722</v>
      </c>
      <c r="V81" s="70" t="e">
        <f aca="false">P82-2*P81+P80</f>
        <v>#N/A</v>
      </c>
      <c r="W81" s="70" t="n">
        <f aca="false">Q82-2*Q81+Q80</f>
        <v>2</v>
      </c>
      <c r="X81" s="67" t="n">
        <f aca="false">X80-1</f>
        <v>80</v>
      </c>
      <c r="Y81" s="16" t="n">
        <f aca="false">'Hedge_Midle(Test)'!G22</f>
        <v>1.65121166875037</v>
      </c>
      <c r="Z81" s="16" t="n">
        <f aca="false">IF(B81&gt;$C$9,-1*$I$9,(($C$9-B81)*$G$9)-$I$9)</f>
        <v>-0.192008486562942</v>
      </c>
      <c r="AA81" s="16" t="n">
        <f aca="false">E81+Z81</f>
        <v>-56.3343338180629</v>
      </c>
      <c r="AB81" s="69" t="n">
        <f aca="false">AA81/Portfolio!$F$10</f>
        <v>-0.0412451344282686</v>
      </c>
      <c r="AC81" s="16" t="n">
        <f aca="false">'Hedge_Midle(Test)'!G51</f>
        <v>4.0373088150633</v>
      </c>
      <c r="AD81" s="16" t="n">
        <f aca="false">IF(B81&gt;$C$10,-1*$I$10,(($C$10-B81)*$G$10)-$I$10)</f>
        <v>-0.251060820367751</v>
      </c>
      <c r="AE81" s="16" t="n">
        <f aca="false">E81+AD81</f>
        <v>-56.3933861518677</v>
      </c>
      <c r="AF81" s="69" t="n">
        <f aca="false">AE81/Portfolio!$F$10</f>
        <v>-0.0412883695440675</v>
      </c>
      <c r="AG81" s="16" t="n">
        <f aca="false">'Hedge_Midle(Test)'!G80</f>
        <v>-1.5475061565945</v>
      </c>
      <c r="AH81" s="16" t="n">
        <f aca="false">IF(B81&gt;$C$11,-1*$I$11,(($C$11-B81)*$G$11)-$I$11)</f>
        <v>-0.0152050919377652</v>
      </c>
      <c r="AI81" s="16" t="n">
        <f aca="false">E81+AH81</f>
        <v>-56.1575304234377</v>
      </c>
      <c r="AJ81" s="69" t="n">
        <f aca="false">AI81/Portfolio!$F$10</f>
        <v>-0.0411156879737806</v>
      </c>
      <c r="AK81" s="16" t="n">
        <f aca="false">'Hedge_Midle(Test)'!G109</f>
        <v>-0.609517179817902</v>
      </c>
      <c r="AL81" s="16" t="n">
        <f aca="false">IF(B81&gt;$C$12,-1*$I$12,(($C$12-B81)*$G$12)-$I$12)</f>
        <v>-0.0707213578500707</v>
      </c>
      <c r="AM81" s="16" t="n">
        <f aca="false">E81+AL81</f>
        <v>-56.21304668935</v>
      </c>
      <c r="AN81" s="69" t="n">
        <f aca="false">AM81/Portfolio!$F$10</f>
        <v>-0.0411563341604898</v>
      </c>
      <c r="AO81" s="16" t="e">
        <f aca="false">'Hedge_Midle(Test)'!G139</f>
        <v>#N/A</v>
      </c>
      <c r="AP81" s="16" t="n">
        <f aca="false">IF(B81&gt;$C$13,-1*$I$13,(($C$13-B81)*$G$13)-$I$13)</f>
        <v>-0.0997171145685997</v>
      </c>
      <c r="AQ81" s="16" t="n">
        <f aca="false">E81+AP81</f>
        <v>-56.2420424460685</v>
      </c>
      <c r="AR81" s="69" t="n">
        <f aca="false">AQ81/Portfolio!$F$10</f>
        <v>-0.0411775633790258</v>
      </c>
      <c r="AS81" s="16" t="n">
        <f aca="false">'Hedge_Midle(Test)'!G169</f>
        <v>-15.1941662322885</v>
      </c>
      <c r="AT81" s="16" t="n">
        <f aca="false">IF(B81&gt;$C$14,-1*$I$14,(($C$14-B81)*$G$14)-$I$14)</f>
        <v>-0.148514851485149</v>
      </c>
      <c r="AU81" s="16" t="n">
        <f aca="false">E81+AT81</f>
        <v>-56.2908401829851</v>
      </c>
      <c r="AV81" s="69" t="n">
        <f aca="false">AU81/Portfolio!$F$10</f>
        <v>-0.0412132906004645</v>
      </c>
      <c r="AW81" s="16" t="n">
        <f aca="false">'Hedge_Midle(Test)'!G199</f>
        <v>-1.15129213009358</v>
      </c>
      <c r="AX81" s="16" t="n">
        <f aca="false">IF(B81&gt;$C$15,-1*$I$15,(($C$15-B81)*$G$15)-$I$15)</f>
        <v>-3.6</v>
      </c>
      <c r="AY81" s="16" t="n">
        <f aca="false">E81+AX81</f>
        <v>-59.7423253314999</v>
      </c>
      <c r="AZ81" s="69" t="n">
        <f aca="false">AY81/Portfolio!$F$10</f>
        <v>-0.0437402925063968</v>
      </c>
      <c r="BA81" s="16" t="n">
        <f aca="false">'Hedge_Midle(Test)'!G229</f>
        <v>-0.687879630439199</v>
      </c>
      <c r="BB81" s="16" t="n">
        <f aca="false">IF(B81&gt;$C$16,-1*$I$16,(($C$16-B81)*$G$16)-$I$16)</f>
        <v>-5.22</v>
      </c>
      <c r="BC81" s="16" t="n">
        <f aca="false">E81+BB81</f>
        <v>-61.3623253314999</v>
      </c>
      <c r="BD81" s="69" t="n">
        <f aca="false">BC81/Portfolio!$F$10</f>
        <v>-0.0449263741238627</v>
      </c>
      <c r="BE81" s="16" t="n">
        <f aca="false">'Hedge_Midle(Test)'!G259</f>
        <v>0.688150362008621</v>
      </c>
      <c r="BF81" s="16" t="n">
        <f aca="false">IF(B81&gt;$C$17,-1*$I$17,(($C$17-B81)*$G$17)-$I$17)</f>
        <v>-3.82</v>
      </c>
      <c r="BG81" s="16" t="n">
        <f aca="false">E81+BF81</f>
        <v>-59.9623253314999</v>
      </c>
      <c r="BH81" s="69" t="n">
        <f aca="false">BG81/Portfolio!$F$10</f>
        <v>-0.0439013653186452</v>
      </c>
      <c r="BI81" s="16" t="n">
        <f aca="false">'Hedge_Midle(Test)'!G289</f>
        <v>-0</v>
      </c>
      <c r="BJ81" s="16" t="n">
        <f aca="false">IF(B81&gt;$C$18,-1*$I$18,(($C$18-B81)*$G$18)-$I$18)</f>
        <v>0</v>
      </c>
      <c r="BK81" s="16" t="n">
        <f aca="false">E81+BJ81</f>
        <v>-56.1423253314999</v>
      </c>
      <c r="BL81" s="69" t="n">
        <f aca="false">BK81/Portfolio!$F$10</f>
        <v>-0.0411045555786946</v>
      </c>
      <c r="BM81" s="16" t="n">
        <f aca="false">'Hedge_Midle(Test)'!G319</f>
        <v>0</v>
      </c>
      <c r="BN81" s="16" t="n">
        <f aca="false">IF(F81&gt;$C$19,-1*$I$19,(($C$19-F81)*$G$19)-$I$19)</f>
        <v>0</v>
      </c>
      <c r="BO81" s="16" t="n">
        <f aca="false">E81+BN81</f>
        <v>-56.1423253314999</v>
      </c>
      <c r="BP81" s="69" t="n">
        <f aca="false">BO81/Portfolio!$F$10</f>
        <v>-0.0411045555786946</v>
      </c>
      <c r="BQ81" s="16" t="n">
        <f aca="false">'Hedge_Midle(Test)'!C349</f>
        <v>-0</v>
      </c>
      <c r="BR81" s="16" t="n">
        <f aca="false">IF(J81&gt;$C$20,-1*$I$20,(($C$20-J81)*$G$20)-$I$20)</f>
        <v>0</v>
      </c>
      <c r="BS81" s="16" t="n">
        <f aca="false">E81+BR81</f>
        <v>-56.1423253314999</v>
      </c>
      <c r="BT81" s="69" t="n">
        <f aca="false">BS81/Portfolio!$F$10</f>
        <v>-0.0411045555786946</v>
      </c>
    </row>
    <row r="82" customFormat="false" ht="14.25" hidden="false" customHeight="true" outlineLevel="0" collapsed="false">
      <c r="B82" s="67" t="n">
        <f aca="false">B81-1</f>
        <v>79</v>
      </c>
      <c r="C82" s="68" t="e">
        <f aca="false">P82/$I$22</f>
        <v>#N/A</v>
      </c>
      <c r="D82" s="68" t="n">
        <f aca="false">Q82/$I$22</f>
        <v>-0.850937910474195</v>
      </c>
      <c r="E82" s="16" t="n">
        <f aca="false">(Portfolio!$C$10*B82)-Portfolio!$F$10</f>
        <v>-72.5135703315</v>
      </c>
      <c r="F82" s="69" t="n">
        <f aca="false">(E82/Portfolio!$F$10)</f>
        <v>-0.053090748633961</v>
      </c>
      <c r="N82" s="67" t="n">
        <f aca="false">N81-1</f>
        <v>79</v>
      </c>
      <c r="O82" s="68" t="e">
        <f aca="false">'Hedge_Midle(Test)'!C383</f>
        <v>#N/A</v>
      </c>
      <c r="P82" s="16" t="e">
        <f aca="false">'Hedge_Midle(Test)'!G383</f>
        <v>#N/A</v>
      </c>
      <c r="Q82" s="16" t="n">
        <f aca="false">Z82+AD82+AH82+AL82+AP82+AT82+AX82+BB82+BF82+BJ82+BN82+BR82</f>
        <v>-11.4172277227723</v>
      </c>
      <c r="R82" s="69" t="e">
        <f aca="false">T82/Portfolio!$F$10</f>
        <v>#N/A</v>
      </c>
      <c r="S82" s="69" t="n">
        <f aca="false">U82/Portfolio!$F$10</f>
        <v>-0.061449862167543</v>
      </c>
      <c r="T82" s="16" t="e">
        <f aca="false">E82+P82</f>
        <v>#N/A</v>
      </c>
      <c r="U82" s="16" t="n">
        <f aca="false">E82+Q82</f>
        <v>-83.9307980542723</v>
      </c>
      <c r="V82" s="70" t="e">
        <f aca="false">P83-2*P82+P81</f>
        <v>#N/A</v>
      </c>
      <c r="W82" s="70" t="n">
        <f aca="false">Q83-2*Q82+Q81</f>
        <v>0</v>
      </c>
      <c r="X82" s="67" t="n">
        <f aca="false">X81-1</f>
        <v>79</v>
      </c>
      <c r="Y82" s="16" t="n">
        <f aca="false">'Hedge_Midle(Test)'!G23</f>
        <v>2.30320446601081</v>
      </c>
      <c r="Z82" s="16" t="n">
        <f aca="false">IF(B82&gt;$C$9,-1*$I$9,(($C$9-B82)*$G$9)-$I$9)</f>
        <v>-0.192008486562942</v>
      </c>
      <c r="AA82" s="16" t="n">
        <f aca="false">E82+Z82</f>
        <v>-72.7055788180629</v>
      </c>
      <c r="AB82" s="69" t="n">
        <f aca="false">AA82/Portfolio!$F$10</f>
        <v>-0.0532313274835349</v>
      </c>
      <c r="AC82" s="16" t="n">
        <f aca="false">'Hedge_Midle(Test)'!G52</f>
        <v>4.52138937474393</v>
      </c>
      <c r="AD82" s="16" t="n">
        <f aca="false">IF(B82&gt;$C$10,-1*$I$10,(($C$10-B82)*$G$10)-$I$10)</f>
        <v>-0.251060820367751</v>
      </c>
      <c r="AE82" s="16" t="n">
        <f aca="false">E82+AD82</f>
        <v>-72.7646311518677</v>
      </c>
      <c r="AF82" s="69" t="n">
        <f aca="false">AE82/Portfolio!$F$10</f>
        <v>-0.0532745625993339</v>
      </c>
      <c r="AG82" s="16" t="n">
        <f aca="false">'Hedge_Midle(Test)'!G81</f>
        <v>-1.50991443444377</v>
      </c>
      <c r="AH82" s="16" t="n">
        <f aca="false">IF(B82&gt;$C$11,-1*$I$11,(($C$11-B82)*$G$11)-$I$11)</f>
        <v>-0.0152050919377652</v>
      </c>
      <c r="AI82" s="16" t="n">
        <f aca="false">E82+AH82</f>
        <v>-72.5287754234377</v>
      </c>
      <c r="AJ82" s="69" t="n">
        <f aca="false">AI82/Portfolio!$F$10</f>
        <v>-0.0531018810290469</v>
      </c>
      <c r="AK82" s="16" t="n">
        <f aca="false">'Hedge_Midle(Test)'!G110</f>
        <v>-0.162103111943287</v>
      </c>
      <c r="AL82" s="16" t="n">
        <f aca="false">IF(B82&gt;$C$12,-1*$I$12,(($C$12-B82)*$G$12)-$I$12)</f>
        <v>-0.0707213578500707</v>
      </c>
      <c r="AM82" s="16" t="n">
        <f aca="false">E82+AL82</f>
        <v>-72.5842916893501</v>
      </c>
      <c r="AN82" s="69" t="n">
        <f aca="false">AM82/Portfolio!$F$10</f>
        <v>-0.0531425272157562</v>
      </c>
      <c r="AO82" s="16" t="e">
        <f aca="false">'Hedge_Midle(Test)'!G140</f>
        <v>#N/A</v>
      </c>
      <c r="AP82" s="16" t="n">
        <f aca="false">IF(B82&gt;$C$13,-1*$I$13,(($C$13-B82)*$G$13)-$I$13)</f>
        <v>-0.0997171145685997</v>
      </c>
      <c r="AQ82" s="16" t="n">
        <f aca="false">E82+AP82</f>
        <v>-72.6132874460686</v>
      </c>
      <c r="AR82" s="69" t="n">
        <f aca="false">AQ82/Portfolio!$F$10</f>
        <v>-0.0531637564342922</v>
      </c>
      <c r="AS82" s="16" t="n">
        <f aca="false">'Hedge_Midle(Test)'!G170</f>
        <v>-15.0230590949777</v>
      </c>
      <c r="AT82" s="16" t="n">
        <f aca="false">IF(B82&gt;$C$14,-1*$I$14,(($C$14-B82)*$G$14)-$I$14)</f>
        <v>-0.148514851485149</v>
      </c>
      <c r="AU82" s="16" t="n">
        <f aca="false">E82+AT82</f>
        <v>-72.6620851829851</v>
      </c>
      <c r="AV82" s="69" t="n">
        <f aca="false">AU82/Portfolio!$F$10</f>
        <v>-0.0531994836557309</v>
      </c>
      <c r="AW82" s="16" t="n">
        <f aca="false">'Hedge_Midle(Test)'!G200</f>
        <v>-0.460829319825452</v>
      </c>
      <c r="AX82" s="16" t="n">
        <f aca="false">IF(B82&gt;$C$15,-1*$I$15,(($C$15-B82)*$G$15)-$I$15)</f>
        <v>-3.6</v>
      </c>
      <c r="AY82" s="16" t="n">
        <f aca="false">E82+AX82</f>
        <v>-76.1135703315</v>
      </c>
      <c r="AZ82" s="69" t="n">
        <f aca="false">AY82/Portfolio!$F$10</f>
        <v>-0.0557264855616631</v>
      </c>
      <c r="BA82" s="16" t="n">
        <f aca="false">'Hedge_Midle(Test)'!G230</f>
        <v>0.470206517253309</v>
      </c>
      <c r="BB82" s="16" t="n">
        <f aca="false">IF(B82&gt;$C$16,-1*$I$16,(($C$16-B82)*$G$16)-$I$16)</f>
        <v>-5.22</v>
      </c>
      <c r="BC82" s="16" t="n">
        <f aca="false">E82+BB82</f>
        <v>-77.7335703315</v>
      </c>
      <c r="BD82" s="69" t="n">
        <f aca="false">BC82/Portfolio!$F$10</f>
        <v>-0.0569125671791291</v>
      </c>
      <c r="BE82" s="16" t="n">
        <f aca="false">'Hedge_Midle(Test)'!G260</f>
        <v>1.73078078522607</v>
      </c>
      <c r="BF82" s="16" t="n">
        <f aca="false">IF(B82&gt;$C$17,-1*$I$17,(($C$17-B82)*$G$17)-$I$17)</f>
        <v>-1.82</v>
      </c>
      <c r="BG82" s="16" t="n">
        <f aca="false">E82+BF82</f>
        <v>-74.3335703315</v>
      </c>
      <c r="BH82" s="69" t="n">
        <f aca="false">BG82/Portfolio!$F$10</f>
        <v>-0.0544232600807437</v>
      </c>
      <c r="BI82" s="16" t="n">
        <f aca="false">'Hedge_Midle(Test)'!G290</f>
        <v>0</v>
      </c>
      <c r="BJ82" s="16" t="n">
        <f aca="false">IF(B82&gt;$C$18,-1*$I$18,(($C$18-B82)*$G$18)-$I$18)</f>
        <v>0</v>
      </c>
      <c r="BK82" s="16" t="n">
        <f aca="false">E82+BJ82</f>
        <v>-72.5135703315</v>
      </c>
      <c r="BL82" s="69" t="n">
        <f aca="false">BK82/Portfolio!$F$10</f>
        <v>-0.053090748633961</v>
      </c>
      <c r="BM82" s="16" t="n">
        <f aca="false">'Hedge_Midle(Test)'!G320</f>
        <v>0</v>
      </c>
      <c r="BN82" s="16" t="n">
        <f aca="false">IF(F82&gt;$C$19,-1*$I$19,(($C$19-F82)*$G$19)-$I$19)</f>
        <v>0</v>
      </c>
      <c r="BO82" s="16" t="n">
        <f aca="false">E82+BN82</f>
        <v>-72.5135703315</v>
      </c>
      <c r="BP82" s="69" t="n">
        <f aca="false">BO82/Portfolio!$F$10</f>
        <v>-0.053090748633961</v>
      </c>
      <c r="BQ82" s="16" t="n">
        <f aca="false">'Hedge_Midle(Test)'!C350</f>
        <v>-0</v>
      </c>
      <c r="BR82" s="16" t="n">
        <f aca="false">IF(J82&gt;$C$20,-1*$I$20,(($C$20-J82)*$G$20)-$I$20)</f>
        <v>0</v>
      </c>
      <c r="BS82" s="16" t="n">
        <f aca="false">E82+BR82</f>
        <v>-72.5135703315</v>
      </c>
      <c r="BT82" s="69" t="n">
        <f aca="false">BS82/Portfolio!$F$10</f>
        <v>-0.053090748633961</v>
      </c>
    </row>
    <row r="83" customFormat="false" ht="14.25" hidden="false" customHeight="true" outlineLevel="0" collapsed="false">
      <c r="B83" s="67" t="n">
        <f aca="false">B82-1</f>
        <v>78</v>
      </c>
      <c r="C83" s="68" t="e">
        <f aca="false">P83/$I$22</f>
        <v>#N/A</v>
      </c>
      <c r="D83" s="68" t="n">
        <f aca="false">Q83/$I$22</f>
        <v>-0.701875820948389</v>
      </c>
      <c r="E83" s="16" t="n">
        <f aca="false">(Portfolio!$C$10*B83)-Portfolio!$F$10</f>
        <v>-88.8848153315</v>
      </c>
      <c r="F83" s="69" t="n">
        <f aca="false">(E83/Portfolio!$F$10)</f>
        <v>-0.0650769416892273</v>
      </c>
      <c r="N83" s="67" t="n">
        <f aca="false">N82-1</f>
        <v>78</v>
      </c>
      <c r="O83" s="68" t="e">
        <f aca="false">'Hedge_Midle(Test)'!C384</f>
        <v>#N/A</v>
      </c>
      <c r="P83" s="16" t="e">
        <f aca="false">'Hedge_Midle(Test)'!G384</f>
        <v>#N/A</v>
      </c>
      <c r="Q83" s="16" t="n">
        <f aca="false">Z83+AD83+AH83+AL83+AP83+AT83+AX83+BB83+BF83+BJ83+BN83+BR83</f>
        <v>-9.41722772277228</v>
      </c>
      <c r="R83" s="69" t="e">
        <f aca="false">T83/Portfolio!$F$10</f>
        <v>#N/A</v>
      </c>
      <c r="S83" s="69" t="n">
        <f aca="false">U83/Portfolio!$F$10</f>
        <v>-0.0719717569296415</v>
      </c>
      <c r="T83" s="16" t="e">
        <f aca="false">E83+P83</f>
        <v>#N/A</v>
      </c>
      <c r="U83" s="16" t="n">
        <f aca="false">E83+Q83</f>
        <v>-98.3020430542723</v>
      </c>
      <c r="V83" s="70" t="e">
        <f aca="false">P84-2*P83+P82</f>
        <v>#N/A</v>
      </c>
      <c r="W83" s="70" t="n">
        <f aca="false">Q84-2*Q83+Q82</f>
        <v>3</v>
      </c>
      <c r="X83" s="67" t="n">
        <f aca="false">X82-1</f>
        <v>78</v>
      </c>
      <c r="Y83" s="16" t="n">
        <f aca="false">'Hedge_Midle(Test)'!G24</f>
        <v>3.02068671815603</v>
      </c>
      <c r="Z83" s="16" t="n">
        <f aca="false">IF(B83&gt;$C$9,-1*$I$9,(($C$9-B83)*$G$9)-$I$9)</f>
        <v>-0.192008486562942</v>
      </c>
      <c r="AA83" s="16" t="n">
        <f aca="false">E83+Z83</f>
        <v>-89.076823818063</v>
      </c>
      <c r="AB83" s="69" t="n">
        <f aca="false">AA83/Portfolio!$F$10</f>
        <v>-0.0652175205388013</v>
      </c>
      <c r="AC83" s="16" t="n">
        <f aca="false">'Hedge_Midle(Test)'!G53</f>
        <v>5.04302477355693</v>
      </c>
      <c r="AD83" s="16" t="n">
        <f aca="false">IF(B83&gt;$C$10,-1*$I$10,(($C$10-B83)*$G$10)-$I$10)</f>
        <v>-0.251060820367751</v>
      </c>
      <c r="AE83" s="16" t="n">
        <f aca="false">E83+AD83</f>
        <v>-89.1358761518678</v>
      </c>
      <c r="AF83" s="69" t="n">
        <f aca="false">AE83/Portfolio!$F$10</f>
        <v>-0.0652607556546002</v>
      </c>
      <c r="AG83" s="16" t="n">
        <f aca="false">'Hedge_Midle(Test)'!G82</f>
        <v>-1.46563241367472</v>
      </c>
      <c r="AH83" s="16" t="n">
        <f aca="false">IF(B83&gt;$C$11,-1*$I$11,(($C$11-B83)*$G$11)-$I$11)</f>
        <v>-0.0152050919377652</v>
      </c>
      <c r="AI83" s="16" t="n">
        <f aca="false">E83+AH83</f>
        <v>-88.9000204234378</v>
      </c>
      <c r="AJ83" s="69" t="n">
        <f aca="false">AI83/Portfolio!$F$10</f>
        <v>-0.0650880740843133</v>
      </c>
      <c r="AK83" s="16" t="n">
        <f aca="false">'Hedge_Midle(Test)'!G111</f>
        <v>0.356304201710909</v>
      </c>
      <c r="AL83" s="16" t="n">
        <f aca="false">IF(B83&gt;$C$12,-1*$I$12,(($C$12-B83)*$G$12)-$I$12)</f>
        <v>-0.0707213578500707</v>
      </c>
      <c r="AM83" s="16" t="n">
        <f aca="false">E83+AL83</f>
        <v>-88.9555366893501</v>
      </c>
      <c r="AN83" s="69" t="n">
        <f aca="false">AM83/Portfolio!$F$10</f>
        <v>-0.0651287202710225</v>
      </c>
      <c r="AO83" s="16" t="e">
        <f aca="false">'Hedge_Midle(Test)'!G141</f>
        <v>#N/A</v>
      </c>
      <c r="AP83" s="16" t="n">
        <f aca="false">IF(B83&gt;$C$13,-1*$I$13,(($C$13-B83)*$G$13)-$I$13)</f>
        <v>-0.0997171145685997</v>
      </c>
      <c r="AQ83" s="16" t="n">
        <f aca="false">E83+AP83</f>
        <v>-88.9845324460686</v>
      </c>
      <c r="AR83" s="69" t="n">
        <f aca="false">AQ83/Portfolio!$F$10</f>
        <v>-0.0651499494895586</v>
      </c>
      <c r="AS83" s="16" t="n">
        <f aca="false">'Hedge_Midle(Test)'!G171</f>
        <v>-14.8054006019783</v>
      </c>
      <c r="AT83" s="16" t="n">
        <f aca="false">IF(B83&gt;$C$14,-1*$I$14,(($C$14-B83)*$G$14)-$I$14)</f>
        <v>-0.148514851485149</v>
      </c>
      <c r="AU83" s="16" t="n">
        <f aca="false">E83+AT83</f>
        <v>-89.0333301829852</v>
      </c>
      <c r="AV83" s="69" t="n">
        <f aca="false">AU83/Portfolio!$F$10</f>
        <v>-0.0651856767109972</v>
      </c>
      <c r="AW83" s="16" t="n">
        <f aca="false">'Hedge_Midle(Test)'!G201</f>
        <v>0.375000664420826</v>
      </c>
      <c r="AX83" s="16" t="n">
        <f aca="false">IF(B83&gt;$C$15,-1*$I$15,(($C$15-B83)*$G$15)-$I$15)</f>
        <v>-3.6</v>
      </c>
      <c r="AY83" s="16" t="n">
        <f aca="false">E83+AX83</f>
        <v>-92.4848153315</v>
      </c>
      <c r="AZ83" s="69" t="n">
        <f aca="false">AY83/Portfolio!$F$10</f>
        <v>-0.0677126786169295</v>
      </c>
      <c r="BA83" s="16" t="n">
        <f aca="false">'Hedge_Midle(Test)'!G231</f>
        <v>1.82436211181735</v>
      </c>
      <c r="BB83" s="16" t="n">
        <f aca="false">IF(B83&gt;$C$16,-1*$I$16,(($C$16-B83)*$G$16)-$I$16)</f>
        <v>-5.22</v>
      </c>
      <c r="BC83" s="16" t="n">
        <f aca="false">E83+BB83</f>
        <v>-94.1048153315</v>
      </c>
      <c r="BD83" s="69" t="n">
        <f aca="false">BC83/Portfolio!$F$10</f>
        <v>-0.0688987602343954</v>
      </c>
      <c r="BE83" s="16" t="n">
        <f aca="false">'Hedge_Midle(Test)'!G261</f>
        <v>2.91455765562885</v>
      </c>
      <c r="BF83" s="16" t="n">
        <f aca="false">IF(B83&gt;$C$17,-1*$I$17,(($C$17-B83)*$G$17)-$I$17)</f>
        <v>0.18</v>
      </c>
      <c r="BG83" s="16" t="n">
        <f aca="false">E83+BF83</f>
        <v>-88.7048153315</v>
      </c>
      <c r="BH83" s="69" t="n">
        <f aca="false">BG83/Portfolio!$F$10</f>
        <v>-0.0649451548428422</v>
      </c>
      <c r="BI83" s="16" t="n">
        <f aca="false">'Hedge_Midle(Test)'!G291</f>
        <v>0</v>
      </c>
      <c r="BJ83" s="16" t="n">
        <f aca="false">IF(B83&gt;$C$18,-1*$I$18,(($C$18-B83)*$G$18)-$I$18)</f>
        <v>0</v>
      </c>
      <c r="BK83" s="16" t="n">
        <f aca="false">E83+BJ83</f>
        <v>-88.8848153315</v>
      </c>
      <c r="BL83" s="69" t="n">
        <f aca="false">BK83/Portfolio!$F$10</f>
        <v>-0.0650769416892273</v>
      </c>
      <c r="BM83" s="16" t="n">
        <f aca="false">'Hedge_Midle(Test)'!G321</f>
        <v>0</v>
      </c>
      <c r="BN83" s="16" t="n">
        <f aca="false">IF(F83&gt;$C$19,-1*$I$19,(($C$19-F83)*$G$19)-$I$19)</f>
        <v>0</v>
      </c>
      <c r="BO83" s="16" t="n">
        <f aca="false">E83+BN83</f>
        <v>-88.8848153315</v>
      </c>
      <c r="BP83" s="69" t="n">
        <f aca="false">BO83/Portfolio!$F$10</f>
        <v>-0.0650769416892273</v>
      </c>
      <c r="BQ83" s="16" t="n">
        <f aca="false">'Hedge_Midle(Test)'!C351</f>
        <v>-0</v>
      </c>
      <c r="BR83" s="16" t="n">
        <f aca="false">IF(J83&gt;$C$20,-1*$I$20,(($C$20-J83)*$G$20)-$I$20)</f>
        <v>0</v>
      </c>
      <c r="BS83" s="16" t="n">
        <f aca="false">E83+BR83</f>
        <v>-88.8848153315</v>
      </c>
      <c r="BT83" s="69" t="n">
        <f aca="false">BS83/Portfolio!$F$10</f>
        <v>-0.0650769416892273</v>
      </c>
    </row>
    <row r="84" customFormat="false" ht="14.25" hidden="false" customHeight="true" outlineLevel="0" collapsed="false">
      <c r="B84" s="67" t="n">
        <f aca="false">B83-1</f>
        <v>77</v>
      </c>
      <c r="C84" s="68" t="e">
        <f aca="false">P84/$I$22</f>
        <v>#N/A</v>
      </c>
      <c r="D84" s="68" t="n">
        <f aca="false">Q84/$I$22</f>
        <v>-0.329220597133875</v>
      </c>
      <c r="E84" s="16" t="n">
        <f aca="false">(Portfolio!$C$10*B84)-Portfolio!$F$10</f>
        <v>-105.2560603315</v>
      </c>
      <c r="F84" s="69" t="n">
        <f aca="false">(E84/Portfolio!$F$10)</f>
        <v>-0.0770631347444935</v>
      </c>
      <c r="N84" s="67" t="n">
        <f aca="false">N83-1</f>
        <v>77</v>
      </c>
      <c r="O84" s="68" t="e">
        <f aca="false">'Hedge_Midle(Test)'!C385</f>
        <v>#N/A</v>
      </c>
      <c r="P84" s="16" t="e">
        <f aca="false">'Hedge_Midle(Test)'!G385</f>
        <v>#N/A</v>
      </c>
      <c r="Q84" s="16" t="n">
        <f aca="false">Z84+AD84+AH84+AL84+AP84+AT84+AX84+BB84+BF84+BJ84+BN84+BR84</f>
        <v>-4.41722772277228</v>
      </c>
      <c r="R84" s="69" t="e">
        <f aca="false">T84/Portfolio!$F$10</f>
        <v>#N/A</v>
      </c>
      <c r="S84" s="69" t="n">
        <f aca="false">U84/Portfolio!$F$10</f>
        <v>-0.0802972042519881</v>
      </c>
      <c r="T84" s="16" t="e">
        <f aca="false">E84+P84</f>
        <v>#N/A</v>
      </c>
      <c r="U84" s="16" t="n">
        <f aca="false">E84+Q84</f>
        <v>-109.673288054272</v>
      </c>
      <c r="V84" s="70" t="e">
        <f aca="false">P85-2*P84+P83</f>
        <v>#N/A</v>
      </c>
      <c r="W84" s="70" t="n">
        <f aca="false">Q85-2*Q84+Q83</f>
        <v>0</v>
      </c>
      <c r="X84" s="67" t="n">
        <f aca="false">X83-1</f>
        <v>77</v>
      </c>
      <c r="Y84" s="16" t="n">
        <f aca="false">'Hedge_Midle(Test)'!G25</f>
        <v>3.80924438636137</v>
      </c>
      <c r="Z84" s="16" t="n">
        <f aca="false">IF(B84&gt;$C$9,-1*$I$9,(($C$9-B84)*$G$9)-$I$9)</f>
        <v>-0.192008486562942</v>
      </c>
      <c r="AA84" s="16" t="n">
        <f aca="false">E84+Z84</f>
        <v>-105.448068818063</v>
      </c>
      <c r="AB84" s="69" t="n">
        <f aca="false">AA84/Portfolio!$F$10</f>
        <v>-0.0772037135940674</v>
      </c>
      <c r="AC84" s="16" t="n">
        <f aca="false">'Hedge_Midle(Test)'!G54</f>
        <v>5.60416866422089</v>
      </c>
      <c r="AD84" s="16" t="n">
        <f aca="false">IF(B84&gt;$C$10,-1*$I$10,(($C$10-B84)*$G$10)-$I$10)</f>
        <v>-0.251060820367751</v>
      </c>
      <c r="AE84" s="16" t="n">
        <f aca="false">E84+AD84</f>
        <v>-105.507121151868</v>
      </c>
      <c r="AF84" s="69" t="n">
        <f aca="false">AE84/Portfolio!$F$10</f>
        <v>-0.0772469487098664</v>
      </c>
      <c r="AG84" s="16" t="n">
        <f aca="false">'Hedge_Midle(Test)'!G83</f>
        <v>-1.41362796440556</v>
      </c>
      <c r="AH84" s="16" t="n">
        <f aca="false">IF(B84&gt;$C$11,-1*$I$11,(($C$11-B84)*$G$11)-$I$11)</f>
        <v>-0.0152050919377652</v>
      </c>
      <c r="AI84" s="16" t="n">
        <f aca="false">E84+AH84</f>
        <v>-105.271265423438</v>
      </c>
      <c r="AJ84" s="69" t="n">
        <f aca="false">AI84/Portfolio!$F$10</f>
        <v>-0.0770742671395795</v>
      </c>
      <c r="AK84" s="16" t="n">
        <f aca="false">'Hedge_Midle(Test)'!G112</f>
        <v>0.953539077266606</v>
      </c>
      <c r="AL84" s="16" t="n">
        <f aca="false">IF(B84&gt;$C$12,-1*$I$12,(($C$12-B84)*$G$12)-$I$12)</f>
        <v>-0.0707213578500707</v>
      </c>
      <c r="AM84" s="16" t="n">
        <f aca="false">E84+AL84</f>
        <v>-105.32678168935</v>
      </c>
      <c r="AN84" s="69" t="n">
        <f aca="false">AM84/Portfolio!$F$10</f>
        <v>-0.0771149133262887</v>
      </c>
      <c r="AO84" s="16" t="e">
        <f aca="false">'Hedge_Midle(Test)'!G142</f>
        <v>#N/A</v>
      </c>
      <c r="AP84" s="16" t="n">
        <f aca="false">IF(B84&gt;$C$13,-1*$I$13,(($C$13-B84)*$G$13)-$I$13)</f>
        <v>-0.0997171145685997</v>
      </c>
      <c r="AQ84" s="16" t="n">
        <f aca="false">E84+AP84</f>
        <v>-105.355777446068</v>
      </c>
      <c r="AR84" s="69" t="n">
        <f aca="false">AQ84/Portfolio!$F$10</f>
        <v>-0.0771361425448247</v>
      </c>
      <c r="AS84" s="16" t="n">
        <f aca="false">'Hedge_Midle(Test)'!G172</f>
        <v>-14.5306776538163</v>
      </c>
      <c r="AT84" s="16" t="n">
        <f aca="false">IF(B84&gt;$C$14,-1*$I$14,(($C$14-B84)*$G$14)-$I$14)</f>
        <v>-0.148514851485149</v>
      </c>
      <c r="AU84" s="16" t="n">
        <f aca="false">E84+AT84</f>
        <v>-105.404575182985</v>
      </c>
      <c r="AV84" s="69" t="n">
        <f aca="false">AU84/Portfolio!$F$10</f>
        <v>-0.0771718697662634</v>
      </c>
      <c r="AW84" s="16" t="n">
        <f aca="false">'Hedge_Midle(Test)'!G202</f>
        <v>1.37178282194722</v>
      </c>
      <c r="AX84" s="16" t="n">
        <f aca="false">IF(B84&gt;$C$15,-1*$I$15,(($C$15-B84)*$G$15)-$I$15)</f>
        <v>-3.6</v>
      </c>
      <c r="AY84" s="16" t="n">
        <f aca="false">E84+AX84</f>
        <v>-108.8560603315</v>
      </c>
      <c r="AZ84" s="69" t="n">
        <f aca="false">AY84/Portfolio!$F$10</f>
        <v>-0.0796988716721956</v>
      </c>
      <c r="BA84" s="16" t="n">
        <f aca="false">'Hedge_Midle(Test)'!G232</f>
        <v>3.381187145463</v>
      </c>
      <c r="BB84" s="16" t="n">
        <f aca="false">IF(B84&gt;$C$16,-1*$I$16,(($C$16-B84)*$G$16)-$I$16)</f>
        <v>-2.22</v>
      </c>
      <c r="BC84" s="16" t="n">
        <f aca="false">E84+BB84</f>
        <v>-107.4760603315</v>
      </c>
      <c r="BD84" s="69" t="n">
        <f aca="false">BC84/Portfolio!$F$10</f>
        <v>-0.0786885058499098</v>
      </c>
      <c r="BE84" s="16" t="n">
        <f aca="false">'Hedge_Midle(Test)'!G262</f>
        <v>4.2354182606481</v>
      </c>
      <c r="BF84" s="16" t="n">
        <f aca="false">IF(B84&gt;$C$17,-1*$I$17,(($C$17-B84)*$G$17)-$I$17)</f>
        <v>2.18</v>
      </c>
      <c r="BG84" s="16" t="n">
        <f aca="false">E84+BF84</f>
        <v>-103.0760603315</v>
      </c>
      <c r="BH84" s="69" t="n">
        <f aca="false">BG84/Portfolio!$F$10</f>
        <v>-0.0754670496049406</v>
      </c>
      <c r="BI84" s="16" t="n">
        <f aca="false">'Hedge_Midle(Test)'!G292</f>
        <v>0</v>
      </c>
      <c r="BJ84" s="16" t="n">
        <f aca="false">IF(B84&gt;$C$18,-1*$I$18,(($C$18-B84)*$G$18)-$I$18)</f>
        <v>0</v>
      </c>
      <c r="BK84" s="16" t="n">
        <f aca="false">E84+BJ84</f>
        <v>-105.2560603315</v>
      </c>
      <c r="BL84" s="69" t="n">
        <f aca="false">BK84/Portfolio!$F$10</f>
        <v>-0.0770631347444935</v>
      </c>
      <c r="BM84" s="16" t="n">
        <f aca="false">'Hedge_Midle(Test)'!G322</f>
        <v>0</v>
      </c>
      <c r="BN84" s="16" t="n">
        <f aca="false">IF(F84&gt;$C$19,-1*$I$19,(($C$19-F84)*$G$19)-$I$19)</f>
        <v>0</v>
      </c>
      <c r="BO84" s="16" t="n">
        <f aca="false">E84+BN84</f>
        <v>-105.2560603315</v>
      </c>
      <c r="BP84" s="69" t="n">
        <f aca="false">BO84/Portfolio!$F$10</f>
        <v>-0.0770631347444935</v>
      </c>
      <c r="BQ84" s="16" t="n">
        <f aca="false">'Hedge_Midle(Test)'!C352</f>
        <v>-0</v>
      </c>
      <c r="BR84" s="16" t="n">
        <f aca="false">IF(J84&gt;$C$20,-1*$I$20,(($C$20-J84)*$G$20)-$I$20)</f>
        <v>0</v>
      </c>
      <c r="BS84" s="16" t="n">
        <f aca="false">E84+BR84</f>
        <v>-105.2560603315</v>
      </c>
      <c r="BT84" s="69" t="n">
        <f aca="false">BS84/Portfolio!$F$10</f>
        <v>-0.0770631347444935</v>
      </c>
    </row>
    <row r="85" customFormat="false" ht="14.25" hidden="false" customHeight="true" outlineLevel="0" collapsed="false">
      <c r="B85" s="67" t="n">
        <f aca="false">B84-1</f>
        <v>76</v>
      </c>
      <c r="C85" s="68" t="e">
        <f aca="false">P85/$I$22</f>
        <v>#N/A</v>
      </c>
      <c r="D85" s="68" t="n">
        <f aca="false">Q85/$I$22</f>
        <v>0.0434346266806382</v>
      </c>
      <c r="E85" s="16" t="n">
        <f aca="false">(Portfolio!$C$10*B85)-Portfolio!$F$10</f>
        <v>-121.6273053315</v>
      </c>
      <c r="F85" s="69" t="n">
        <f aca="false">(E85/Portfolio!$F$10)</f>
        <v>-0.0890493277997599</v>
      </c>
      <c r="N85" s="67" t="n">
        <f aca="false">N84-1</f>
        <v>76</v>
      </c>
      <c r="O85" s="68" t="e">
        <f aca="false">'Hedge_Midle(Test)'!C386</f>
        <v>#N/A</v>
      </c>
      <c r="P85" s="16" t="e">
        <f aca="false">'Hedge_Midle(Test)'!G386</f>
        <v>#N/A</v>
      </c>
      <c r="Q85" s="16" t="n">
        <f aca="false">Z85+AD85+AH85+AL85+AP85+AT85+AX85+BB85+BF85+BJ85+BN85+BR85</f>
        <v>0.582772277227723</v>
      </c>
      <c r="R85" s="69" t="e">
        <f aca="false">T85/Portfolio!$F$10</f>
        <v>#N/A</v>
      </c>
      <c r="S85" s="69" t="n">
        <f aca="false">U85/Portfolio!$F$10</f>
        <v>-0.0886226515743348</v>
      </c>
      <c r="T85" s="16" t="e">
        <f aca="false">E85+P85</f>
        <v>#N/A</v>
      </c>
      <c r="U85" s="16" t="n">
        <f aca="false">E85+Q85</f>
        <v>-121.044533054272</v>
      </c>
      <c r="V85" s="70" t="e">
        <f aca="false">P86-2*P85+P84</f>
        <v>#N/A</v>
      </c>
      <c r="W85" s="70" t="n">
        <f aca="false">Q86-2*Q85+Q84</f>
        <v>0</v>
      </c>
      <c r="X85" s="67" t="n">
        <f aca="false">X84-1</f>
        <v>76</v>
      </c>
      <c r="Y85" s="16" t="n">
        <f aca="false">'Hedge_Midle(Test)'!G26</f>
        <v>4.67478745852696</v>
      </c>
      <c r="Z85" s="16" t="n">
        <f aca="false">IF(B85&gt;$C$9,-1*$I$9,(($C$9-B85)*$G$9)-$I$9)</f>
        <v>-0.192008486562942</v>
      </c>
      <c r="AA85" s="16" t="n">
        <f aca="false">E85+Z85</f>
        <v>-121.819313818063</v>
      </c>
      <c r="AB85" s="69" t="n">
        <f aca="false">AA85/Portfolio!$F$10</f>
        <v>-0.0891899066493338</v>
      </c>
      <c r="AC85" s="16" t="n">
        <f aca="false">'Hedge_Midle(Test)'!G55</f>
        <v>6.20675468080624</v>
      </c>
      <c r="AD85" s="16" t="n">
        <f aca="false">IF(B85&gt;$C$10,-1*$I$10,(($C$10-B85)*$G$10)-$I$10)</f>
        <v>-0.251060820367751</v>
      </c>
      <c r="AE85" s="16" t="n">
        <f aca="false">E85+AD85</f>
        <v>-121.878366151868</v>
      </c>
      <c r="AF85" s="69" t="n">
        <f aca="false">AE85/Portfolio!$F$10</f>
        <v>-0.0892331417651328</v>
      </c>
      <c r="AG85" s="16" t="n">
        <f aca="false">'Hedge_Midle(Test)'!G84</f>
        <v>-1.35274677351998</v>
      </c>
      <c r="AH85" s="16" t="n">
        <f aca="false">IF(B85&gt;$C$11,-1*$I$11,(($C$11-B85)*$G$11)-$I$11)</f>
        <v>-0.0152050919377652</v>
      </c>
      <c r="AI85" s="16" t="n">
        <f aca="false">E85+AH85</f>
        <v>-121.642510423438</v>
      </c>
      <c r="AJ85" s="69" t="n">
        <f aca="false">AI85/Portfolio!$F$10</f>
        <v>-0.0890604601948458</v>
      </c>
      <c r="AK85" s="16" t="n">
        <f aca="false">'Hedge_Midle(Test)'!G113</f>
        <v>1.63757169516648</v>
      </c>
      <c r="AL85" s="16" t="n">
        <f aca="false">IF(B85&gt;$C$12,-1*$I$12,(($C$12-B85)*$G$12)-$I$12)</f>
        <v>-0.0707213578500707</v>
      </c>
      <c r="AM85" s="16" t="n">
        <f aca="false">E85+AL85</f>
        <v>-121.69802668935</v>
      </c>
      <c r="AN85" s="69" t="n">
        <f aca="false">AM85/Portfolio!$F$10</f>
        <v>-0.0891011063815551</v>
      </c>
      <c r="AO85" s="16" t="e">
        <f aca="false">'Hedge_Midle(Test)'!G143</f>
        <v>#N/A</v>
      </c>
      <c r="AP85" s="16" t="n">
        <f aca="false">IF(B85&gt;$C$13,-1*$I$13,(($C$13-B85)*$G$13)-$I$13)</f>
        <v>-0.0997171145685997</v>
      </c>
      <c r="AQ85" s="16" t="n">
        <f aca="false">E85+AP85</f>
        <v>-121.727022446068</v>
      </c>
      <c r="AR85" s="69" t="n">
        <f aca="false">AQ85/Portfolio!$F$10</f>
        <v>-0.0891223356000911</v>
      </c>
      <c r="AS85" s="16" t="n">
        <f aca="false">'Hedge_Midle(Test)'!G173</f>
        <v>-14.1867052340799</v>
      </c>
      <c r="AT85" s="16" t="n">
        <f aca="false">IF(B85&gt;$C$14,-1*$I$14,(($C$14-B85)*$G$14)-$I$14)</f>
        <v>-0.148514851485149</v>
      </c>
      <c r="AU85" s="16" t="n">
        <f aca="false">E85+AT85</f>
        <v>-121.775820182985</v>
      </c>
      <c r="AV85" s="69" t="n">
        <f aca="false">AU85/Portfolio!$F$10</f>
        <v>-0.0891580628215297</v>
      </c>
      <c r="AW85" s="16" t="n">
        <f aca="false">'Hedge_Midle(Test)'!G203</f>
        <v>2.54284163281249</v>
      </c>
      <c r="AX85" s="16" t="n">
        <f aca="false">IF(B85&gt;$C$15,-1*$I$15,(($C$15-B85)*$G$15)-$I$15)</f>
        <v>-3.6</v>
      </c>
      <c r="AY85" s="16" t="n">
        <f aca="false">E85+AX85</f>
        <v>-125.2273053315</v>
      </c>
      <c r="AZ85" s="69" t="n">
        <f aca="false">AY85/Portfolio!$F$10</f>
        <v>-0.091685064727462</v>
      </c>
      <c r="BA85" s="16" t="n">
        <f aca="false">'Hedge_Midle(Test)'!G233</f>
        <v>5.14162134983167</v>
      </c>
      <c r="BB85" s="16" t="n">
        <f aca="false">IF(B85&gt;$C$16,-1*$I$16,(($C$16-B85)*$G$16)-$I$16)</f>
        <v>0.78</v>
      </c>
      <c r="BC85" s="16" t="n">
        <f aca="false">E85+BB85</f>
        <v>-120.8473053315</v>
      </c>
      <c r="BD85" s="69" t="n">
        <f aca="false">BC85/Portfolio!$F$10</f>
        <v>-0.0884782514654244</v>
      </c>
      <c r="BE85" s="16" t="n">
        <f aca="false">'Hedge_Midle(Test)'!G263</f>
        <v>5.68505136966723</v>
      </c>
      <c r="BF85" s="16" t="n">
        <f aca="false">IF(B85&gt;$C$17,-1*$I$17,(($C$17-B85)*$G$17)-$I$17)</f>
        <v>4.18</v>
      </c>
      <c r="BG85" s="16" t="n">
        <f aca="false">E85+BF85</f>
        <v>-117.4473053315</v>
      </c>
      <c r="BH85" s="69" t="n">
        <f aca="false">BG85/Portfolio!$F$10</f>
        <v>-0.0859889443670391</v>
      </c>
      <c r="BI85" s="16" t="n">
        <f aca="false">'Hedge_Midle(Test)'!G293</f>
        <v>0</v>
      </c>
      <c r="BJ85" s="16" t="n">
        <f aca="false">IF(B85&gt;$C$18,-1*$I$18,(($C$18-B85)*$G$18)-$I$18)</f>
        <v>0</v>
      </c>
      <c r="BK85" s="16" t="n">
        <f aca="false">E85+BJ85</f>
        <v>-121.6273053315</v>
      </c>
      <c r="BL85" s="69" t="n">
        <f aca="false">BK85/Portfolio!$F$10</f>
        <v>-0.0890493277997599</v>
      </c>
      <c r="BM85" s="16" t="n">
        <f aca="false">'Hedge_Midle(Test)'!G323</f>
        <v>0</v>
      </c>
      <c r="BN85" s="16" t="n">
        <f aca="false">IF(F85&gt;$C$19,-1*$I$19,(($C$19-F85)*$G$19)-$I$19)</f>
        <v>0</v>
      </c>
      <c r="BO85" s="16" t="n">
        <f aca="false">E85+BN85</f>
        <v>-121.6273053315</v>
      </c>
      <c r="BP85" s="69" t="n">
        <f aca="false">BO85/Portfolio!$F$10</f>
        <v>-0.0890493277997599</v>
      </c>
      <c r="BQ85" s="16" t="n">
        <f aca="false">'Hedge_Midle(Test)'!C353</f>
        <v>-0</v>
      </c>
      <c r="BR85" s="16" t="n">
        <f aca="false">IF(J85&gt;$C$20,-1*$I$20,(($C$20-J85)*$G$20)-$I$20)</f>
        <v>0</v>
      </c>
      <c r="BS85" s="16" t="n">
        <f aca="false">E85+BR85</f>
        <v>-121.6273053315</v>
      </c>
      <c r="BT85" s="69" t="n">
        <f aca="false">BS85/Portfolio!$F$10</f>
        <v>-0.0890493277997599</v>
      </c>
    </row>
    <row r="86" customFormat="false" ht="14.25" hidden="false" customHeight="true" outlineLevel="0" collapsed="false">
      <c r="B86" s="67" t="n">
        <f aca="false">B85-1</f>
        <v>75</v>
      </c>
      <c r="C86" s="68" t="e">
        <f aca="false">P86/$I$22</f>
        <v>#N/A</v>
      </c>
      <c r="D86" s="68" t="n">
        <f aca="false">Q86/$I$22</f>
        <v>0.416089850495152</v>
      </c>
      <c r="E86" s="16" t="n">
        <f aca="false">(Portfolio!$C$10*B86)-Portfolio!$F$10</f>
        <v>-137.9985503315</v>
      </c>
      <c r="F86" s="69" t="n">
        <f aca="false">(E86/Portfolio!$F$10)</f>
        <v>-0.101035520855026</v>
      </c>
      <c r="N86" s="67" t="n">
        <f aca="false">N85-1</f>
        <v>75</v>
      </c>
      <c r="O86" s="68" t="e">
        <f aca="false">'Hedge_Midle(Test)'!C387</f>
        <v>#N/A</v>
      </c>
      <c r="P86" s="16" t="e">
        <f aca="false">'Hedge_Midle(Test)'!G387</f>
        <v>#N/A</v>
      </c>
      <c r="Q86" s="16" t="n">
        <f aca="false">Z86+AD86+AH86+AL86+AP86+AT86+AX86+BB86+BF86+BJ86+BN86+BR86</f>
        <v>5.58277227722772</v>
      </c>
      <c r="R86" s="69" t="e">
        <f aca="false">T86/Portfolio!$F$10</f>
        <v>#N/A</v>
      </c>
      <c r="S86" s="69" t="n">
        <f aca="false">U86/Portfolio!$F$10</f>
        <v>-0.0969480988966816</v>
      </c>
      <c r="T86" s="16" t="e">
        <f aca="false">E86+P86</f>
        <v>#N/A</v>
      </c>
      <c r="U86" s="16" t="n">
        <f aca="false">E86+Q86</f>
        <v>-132.415778054272</v>
      </c>
      <c r="V86" s="70" t="e">
        <f aca="false">P87-2*P86+P85</f>
        <v>#N/A</v>
      </c>
      <c r="W86" s="70" t="n">
        <f aca="false">Q87-2*Q86+Q85</f>
        <v>3</v>
      </c>
      <c r="X86" s="67" t="n">
        <f aca="false">X85-1</f>
        <v>75</v>
      </c>
      <c r="Y86" s="16" t="n">
        <f aca="false">'Hedge_Midle(Test)'!G27</f>
        <v>5.62354494120675</v>
      </c>
      <c r="Z86" s="16" t="n">
        <f aca="false">IF(B86&gt;$C$9,-1*$I$9,(($C$9-B86)*$G$9)-$I$9)</f>
        <v>-0.192008486562942</v>
      </c>
      <c r="AA86" s="16" t="n">
        <f aca="false">E86+Z86</f>
        <v>-138.190558818063</v>
      </c>
      <c r="AB86" s="69" t="n">
        <f aca="false">AA86/Portfolio!$F$10</f>
        <v>-0.1011760997046</v>
      </c>
      <c r="AC86" s="16" t="n">
        <f aca="false">'Hedge_Midle(Test)'!G56</f>
        <v>6.85267850158802</v>
      </c>
      <c r="AD86" s="16" t="n">
        <f aca="false">IF(B86&gt;$C$10,-1*$I$10,(($C$10-B86)*$G$10)-$I$10)</f>
        <v>-0.251060820367751</v>
      </c>
      <c r="AE86" s="16" t="n">
        <f aca="false">E86+AD86</f>
        <v>-138.249611151868</v>
      </c>
      <c r="AF86" s="69" t="n">
        <f aca="false">AE86/Portfolio!$F$10</f>
        <v>-0.101219334820399</v>
      </c>
      <c r="AG86" s="16" t="n">
        <f aca="false">'Hedge_Midle(Test)'!G85</f>
        <v>-1.28170630162091</v>
      </c>
      <c r="AH86" s="16" t="n">
        <f aca="false">IF(B86&gt;$C$11,-1*$I$11,(($C$11-B86)*$G$11)-$I$11)</f>
        <v>-0.0152050919377652</v>
      </c>
      <c r="AI86" s="16" t="n">
        <f aca="false">E86+AH86</f>
        <v>-138.013755423438</v>
      </c>
      <c r="AJ86" s="69" t="n">
        <f aca="false">AI86/Portfolio!$F$10</f>
        <v>-0.101046653250112</v>
      </c>
      <c r="AK86" s="16" t="n">
        <f aca="false">'Hedge_Midle(Test)'!G114</f>
        <v>2.41634968814452</v>
      </c>
      <c r="AL86" s="16" t="n">
        <f aca="false">IF(B86&gt;$C$12,-1*$I$12,(($C$12-B86)*$G$12)-$I$12)</f>
        <v>-0.0707213578500707</v>
      </c>
      <c r="AM86" s="16" t="n">
        <f aca="false">E86+AL86</f>
        <v>-138.06927168935</v>
      </c>
      <c r="AN86" s="69" t="n">
        <f aca="false">AM86/Portfolio!$F$10</f>
        <v>-0.101087299436821</v>
      </c>
      <c r="AO86" s="16" t="e">
        <f aca="false">'Hedge_Midle(Test)'!G144</f>
        <v>#N/A</v>
      </c>
      <c r="AP86" s="16" t="n">
        <f aca="false">IF(B86&gt;$C$13,-1*$I$13,(($C$13-B86)*$G$13)-$I$13)</f>
        <v>-0.0997171145685997</v>
      </c>
      <c r="AQ86" s="16" t="n">
        <f aca="false">E86+AP86</f>
        <v>-138.098267446069</v>
      </c>
      <c r="AR86" s="69" t="n">
        <f aca="false">AQ86/Portfolio!$F$10</f>
        <v>-0.101108528655357</v>
      </c>
      <c r="AS86" s="16" t="n">
        <f aca="false">'Hedge_Midle(Test)'!G174</f>
        <v>-13.7595759672069</v>
      </c>
      <c r="AT86" s="16" t="n">
        <f aca="false">IF(B86&gt;$C$14,-1*$I$14,(($C$14-B86)*$G$14)-$I$14)</f>
        <v>-0.148514851485149</v>
      </c>
      <c r="AU86" s="16" t="n">
        <f aca="false">E86+AT86</f>
        <v>-138.147065182985</v>
      </c>
      <c r="AV86" s="69" t="n">
        <f aca="false">AU86/Portfolio!$F$10</f>
        <v>-0.101144255876796</v>
      </c>
      <c r="AW86" s="16" t="n">
        <f aca="false">'Hedge_Midle(Test)'!G204</f>
        <v>3.89827801664401</v>
      </c>
      <c r="AX86" s="16" t="n">
        <f aca="false">IF(B86&gt;$C$15,-1*$I$15,(($C$15-B86)*$G$15)-$I$15)</f>
        <v>-3.6</v>
      </c>
      <c r="AY86" s="16" t="n">
        <f aca="false">E86+AX86</f>
        <v>-141.5985503315</v>
      </c>
      <c r="AZ86" s="69" t="n">
        <f aca="false">AY86/Portfolio!$F$10</f>
        <v>-0.103671257782728</v>
      </c>
      <c r="BA86" s="16" t="n">
        <f aca="false">'Hedge_Midle(Test)'!G234</f>
        <v>7.1006437014475</v>
      </c>
      <c r="BB86" s="16" t="n">
        <f aca="false">IF(B86&gt;$C$16,-1*$I$16,(($C$16-B86)*$G$16)-$I$16)</f>
        <v>3.78</v>
      </c>
      <c r="BC86" s="16" t="n">
        <f aca="false">E86+BB86</f>
        <v>-134.2185503315</v>
      </c>
      <c r="BD86" s="69" t="n">
        <f aca="false">BC86/Portfolio!$F$10</f>
        <v>-0.098267997080939</v>
      </c>
      <c r="BE86" s="16" t="n">
        <f aca="false">'Hedge_Midle(Test)'!G264</f>
        <v>7.25153246307018</v>
      </c>
      <c r="BF86" s="16" t="n">
        <f aca="false">IF(B86&gt;$C$17,-1*$I$17,(($C$17-B86)*$G$17)-$I$17)</f>
        <v>6.18</v>
      </c>
      <c r="BG86" s="16" t="n">
        <f aca="false">E86+BF86</f>
        <v>-131.8185503315</v>
      </c>
      <c r="BH86" s="69" t="n">
        <f aca="false">BG86/Portfolio!$F$10</f>
        <v>-0.0965108391291376</v>
      </c>
      <c r="BI86" s="16" t="n">
        <f aca="false">'Hedge_Midle(Test)'!G294</f>
        <v>0</v>
      </c>
      <c r="BJ86" s="16" t="n">
        <f aca="false">IF(B86&gt;$C$18,-1*$I$18,(($C$18-B86)*$G$18)-$I$18)</f>
        <v>0</v>
      </c>
      <c r="BK86" s="16" t="n">
        <f aca="false">E86+BJ86</f>
        <v>-137.9985503315</v>
      </c>
      <c r="BL86" s="69" t="n">
        <f aca="false">BK86/Portfolio!$F$10</f>
        <v>-0.101035520855026</v>
      </c>
      <c r="BM86" s="16" t="n">
        <f aca="false">'Hedge_Midle(Test)'!G324</f>
        <v>0</v>
      </c>
      <c r="BN86" s="16" t="n">
        <f aca="false">IF(F86&gt;$C$19,-1*$I$19,(($C$19-F86)*$G$19)-$I$19)</f>
        <v>0</v>
      </c>
      <c r="BO86" s="16" t="n">
        <f aca="false">E86+BN86</f>
        <v>-137.9985503315</v>
      </c>
      <c r="BP86" s="69" t="n">
        <f aca="false">BO86/Portfolio!$F$10</f>
        <v>-0.101035520855026</v>
      </c>
      <c r="BQ86" s="16" t="n">
        <f aca="false">'Hedge_Midle(Test)'!C354</f>
        <v>-0</v>
      </c>
      <c r="BR86" s="16" t="n">
        <f aca="false">IF(J86&gt;$C$20,-1*$I$20,(($C$20-J86)*$G$20)-$I$20)</f>
        <v>0</v>
      </c>
      <c r="BS86" s="16" t="n">
        <f aca="false">E86+BR86</f>
        <v>-137.9985503315</v>
      </c>
      <c r="BT86" s="69" t="n">
        <f aca="false">BS86/Portfolio!$F$10</f>
        <v>-0.101035520855026</v>
      </c>
    </row>
    <row r="87" customFormat="false" ht="14.25" hidden="false" customHeight="true" outlineLevel="0" collapsed="false">
      <c r="B87" s="67" t="n">
        <f aca="false">B86-1</f>
        <v>74</v>
      </c>
      <c r="C87" s="68" t="e">
        <f aca="false">P87/$I$22</f>
        <v>#N/A</v>
      </c>
      <c r="D87" s="68" t="n">
        <f aca="false">Q87/$I$22</f>
        <v>1.01233820859837</v>
      </c>
      <c r="E87" s="16" t="n">
        <f aca="false">(Portfolio!$C$10*B87)-Portfolio!$F$10</f>
        <v>-154.3697953315</v>
      </c>
      <c r="F87" s="69" t="n">
        <f aca="false">(E87/Portfolio!$F$10)</f>
        <v>-0.113021713910293</v>
      </c>
      <c r="N87" s="67" t="n">
        <f aca="false">N86-1</f>
        <v>74</v>
      </c>
      <c r="O87" s="68" t="e">
        <f aca="false">'Hedge_Midle(Test)'!C388</f>
        <v>#N/A</v>
      </c>
      <c r="P87" s="16" t="e">
        <f aca="false">'Hedge_Midle(Test)'!G388</f>
        <v>#N/A</v>
      </c>
      <c r="Q87" s="16" t="n">
        <f aca="false">Z87+AD87+AH87+AL87+AP87+AT87+AX87+BB87+BF87+BJ87+BN87+BR87</f>
        <v>13.5827722772277</v>
      </c>
      <c r="R87" s="69" t="e">
        <f aca="false">T87/Portfolio!$F$10</f>
        <v>#N/A</v>
      </c>
      <c r="S87" s="69" t="n">
        <f aca="false">U87/Portfolio!$F$10</f>
        <v>-0.103077098779277</v>
      </c>
      <c r="T87" s="16" t="e">
        <f aca="false">E87+P87</f>
        <v>#N/A</v>
      </c>
      <c r="U87" s="16" t="n">
        <f aca="false">E87+Q87</f>
        <v>-140.787023054272</v>
      </c>
      <c r="V87" s="70" t="e">
        <f aca="false">P88-2*P87+P86</f>
        <v>#N/A</v>
      </c>
      <c r="W87" s="70" t="n">
        <f aca="false">Q88-2*Q87+Q86</f>
        <v>0</v>
      </c>
      <c r="X87" s="67" t="n">
        <f aca="false">X86-1</f>
        <v>74</v>
      </c>
      <c r="Y87" s="16" t="n">
        <f aca="false">'Hedge_Midle(Test)'!G28</f>
        <v>6.66205522933602</v>
      </c>
      <c r="Z87" s="16" t="n">
        <f aca="false">IF(B87&gt;$C$9,-1*$I$9,(($C$9-B87)*$G$9)-$I$9)</f>
        <v>-0.192008486562942</v>
      </c>
      <c r="AA87" s="16" t="n">
        <f aca="false">E87+Z87</f>
        <v>-154.561803818063</v>
      </c>
      <c r="AB87" s="69" t="n">
        <f aca="false">AA87/Portfolio!$F$10</f>
        <v>-0.113162292759866</v>
      </c>
      <c r="AC87" s="16" t="n">
        <f aca="false">'Hedge_Midle(Test)'!G57</f>
        <v>7.54377841663842</v>
      </c>
      <c r="AD87" s="16" t="n">
        <f aca="false">IF(B87&gt;$C$10,-1*$I$10,(($C$10-B87)*$G$10)-$I$10)</f>
        <v>-0.251060820367751</v>
      </c>
      <c r="AE87" s="16" t="n">
        <f aca="false">E87+AD87</f>
        <v>-154.620856151868</v>
      </c>
      <c r="AF87" s="69" t="n">
        <f aca="false">AE87/Portfolio!$F$10</f>
        <v>-0.113205527875665</v>
      </c>
      <c r="AG87" s="16" t="n">
        <f aca="false">'Hedge_Midle(Test)'!G86</f>
        <v>-1.19909148654107</v>
      </c>
      <c r="AH87" s="16" t="n">
        <f aca="false">IF(B87&gt;$C$11,-1*$I$11,(($C$11-B87)*$G$11)-$I$11)</f>
        <v>-0.0152050919377652</v>
      </c>
      <c r="AI87" s="16" t="n">
        <f aca="false">E87+AH87</f>
        <v>-154.385000423438</v>
      </c>
      <c r="AJ87" s="69" t="n">
        <f aca="false">AI87/Portfolio!$F$10</f>
        <v>-0.113032846305379</v>
      </c>
      <c r="AK87" s="16" t="n">
        <f aca="false">'Hedge_Midle(Test)'!G115</f>
        <v>3.29761483844116</v>
      </c>
      <c r="AL87" s="16" t="n">
        <f aca="false">IF(B87&gt;$C$12,-1*$I$12,(($C$12-B87)*$G$12)-$I$12)</f>
        <v>-0.0707213578500707</v>
      </c>
      <c r="AM87" s="16" t="n">
        <f aca="false">E87+AL87</f>
        <v>-154.44051668935</v>
      </c>
      <c r="AN87" s="69" t="n">
        <f aca="false">AM87/Portfolio!$F$10</f>
        <v>-0.113073492492088</v>
      </c>
      <c r="AO87" s="16" t="e">
        <f aca="false">'Hedge_Midle(Test)'!G145</f>
        <v>#N/A</v>
      </c>
      <c r="AP87" s="16" t="n">
        <f aca="false">IF(B87&gt;$C$13,-1*$I$13,(($C$13-B87)*$G$13)-$I$13)</f>
        <v>-0.0997171145685997</v>
      </c>
      <c r="AQ87" s="16" t="n">
        <f aca="false">E87+AP87</f>
        <v>-154.469512446069</v>
      </c>
      <c r="AR87" s="69" t="n">
        <f aca="false">AQ87/Portfolio!$F$10</f>
        <v>-0.113094721710624</v>
      </c>
      <c r="AS87" s="16" t="n">
        <f aca="false">'Hedge_Midle(Test)'!G175</f>
        <v>-13.2336791348657</v>
      </c>
      <c r="AT87" s="16" t="n">
        <f aca="false">IF(B87&gt;$C$14,-1*$I$14,(($C$14-B87)*$G$14)-$I$14)</f>
        <v>-0.148514851485149</v>
      </c>
      <c r="AU87" s="16" t="n">
        <f aca="false">E87+AT87</f>
        <v>-154.518310182985</v>
      </c>
      <c r="AV87" s="69" t="n">
        <f aca="false">AU87/Portfolio!$F$10</f>
        <v>-0.113130448932062</v>
      </c>
      <c r="AW87" s="16" t="n">
        <f aca="false">'Hedge_Midle(Test)'!G205</f>
        <v>5.444128677796</v>
      </c>
      <c r="AX87" s="16" t="n">
        <f aca="false">IF(B87&gt;$C$15,-1*$I$15,(($C$15-B87)*$G$15)-$I$15)</f>
        <v>-0.6</v>
      </c>
      <c r="AY87" s="16" t="n">
        <f aca="false">E87+AX87</f>
        <v>-154.9697953315</v>
      </c>
      <c r="AZ87" s="69" t="n">
        <f aca="false">AY87/Portfolio!$F$10</f>
        <v>-0.113461003398243</v>
      </c>
      <c r="BA87" s="16" t="n">
        <f aca="false">'Hedge_Midle(Test)'!G235</f>
        <v>9.24748925542395</v>
      </c>
      <c r="BB87" s="16" t="n">
        <f aca="false">IF(B87&gt;$C$16,-1*$I$16,(($C$16-B87)*$G$16)-$I$16)</f>
        <v>6.78</v>
      </c>
      <c r="BC87" s="16" t="n">
        <f aca="false">E87+BB87</f>
        <v>-147.5897953315</v>
      </c>
      <c r="BD87" s="69" t="n">
        <f aca="false">BC87/Portfolio!$F$10</f>
        <v>-0.108057742696454</v>
      </c>
      <c r="BE87" s="16" t="n">
        <f aca="false">'Hedge_Midle(Test)'!G265</f>
        <v>8.92029412304206</v>
      </c>
      <c r="BF87" s="16" t="n">
        <f aca="false">IF(B87&gt;$C$17,-1*$I$17,(($C$17-B87)*$G$17)-$I$17)</f>
        <v>8.18</v>
      </c>
      <c r="BG87" s="16" t="n">
        <f aca="false">E87+BF87</f>
        <v>-146.1897953315</v>
      </c>
      <c r="BH87" s="69" t="n">
        <f aca="false">BG87/Portfolio!$F$10</f>
        <v>-0.107032733891236</v>
      </c>
      <c r="BI87" s="16" t="n">
        <f aca="false">'Hedge_Midle(Test)'!G295</f>
        <v>0</v>
      </c>
      <c r="BJ87" s="16" t="n">
        <f aca="false">IF(B87&gt;$C$18,-1*$I$18,(($C$18-B87)*$G$18)-$I$18)</f>
        <v>0</v>
      </c>
      <c r="BK87" s="16" t="n">
        <f aca="false">E87+BJ87</f>
        <v>-154.3697953315</v>
      </c>
      <c r="BL87" s="69" t="n">
        <f aca="false">BK87/Portfolio!$F$10</f>
        <v>-0.113021713910293</v>
      </c>
      <c r="BM87" s="16" t="n">
        <f aca="false">'Hedge_Midle(Test)'!G325</f>
        <v>0</v>
      </c>
      <c r="BN87" s="16" t="n">
        <f aca="false">IF(F87&gt;$C$19,-1*$I$19,(($C$19-F87)*$G$19)-$I$19)</f>
        <v>0</v>
      </c>
      <c r="BO87" s="16" t="n">
        <f aca="false">E87+BN87</f>
        <v>-154.3697953315</v>
      </c>
      <c r="BP87" s="69" t="n">
        <f aca="false">BO87/Portfolio!$F$10</f>
        <v>-0.113021713910293</v>
      </c>
      <c r="BQ87" s="16" t="n">
        <f aca="false">'Hedge_Midle(Test)'!C355</f>
        <v>-0</v>
      </c>
      <c r="BR87" s="16" t="n">
        <f aca="false">IF(J87&gt;$C$20,-1*$I$20,(($C$20-J87)*$G$20)-$I$20)</f>
        <v>0</v>
      </c>
      <c r="BS87" s="16" t="n">
        <f aca="false">E87+BR87</f>
        <v>-154.3697953315</v>
      </c>
      <c r="BT87" s="69" t="n">
        <f aca="false">BS87/Portfolio!$F$10</f>
        <v>-0.113021713910293</v>
      </c>
    </row>
    <row r="88" customFormat="false" ht="14.25" hidden="false" customHeight="true" outlineLevel="0" collapsed="false">
      <c r="B88" s="67" t="n">
        <f aca="false">B87-1</f>
        <v>73</v>
      </c>
      <c r="C88" s="68" t="e">
        <f aca="false">P88/$I$22</f>
        <v>#N/A</v>
      </c>
      <c r="D88" s="68" t="n">
        <f aca="false">Q88/$I$22</f>
        <v>1.6085865667016</v>
      </c>
      <c r="E88" s="16" t="n">
        <f aca="false">(Portfolio!$C$10*B88)-Portfolio!$F$10</f>
        <v>-170.7410403315</v>
      </c>
      <c r="F88" s="69" t="n">
        <f aca="false">(E88/Portfolio!$F$10)</f>
        <v>-0.125007906965559</v>
      </c>
      <c r="N88" s="67" t="n">
        <f aca="false">N87-1</f>
        <v>73</v>
      </c>
      <c r="O88" s="68" t="e">
        <f aca="false">'Hedge_Midle(Test)'!C389</f>
        <v>#N/A</v>
      </c>
      <c r="P88" s="16" t="e">
        <f aca="false">'Hedge_Midle(Test)'!G389</f>
        <v>#N/A</v>
      </c>
      <c r="Q88" s="16" t="n">
        <f aca="false">Z88+AD88+AH88+AL88+AP88+AT88+AX88+BB88+BF88+BJ88+BN88+BR88</f>
        <v>21.5827722772277</v>
      </c>
      <c r="R88" s="69" t="e">
        <f aca="false">T88/Portfolio!$F$10</f>
        <v>#N/A</v>
      </c>
      <c r="S88" s="69" t="n">
        <f aca="false">U88/Portfolio!$F$10</f>
        <v>-0.109206098661871</v>
      </c>
      <c r="T88" s="16" t="e">
        <f aca="false">E88+P88</f>
        <v>#N/A</v>
      </c>
      <c r="U88" s="16" t="n">
        <f aca="false">E88+Q88</f>
        <v>-149.158268054272</v>
      </c>
      <c r="V88" s="70" t="e">
        <f aca="false">P89-2*P88+P87</f>
        <v>#N/A</v>
      </c>
      <c r="W88" s="70" t="n">
        <f aca="false">Q89-2*Q88+Q87</f>
        <v>0</v>
      </c>
      <c r="X88" s="67" t="n">
        <f aca="false">X87-1</f>
        <v>73</v>
      </c>
      <c r="Y88" s="16" t="n">
        <f aca="false">'Hedge_Midle(Test)'!G29</f>
        <v>7.79715122728755</v>
      </c>
      <c r="Z88" s="16" t="n">
        <f aca="false">IF(B88&gt;$C$9,-1*$I$9,(($C$9-B88)*$G$9)-$I$9)</f>
        <v>-0.192008486562942</v>
      </c>
      <c r="AA88" s="16" t="n">
        <f aca="false">E88+Z88</f>
        <v>-170.933048818063</v>
      </c>
      <c r="AB88" s="69" t="n">
        <f aca="false">AA88/Portfolio!$F$10</f>
        <v>-0.125148485815133</v>
      </c>
      <c r="AC88" s="16" t="n">
        <f aca="false">'Hedge_Midle(Test)'!G58</f>
        <v>8.2818145522253</v>
      </c>
      <c r="AD88" s="16" t="n">
        <f aca="false">IF(B88&gt;$C$10,-1*$I$10,(($C$10-B88)*$G$10)-$I$10)</f>
        <v>-0.251060820367751</v>
      </c>
      <c r="AE88" s="16" t="n">
        <f aca="false">E88+AD88</f>
        <v>-170.992101151868</v>
      </c>
      <c r="AF88" s="69" t="n">
        <f aca="false">AE88/Portfolio!$F$10</f>
        <v>-0.125191720930932</v>
      </c>
      <c r="AG88" s="16" t="n">
        <f aca="false">'Hedge_Midle(Test)'!G87</f>
        <v>-1.10335275092724</v>
      </c>
      <c r="AH88" s="16" t="n">
        <f aca="false">IF(B88&gt;$C$11,-1*$I$11,(($C$11-B88)*$G$11)-$I$11)</f>
        <v>-0.0152050919377652</v>
      </c>
      <c r="AI88" s="16" t="n">
        <f aca="false">E88+AH88</f>
        <v>-170.756245423438</v>
      </c>
      <c r="AJ88" s="69" t="n">
        <f aca="false">AI88/Portfolio!$F$10</f>
        <v>-0.125019039360645</v>
      </c>
      <c r="AK88" s="16" t="n">
        <f aca="false">'Hedge_Midle(Test)'!G116</f>
        <v>4.28869897768482</v>
      </c>
      <c r="AL88" s="16" t="n">
        <f aca="false">IF(B88&gt;$C$12,-1*$I$12,(($C$12-B88)*$G$12)-$I$12)</f>
        <v>-0.0707213578500707</v>
      </c>
      <c r="AM88" s="16" t="n">
        <f aca="false">E88+AL88</f>
        <v>-170.81176168935</v>
      </c>
      <c r="AN88" s="69" t="n">
        <f aca="false">AM88/Portfolio!$F$10</f>
        <v>-0.125059685547354</v>
      </c>
      <c r="AO88" s="16" t="e">
        <f aca="false">'Hedge_Midle(Test)'!G146</f>
        <v>#N/A</v>
      </c>
      <c r="AP88" s="16" t="n">
        <f aca="false">IF(B88&gt;$C$13,-1*$I$13,(($C$13-B88)*$G$13)-$I$13)</f>
        <v>-0.0997171145685997</v>
      </c>
      <c r="AQ88" s="16" t="n">
        <f aca="false">E88+AP88</f>
        <v>-170.840757446069</v>
      </c>
      <c r="AR88" s="69" t="n">
        <f aca="false">AQ88/Portfolio!$F$10</f>
        <v>-0.12508091476589</v>
      </c>
      <c r="AS88" s="16" t="n">
        <f aca="false">'Hedge_Midle(Test)'!G176</f>
        <v>-12.5918085739402</v>
      </c>
      <c r="AT88" s="16" t="n">
        <f aca="false">IF(B88&gt;$C$14,-1*$I$14,(($C$14-B88)*$G$14)-$I$14)</f>
        <v>-0.148514851485149</v>
      </c>
      <c r="AU88" s="16" t="n">
        <f aca="false">E88+AT88</f>
        <v>-170.889555182985</v>
      </c>
      <c r="AV88" s="69" t="n">
        <f aca="false">AU88/Portfolio!$F$10</f>
        <v>-0.125116641987329</v>
      </c>
      <c r="AW88" s="16" t="n">
        <f aca="false">'Hedge_Midle(Test)'!G206</f>
        <v>7.1817533368308</v>
      </c>
      <c r="AX88" s="16" t="n">
        <f aca="false">IF(B88&gt;$C$15,-1*$I$15,(($C$15-B88)*$G$15)-$I$15)</f>
        <v>2.4</v>
      </c>
      <c r="AY88" s="16" t="n">
        <f aca="false">E88+AX88</f>
        <v>-168.3410403315</v>
      </c>
      <c r="AZ88" s="69" t="n">
        <f aca="false">AY88/Portfolio!$F$10</f>
        <v>-0.123250749013757</v>
      </c>
      <c r="BA88" s="16" t="n">
        <f aca="false">'Hedge_Midle(Test)'!G236</f>
        <v>11.5663843543999</v>
      </c>
      <c r="BB88" s="16" t="n">
        <f aca="false">IF(B88&gt;$C$16,-1*$I$16,(($C$16-B88)*$G$16)-$I$16)</f>
        <v>9.78</v>
      </c>
      <c r="BC88" s="16" t="n">
        <f aca="false">E88+BB88</f>
        <v>-160.9610403315</v>
      </c>
      <c r="BD88" s="69" t="n">
        <f aca="false">BC88/Portfolio!$F$10</f>
        <v>-0.117847488311968</v>
      </c>
      <c r="BE88" s="16" t="n">
        <f aca="false">'Hedge_Midle(Test)'!G266</f>
        <v>10.6752987142395</v>
      </c>
      <c r="BF88" s="16" t="n">
        <f aca="false">IF(B88&gt;$C$17,-1*$I$17,(($C$17-B88)*$G$17)-$I$17)</f>
        <v>10.18</v>
      </c>
      <c r="BG88" s="16" t="n">
        <f aca="false">E88+BF88</f>
        <v>-160.5610403315</v>
      </c>
      <c r="BH88" s="69" t="n">
        <f aca="false">BG88/Portfolio!$F$10</f>
        <v>-0.117554628653335</v>
      </c>
      <c r="BI88" s="16" t="n">
        <f aca="false">'Hedge_Midle(Test)'!G296</f>
        <v>0</v>
      </c>
      <c r="BJ88" s="16" t="n">
        <f aca="false">IF(B88&gt;$C$18,-1*$I$18,(($C$18-B88)*$G$18)-$I$18)</f>
        <v>0</v>
      </c>
      <c r="BK88" s="16" t="n">
        <f aca="false">E88+BJ88</f>
        <v>-170.7410403315</v>
      </c>
      <c r="BL88" s="69" t="n">
        <f aca="false">BK88/Portfolio!$F$10</f>
        <v>-0.125007906965559</v>
      </c>
      <c r="BM88" s="16" t="n">
        <f aca="false">'Hedge_Midle(Test)'!G326</f>
        <v>0</v>
      </c>
      <c r="BN88" s="16" t="n">
        <f aca="false">IF(F88&gt;$C$19,-1*$I$19,(($C$19-F88)*$G$19)-$I$19)</f>
        <v>0</v>
      </c>
      <c r="BO88" s="16" t="n">
        <f aca="false">E88+BN88</f>
        <v>-170.7410403315</v>
      </c>
      <c r="BP88" s="69" t="n">
        <f aca="false">BO88/Portfolio!$F$10</f>
        <v>-0.125007906965559</v>
      </c>
      <c r="BQ88" s="16" t="n">
        <f aca="false">'Hedge_Midle(Test)'!C356</f>
        <v>-0</v>
      </c>
      <c r="BR88" s="16" t="n">
        <f aca="false">IF(J88&gt;$C$20,-1*$I$20,(($C$20-J88)*$G$20)-$I$20)</f>
        <v>0</v>
      </c>
      <c r="BS88" s="16" t="n">
        <f aca="false">E88+BR88</f>
        <v>-170.7410403315</v>
      </c>
      <c r="BT88" s="69" t="n">
        <f aca="false">BS88/Portfolio!$F$10</f>
        <v>-0.125007906965559</v>
      </c>
    </row>
    <row r="89" customFormat="false" ht="14.25" hidden="false" customHeight="true" outlineLevel="0" collapsed="false">
      <c r="B89" s="67" t="n">
        <f aca="false">B88-1</f>
        <v>72</v>
      </c>
      <c r="C89" s="68" t="e">
        <f aca="false">P89/$I$22</f>
        <v>#N/A</v>
      </c>
      <c r="D89" s="68" t="n">
        <f aca="false">Q89/$I$22</f>
        <v>2.20483492480482</v>
      </c>
      <c r="E89" s="16" t="n">
        <f aca="false">(Portfolio!$C$10*B89)-Portfolio!$F$10</f>
        <v>-187.1122853315</v>
      </c>
      <c r="F89" s="69" t="n">
        <f aca="false">(E89/Portfolio!$F$10)</f>
        <v>-0.136994100020825</v>
      </c>
      <c r="N89" s="67" t="n">
        <f aca="false">N88-1</f>
        <v>72</v>
      </c>
      <c r="O89" s="68" t="e">
        <f aca="false">'Hedge_Midle(Test)'!C390</f>
        <v>#N/A</v>
      </c>
      <c r="P89" s="16" t="e">
        <f aca="false">'Hedge_Midle(Test)'!G390</f>
        <v>#N/A</v>
      </c>
      <c r="Q89" s="16" t="n">
        <f aca="false">Z89+AD89+AH89+AL89+AP89+AT89+AX89+BB89+BF89+BJ89+BN89+BR89</f>
        <v>29.5827722772277</v>
      </c>
      <c r="R89" s="69" t="e">
        <f aca="false">T89/Portfolio!$F$10</f>
        <v>#N/A</v>
      </c>
      <c r="S89" s="69" t="n">
        <f aca="false">U89/Portfolio!$F$10</f>
        <v>-0.115335098544466</v>
      </c>
      <c r="T89" s="16" t="e">
        <f aca="false">E89+P89</f>
        <v>#N/A</v>
      </c>
      <c r="U89" s="16" t="n">
        <f aca="false">E89+Q89</f>
        <v>-157.529513054272</v>
      </c>
      <c r="V89" s="70" t="e">
        <f aca="false">P90-2*P89+P88</f>
        <v>#N/A</v>
      </c>
      <c r="W89" s="70" t="n">
        <f aca="false">Q90-2*Q89+Q88</f>
        <v>0</v>
      </c>
      <c r="X89" s="67" t="n">
        <f aca="false">X88-1</f>
        <v>72</v>
      </c>
      <c r="Y89" s="16" t="n">
        <f aca="false">'Hedge_Midle(Test)'!G30</f>
        <v>9.03593958862474</v>
      </c>
      <c r="Z89" s="16" t="n">
        <f aca="false">IF(B89&gt;$C$9,-1*$I$9,(($C$9-B89)*$G$9)-$I$9)</f>
        <v>-0.192008486562942</v>
      </c>
      <c r="AA89" s="16" t="n">
        <f aca="false">E89+Z89</f>
        <v>-187.304293818063</v>
      </c>
      <c r="AB89" s="69" t="n">
        <f aca="false">AA89/Portfolio!$F$10</f>
        <v>-0.137134678870399</v>
      </c>
      <c r="AC89" s="16" t="n">
        <f aca="false">'Hedge_Midle(Test)'!G59</f>
        <v>9.06844695868235</v>
      </c>
      <c r="AD89" s="16" t="n">
        <f aca="false">IF(B89&gt;$C$10,-1*$I$10,(($C$10-B89)*$G$10)-$I$10)</f>
        <v>-0.251060820367751</v>
      </c>
      <c r="AE89" s="16" t="n">
        <f aca="false">E89+AD89</f>
        <v>-187.363346151868</v>
      </c>
      <c r="AF89" s="69" t="n">
        <f aca="false">AE89/Portfolio!$F$10</f>
        <v>-0.137177913986198</v>
      </c>
      <c r="AG89" s="16" t="n">
        <f aca="false">'Hedge_Midle(Test)'!G88</f>
        <v>-0.992806920144364</v>
      </c>
      <c r="AH89" s="16" t="n">
        <f aca="false">IF(B89&gt;$C$11,-1*$I$11,(($C$11-B89)*$G$11)-$I$11)</f>
        <v>-0.0152050919377652</v>
      </c>
      <c r="AI89" s="16" t="n">
        <f aca="false">E89+AH89</f>
        <v>-187.127490423438</v>
      </c>
      <c r="AJ89" s="69" t="n">
        <f aca="false">AI89/Portfolio!$F$10</f>
        <v>-0.137005232415911</v>
      </c>
      <c r="AK89" s="16" t="n">
        <f aca="false">'Hedge_Midle(Test)'!G117</f>
        <v>5.39630523975742</v>
      </c>
      <c r="AL89" s="16" t="n">
        <f aca="false">IF(B89&gt;$C$12,-1*$I$12,(($C$12-B89)*$G$12)-$I$12)</f>
        <v>-0.0707213578500707</v>
      </c>
      <c r="AM89" s="16" t="n">
        <f aca="false">E89+AL89</f>
        <v>-187.18300668935</v>
      </c>
      <c r="AN89" s="69" t="n">
        <f aca="false">AM89/Portfolio!$F$10</f>
        <v>-0.13704587860262</v>
      </c>
      <c r="AO89" s="16" t="e">
        <f aca="false">'Hedge_Midle(Test)'!G147</f>
        <v>#N/A</v>
      </c>
      <c r="AP89" s="16" t="n">
        <f aca="false">IF(B89&gt;$C$13,-1*$I$13,(($C$13-B89)*$G$13)-$I$13)</f>
        <v>-0.0997171145685997</v>
      </c>
      <c r="AQ89" s="16" t="n">
        <f aca="false">E89+AP89</f>
        <v>-187.212002446069</v>
      </c>
      <c r="AR89" s="69" t="n">
        <f aca="false">AQ89/Portfolio!$F$10</f>
        <v>-0.137067107821156</v>
      </c>
      <c r="AS89" s="16" t="n">
        <f aca="false">'Hedge_Midle(Test)'!G177</f>
        <v>-11.8153775410361</v>
      </c>
      <c r="AT89" s="16" t="n">
        <f aca="false">IF(B89&gt;$C$14,-1*$I$14,(($C$14-B89)*$G$14)-$I$14)</f>
        <v>-0.148514851485149</v>
      </c>
      <c r="AU89" s="16" t="n">
        <f aca="false">E89+AT89</f>
        <v>-187.260800182985</v>
      </c>
      <c r="AV89" s="69" t="n">
        <f aca="false">AU89/Portfolio!$F$10</f>
        <v>-0.137102835042595</v>
      </c>
      <c r="AW89" s="16" t="n">
        <f aca="false">'Hedge_Midle(Test)'!G207</f>
        <v>9.1075409171613</v>
      </c>
      <c r="AX89" s="16" t="n">
        <f aca="false">IF(B89&gt;$C$15,-1*$I$15,(($C$15-B89)*$G$15)-$I$15)</f>
        <v>5.4</v>
      </c>
      <c r="AY89" s="16" t="n">
        <f aca="false">E89+AX89</f>
        <v>-181.7122853315</v>
      </c>
      <c r="AZ89" s="69" t="n">
        <f aca="false">AY89/Portfolio!$F$10</f>
        <v>-0.133040494629272</v>
      </c>
      <c r="BA89" s="16" t="n">
        <f aca="false">'Hedge_Midle(Test)'!G237</f>
        <v>14.0377228371526</v>
      </c>
      <c r="BB89" s="16" t="n">
        <f aca="false">IF(B89&gt;$C$16,-1*$I$16,(($C$16-B89)*$G$16)-$I$16)</f>
        <v>12.78</v>
      </c>
      <c r="BC89" s="16" t="n">
        <f aca="false">E89+BB89</f>
        <v>-174.3322853315</v>
      </c>
      <c r="BD89" s="69" t="n">
        <f aca="false">BC89/Portfolio!$F$10</f>
        <v>-0.127637233927483</v>
      </c>
      <c r="BE89" s="16" t="n">
        <f aca="false">'Hedge_Midle(Test)'!G267</f>
        <v>12.5002499800395</v>
      </c>
      <c r="BF89" s="16" t="n">
        <f aca="false">IF(B89&gt;$C$17,-1*$I$17,(($C$17-B89)*$G$17)-$I$17)</f>
        <v>12.18</v>
      </c>
      <c r="BG89" s="16" t="n">
        <f aca="false">E89+BF89</f>
        <v>-174.9322853315</v>
      </c>
      <c r="BH89" s="69" t="n">
        <f aca="false">BG89/Portfolio!$F$10</f>
        <v>-0.128076523415433</v>
      </c>
      <c r="BI89" s="16" t="n">
        <f aca="false">'Hedge_Midle(Test)'!G297</f>
        <v>0</v>
      </c>
      <c r="BJ89" s="16" t="n">
        <f aca="false">IF(B89&gt;$C$18,-1*$I$18,(($C$18-B89)*$G$18)-$I$18)</f>
        <v>0</v>
      </c>
      <c r="BK89" s="16" t="n">
        <f aca="false">E89+BJ89</f>
        <v>-187.1122853315</v>
      </c>
      <c r="BL89" s="69" t="n">
        <f aca="false">BK89/Portfolio!$F$10</f>
        <v>-0.136994100020825</v>
      </c>
      <c r="BM89" s="16" t="n">
        <f aca="false">'Hedge_Midle(Test)'!G327</f>
        <v>0</v>
      </c>
      <c r="BN89" s="16" t="n">
        <f aca="false">IF(F89&gt;$C$19,-1*$I$19,(($C$19-F89)*$G$19)-$I$19)</f>
        <v>0</v>
      </c>
      <c r="BO89" s="16" t="n">
        <f aca="false">E89+BN89</f>
        <v>-187.1122853315</v>
      </c>
      <c r="BP89" s="69" t="n">
        <f aca="false">BO89/Portfolio!$F$10</f>
        <v>-0.136994100020825</v>
      </c>
      <c r="BQ89" s="16" t="n">
        <f aca="false">'Hedge_Midle(Test)'!C357</f>
        <v>-0</v>
      </c>
      <c r="BR89" s="16" t="n">
        <f aca="false">IF(J89&gt;$C$20,-1*$I$20,(($C$20-J89)*$G$20)-$I$20)</f>
        <v>0</v>
      </c>
      <c r="BS89" s="16" t="n">
        <f aca="false">E89+BR89</f>
        <v>-187.1122853315</v>
      </c>
      <c r="BT89" s="69" t="n">
        <f aca="false">BS89/Portfolio!$F$10</f>
        <v>-0.136994100020825</v>
      </c>
    </row>
    <row r="90" customFormat="false" ht="14.25" hidden="false" customHeight="true" outlineLevel="0" collapsed="false">
      <c r="B90" s="67" t="n">
        <f aca="false">B89-1</f>
        <v>71</v>
      </c>
      <c r="C90" s="68" t="e">
        <f aca="false">P90/$I$22</f>
        <v>#N/A</v>
      </c>
      <c r="D90" s="68" t="n">
        <f aca="false">Q90/$I$22</f>
        <v>2.80108328290804</v>
      </c>
      <c r="E90" s="16" t="n">
        <f aca="false">(Portfolio!$C$10*B90)-Portfolio!$F$10</f>
        <v>-203.4835303315</v>
      </c>
      <c r="F90" s="69" t="n">
        <f aca="false">(E90/Portfolio!$F$10)</f>
        <v>-0.148980293076091</v>
      </c>
      <c r="N90" s="67" t="n">
        <f aca="false">N89-1</f>
        <v>71</v>
      </c>
      <c r="O90" s="68" t="e">
        <f aca="false">'Hedge_Midle(Test)'!C391</f>
        <v>#N/A</v>
      </c>
      <c r="P90" s="16" t="e">
        <f aca="false">'Hedge_Midle(Test)'!G391</f>
        <v>#N/A</v>
      </c>
      <c r="Q90" s="16" t="n">
        <f aca="false">Z90+AD90+AH90+AL90+AP90+AT90+AX90+BB90+BF90+BJ90+BN90+BR90</f>
        <v>37.5827722772277</v>
      </c>
      <c r="R90" s="69" t="e">
        <f aca="false">T90/Portfolio!$F$10</f>
        <v>#N/A</v>
      </c>
      <c r="S90" s="69" t="n">
        <f aca="false">U90/Portfolio!$F$10</f>
        <v>-0.121464098427061</v>
      </c>
      <c r="T90" s="16" t="e">
        <f aca="false">E90+P90</f>
        <v>#N/A</v>
      </c>
      <c r="U90" s="16" t="n">
        <f aca="false">E90+Q90</f>
        <v>-165.900758054272</v>
      </c>
      <c r="V90" s="70" t="e">
        <f aca="false">P91-2*P90+P89</f>
        <v>#N/A</v>
      </c>
      <c r="W90" s="70" t="n">
        <f aca="false">Q91-2*Q90+Q89</f>
        <v>0</v>
      </c>
      <c r="X90" s="67" t="n">
        <f aca="false">X89-1</f>
        <v>71</v>
      </c>
      <c r="Y90" s="16" t="n">
        <f aca="false">'Hedge_Midle(Test)'!G31</f>
        <v>10.3857734517844</v>
      </c>
      <c r="Z90" s="16" t="n">
        <f aca="false">IF(B90&gt;$C$9,-1*$I$9,(($C$9-B90)*$G$9)-$I$9)</f>
        <v>-0.192008486562942</v>
      </c>
      <c r="AA90" s="16" t="n">
        <f aca="false">E90+Z90</f>
        <v>-203.675538818063</v>
      </c>
      <c r="AB90" s="69" t="n">
        <f aca="false">AA90/Portfolio!$F$10</f>
        <v>-0.149120871925665</v>
      </c>
      <c r="AC90" s="16" t="n">
        <f aca="false">'Hedge_Midle(Test)'!G60</f>
        <v>9.9052128265993</v>
      </c>
      <c r="AD90" s="16" t="n">
        <f aca="false">IF(B90&gt;$C$10,-1*$I$10,(($C$10-B90)*$G$10)-$I$10)</f>
        <v>-0.251060820367751</v>
      </c>
      <c r="AE90" s="16" t="n">
        <f aca="false">E90+AD90</f>
        <v>-203.734591151868</v>
      </c>
      <c r="AF90" s="69" t="n">
        <f aca="false">AE90/Portfolio!$F$10</f>
        <v>-0.149164107041464</v>
      </c>
      <c r="AG90" s="16" t="n">
        <f aca="false">'Hedge_Midle(Test)'!G89</f>
        <v>-0.865641687807633</v>
      </c>
      <c r="AH90" s="16" t="n">
        <f aca="false">IF(B90&gt;$C$11,-1*$I$11,(($C$11-B90)*$G$11)-$I$11)</f>
        <v>-0.0152050919377652</v>
      </c>
      <c r="AI90" s="16" t="n">
        <f aca="false">E90+AH90</f>
        <v>-203.498735423438</v>
      </c>
      <c r="AJ90" s="69" t="n">
        <f aca="false">AI90/Portfolio!$F$10</f>
        <v>-0.148991425471177</v>
      </c>
      <c r="AK90" s="16" t="n">
        <f aca="false">'Hedge_Midle(Test)'!G118</f>
        <v>6.62628286878964</v>
      </c>
      <c r="AL90" s="16" t="n">
        <f aca="false">IF(B90&gt;$C$12,-1*$I$12,(($C$12-B90)*$G$12)-$I$12)</f>
        <v>-0.0707213578500707</v>
      </c>
      <c r="AM90" s="16" t="n">
        <f aca="false">E90+AL90</f>
        <v>-203.55425168935</v>
      </c>
      <c r="AN90" s="69" t="n">
        <f aca="false">AM90/Portfolio!$F$10</f>
        <v>-0.149032071657887</v>
      </c>
      <c r="AO90" s="16" t="e">
        <f aca="false">'Hedge_Midle(Test)'!G148</f>
        <v>#N/A</v>
      </c>
      <c r="AP90" s="16" t="n">
        <f aca="false">IF(B90&gt;$C$13,-1*$I$13,(($C$13-B90)*$G$13)-$I$13)</f>
        <v>-0.0997171145685997</v>
      </c>
      <c r="AQ90" s="16" t="n">
        <f aca="false">E90+AP90</f>
        <v>-203.583247446068</v>
      </c>
      <c r="AR90" s="69" t="n">
        <f aca="false">AQ90/Portfolio!$F$10</f>
        <v>-0.149053300876423</v>
      </c>
      <c r="AS90" s="16" t="n">
        <f aca="false">'Hedge_Midle(Test)'!G178</f>
        <v>-10.8847549749535</v>
      </c>
      <c r="AT90" s="16" t="n">
        <f aca="false">IF(B90&gt;$C$14,-1*$I$14,(($C$14-B90)*$G$14)-$I$14)</f>
        <v>-0.148514851485149</v>
      </c>
      <c r="AU90" s="16" t="n">
        <f aca="false">E90+AT90</f>
        <v>-203.632045182985</v>
      </c>
      <c r="AV90" s="69" t="n">
        <f aca="false">AU90/Portfolio!$F$10</f>
        <v>-0.149089028097861</v>
      </c>
      <c r="AW90" s="16" t="n">
        <f aca="false">'Hedge_Midle(Test)'!G208</f>
        <v>11.2129943551781</v>
      </c>
      <c r="AX90" s="16" t="n">
        <f aca="false">IF(B90&gt;$C$15,-1*$I$15,(($C$15-B90)*$G$15)-$I$15)</f>
        <v>8.4</v>
      </c>
      <c r="AY90" s="16" t="n">
        <f aca="false">E90+AX90</f>
        <v>-195.0835303315</v>
      </c>
      <c r="AZ90" s="69" t="n">
        <f aca="false">AY90/Portfolio!$F$10</f>
        <v>-0.142830240244786</v>
      </c>
      <c r="BA90" s="16" t="n">
        <f aca="false">'Hedge_Midle(Test)'!G238</f>
        <v>16.6395368739304</v>
      </c>
      <c r="BB90" s="16" t="n">
        <f aca="false">IF(B90&gt;$C$16,-1*$I$16,(($C$16-B90)*$G$16)-$I$16)</f>
        <v>15.78</v>
      </c>
      <c r="BC90" s="16" t="n">
        <f aca="false">E90+BB90</f>
        <v>-187.7035303315</v>
      </c>
      <c r="BD90" s="69" t="n">
        <f aca="false">BC90/Portfolio!$F$10</f>
        <v>-0.137426979542997</v>
      </c>
      <c r="BE90" s="16" t="n">
        <f aca="false">'Hedge_Midle(Test)'!G268</f>
        <v>14.3796824521011</v>
      </c>
      <c r="BF90" s="16" t="n">
        <f aca="false">IF(B90&gt;$C$17,-1*$I$17,(($C$17-B90)*$G$17)-$I$17)</f>
        <v>14.18</v>
      </c>
      <c r="BG90" s="16" t="n">
        <f aca="false">E90+BF90</f>
        <v>-189.3035303315</v>
      </c>
      <c r="BH90" s="69" t="n">
        <f aca="false">BG90/Portfolio!$F$10</f>
        <v>-0.138598418177531</v>
      </c>
      <c r="BI90" s="16" t="n">
        <f aca="false">'Hedge_Midle(Test)'!G298</f>
        <v>0</v>
      </c>
      <c r="BJ90" s="16" t="n">
        <f aca="false">IF(B90&gt;$C$18,-1*$I$18,(($C$18-B90)*$G$18)-$I$18)</f>
        <v>0</v>
      </c>
      <c r="BK90" s="16" t="n">
        <f aca="false">E90+BJ90</f>
        <v>-203.4835303315</v>
      </c>
      <c r="BL90" s="69" t="n">
        <f aca="false">BK90/Portfolio!$F$10</f>
        <v>-0.148980293076091</v>
      </c>
      <c r="BM90" s="16" t="n">
        <f aca="false">'Hedge_Midle(Test)'!G328</f>
        <v>0</v>
      </c>
      <c r="BN90" s="16" t="n">
        <f aca="false">IF(F90&gt;$C$19,-1*$I$19,(($C$19-F90)*$G$19)-$I$19)</f>
        <v>0</v>
      </c>
      <c r="BO90" s="16" t="n">
        <f aca="false">E90+BN90</f>
        <v>-203.4835303315</v>
      </c>
      <c r="BP90" s="69" t="n">
        <f aca="false">BO90/Portfolio!$F$10</f>
        <v>-0.148980293076091</v>
      </c>
      <c r="BQ90" s="16" t="n">
        <f aca="false">'Hedge_Midle(Test)'!C358</f>
        <v>-0</v>
      </c>
      <c r="BR90" s="16" t="n">
        <f aca="false">IF(J90&gt;$C$20,-1*$I$20,(($C$20-J90)*$G$20)-$I$20)</f>
        <v>0</v>
      </c>
      <c r="BS90" s="16" t="n">
        <f aca="false">E90+BR90</f>
        <v>-203.4835303315</v>
      </c>
      <c r="BT90" s="69" t="n">
        <f aca="false">BS90/Portfolio!$F$10</f>
        <v>-0.148980293076091</v>
      </c>
    </row>
    <row r="91" customFormat="false" ht="14.25" hidden="false" customHeight="true" outlineLevel="0" collapsed="false">
      <c r="B91" s="67" t="n">
        <f aca="false">B90-1</f>
        <v>70</v>
      </c>
      <c r="C91" s="68" t="e">
        <f aca="false">P91/$I$22</f>
        <v>#N/A</v>
      </c>
      <c r="D91" s="68" t="n">
        <f aca="false">Q91/$I$22</f>
        <v>3.39733164101126</v>
      </c>
      <c r="E91" s="16" t="n">
        <f aca="false">(Portfolio!$C$10*B91)-Portfolio!$F$10</f>
        <v>-219.8547753315</v>
      </c>
      <c r="F91" s="69" t="n">
        <f aca="false">(E91/Portfolio!$F$10)</f>
        <v>-0.160966486131358</v>
      </c>
      <c r="N91" s="67" t="n">
        <f aca="false">N90-1</f>
        <v>70</v>
      </c>
      <c r="O91" s="68" t="e">
        <f aca="false">'Hedge_Midle(Test)'!C392</f>
        <v>#N/A</v>
      </c>
      <c r="P91" s="16" t="e">
        <f aca="false">'Hedge_Midle(Test)'!G392</f>
        <v>#N/A</v>
      </c>
      <c r="Q91" s="16" t="n">
        <f aca="false">Z91+AD91+AH91+AL91+AP91+AT91+AX91+BB91+BF91+BJ91+BN91+BR91</f>
        <v>45.5827722772277</v>
      </c>
      <c r="R91" s="69" t="e">
        <f aca="false">T91/Portfolio!$F$10</f>
        <v>#N/A</v>
      </c>
      <c r="S91" s="69" t="n">
        <f aca="false">U91/Portfolio!$F$10</f>
        <v>-0.127593098309656</v>
      </c>
      <c r="T91" s="16" t="e">
        <f aca="false">E91+P91</f>
        <v>#N/A</v>
      </c>
      <c r="U91" s="16" t="n">
        <f aca="false">E91+Q91</f>
        <v>-174.272003054272</v>
      </c>
      <c r="V91" s="70" t="e">
        <f aca="false">P92-2*P91+P90</f>
        <v>#N/A</v>
      </c>
      <c r="W91" s="70" t="n">
        <f aca="false">Q92-2*Q91+Q90</f>
        <v>5</v>
      </c>
      <c r="X91" s="67" t="n">
        <f aca="false">X90-1</f>
        <v>70</v>
      </c>
      <c r="Y91" s="16" t="n">
        <f aca="false">'Hedge_Midle(Test)'!G32</f>
        <v>11.8542180783657</v>
      </c>
      <c r="Z91" s="16" t="n">
        <f aca="false">IF(B91&gt;$C$9,-1*$I$9,(($C$9-B91)*$G$9)-$I$9)</f>
        <v>-0.192008486562942</v>
      </c>
      <c r="AA91" s="16" t="n">
        <f aca="false">E91+Z91</f>
        <v>-220.046783818063</v>
      </c>
      <c r="AB91" s="69" t="n">
        <f aca="false">AA91/Portfolio!$F$10</f>
        <v>-0.161107064980932</v>
      </c>
      <c r="AC91" s="16" t="n">
        <f aca="false">'Hedge_Midle(Test)'!G61</f>
        <v>10.7935031566146</v>
      </c>
      <c r="AD91" s="16" t="n">
        <f aca="false">IF(B91&gt;$C$10,-1*$I$10,(($C$10-B91)*$G$10)-$I$10)</f>
        <v>-0.251060820367751</v>
      </c>
      <c r="AE91" s="16" t="n">
        <f aca="false">E91+AD91</f>
        <v>-220.105836151868</v>
      </c>
      <c r="AF91" s="69" t="n">
        <f aca="false">AE91/Portfolio!$F$10</f>
        <v>-0.161150300096731</v>
      </c>
      <c r="AG91" s="16" t="n">
        <f aca="false">'Hedge_Midle(Test)'!G90</f>
        <v>-0.719924272246263</v>
      </c>
      <c r="AH91" s="16" t="n">
        <f aca="false">IF(B91&gt;$C$11,-1*$I$11,(($C$11-B91)*$G$11)-$I$11)</f>
        <v>-0.0152050919377652</v>
      </c>
      <c r="AI91" s="16" t="n">
        <f aca="false">E91+AH91</f>
        <v>-219.869980423438</v>
      </c>
      <c r="AJ91" s="69" t="n">
        <f aca="false">AI91/Portfolio!$F$10</f>
        <v>-0.160977618526444</v>
      </c>
      <c r="AK91" s="16" t="n">
        <f aca="false">'Hedge_Midle(Test)'!G119</f>
        <v>7.98340564987151</v>
      </c>
      <c r="AL91" s="16" t="n">
        <f aca="false">IF(B91&gt;$C$12,-1*$I$12,(($C$12-B91)*$G$12)-$I$12)</f>
        <v>-0.0707213578500707</v>
      </c>
      <c r="AM91" s="16" t="n">
        <f aca="false">E91+AL91</f>
        <v>-219.92549668935</v>
      </c>
      <c r="AN91" s="69" t="n">
        <f aca="false">AM91/Portfolio!$F$10</f>
        <v>-0.161018264713153</v>
      </c>
      <c r="AO91" s="16" t="e">
        <f aca="false">'Hedge_Midle(Test)'!G149</f>
        <v>#N/A</v>
      </c>
      <c r="AP91" s="16" t="n">
        <f aca="false">IF(B91&gt;$C$13,-1*$I$13,(($C$13-B91)*$G$13)-$I$13)</f>
        <v>-0.0997171145685997</v>
      </c>
      <c r="AQ91" s="16" t="n">
        <f aca="false">E91+AP91</f>
        <v>-219.954492446069</v>
      </c>
      <c r="AR91" s="69" t="n">
        <f aca="false">AQ91/Portfolio!$F$10</f>
        <v>-0.161039493931689</v>
      </c>
      <c r="AS91" s="16" t="n">
        <f aca="false">'Hedge_Midle(Test)'!G179</f>
        <v>-9.77973124596182</v>
      </c>
      <c r="AT91" s="16" t="n">
        <f aca="false">IF(B91&gt;$C$14,-1*$I$14,(($C$14-B91)*$G$14)-$I$14)</f>
        <v>-0.148514851485149</v>
      </c>
      <c r="AU91" s="16" t="n">
        <f aca="false">E91+AT91</f>
        <v>-220.003290182985</v>
      </c>
      <c r="AV91" s="69" t="n">
        <f aca="false">AU91/Portfolio!$F$10</f>
        <v>-0.161075221153128</v>
      </c>
      <c r="AW91" s="16" t="n">
        <f aca="false">'Hedge_Midle(Test)'!G209</f>
        <v>13.4852084850515</v>
      </c>
      <c r="AX91" s="16" t="n">
        <f aca="false">IF(B91&gt;$C$15,-1*$I$15,(($C$15-B91)*$G$15)-$I$15)</f>
        <v>11.4</v>
      </c>
      <c r="AY91" s="16" t="n">
        <f aca="false">E91+AX91</f>
        <v>-208.4547753315</v>
      </c>
      <c r="AZ91" s="69" t="n">
        <f aca="false">AY91/Portfolio!$F$10</f>
        <v>-0.152619985860301</v>
      </c>
      <c r="BA91" s="16" t="n">
        <f aca="false">'Hedge_Midle(Test)'!G239</f>
        <v>19.3490719761078</v>
      </c>
      <c r="BB91" s="16" t="n">
        <f aca="false">IF(B91&gt;$C$16,-1*$I$16,(($C$16-B91)*$G$16)-$I$16)</f>
        <v>18.78</v>
      </c>
      <c r="BC91" s="16" t="n">
        <f aca="false">E91+BB91</f>
        <v>-201.0747753315</v>
      </c>
      <c r="BD91" s="69" t="n">
        <f aca="false">BC91/Portfolio!$F$10</f>
        <v>-0.147216725158512</v>
      </c>
      <c r="BE91" s="16" t="n">
        <f aca="false">'Hedge_Midle(Test)'!G269</f>
        <v>16.2998015414602</v>
      </c>
      <c r="BF91" s="16" t="n">
        <f aca="false">IF(B91&gt;$C$17,-1*$I$17,(($C$17-B91)*$G$17)-$I$17)</f>
        <v>16.18</v>
      </c>
      <c r="BG91" s="16" t="n">
        <f aca="false">E91+BF91</f>
        <v>-203.6747753315</v>
      </c>
      <c r="BH91" s="69" t="n">
        <f aca="false">BG91/Portfolio!$F$10</f>
        <v>-0.14912031293963</v>
      </c>
      <c r="BI91" s="16" t="n">
        <f aca="false">'Hedge_Midle(Test)'!G299</f>
        <v>0</v>
      </c>
      <c r="BJ91" s="16" t="n">
        <f aca="false">IF(B91&gt;$C$18,-1*$I$18,(($C$18-B91)*$G$18)-$I$18)</f>
        <v>0</v>
      </c>
      <c r="BK91" s="16" t="n">
        <f aca="false">E91+BJ91</f>
        <v>-219.8547753315</v>
      </c>
      <c r="BL91" s="69" t="n">
        <f aca="false">BK91/Portfolio!$F$10</f>
        <v>-0.160966486131358</v>
      </c>
      <c r="BM91" s="16" t="n">
        <f aca="false">'Hedge_Midle(Test)'!G329</f>
        <v>0</v>
      </c>
      <c r="BN91" s="16" t="n">
        <f aca="false">IF(F91&gt;$C$19,-1*$I$19,(($C$19-F91)*$G$19)-$I$19)</f>
        <v>0</v>
      </c>
      <c r="BO91" s="16" t="n">
        <f aca="false">E91+BN91</f>
        <v>-219.8547753315</v>
      </c>
      <c r="BP91" s="69" t="n">
        <f aca="false">BO91/Portfolio!$F$10</f>
        <v>-0.160966486131358</v>
      </c>
      <c r="BQ91" s="16" t="n">
        <f aca="false">'Hedge_Midle(Test)'!C359</f>
        <v>-0</v>
      </c>
      <c r="BR91" s="16" t="n">
        <f aca="false">IF(J91&gt;$C$20,-1*$I$20,(($C$20-J91)*$G$20)-$I$20)</f>
        <v>0</v>
      </c>
      <c r="BS91" s="16" t="n">
        <f aca="false">E91+BR91</f>
        <v>-219.8547753315</v>
      </c>
      <c r="BT91" s="69" t="n">
        <f aca="false">BS91/Portfolio!$F$10</f>
        <v>-0.160966486131358</v>
      </c>
    </row>
    <row r="92" customFormat="false" ht="14.25" hidden="false" customHeight="true" outlineLevel="0" collapsed="false">
      <c r="B92" s="67" t="n">
        <f aca="false">B91-1</f>
        <v>69</v>
      </c>
      <c r="C92" s="68" t="e">
        <f aca="false">P92/$I$22</f>
        <v>#N/A</v>
      </c>
      <c r="D92" s="68" t="n">
        <f aca="false">Q92/$I$22</f>
        <v>4.366235222929</v>
      </c>
      <c r="E92" s="16" t="n">
        <f aca="false">(Portfolio!$C$10*B92)-Portfolio!$F$10</f>
        <v>-236.2260203315</v>
      </c>
      <c r="F92" s="69" t="n">
        <f aca="false">(E92/Portfolio!$F$10)</f>
        <v>-0.172952679186624</v>
      </c>
      <c r="N92" s="67" t="n">
        <f aca="false">N91-1</f>
        <v>69</v>
      </c>
      <c r="O92" s="68" t="e">
        <f aca="false">'Hedge_Midle(Test)'!C393</f>
        <v>#N/A</v>
      </c>
      <c r="P92" s="16" t="e">
        <f aca="false">'Hedge_Midle(Test)'!G393</f>
        <v>#N/A</v>
      </c>
      <c r="Q92" s="16" t="n">
        <f aca="false">Z92+AD92+AH92+AL92+AP92+AT92+AX92+BB92+BF92+BJ92+BN92+BR92</f>
        <v>58.5827722772277</v>
      </c>
      <c r="R92" s="69" t="e">
        <f aca="false">T92/Portfolio!$F$10</f>
        <v>#N/A</v>
      </c>
      <c r="S92" s="69" t="n">
        <f aca="false">U92/Portfolio!$F$10</f>
        <v>-0.130061352459332</v>
      </c>
      <c r="T92" s="16" t="e">
        <f aca="false">E92+P92</f>
        <v>#N/A</v>
      </c>
      <c r="U92" s="16" t="n">
        <f aca="false">E92+Q92</f>
        <v>-177.643248054272</v>
      </c>
      <c r="V92" s="70" t="e">
        <f aca="false">P93-2*P92+P91</f>
        <v>#N/A</v>
      </c>
      <c r="W92" s="70" t="n">
        <f aca="false">Q93-2*Q92+Q91</f>
        <v>0</v>
      </c>
      <c r="X92" s="67" t="n">
        <f aca="false">X91-1</f>
        <v>69</v>
      </c>
      <c r="Y92" s="16" t="n">
        <f aca="false">'Hedge_Midle(Test)'!G33</f>
        <v>13.4490088534684</v>
      </c>
      <c r="Z92" s="16" t="n">
        <f aca="false">IF(B92&gt;$C$9,-1*$I$9,(($C$9-B92)*$G$9)-$I$9)</f>
        <v>-0.192008486562942</v>
      </c>
      <c r="AA92" s="16" t="n">
        <f aca="false">E92+Z92</f>
        <v>-236.418028818063</v>
      </c>
      <c r="AB92" s="69" t="n">
        <f aca="false">AA92/Portfolio!$F$10</f>
        <v>-0.173093258036198</v>
      </c>
      <c r="AC92" s="16" t="n">
        <f aca="false">'Hedge_Midle(Test)'!G62</f>
        <v>11.7345392690521</v>
      </c>
      <c r="AD92" s="16" t="n">
        <f aca="false">IF(B92&gt;$C$10,-1*$I$10,(($C$10-B92)*$G$10)-$I$10)</f>
        <v>1.74893917963225</v>
      </c>
      <c r="AE92" s="16" t="n">
        <f aca="false">E92+AD92</f>
        <v>-234.477081151868</v>
      </c>
      <c r="AF92" s="69" t="n">
        <f aca="false">AE92/Portfolio!$F$10</f>
        <v>-0.171672194858829</v>
      </c>
      <c r="AG92" s="16" t="n">
        <f aca="false">'Hedge_Midle(Test)'!G91</f>
        <v>-0.553614880112279</v>
      </c>
      <c r="AH92" s="16" t="n">
        <f aca="false">IF(B92&gt;$C$11,-1*$I$11,(($C$11-B92)*$G$11)-$I$11)</f>
        <v>-0.0152050919377652</v>
      </c>
      <c r="AI92" s="16" t="n">
        <f aca="false">E92+AH92</f>
        <v>-236.241225423438</v>
      </c>
      <c r="AJ92" s="69" t="n">
        <f aca="false">AI92/Portfolio!$F$10</f>
        <v>-0.17296381158171</v>
      </c>
      <c r="AK92" s="16" t="n">
        <f aca="false">'Hedge_Midle(Test)'!G120</f>
        <v>9.47116550046494</v>
      </c>
      <c r="AL92" s="16" t="n">
        <f aca="false">IF(B92&gt;$C$12,-1*$I$12,(($C$12-B92)*$G$12)-$I$12)</f>
        <v>2.92927864214993</v>
      </c>
      <c r="AM92" s="16" t="n">
        <f aca="false">E92+AL92</f>
        <v>-233.29674168935</v>
      </c>
      <c r="AN92" s="69" t="n">
        <f aca="false">AM92/Portfolio!$F$10</f>
        <v>-0.170808010328668</v>
      </c>
      <c r="AO92" s="16" t="e">
        <f aca="false">'Hedge_Midle(Test)'!G150</f>
        <v>#N/A</v>
      </c>
      <c r="AP92" s="16" t="n">
        <f aca="false">IF(B92&gt;$C$13,-1*$I$13,(($C$13-B92)*$G$13)-$I$13)</f>
        <v>-0.0997171145685997</v>
      </c>
      <c r="AQ92" s="16" t="n">
        <f aca="false">E92+AP92</f>
        <v>-236.325737446069</v>
      </c>
      <c r="AR92" s="69" t="n">
        <f aca="false">AQ92/Portfolio!$F$10</f>
        <v>-0.173025686986955</v>
      </c>
      <c r="AS92" s="16" t="n">
        <f aca="false">'Hedge_Midle(Test)'!G180</f>
        <v>-8.48011232067999</v>
      </c>
      <c r="AT92" s="16" t="n">
        <f aca="false">IF(B92&gt;$C$14,-1*$I$14,(($C$14-B92)*$G$14)-$I$14)</f>
        <v>-0.148514851485149</v>
      </c>
      <c r="AU92" s="16" t="n">
        <f aca="false">E92+AT92</f>
        <v>-236.374535182985</v>
      </c>
      <c r="AV92" s="69" t="n">
        <f aca="false">AU92/Portfolio!$F$10</f>
        <v>-0.173061414208394</v>
      </c>
      <c r="AW92" s="16" t="n">
        <f aca="false">'Hedge_Midle(Test)'!G210</f>
        <v>15.9077031626546</v>
      </c>
      <c r="AX92" s="16" t="n">
        <f aca="false">IF(B92&gt;$C$15,-1*$I$15,(($C$15-B92)*$G$15)-$I$15)</f>
        <v>14.4</v>
      </c>
      <c r="AY92" s="16" t="n">
        <f aca="false">E92+AX92</f>
        <v>-221.8260203315</v>
      </c>
      <c r="AZ92" s="69" t="n">
        <f aca="false">AY92/Portfolio!$F$10</f>
        <v>-0.162409731475816</v>
      </c>
      <c r="BA92" s="16" t="n">
        <f aca="false">'Hedge_Midle(Test)'!G240</f>
        <v>22.1442669199098</v>
      </c>
      <c r="BB92" s="16" t="n">
        <f aca="false">IF(B92&gt;$C$16,-1*$I$16,(($C$16-B92)*$G$16)-$I$16)</f>
        <v>21.78</v>
      </c>
      <c r="BC92" s="16" t="n">
        <f aca="false">E92+BB92</f>
        <v>-214.4460203315</v>
      </c>
      <c r="BD92" s="69" t="n">
        <f aca="false">BC92/Portfolio!$F$10</f>
        <v>-0.157006470774026</v>
      </c>
      <c r="BE92" s="16" t="n">
        <f aca="false">'Hedge_Midle(Test)'!G270</f>
        <v>18.249003347422</v>
      </c>
      <c r="BF92" s="16" t="n">
        <f aca="false">IF(B92&gt;$C$17,-1*$I$17,(($C$17-B92)*$G$17)-$I$17)</f>
        <v>18.18</v>
      </c>
      <c r="BG92" s="16" t="n">
        <f aca="false">E92+BF92</f>
        <v>-218.0460203315</v>
      </c>
      <c r="BH92" s="69" t="n">
        <f aca="false">BG92/Portfolio!$F$10</f>
        <v>-0.159642207701728</v>
      </c>
      <c r="BI92" s="16" t="n">
        <f aca="false">'Hedge_Midle(Test)'!G300</f>
        <v>0</v>
      </c>
      <c r="BJ92" s="16" t="n">
        <f aca="false">IF(B92&gt;$C$18,-1*$I$18,(($C$18-B92)*$G$18)-$I$18)</f>
        <v>0</v>
      </c>
      <c r="BK92" s="16" t="n">
        <f aca="false">E92+BJ92</f>
        <v>-236.2260203315</v>
      </c>
      <c r="BL92" s="69" t="n">
        <f aca="false">BK92/Portfolio!$F$10</f>
        <v>-0.172952679186624</v>
      </c>
      <c r="BM92" s="16" t="n">
        <f aca="false">'Hedge_Midle(Test)'!G330</f>
        <v>0</v>
      </c>
      <c r="BN92" s="16" t="n">
        <f aca="false">IF(F92&gt;$C$19,-1*$I$19,(($C$19-F92)*$G$19)-$I$19)</f>
        <v>0</v>
      </c>
      <c r="BO92" s="16" t="n">
        <f aca="false">E92+BN92</f>
        <v>-236.2260203315</v>
      </c>
      <c r="BP92" s="69" t="n">
        <f aca="false">BO92/Portfolio!$F$10</f>
        <v>-0.172952679186624</v>
      </c>
      <c r="BQ92" s="16" t="n">
        <f aca="false">'Hedge_Midle(Test)'!C360</f>
        <v>-0</v>
      </c>
      <c r="BR92" s="16" t="n">
        <f aca="false">IF(J92&gt;$C$20,-1*$I$20,(($C$20-J92)*$G$20)-$I$20)</f>
        <v>0</v>
      </c>
      <c r="BS92" s="16" t="n">
        <f aca="false">E92+BR92</f>
        <v>-236.2260203315</v>
      </c>
      <c r="BT92" s="69" t="n">
        <f aca="false">BS92/Portfolio!$F$10</f>
        <v>-0.172952679186624</v>
      </c>
    </row>
    <row r="93" customFormat="false" ht="14.25" hidden="false" customHeight="true" outlineLevel="0" collapsed="false">
      <c r="B93" s="67" t="n">
        <f aca="false">B92-1</f>
        <v>68</v>
      </c>
      <c r="C93" s="68" t="e">
        <f aca="false">P93/$I$22</f>
        <v>#N/A</v>
      </c>
      <c r="D93" s="68" t="n">
        <f aca="false">Q93/$I$22</f>
        <v>5.33513880484673</v>
      </c>
      <c r="E93" s="16" t="n">
        <f aca="false">(Portfolio!$C$10*B93)-Portfolio!$F$10</f>
        <v>-252.5972653315</v>
      </c>
      <c r="F93" s="69" t="n">
        <f aca="false">(E93/Portfolio!$F$10)</f>
        <v>-0.18493887224189</v>
      </c>
      <c r="N93" s="67" t="n">
        <f aca="false">N92-1</f>
        <v>68</v>
      </c>
      <c r="O93" s="68" t="e">
        <f aca="false">'Hedge_Midle(Test)'!C394</f>
        <v>#N/A</v>
      </c>
      <c r="P93" s="16" t="e">
        <f aca="false">'Hedge_Midle(Test)'!G394</f>
        <v>#N/A</v>
      </c>
      <c r="Q93" s="16" t="n">
        <f aca="false">Z93+AD93+AH93+AL93+AP93+AT93+AX93+BB93+BF93+BJ93+BN93+BR93</f>
        <v>71.5827722772277</v>
      </c>
      <c r="R93" s="69" t="e">
        <f aca="false">T93/Portfolio!$F$10</f>
        <v>#N/A</v>
      </c>
      <c r="S93" s="69" t="n">
        <f aca="false">U93/Portfolio!$F$10</f>
        <v>-0.132529606609007</v>
      </c>
      <c r="T93" s="16" t="e">
        <f aca="false">E93+P93</f>
        <v>#N/A</v>
      </c>
      <c r="U93" s="16" t="n">
        <f aca="false">E93+Q93</f>
        <v>-181.014493054272</v>
      </c>
      <c r="V93" s="70" t="e">
        <f aca="false">P94-2*P93+P92</f>
        <v>#N/A</v>
      </c>
      <c r="W93" s="70" t="n">
        <f aca="false">Q94-2*Q93+Q92</f>
        <v>0</v>
      </c>
      <c r="X93" s="67" t="n">
        <f aca="false">X92-1</f>
        <v>68</v>
      </c>
      <c r="Y93" s="16" t="n">
        <f aca="false">'Hedge_Midle(Test)'!G34</f>
        <v>15.1780011874101</v>
      </c>
      <c r="Z93" s="16" t="n">
        <f aca="false">IF(B93&gt;$C$9,-1*$I$9,(($C$9-B93)*$G$9)-$I$9)</f>
        <v>-0.192008486562942</v>
      </c>
      <c r="AA93" s="16" t="n">
        <f aca="false">E93+Z93</f>
        <v>-252.789273818063</v>
      </c>
      <c r="AB93" s="69" t="n">
        <f aca="false">AA93/Portfolio!$F$10</f>
        <v>-0.185079451091464</v>
      </c>
      <c r="AC93" s="16" t="n">
        <f aca="false">'Hedge_Midle(Test)'!G63</f>
        <v>12.7293495990012</v>
      </c>
      <c r="AD93" s="16" t="n">
        <f aca="false">IF(B93&gt;$C$10,-1*$I$10,(($C$10-B93)*$G$10)-$I$10)</f>
        <v>3.74893917963225</v>
      </c>
      <c r="AE93" s="16" t="n">
        <f aca="false">E93+AD93</f>
        <v>-248.848326151868</v>
      </c>
      <c r="AF93" s="69" t="n">
        <f aca="false">AE93/Portfolio!$F$10</f>
        <v>-0.182194089620928</v>
      </c>
      <c r="AG93" s="16" t="n">
        <f aca="false">'Hedge_Midle(Test)'!G92</f>
        <v>-0.36458552498572</v>
      </c>
      <c r="AH93" s="16" t="n">
        <f aca="false">IF(B93&gt;$C$11,-1*$I$11,(($C$11-B93)*$G$11)-$I$11)</f>
        <v>-0.0152050919377652</v>
      </c>
      <c r="AI93" s="16" t="n">
        <f aca="false">E93+AH93</f>
        <v>-252.612470423438</v>
      </c>
      <c r="AJ93" s="69" t="n">
        <f aca="false">AI93/Portfolio!$F$10</f>
        <v>-0.184950004636976</v>
      </c>
      <c r="AK93" s="16" t="n">
        <f aca="false">'Hedge_Midle(Test)'!G121</f>
        <v>11.0915936169997</v>
      </c>
      <c r="AL93" s="16" t="n">
        <f aca="false">IF(B93&gt;$C$12,-1*$I$12,(($C$12-B93)*$G$12)-$I$12)</f>
        <v>5.92927864214993</v>
      </c>
      <c r="AM93" s="16" t="n">
        <f aca="false">E93+AL93</f>
        <v>-246.66798668935</v>
      </c>
      <c r="AN93" s="69" t="n">
        <f aca="false">AM93/Portfolio!$F$10</f>
        <v>-0.180597755944182</v>
      </c>
      <c r="AO93" s="16" t="e">
        <f aca="false">'Hedge_Midle(Test)'!G151</f>
        <v>#N/A</v>
      </c>
      <c r="AP93" s="16" t="n">
        <f aca="false">IF(B93&gt;$C$13,-1*$I$13,(($C$13-B93)*$G$13)-$I$13)</f>
        <v>-0.0997171145685997</v>
      </c>
      <c r="AQ93" s="16" t="n">
        <f aca="false">E93+AP93</f>
        <v>-252.696982446069</v>
      </c>
      <c r="AR93" s="69" t="n">
        <f aca="false">AQ93/Portfolio!$F$10</f>
        <v>-0.185011880042222</v>
      </c>
      <c r="AS93" s="16" t="n">
        <f aca="false">'Hedge_Midle(Test)'!G181</f>
        <v>-6.96642952920107</v>
      </c>
      <c r="AT93" s="16" t="n">
        <f aca="false">IF(B93&gt;$C$14,-1*$I$14,(($C$14-B93)*$G$14)-$I$14)</f>
        <v>-0.148514851485149</v>
      </c>
      <c r="AU93" s="16" t="n">
        <f aca="false">E93+AT93</f>
        <v>-252.745780182985</v>
      </c>
      <c r="AV93" s="69" t="n">
        <f aca="false">AU93/Portfolio!$F$10</f>
        <v>-0.18504760726366</v>
      </c>
      <c r="AW93" s="16" t="n">
        <f aca="false">'Hedge_Midle(Test)'!G211</f>
        <v>18.4615237430477</v>
      </c>
      <c r="AX93" s="16" t="n">
        <f aca="false">IF(B93&gt;$C$15,-1*$I$15,(($C$15-B93)*$G$15)-$I$15)</f>
        <v>17.4</v>
      </c>
      <c r="AY93" s="16" t="n">
        <f aca="false">E93+AX93</f>
        <v>-235.1972653315</v>
      </c>
      <c r="AZ93" s="69" t="n">
        <f aca="false">AY93/Portfolio!$F$10</f>
        <v>-0.17219947709133</v>
      </c>
      <c r="BA93" s="16" t="n">
        <f aca="false">'Hedge_Midle(Test)'!G241</f>
        <v>25.0049677128114</v>
      </c>
      <c r="BB93" s="16" t="n">
        <f aca="false">IF(B93&gt;$C$16,-1*$I$16,(($C$16-B93)*$G$16)-$I$16)</f>
        <v>24.78</v>
      </c>
      <c r="BC93" s="16" t="n">
        <f aca="false">E93+BB93</f>
        <v>-227.8172653315</v>
      </c>
      <c r="BD93" s="69" t="n">
        <f aca="false">BC93/Portfolio!$F$10</f>
        <v>-0.166796216389541</v>
      </c>
      <c r="BE93" s="16" t="n">
        <f aca="false">'Hedge_Midle(Test)'!G271</f>
        <v>20.2180666535828</v>
      </c>
      <c r="BF93" s="16" t="n">
        <f aca="false">IF(B93&gt;$C$17,-1*$I$17,(($C$17-B93)*$G$17)-$I$17)</f>
        <v>20.18</v>
      </c>
      <c r="BG93" s="16" t="n">
        <f aca="false">E93+BF93</f>
        <v>-232.4172653315</v>
      </c>
      <c r="BH93" s="69" t="n">
        <f aca="false">BG93/Portfolio!$F$10</f>
        <v>-0.170164102463827</v>
      </c>
      <c r="BI93" s="16" t="n">
        <f aca="false">'Hedge_Midle(Test)'!G301</f>
        <v>0</v>
      </c>
      <c r="BJ93" s="16" t="n">
        <f aca="false">IF(B93&gt;$C$18,-1*$I$18,(($C$18-B93)*$G$18)-$I$18)</f>
        <v>0</v>
      </c>
      <c r="BK93" s="16" t="n">
        <f aca="false">E93+BJ93</f>
        <v>-252.5972653315</v>
      </c>
      <c r="BL93" s="69" t="n">
        <f aca="false">BK93/Portfolio!$F$10</f>
        <v>-0.18493887224189</v>
      </c>
      <c r="BM93" s="16" t="n">
        <f aca="false">'Hedge_Midle(Test)'!G331</f>
        <v>0</v>
      </c>
      <c r="BN93" s="16" t="n">
        <f aca="false">IF(F93&gt;$C$19,-1*$I$19,(($C$19-F93)*$G$19)-$I$19)</f>
        <v>0</v>
      </c>
      <c r="BO93" s="16" t="n">
        <f aca="false">E93+BN93</f>
        <v>-252.5972653315</v>
      </c>
      <c r="BP93" s="69" t="n">
        <f aca="false">BO93/Portfolio!$F$10</f>
        <v>-0.18493887224189</v>
      </c>
      <c r="BQ93" s="16" t="n">
        <f aca="false">'Hedge_Midle(Test)'!C361</f>
        <v>-0</v>
      </c>
      <c r="BR93" s="16" t="n">
        <f aca="false">IF(J93&gt;$C$20,-1*$I$20,(($C$20-J93)*$G$20)-$I$20)</f>
        <v>0</v>
      </c>
      <c r="BS93" s="16" t="n">
        <f aca="false">E93+BR93</f>
        <v>-252.5972653315</v>
      </c>
      <c r="BT93" s="69" t="n">
        <f aca="false">BS93/Portfolio!$F$10</f>
        <v>-0.18493887224189</v>
      </c>
    </row>
    <row r="94" customFormat="false" ht="14.25" hidden="false" customHeight="true" outlineLevel="0" collapsed="false">
      <c r="B94" s="67" t="n">
        <f aca="false">B93-1</f>
        <v>67</v>
      </c>
      <c r="C94" s="68" t="e">
        <f aca="false">P94/$I$22</f>
        <v>#N/A</v>
      </c>
      <c r="D94" s="68" t="n">
        <f aca="false">Q94/$I$22</f>
        <v>6.30404238676447</v>
      </c>
      <c r="E94" s="16" t="n">
        <f aca="false">(Portfolio!$C$10*B94)-Portfolio!$F$10</f>
        <v>-268.9685103315</v>
      </c>
      <c r="F94" s="69" t="n">
        <f aca="false">(E94/Portfolio!$F$10)</f>
        <v>-0.196925065297157</v>
      </c>
      <c r="N94" s="67" t="n">
        <f aca="false">N93-1</f>
        <v>67</v>
      </c>
      <c r="O94" s="68" t="e">
        <f aca="false">'Hedge_Midle(Test)'!C395</f>
        <v>#N/A</v>
      </c>
      <c r="P94" s="16" t="e">
        <f aca="false">'Hedge_Midle(Test)'!G395</f>
        <v>#N/A</v>
      </c>
      <c r="Q94" s="16" t="n">
        <f aca="false">Z94+AD94+AH94+AL94+AP94+AT94+AX94+BB94+BF94+BJ94+BN94+BR94</f>
        <v>84.5827722772277</v>
      </c>
      <c r="R94" s="69" t="e">
        <f aca="false">T94/Portfolio!$F$10</f>
        <v>#N/A</v>
      </c>
      <c r="S94" s="69" t="n">
        <f aca="false">U94/Portfolio!$F$10</f>
        <v>-0.134997860758682</v>
      </c>
      <c r="T94" s="16" t="e">
        <f aca="false">E94+P94</f>
        <v>#N/A</v>
      </c>
      <c r="U94" s="16" t="n">
        <f aca="false">E94+Q94</f>
        <v>-184.385738054272</v>
      </c>
      <c r="V94" s="70" t="e">
        <f aca="false">P95-2*P94+P93</f>
        <v>#N/A</v>
      </c>
      <c r="W94" s="70" t="n">
        <f aca="false">Q95-2*Q94+Q93</f>
        <v>0</v>
      </c>
      <c r="X94" s="67" t="n">
        <f aca="false">X93-1</f>
        <v>67</v>
      </c>
      <c r="Y94" s="16" t="n">
        <f aca="false">'Hedge_Midle(Test)'!G35</f>
        <v>17.0491119688317</v>
      </c>
      <c r="Z94" s="16" t="n">
        <f aca="false">IF(B94&gt;$C$9,-1*$I$9,(($C$9-B94)*$G$9)-$I$9)</f>
        <v>-0.192008486562942</v>
      </c>
      <c r="AA94" s="16" t="n">
        <f aca="false">E94+Z94</f>
        <v>-269.160518818063</v>
      </c>
      <c r="AB94" s="69" t="n">
        <f aca="false">AA94/Portfolio!$F$10</f>
        <v>-0.197065644146731</v>
      </c>
      <c r="AC94" s="16" t="n">
        <f aca="false">'Hedge_Midle(Test)'!G64</f>
        <v>13.7787472776759</v>
      </c>
      <c r="AD94" s="16" t="n">
        <f aca="false">IF(B94&gt;$C$10,-1*$I$10,(($C$10-B94)*$G$10)-$I$10)</f>
        <v>5.74893917963225</v>
      </c>
      <c r="AE94" s="16" t="n">
        <f aca="false">E94+AD94</f>
        <v>-263.219571151868</v>
      </c>
      <c r="AF94" s="69" t="n">
        <f aca="false">AE94/Portfolio!$F$10</f>
        <v>-0.192715984383026</v>
      </c>
      <c r="AG94" s="16" t="n">
        <f aca="false">'Hedge_Midle(Test)'!G93</f>
        <v>-0.150644631504585</v>
      </c>
      <c r="AH94" s="16" t="n">
        <f aca="false">IF(B94&gt;$C$11,-1*$I$11,(($C$11-B94)*$G$11)-$I$11)</f>
        <v>-0.0152050919377652</v>
      </c>
      <c r="AI94" s="16" t="n">
        <f aca="false">E94+AH94</f>
        <v>-268.983715423438</v>
      </c>
      <c r="AJ94" s="69" t="n">
        <f aca="false">AI94/Portfolio!$F$10</f>
        <v>-0.196936197692243</v>
      </c>
      <c r="AK94" s="16" t="n">
        <f aca="false">'Hedge_Midle(Test)'!G122</f>
        <v>12.8451216082355</v>
      </c>
      <c r="AL94" s="16" t="n">
        <f aca="false">IF(B94&gt;$C$12,-1*$I$12,(($C$12-B94)*$G$12)-$I$12)</f>
        <v>8.92927864214993</v>
      </c>
      <c r="AM94" s="16" t="n">
        <f aca="false">E94+AL94</f>
        <v>-260.03923168935</v>
      </c>
      <c r="AN94" s="69" t="n">
        <f aca="false">AM94/Portfolio!$F$10</f>
        <v>-0.190387501559697</v>
      </c>
      <c r="AO94" s="16" t="e">
        <f aca="false">'Hedge_Midle(Test)'!G152</f>
        <v>#N/A</v>
      </c>
      <c r="AP94" s="16" t="n">
        <f aca="false">IF(B94&gt;$C$13,-1*$I$13,(($C$13-B94)*$G$13)-$I$13)</f>
        <v>-0.0997171145685997</v>
      </c>
      <c r="AQ94" s="16" t="n">
        <f aca="false">E94+AP94</f>
        <v>-269.068227446069</v>
      </c>
      <c r="AR94" s="69" t="n">
        <f aca="false">AQ94/Portfolio!$F$10</f>
        <v>-0.196998073097488</v>
      </c>
      <c r="AS94" s="16" t="n">
        <f aca="false">'Hedge_Midle(Test)'!G182</f>
        <v>-5.22073849528335</v>
      </c>
      <c r="AT94" s="16" t="n">
        <f aca="false">IF(B94&gt;$C$14,-1*$I$14,(($C$14-B94)*$G$14)-$I$14)</f>
        <v>-0.148514851485149</v>
      </c>
      <c r="AU94" s="16" t="n">
        <f aca="false">E94+AT94</f>
        <v>-269.117025182985</v>
      </c>
      <c r="AV94" s="69" t="n">
        <f aca="false">AU94/Portfolio!$F$10</f>
        <v>-0.197033800318927</v>
      </c>
      <c r="AW94" s="16" t="n">
        <f aca="false">'Hedge_Midle(Test)'!G212</f>
        <v>21.1264831244054</v>
      </c>
      <c r="AX94" s="16" t="n">
        <f aca="false">IF(B94&gt;$C$15,-1*$I$15,(($C$15-B94)*$G$15)-$I$15)</f>
        <v>20.4</v>
      </c>
      <c r="AY94" s="16" t="n">
        <f aca="false">E94+AX94</f>
        <v>-248.5685103315</v>
      </c>
      <c r="AZ94" s="69" t="n">
        <f aca="false">AY94/Portfolio!$F$10</f>
        <v>-0.181989222706845</v>
      </c>
      <c r="BA94" s="16" t="n">
        <f aca="false">'Hedge_Midle(Test)'!G242</f>
        <v>27.9137629414263</v>
      </c>
      <c r="BB94" s="16" t="n">
        <f aca="false">IF(B94&gt;$C$16,-1*$I$16,(($C$16-B94)*$G$16)-$I$16)</f>
        <v>27.78</v>
      </c>
      <c r="BC94" s="16" t="n">
        <f aca="false">E94+BB94</f>
        <v>-241.1885103315</v>
      </c>
      <c r="BD94" s="69" t="n">
        <f aca="false">BC94/Portfolio!$F$10</f>
        <v>-0.176585962005055</v>
      </c>
      <c r="BE94" s="16" t="n">
        <f aca="false">'Hedge_Midle(Test)'!G272</f>
        <v>22.2000646916608</v>
      </c>
      <c r="BF94" s="16" t="n">
        <f aca="false">IF(B94&gt;$C$17,-1*$I$17,(($C$17-B94)*$G$17)-$I$17)</f>
        <v>22.18</v>
      </c>
      <c r="BG94" s="16" t="n">
        <f aca="false">E94+BF94</f>
        <v>-246.7885103315</v>
      </c>
      <c r="BH94" s="69" t="n">
        <f aca="false">BG94/Portfolio!$F$10</f>
        <v>-0.180685997225925</v>
      </c>
      <c r="BI94" s="16" t="n">
        <f aca="false">'Hedge_Midle(Test)'!G302</f>
        <v>0</v>
      </c>
      <c r="BJ94" s="16" t="n">
        <f aca="false">IF(B94&gt;$C$18,-1*$I$18,(($C$18-B94)*$G$18)-$I$18)</f>
        <v>0</v>
      </c>
      <c r="BK94" s="16" t="n">
        <f aca="false">E94+BJ94</f>
        <v>-268.9685103315</v>
      </c>
      <c r="BL94" s="69" t="n">
        <f aca="false">BK94/Portfolio!$F$10</f>
        <v>-0.196925065297157</v>
      </c>
      <c r="BM94" s="16" t="n">
        <f aca="false">'Hedge_Midle(Test)'!G332</f>
        <v>0</v>
      </c>
      <c r="BN94" s="16" t="n">
        <f aca="false">IF(F94&gt;$C$19,-1*$I$19,(($C$19-F94)*$G$19)-$I$19)</f>
        <v>0</v>
      </c>
      <c r="BO94" s="16" t="n">
        <f aca="false">E94+BN94</f>
        <v>-268.9685103315</v>
      </c>
      <c r="BP94" s="69" t="n">
        <f aca="false">BO94/Portfolio!$F$10</f>
        <v>-0.196925065297157</v>
      </c>
      <c r="BQ94" s="16" t="n">
        <f aca="false">'Hedge_Midle(Test)'!C362</f>
        <v>-0</v>
      </c>
      <c r="BR94" s="16" t="n">
        <f aca="false">IF(J94&gt;$C$20,-1*$I$20,(($C$20-J94)*$G$20)-$I$20)</f>
        <v>0</v>
      </c>
      <c r="BS94" s="16" t="n">
        <f aca="false">E94+BR94</f>
        <v>-268.9685103315</v>
      </c>
      <c r="BT94" s="69" t="n">
        <f aca="false">BS94/Portfolio!$F$10</f>
        <v>-0.196925065297157</v>
      </c>
    </row>
    <row r="95" customFormat="false" ht="14.25" hidden="false" customHeight="true" outlineLevel="0" collapsed="false">
      <c r="B95" s="67" t="n">
        <f aca="false">B94-1</f>
        <v>66</v>
      </c>
      <c r="C95" s="68" t="e">
        <f aca="false">P95/$I$22</f>
        <v>#N/A</v>
      </c>
      <c r="D95" s="68" t="n">
        <f aca="false">Q95/$I$22</f>
        <v>7.2729459686822</v>
      </c>
      <c r="E95" s="16" t="n">
        <f aca="false">(Portfolio!$C$10*B95)-Portfolio!$F$10</f>
        <v>-285.3397553315</v>
      </c>
      <c r="F95" s="69" t="n">
        <f aca="false">(E95/Portfolio!$F$10)</f>
        <v>-0.208911258352423</v>
      </c>
      <c r="N95" s="67" t="n">
        <f aca="false">N94-1</f>
        <v>66</v>
      </c>
      <c r="O95" s="68" t="e">
        <f aca="false">'Hedge_Midle(Test)'!C396</f>
        <v>#N/A</v>
      </c>
      <c r="P95" s="16" t="e">
        <f aca="false">'Hedge_Midle(Test)'!G396</f>
        <v>#N/A</v>
      </c>
      <c r="Q95" s="16" t="n">
        <f aca="false">Z95+AD95+AH95+AL95+AP95+AT95+AX95+BB95+BF95+BJ95+BN95+BR95</f>
        <v>97.5827722772277</v>
      </c>
      <c r="R95" s="69" t="e">
        <f aca="false">T95/Portfolio!$F$10</f>
        <v>#N/A</v>
      </c>
      <c r="S95" s="69" t="n">
        <f aca="false">U95/Portfolio!$F$10</f>
        <v>-0.137466114908357</v>
      </c>
      <c r="T95" s="16" t="e">
        <f aca="false">E95+P95</f>
        <v>#N/A</v>
      </c>
      <c r="U95" s="16" t="n">
        <f aca="false">E95+Q95</f>
        <v>-187.756983054272</v>
      </c>
      <c r="V95" s="70" t="e">
        <f aca="false">P96-2*P95+P94</f>
        <v>#N/A</v>
      </c>
      <c r="W95" s="70" t="n">
        <f aca="false">Q96-2*Q95+Q94</f>
        <v>0</v>
      </c>
      <c r="X95" s="67" t="n">
        <f aca="false">X94-1</f>
        <v>66</v>
      </c>
      <c r="Y95" s="16" t="n">
        <f aca="false">'Hedge_Midle(Test)'!G36</f>
        <v>19.0702523640711</v>
      </c>
      <c r="Z95" s="16" t="n">
        <f aca="false">IF(B95&gt;$C$9,-1*$I$9,(($C$9-B95)*$G$9)-$I$9)</f>
        <v>-0.192008486562942</v>
      </c>
      <c r="AA95" s="16" t="n">
        <f aca="false">E95+Z95</f>
        <v>-285.531763818063</v>
      </c>
      <c r="AB95" s="69" t="n">
        <f aca="false">AA95/Portfolio!$F$10</f>
        <v>-0.209051837201997</v>
      </c>
      <c r="AC95" s="16" t="n">
        <f aca="false">'Hedge_Midle(Test)'!G65</f>
        <v>14.8833090491105</v>
      </c>
      <c r="AD95" s="16" t="n">
        <f aca="false">IF(B95&gt;$C$10,-1*$I$10,(($C$10-B95)*$G$10)-$I$10)</f>
        <v>7.74893917963225</v>
      </c>
      <c r="AE95" s="16" t="n">
        <f aca="false">E95+AD95</f>
        <v>-277.590816151868</v>
      </c>
      <c r="AF95" s="69" t="n">
        <f aca="false">AE95/Portfolio!$F$10</f>
        <v>-0.203237879145125</v>
      </c>
      <c r="AG95" s="16" t="n">
        <f aca="false">'Hedge_Midle(Test)'!G94</f>
        <v>0.090432317082277</v>
      </c>
      <c r="AH95" s="16" t="n">
        <f aca="false">IF(B95&gt;$C$11,-1*$I$11,(($C$11-B95)*$G$11)-$I$11)</f>
        <v>-0.0152050919377652</v>
      </c>
      <c r="AI95" s="16" t="n">
        <f aca="false">E95+AH95</f>
        <v>-285.354960423438</v>
      </c>
      <c r="AJ95" s="69" t="n">
        <f aca="false">AI95/Portfolio!$F$10</f>
        <v>-0.208922390747509</v>
      </c>
      <c r="AK95" s="16" t="n">
        <f aca="false">'Hedge_Midle(Test)'!G123</f>
        <v>14.730494101117</v>
      </c>
      <c r="AL95" s="16" t="n">
        <f aca="false">IF(B95&gt;$C$12,-1*$I$12,(($C$12-B95)*$G$12)-$I$12)</f>
        <v>11.9292786421499</v>
      </c>
      <c r="AM95" s="16" t="n">
        <f aca="false">E95+AL95</f>
        <v>-273.41047668935</v>
      </c>
      <c r="AN95" s="69" t="n">
        <f aca="false">AM95/Portfolio!$F$10</f>
        <v>-0.200177247175211</v>
      </c>
      <c r="AO95" s="16" t="e">
        <f aca="false">'Hedge_Midle(Test)'!G153</f>
        <v>#N/A</v>
      </c>
      <c r="AP95" s="16" t="n">
        <f aca="false">IF(B95&gt;$C$13,-1*$I$13,(($C$13-B95)*$G$13)-$I$13)</f>
        <v>-0.0997171145685997</v>
      </c>
      <c r="AQ95" s="16" t="n">
        <f aca="false">E95+AP95</f>
        <v>-285.439472446068</v>
      </c>
      <c r="AR95" s="69" t="n">
        <f aca="false">AQ95/Portfolio!$F$10</f>
        <v>-0.208984266152754</v>
      </c>
      <c r="AS95" s="16" t="n">
        <f aca="false">'Hedge_Midle(Test)'!G183</f>
        <v>-3.22746649415543</v>
      </c>
      <c r="AT95" s="16" t="n">
        <f aca="false">IF(B95&gt;$C$14,-1*$I$14,(($C$14-B95)*$G$14)-$I$14)</f>
        <v>-0.148514851485149</v>
      </c>
      <c r="AU95" s="16" t="n">
        <f aca="false">E95+AT95</f>
        <v>-285.488270182985</v>
      </c>
      <c r="AV95" s="69" t="n">
        <f aca="false">AU95/Portfolio!$F$10</f>
        <v>-0.209019993374193</v>
      </c>
      <c r="AW95" s="16" t="n">
        <f aca="false">'Hedge_Midle(Test)'!G213</f>
        <v>23.8824018928834</v>
      </c>
      <c r="AX95" s="16" t="n">
        <f aca="false">IF(B95&gt;$C$15,-1*$I$15,(($C$15-B95)*$G$15)-$I$15)</f>
        <v>23.4</v>
      </c>
      <c r="AY95" s="16" t="n">
        <f aca="false">E95+AX95</f>
        <v>-261.9397553315</v>
      </c>
      <c r="AZ95" s="69" t="n">
        <f aca="false">AY95/Portfolio!$F$10</f>
        <v>-0.191778968322359</v>
      </c>
      <c r="BA95" s="16" t="n">
        <f aca="false">'Hedge_Midle(Test)'!G243</f>
        <v>30.8564012349377</v>
      </c>
      <c r="BB95" s="16" t="n">
        <f aca="false">IF(B95&gt;$C$16,-1*$I$16,(($C$16-B95)*$G$16)-$I$16)</f>
        <v>30.78</v>
      </c>
      <c r="BC95" s="16" t="n">
        <f aca="false">E95+BB95</f>
        <v>-254.5597553315</v>
      </c>
      <c r="BD95" s="69" t="n">
        <f aca="false">BC95/Portfolio!$F$10</f>
        <v>-0.18637570762057</v>
      </c>
      <c r="BE95" s="16" t="n">
        <f aca="false">'Hedge_Midle(Test)'!G273</f>
        <v>24.1900795574585</v>
      </c>
      <c r="BF95" s="16" t="n">
        <f aca="false">IF(B95&gt;$C$17,-1*$I$17,(($C$17-B95)*$G$17)-$I$17)</f>
        <v>24.18</v>
      </c>
      <c r="BG95" s="16" t="n">
        <f aca="false">E95+BF95</f>
        <v>-261.1597553315</v>
      </c>
      <c r="BH95" s="69" t="n">
        <f aca="false">BG95/Portfolio!$F$10</f>
        <v>-0.191207891988024</v>
      </c>
      <c r="BI95" s="16" t="n">
        <f aca="false">'Hedge_Midle(Test)'!G303</f>
        <v>0</v>
      </c>
      <c r="BJ95" s="16" t="n">
        <f aca="false">IF(B95&gt;$C$18,-1*$I$18,(($C$18-B95)*$G$18)-$I$18)</f>
        <v>0</v>
      </c>
      <c r="BK95" s="16" t="n">
        <f aca="false">E95+BJ95</f>
        <v>-285.3397553315</v>
      </c>
      <c r="BL95" s="69" t="n">
        <f aca="false">BK95/Portfolio!$F$10</f>
        <v>-0.208911258352423</v>
      </c>
      <c r="BM95" s="16" t="n">
        <f aca="false">'Hedge_Midle(Test)'!G333</f>
        <v>0</v>
      </c>
      <c r="BN95" s="16" t="n">
        <f aca="false">IF(F95&gt;$C$19,-1*$I$19,(($C$19-F95)*$G$19)-$I$19)</f>
        <v>0</v>
      </c>
      <c r="BO95" s="16" t="n">
        <f aca="false">E95+BN95</f>
        <v>-285.3397553315</v>
      </c>
      <c r="BP95" s="69" t="n">
        <f aca="false">BO95/Portfolio!$F$10</f>
        <v>-0.208911258352423</v>
      </c>
      <c r="BQ95" s="16" t="n">
        <f aca="false">'Hedge_Midle(Test)'!C363</f>
        <v>-0</v>
      </c>
      <c r="BR95" s="16" t="n">
        <f aca="false">IF(J95&gt;$C$20,-1*$I$20,(($C$20-J95)*$G$20)-$I$20)</f>
        <v>0</v>
      </c>
      <c r="BS95" s="16" t="n">
        <f aca="false">E95+BR95</f>
        <v>-285.3397553315</v>
      </c>
      <c r="BT95" s="69" t="n">
        <f aca="false">BS95/Portfolio!$F$10</f>
        <v>-0.208911258352423</v>
      </c>
    </row>
    <row r="96" customFormat="false" ht="14.25" hidden="false" customHeight="true" outlineLevel="0" collapsed="false">
      <c r="B96" s="67" t="n">
        <f aca="false">B95-1</f>
        <v>65</v>
      </c>
      <c r="C96" s="68" t="e">
        <f aca="false">P96/$I$22</f>
        <v>#N/A</v>
      </c>
      <c r="D96" s="68" t="n">
        <f aca="false">Q96/$I$22</f>
        <v>8.24184955059994</v>
      </c>
      <c r="E96" s="16" t="n">
        <f aca="false">(Portfolio!$C$10*B96)-Portfolio!$F$10</f>
        <v>-301.7110003315</v>
      </c>
      <c r="F96" s="69" t="n">
        <f aca="false">(E96/Portfolio!$F$10)</f>
        <v>-0.220897451407689</v>
      </c>
      <c r="N96" s="67" t="n">
        <f aca="false">N95-1</f>
        <v>65</v>
      </c>
      <c r="O96" s="68" t="e">
        <f aca="false">'Hedge_Midle(Test)'!C397</f>
        <v>#N/A</v>
      </c>
      <c r="P96" s="16" t="e">
        <f aca="false">'Hedge_Midle(Test)'!G397</f>
        <v>#N/A</v>
      </c>
      <c r="Q96" s="16" t="n">
        <f aca="false">Z96+AD96+AH96+AL96+AP96+AT96+AX96+BB96+BF96+BJ96+BN96+BR96</f>
        <v>110.582772277228</v>
      </c>
      <c r="R96" s="69" t="e">
        <f aca="false">T96/Portfolio!$F$10</f>
        <v>#N/A</v>
      </c>
      <c r="S96" s="69" t="n">
        <f aca="false">U96/Portfolio!$F$10</f>
        <v>-0.139934369058033</v>
      </c>
      <c r="T96" s="16" t="e">
        <f aca="false">E96+P96</f>
        <v>#N/A</v>
      </c>
      <c r="U96" s="16" t="n">
        <f aca="false">E96+Q96</f>
        <v>-191.128228054272</v>
      </c>
      <c r="V96" s="70" t="e">
        <f aca="false">P97-2*P96+P95</f>
        <v>#N/A</v>
      </c>
      <c r="W96" s="70" t="n">
        <f aca="false">Q97-2*Q96+Q95</f>
        <v>5</v>
      </c>
      <c r="X96" s="67" t="n">
        <f aca="false">X95-1</f>
        <v>65</v>
      </c>
      <c r="Y96" s="16" t="n">
        <f aca="false">'Hedge_Midle(Test)'!G37</f>
        <v>21.2492519395061</v>
      </c>
      <c r="Z96" s="16" t="n">
        <f aca="false">IF(B96&gt;$C$9,-1*$I$9,(($C$9-B96)*$G$9)-$I$9)</f>
        <v>-0.192008486562942</v>
      </c>
      <c r="AA96" s="16" t="n">
        <f aca="false">E96+Z96</f>
        <v>-301.903008818063</v>
      </c>
      <c r="AB96" s="69" t="n">
        <f aca="false">AA96/Portfolio!$F$10</f>
        <v>-0.221038030257263</v>
      </c>
      <c r="AC96" s="16" t="n">
        <f aca="false">'Hedge_Midle(Test)'!G66</f>
        <v>16.0433561092752</v>
      </c>
      <c r="AD96" s="16" t="n">
        <f aca="false">IF(B96&gt;$C$10,-1*$I$10,(($C$10-B96)*$G$10)-$I$10)</f>
        <v>9.74893917963225</v>
      </c>
      <c r="AE96" s="16" t="n">
        <f aca="false">E96+AD96</f>
        <v>-291.962061151868</v>
      </c>
      <c r="AF96" s="69" t="n">
        <f aca="false">AE96/Portfolio!$F$10</f>
        <v>-0.213759773907223</v>
      </c>
      <c r="AG96" s="16" t="n">
        <f aca="false">'Hedge_Midle(Test)'!G95</f>
        <v>0.360866061934504</v>
      </c>
      <c r="AH96" s="16" t="n">
        <f aca="false">IF(B96&gt;$C$11,-1*$I$11,(($C$11-B96)*$G$11)-$I$11)</f>
        <v>-0.0152050919377652</v>
      </c>
      <c r="AI96" s="16" t="n">
        <f aca="false">E96+AH96</f>
        <v>-301.726205423438</v>
      </c>
      <c r="AJ96" s="69" t="n">
        <f aca="false">AI96/Portfolio!$F$10</f>
        <v>-0.220908583802775</v>
      </c>
      <c r="AK96" s="16" t="n">
        <f aca="false">'Hedge_Midle(Test)'!G124</f>
        <v>16.7447422849923</v>
      </c>
      <c r="AL96" s="16" t="n">
        <f aca="false">IF(B96&gt;$C$12,-1*$I$12,(($C$12-B96)*$G$12)-$I$12)</f>
        <v>14.9292786421499</v>
      </c>
      <c r="AM96" s="16" t="n">
        <f aca="false">E96+AL96</f>
        <v>-286.78172168935</v>
      </c>
      <c r="AN96" s="69" t="n">
        <f aca="false">AM96/Portfolio!$F$10</f>
        <v>-0.209966992790726</v>
      </c>
      <c r="AO96" s="16" t="e">
        <f aca="false">'Hedge_Midle(Test)'!G154</f>
        <v>#N/A</v>
      </c>
      <c r="AP96" s="16" t="n">
        <f aca="false">IF(B96&gt;$C$13,-1*$I$13,(($C$13-B96)*$G$13)-$I$13)</f>
        <v>-0.0997171145685997</v>
      </c>
      <c r="AQ96" s="16" t="n">
        <f aca="false">E96+AP96</f>
        <v>-301.810717446069</v>
      </c>
      <c r="AR96" s="69" t="n">
        <f aca="false">AQ96/Portfolio!$F$10</f>
        <v>-0.220970459208021</v>
      </c>
      <c r="AS96" s="16" t="n">
        <f aca="false">'Hedge_Midle(Test)'!G184</f>
        <v>-0.974254236274337</v>
      </c>
      <c r="AT96" s="16" t="n">
        <f aca="false">IF(B96&gt;$C$14,-1*$I$14,(($C$14-B96)*$G$14)-$I$14)</f>
        <v>-0.148514851485149</v>
      </c>
      <c r="AU96" s="16" t="n">
        <f aca="false">E96+AT96</f>
        <v>-301.859515182985</v>
      </c>
      <c r="AV96" s="69" t="n">
        <f aca="false">AU96/Portfolio!$F$10</f>
        <v>-0.221006186429459</v>
      </c>
      <c r="AW96" s="16" t="n">
        <f aca="false">'Hedge_Midle(Test)'!G214</f>
        <v>26.7102096434159</v>
      </c>
      <c r="AX96" s="16" t="n">
        <f aca="false">IF(B96&gt;$C$15,-1*$I$15,(($C$15-B96)*$G$15)-$I$15)</f>
        <v>26.4</v>
      </c>
      <c r="AY96" s="16" t="n">
        <f aca="false">E96+AX96</f>
        <v>-275.3110003315</v>
      </c>
      <c r="AZ96" s="69" t="n">
        <f aca="false">AY96/Portfolio!$F$10</f>
        <v>-0.201568713937874</v>
      </c>
      <c r="BA96" s="16" t="n">
        <f aca="false">'Hedge_Midle(Test)'!G244</f>
        <v>33.8218226237865</v>
      </c>
      <c r="BB96" s="16" t="n">
        <f aca="false">IF(B96&gt;$C$16,-1*$I$16,(($C$16-B96)*$G$16)-$I$16)</f>
        <v>33.78</v>
      </c>
      <c r="BC96" s="16" t="n">
        <f aca="false">E96+BB96</f>
        <v>-267.9310003315</v>
      </c>
      <c r="BD96" s="69" t="n">
        <f aca="false">BC96/Portfolio!$F$10</f>
        <v>-0.196165453236084</v>
      </c>
      <c r="BE96" s="16" t="n">
        <f aca="false">'Hedge_Midle(Test)'!G274</f>
        <v>26.1848132367678</v>
      </c>
      <c r="BF96" s="16" t="n">
        <f aca="false">IF(B96&gt;$C$17,-1*$I$17,(($C$17-B96)*$G$17)-$I$17)</f>
        <v>26.18</v>
      </c>
      <c r="BG96" s="16" t="n">
        <f aca="false">E96+BF96</f>
        <v>-275.5310003315</v>
      </c>
      <c r="BH96" s="69" t="n">
        <f aca="false">BG96/Portfolio!$F$10</f>
        <v>-0.201729786750122</v>
      </c>
      <c r="BI96" s="16" t="n">
        <f aca="false">'Hedge_Midle(Test)'!G304</f>
        <v>0</v>
      </c>
      <c r="BJ96" s="16" t="n">
        <f aca="false">IF(B96&gt;$C$18,-1*$I$18,(($C$18-B96)*$G$18)-$I$18)</f>
        <v>0</v>
      </c>
      <c r="BK96" s="16" t="n">
        <f aca="false">E96+BJ96</f>
        <v>-301.7110003315</v>
      </c>
      <c r="BL96" s="69" t="n">
        <f aca="false">BK96/Portfolio!$F$10</f>
        <v>-0.220897451407689</v>
      </c>
      <c r="BM96" s="16" t="n">
        <f aca="false">'Hedge_Midle(Test)'!G334</f>
        <v>0</v>
      </c>
      <c r="BN96" s="16" t="n">
        <f aca="false">IF(F96&gt;$C$19,-1*$I$19,(($C$19-F96)*$G$19)-$I$19)</f>
        <v>0</v>
      </c>
      <c r="BO96" s="16" t="n">
        <f aca="false">E96+BN96</f>
        <v>-301.7110003315</v>
      </c>
      <c r="BP96" s="69" t="n">
        <f aca="false">BO96/Portfolio!$F$10</f>
        <v>-0.220897451407689</v>
      </c>
      <c r="BQ96" s="16" t="n">
        <f aca="false">'Hedge_Midle(Test)'!C364</f>
        <v>-0</v>
      </c>
      <c r="BR96" s="16" t="n">
        <f aca="false">IF(J96&gt;$C$20,-1*$I$20,(($C$20-J96)*$G$20)-$I$20)</f>
        <v>0</v>
      </c>
      <c r="BS96" s="16" t="n">
        <f aca="false">E96+BR96</f>
        <v>-301.7110003315</v>
      </c>
      <c r="BT96" s="69" t="n">
        <f aca="false">BS96/Portfolio!$F$10</f>
        <v>-0.220897451407689</v>
      </c>
    </row>
    <row r="97" customFormat="false" ht="14.25" hidden="false" customHeight="true" outlineLevel="0" collapsed="false">
      <c r="B97" s="67" t="n">
        <f aca="false">B96-1</f>
        <v>64</v>
      </c>
      <c r="C97" s="68" t="e">
        <f aca="false">P97/$I$22</f>
        <v>#N/A</v>
      </c>
      <c r="D97" s="68" t="n">
        <f aca="false">Q97/$I$22</f>
        <v>9.58340835633219</v>
      </c>
      <c r="E97" s="16" t="n">
        <f aca="false">(Portfolio!$C$10*B97)-Portfolio!$F$10</f>
        <v>-318.0822453315</v>
      </c>
      <c r="F97" s="69" t="n">
        <f aca="false">(E97/Portfolio!$F$10)</f>
        <v>-0.232883644462956</v>
      </c>
      <c r="N97" s="67" t="n">
        <f aca="false">N96-1</f>
        <v>64</v>
      </c>
      <c r="O97" s="68" t="e">
        <f aca="false">'Hedge_Midle(Test)'!C398</f>
        <v>#N/A</v>
      </c>
      <c r="P97" s="16" t="e">
        <f aca="false">'Hedge_Midle(Test)'!G398</f>
        <v>#N/A</v>
      </c>
      <c r="Q97" s="16" t="n">
        <f aca="false">Z97+AD97+AH97+AL97+AP97+AT97+AX97+BB97+BF97+BJ97+BN97+BR97</f>
        <v>128.582772277228</v>
      </c>
      <c r="R97" s="69" t="e">
        <f aca="false">T97/Portfolio!$F$10</f>
        <v>#N/A</v>
      </c>
      <c r="S97" s="69" t="n">
        <f aca="false">U97/Portfolio!$F$10</f>
        <v>-0.138741877474789</v>
      </c>
      <c r="T97" s="16" t="e">
        <f aca="false">E97+P97</f>
        <v>#N/A</v>
      </c>
      <c r="U97" s="16" t="n">
        <f aca="false">E97+Q97</f>
        <v>-189.499473054272</v>
      </c>
      <c r="V97" s="70" t="e">
        <f aca="false">P98-2*P97+P96</f>
        <v>#N/A</v>
      </c>
      <c r="W97" s="70" t="n">
        <f aca="false">Q98-2*Q97+Q96</f>
        <v>0</v>
      </c>
      <c r="X97" s="67" t="n">
        <f aca="false">X96-1</f>
        <v>64</v>
      </c>
      <c r="Y97" s="16" t="n">
        <f aca="false">'Hedge_Midle(Test)'!G38</f>
        <v>23.5937743042742</v>
      </c>
      <c r="Z97" s="16" t="n">
        <f aca="false">IF(B97&gt;$C$9,-1*$I$9,(($C$9-B97)*$G$9)-$I$9)</f>
        <v>-0.192008486562942</v>
      </c>
      <c r="AA97" s="16" t="n">
        <f aca="false">E97+Z97</f>
        <v>-318.274253818063</v>
      </c>
      <c r="AB97" s="69" t="n">
        <f aca="false">AA97/Portfolio!$F$10</f>
        <v>-0.23302422331253</v>
      </c>
      <c r="AC97" s="16" t="n">
        <f aca="false">'Hedge_Midle(Test)'!G67</f>
        <v>17.2589374791208</v>
      </c>
      <c r="AD97" s="16" t="n">
        <f aca="false">IF(B97&gt;$C$10,-1*$I$10,(($C$10-B97)*$G$10)-$I$10)</f>
        <v>11.7489391796322</v>
      </c>
      <c r="AE97" s="16" t="n">
        <f aca="false">E97+AD97</f>
        <v>-306.333306151868</v>
      </c>
      <c r="AF97" s="69" t="n">
        <f aca="false">AE97/Portfolio!$F$10</f>
        <v>-0.224281668669322</v>
      </c>
      <c r="AG97" s="16" t="n">
        <f aca="false">'Hedge_Midle(Test)'!G96</f>
        <v>0.662831047749071</v>
      </c>
      <c r="AH97" s="16" t="n">
        <f aca="false">IF(B97&gt;$C$11,-1*$I$11,(($C$11-B97)*$G$11)-$I$11)</f>
        <v>-0.0152050919377652</v>
      </c>
      <c r="AI97" s="16" t="n">
        <f aca="false">E97+AH97</f>
        <v>-318.097450423438</v>
      </c>
      <c r="AJ97" s="69" t="n">
        <f aca="false">AI97/Portfolio!$F$10</f>
        <v>-0.232894776858042</v>
      </c>
      <c r="AK97" s="16" t="n">
        <f aca="false">'Hedge_Midle(Test)'!G125</f>
        <v>18.8832247762132</v>
      </c>
      <c r="AL97" s="16" t="n">
        <f aca="false">IF(B97&gt;$C$12,-1*$I$12,(($C$12-B97)*$G$12)-$I$12)</f>
        <v>17.9292786421499</v>
      </c>
      <c r="AM97" s="16" t="n">
        <f aca="false">E97+AL97</f>
        <v>-300.15296668935</v>
      </c>
      <c r="AN97" s="69" t="n">
        <f aca="false">AM97/Portfolio!$F$10</f>
        <v>-0.21975673840624</v>
      </c>
      <c r="AO97" s="16" t="e">
        <f aca="false">'Hedge_Midle(Test)'!G155</f>
        <v>#N/A</v>
      </c>
      <c r="AP97" s="16" t="n">
        <f aca="false">IF(B97&gt;$C$13,-1*$I$13,(($C$13-B97)*$G$13)-$I$13)</f>
        <v>-0.0997171145685997</v>
      </c>
      <c r="AQ97" s="16" t="n">
        <f aca="false">E97+AP97</f>
        <v>-318.181962446069</v>
      </c>
      <c r="AR97" s="69" t="n">
        <f aca="false">AQ97/Portfolio!$F$10</f>
        <v>-0.232956652263287</v>
      </c>
      <c r="AS97" s="16" t="n">
        <f aca="false">'Hedge_Midle(Test)'!G185</f>
        <v>1.54727210588688</v>
      </c>
      <c r="AT97" s="16" t="n">
        <f aca="false">IF(B97&gt;$C$14,-1*$I$14,(($C$14-B97)*$G$14)-$I$14)</f>
        <v>4.85148514851485</v>
      </c>
      <c r="AU97" s="16" t="n">
        <f aca="false">E97+AT97</f>
        <v>-313.230760182985</v>
      </c>
      <c r="AV97" s="69" t="n">
        <f aca="false">AU97/Portfolio!$F$10</f>
        <v>-0.229331633751806</v>
      </c>
      <c r="AW97" s="16" t="n">
        <f aca="false">'Hedge_Midle(Test)'!G215</f>
        <v>29.5927999261757</v>
      </c>
      <c r="AX97" s="16" t="n">
        <f aca="false">IF(B97&gt;$C$15,-1*$I$15,(($C$15-B97)*$G$15)-$I$15)</f>
        <v>29.4</v>
      </c>
      <c r="AY97" s="16" t="n">
        <f aca="false">E97+AX97</f>
        <v>-288.6822453315</v>
      </c>
      <c r="AZ97" s="69" t="n">
        <f aca="false">AY97/Portfolio!$F$10</f>
        <v>-0.211358459553388</v>
      </c>
      <c r="BA97" s="16" t="n">
        <f aca="false">'Hedge_Midle(Test)'!G245</f>
        <v>36.8018890098058</v>
      </c>
      <c r="BB97" s="16" t="n">
        <f aca="false">IF(B97&gt;$C$16,-1*$I$16,(($C$16-B97)*$G$16)-$I$16)</f>
        <v>36.78</v>
      </c>
      <c r="BC97" s="16" t="n">
        <f aca="false">E97+BB97</f>
        <v>-281.3022453315</v>
      </c>
      <c r="BD97" s="69" t="n">
        <f aca="false">BC97/Portfolio!$F$10</f>
        <v>-0.205955198851599</v>
      </c>
      <c r="BE97" s="16" t="n">
        <f aca="false">'Hedge_Midle(Test)'!G275</f>
        <v>28.1821789079621</v>
      </c>
      <c r="BF97" s="16" t="n">
        <f aca="false">IF(B97&gt;$C$17,-1*$I$17,(($C$17-B97)*$G$17)-$I$17)</f>
        <v>28.18</v>
      </c>
      <c r="BG97" s="16" t="n">
        <f aca="false">E97+BF97</f>
        <v>-289.9022453315</v>
      </c>
      <c r="BH97" s="69" t="n">
        <f aca="false">BG97/Portfolio!$F$10</f>
        <v>-0.212251681512221</v>
      </c>
      <c r="BI97" s="16" t="n">
        <f aca="false">'Hedge_Midle(Test)'!G305</f>
        <v>0</v>
      </c>
      <c r="BJ97" s="16" t="n">
        <f aca="false">IF(B97&gt;$C$18,-1*$I$18,(($C$18-B97)*$G$18)-$I$18)</f>
        <v>0</v>
      </c>
      <c r="BK97" s="16" t="n">
        <f aca="false">E97+BJ97</f>
        <v>-318.0822453315</v>
      </c>
      <c r="BL97" s="69" t="n">
        <f aca="false">BK97/Portfolio!$F$10</f>
        <v>-0.232883644462956</v>
      </c>
      <c r="BM97" s="16" t="n">
        <f aca="false">'Hedge_Midle(Test)'!G335</f>
        <v>0</v>
      </c>
      <c r="BN97" s="16" t="n">
        <f aca="false">IF(F97&gt;$C$19,-1*$I$19,(($C$19-F97)*$G$19)-$I$19)</f>
        <v>0</v>
      </c>
      <c r="BO97" s="16" t="n">
        <f aca="false">E97+BN97</f>
        <v>-318.0822453315</v>
      </c>
      <c r="BP97" s="69" t="n">
        <f aca="false">BO97/Portfolio!$F$10</f>
        <v>-0.232883644462956</v>
      </c>
      <c r="BQ97" s="16" t="n">
        <f aca="false">'Hedge_Midle(Test)'!C365</f>
        <v>-0</v>
      </c>
      <c r="BR97" s="16" t="n">
        <f aca="false">IF(J97&gt;$C$20,-1*$I$20,(($C$20-J97)*$G$20)-$I$20)</f>
        <v>0</v>
      </c>
      <c r="BS97" s="16" t="n">
        <f aca="false">E97+BR97</f>
        <v>-318.0822453315</v>
      </c>
      <c r="BT97" s="69" t="n">
        <f aca="false">BS97/Portfolio!$F$10</f>
        <v>-0.232883644462956</v>
      </c>
    </row>
    <row r="98" customFormat="false" ht="14.25" hidden="false" customHeight="true" outlineLevel="0" collapsed="false">
      <c r="B98" s="67" t="n">
        <f aca="false">B97-1</f>
        <v>63</v>
      </c>
      <c r="C98" s="68" t="e">
        <f aca="false">P98/$I$22</f>
        <v>#N/A</v>
      </c>
      <c r="D98" s="68" t="n">
        <f aca="false">Q98/$I$22</f>
        <v>10.9249671620644</v>
      </c>
      <c r="E98" s="16" t="n">
        <f aca="false">(Portfolio!$C$10*B98)-Portfolio!$F$10</f>
        <v>-334.4534903315</v>
      </c>
      <c r="F98" s="69" t="n">
        <f aca="false">(E98/Portfolio!$F$10)</f>
        <v>-0.244869837518222</v>
      </c>
      <c r="N98" s="67" t="n">
        <f aca="false">N97-1</f>
        <v>63</v>
      </c>
      <c r="O98" s="68" t="e">
        <f aca="false">'Hedge_Midle(Test)'!C399</f>
        <v>#N/A</v>
      </c>
      <c r="P98" s="16" t="e">
        <f aca="false">'Hedge_Midle(Test)'!G399</f>
        <v>#N/A</v>
      </c>
      <c r="Q98" s="16" t="n">
        <f aca="false">Z98+AD98+AH98+AL98+AP98+AT98+AX98+BB98+BF98+BJ98+BN98+BR98</f>
        <v>146.582772277228</v>
      </c>
      <c r="R98" s="69" t="e">
        <f aca="false">T98/Portfolio!$F$10</f>
        <v>#N/A</v>
      </c>
      <c r="S98" s="69" t="n">
        <f aca="false">U98/Portfolio!$F$10</f>
        <v>-0.137549385891544</v>
      </c>
      <c r="T98" s="16" t="e">
        <f aca="false">E98+P98</f>
        <v>#N/A</v>
      </c>
      <c r="U98" s="16" t="n">
        <f aca="false">E98+Q98</f>
        <v>-187.870718054272</v>
      </c>
      <c r="V98" s="70" t="e">
        <f aca="false">P99-2*P98+P97</f>
        <v>#N/A</v>
      </c>
      <c r="W98" s="70" t="n">
        <f aca="false">Q99-2*Q98+Q97</f>
        <v>0</v>
      </c>
      <c r="X98" s="67" t="n">
        <f aca="false">X97-1</f>
        <v>63</v>
      </c>
      <c r="Y98" s="16" t="n">
        <f aca="false">'Hedge_Midle(Test)'!G39</f>
        <v>26.1112247310003</v>
      </c>
      <c r="Z98" s="16" t="n">
        <f aca="false">IF(B98&gt;$C$9,-1*$I$9,(($C$9-B98)*$G$9)-$I$9)</f>
        <v>-0.192008486562942</v>
      </c>
      <c r="AA98" s="16" t="n">
        <f aca="false">E98+Z98</f>
        <v>-334.645498818063</v>
      </c>
      <c r="AB98" s="69" t="n">
        <f aca="false">AA98/Portfolio!$F$10</f>
        <v>-0.245010416367796</v>
      </c>
      <c r="AC98" s="16" t="n">
        <f aca="false">'Hedge_Midle(Test)'!G68</f>
        <v>18.5298165304252</v>
      </c>
      <c r="AD98" s="16" t="n">
        <f aca="false">IF(B98&gt;$C$10,-1*$I$10,(($C$10-B98)*$G$10)-$I$10)</f>
        <v>13.7489391796322</v>
      </c>
      <c r="AE98" s="16" t="n">
        <f aca="false">E98+AD98</f>
        <v>-320.704551151868</v>
      </c>
      <c r="AF98" s="69" t="n">
        <f aca="false">AE98/Portfolio!$F$10</f>
        <v>-0.23480356343142</v>
      </c>
      <c r="AG98" s="16" t="n">
        <f aca="false">'Hedge_Midle(Test)'!G97</f>
        <v>0.998407710296677</v>
      </c>
      <c r="AH98" s="16" t="n">
        <f aca="false">IF(B98&gt;$C$11,-1*$I$11,(($C$11-B98)*$G$11)-$I$11)</f>
        <v>-0.0152050919377652</v>
      </c>
      <c r="AI98" s="16" t="n">
        <f aca="false">E98+AH98</f>
        <v>-334.468695423438</v>
      </c>
      <c r="AJ98" s="69" t="n">
        <f aca="false">AI98/Portfolio!$F$10</f>
        <v>-0.244880969913308</v>
      </c>
      <c r="AK98" s="16" t="n">
        <f aca="false">'Hedge_Midle(Test)'!G126</f>
        <v>21.1397381695576</v>
      </c>
      <c r="AL98" s="16" t="n">
        <f aca="false">IF(B98&gt;$C$12,-1*$I$12,(($C$12-B98)*$G$12)-$I$12)</f>
        <v>20.9292786421499</v>
      </c>
      <c r="AM98" s="16" t="n">
        <f aca="false">E98+AL98</f>
        <v>-313.52421168935</v>
      </c>
      <c r="AN98" s="69" t="n">
        <f aca="false">AM98/Portfolio!$F$10</f>
        <v>-0.229546484021755</v>
      </c>
      <c r="AO98" s="16" t="e">
        <f aca="false">'Hedge_Midle(Test)'!G156</f>
        <v>#N/A</v>
      </c>
      <c r="AP98" s="16" t="n">
        <f aca="false">IF(B98&gt;$C$13,-1*$I$13,(($C$13-B98)*$G$13)-$I$13)</f>
        <v>-0.0997171145685997</v>
      </c>
      <c r="AQ98" s="16" t="n">
        <f aca="false">E98+AP98</f>
        <v>-334.553207446069</v>
      </c>
      <c r="AR98" s="69" t="n">
        <f aca="false">AQ98/Portfolio!$F$10</f>
        <v>-0.244942845318553</v>
      </c>
      <c r="AS98" s="16" t="n">
        <f aca="false">'Hedge_Midle(Test)'!G186</f>
        <v>4.3408677486385</v>
      </c>
      <c r="AT98" s="16" t="n">
        <f aca="false">IF(B98&gt;$C$14,-1*$I$14,(($C$14-B98)*$G$14)-$I$14)</f>
        <v>9.85148514851485</v>
      </c>
      <c r="AU98" s="16" t="n">
        <f aca="false">E98+AT98</f>
        <v>-324.602005182985</v>
      </c>
      <c r="AV98" s="69" t="n">
        <f aca="false">AU98/Portfolio!$F$10</f>
        <v>-0.237657081074153</v>
      </c>
      <c r="AW98" s="16" t="n">
        <f aca="false">'Hedge_Midle(Test)'!G216</f>
        <v>32.5155768707354</v>
      </c>
      <c r="AX98" s="16" t="n">
        <f aca="false">IF(B98&gt;$C$15,-1*$I$15,(($C$15-B98)*$G$15)-$I$15)</f>
        <v>32.4</v>
      </c>
      <c r="AY98" s="16" t="n">
        <f aca="false">E98+AX98</f>
        <v>-302.0534903315</v>
      </c>
      <c r="AZ98" s="69" t="n">
        <f aca="false">AY98/Portfolio!$F$10</f>
        <v>-0.221148205168903</v>
      </c>
      <c r="BA98" s="16" t="n">
        <f aca="false">'Hedge_Midle(Test)'!G246</f>
        <v>39.7909259457613</v>
      </c>
      <c r="BB98" s="16" t="n">
        <f aca="false">IF(B98&gt;$C$16,-1*$I$16,(($C$16-B98)*$G$16)-$I$16)</f>
        <v>39.78</v>
      </c>
      <c r="BC98" s="16" t="n">
        <f aca="false">E98+BB98</f>
        <v>-294.6734903315</v>
      </c>
      <c r="BD98" s="69" t="n">
        <f aca="false">BC98/Portfolio!$F$10</f>
        <v>-0.215744944467114</v>
      </c>
      <c r="BE98" s="16" t="n">
        <f aca="false">'Hedge_Midle(Test)'!G276</f>
        <v>30.1809324264056</v>
      </c>
      <c r="BF98" s="16" t="n">
        <f aca="false">IF(B98&gt;$C$17,-1*$I$17,(($C$17-B98)*$G$17)-$I$17)</f>
        <v>30.18</v>
      </c>
      <c r="BG98" s="16" t="n">
        <f aca="false">E98+BF98</f>
        <v>-304.2734903315</v>
      </c>
      <c r="BH98" s="69" t="n">
        <f aca="false">BG98/Portfolio!$F$10</f>
        <v>-0.222773576274319</v>
      </c>
      <c r="BI98" s="16" t="n">
        <f aca="false">'Hedge_Midle(Test)'!G306</f>
        <v>0</v>
      </c>
      <c r="BJ98" s="16" t="n">
        <f aca="false">IF(B98&gt;$C$18,-1*$I$18,(($C$18-B98)*$G$18)-$I$18)</f>
        <v>0</v>
      </c>
      <c r="BK98" s="16" t="n">
        <f aca="false">E98+BJ98</f>
        <v>-334.4534903315</v>
      </c>
      <c r="BL98" s="69" t="n">
        <f aca="false">BK98/Portfolio!$F$10</f>
        <v>-0.244869837518222</v>
      </c>
      <c r="BM98" s="16" t="n">
        <f aca="false">'Hedge_Midle(Test)'!G336</f>
        <v>0</v>
      </c>
      <c r="BN98" s="16" t="n">
        <f aca="false">IF(F98&gt;$C$19,-1*$I$19,(($C$19-F98)*$G$19)-$I$19)</f>
        <v>0</v>
      </c>
      <c r="BO98" s="16" t="n">
        <f aca="false">E98+BN98</f>
        <v>-334.4534903315</v>
      </c>
      <c r="BP98" s="69" t="n">
        <f aca="false">BO98/Portfolio!$F$10</f>
        <v>-0.244869837518222</v>
      </c>
      <c r="BQ98" s="16" t="n">
        <f aca="false">'Hedge_Midle(Test)'!C366</f>
        <v>-0</v>
      </c>
      <c r="BR98" s="16" t="n">
        <f aca="false">IF(J98&gt;$C$20,-1*$I$20,(($C$20-J98)*$G$20)-$I$20)</f>
        <v>0</v>
      </c>
      <c r="BS98" s="16" t="n">
        <f aca="false">E98+BR98</f>
        <v>-334.4534903315</v>
      </c>
      <c r="BT98" s="69" t="n">
        <f aca="false">BS98/Portfolio!$F$10</f>
        <v>-0.244869837518222</v>
      </c>
    </row>
    <row r="99" customFormat="false" ht="14.25" hidden="false" customHeight="true" outlineLevel="0" collapsed="false">
      <c r="B99" s="67" t="n">
        <f aca="false">B98-1</f>
        <v>62</v>
      </c>
      <c r="C99" s="68" t="e">
        <f aca="false">P99/$I$22</f>
        <v>#N/A</v>
      </c>
      <c r="D99" s="68" t="n">
        <f aca="false">Q99/$I$22</f>
        <v>12.2665259677967</v>
      </c>
      <c r="E99" s="16" t="n">
        <f aca="false">(Portfolio!$C$10*B99)-Portfolio!$F$10</f>
        <v>-350.8247353315</v>
      </c>
      <c r="F99" s="69" t="n">
        <f aca="false">(E99/Portfolio!$F$10)</f>
        <v>-0.256856030573488</v>
      </c>
      <c r="N99" s="67" t="n">
        <f aca="false">N98-1</f>
        <v>62</v>
      </c>
      <c r="O99" s="68" t="e">
        <f aca="false">'Hedge_Midle(Test)'!C400</f>
        <v>#N/A</v>
      </c>
      <c r="P99" s="16" t="e">
        <f aca="false">'Hedge_Midle(Test)'!G400</f>
        <v>#N/A</v>
      </c>
      <c r="Q99" s="16" t="n">
        <f aca="false">Z99+AD99+AH99+AL99+AP99+AT99+AX99+BB99+BF99+BJ99+BN99+BR99</f>
        <v>164.582772277228</v>
      </c>
      <c r="R99" s="69" t="e">
        <f aca="false">T99/Portfolio!$F$10</f>
        <v>#N/A</v>
      </c>
      <c r="S99" s="69" t="n">
        <f aca="false">U99/Portfolio!$F$10</f>
        <v>-0.1363568943083</v>
      </c>
      <c r="T99" s="16" t="e">
        <f aca="false">E99+P99</f>
        <v>#N/A</v>
      </c>
      <c r="U99" s="16" t="n">
        <f aca="false">E99+Q99</f>
        <v>-186.241963054272</v>
      </c>
      <c r="V99" s="70" t="e">
        <f aca="false">P100-2*P99+P98</f>
        <v>#N/A</v>
      </c>
      <c r="W99" s="70" t="n">
        <f aca="false">Q100-2*Q99+Q98</f>
        <v>0</v>
      </c>
      <c r="X99" s="67" t="n">
        <f aca="false">X98-1</f>
        <v>62</v>
      </c>
      <c r="Y99" s="16" t="n">
        <f aca="false">'Hedge_Midle(Test)'!G40</f>
        <v>28.8086505109173</v>
      </c>
      <c r="Z99" s="16" t="n">
        <f aca="false">IF(B99&gt;$C$9,-1*$I$9,(($C$9-B99)*$G$9)-$I$9)</f>
        <v>-0.192008486562942</v>
      </c>
      <c r="AA99" s="16" t="n">
        <f aca="false">E99+Z99</f>
        <v>-351.016743818063</v>
      </c>
      <c r="AB99" s="69" t="n">
        <f aca="false">AA99/Portfolio!$F$10</f>
        <v>-0.256996609423062</v>
      </c>
      <c r="AC99" s="16" t="n">
        <f aca="false">'Hedge_Midle(Test)'!G69</f>
        <v>19.8554612702444</v>
      </c>
      <c r="AD99" s="16" t="n">
        <f aca="false">IF(B99&gt;$C$10,-1*$I$10,(($C$10-B99)*$G$10)-$I$10)</f>
        <v>15.7489391796322</v>
      </c>
      <c r="AE99" s="16" t="n">
        <f aca="false">E99+AD99</f>
        <v>-335.075796151868</v>
      </c>
      <c r="AF99" s="69" t="n">
        <f aca="false">AE99/Portfolio!$F$10</f>
        <v>-0.245325458193518</v>
      </c>
      <c r="AG99" s="16" t="n">
        <f aca="false">'Hedge_Midle(Test)'!G98</f>
        <v>1.36953057622315</v>
      </c>
      <c r="AH99" s="16" t="n">
        <f aca="false">IF(B99&gt;$C$11,-1*$I$11,(($C$11-B99)*$G$11)-$I$11)</f>
        <v>-0.0152050919377652</v>
      </c>
      <c r="AI99" s="16" t="n">
        <f aca="false">E99+AH99</f>
        <v>-350.839940423438</v>
      </c>
      <c r="AJ99" s="69" t="n">
        <f aca="false">AI99/Portfolio!$F$10</f>
        <v>-0.256867162968574</v>
      </c>
      <c r="AK99" s="16" t="n">
        <f aca="false">'Hedge_Midle(Test)'!G127</f>
        <v>23.5066949587349</v>
      </c>
      <c r="AL99" s="16" t="n">
        <f aca="false">IF(B99&gt;$C$12,-1*$I$12,(($C$12-B99)*$G$12)-$I$12)</f>
        <v>23.9292786421499</v>
      </c>
      <c r="AM99" s="16" t="n">
        <f aca="false">E99+AL99</f>
        <v>-326.89545668935</v>
      </c>
      <c r="AN99" s="69" t="n">
        <f aca="false">AM99/Portfolio!$F$10</f>
        <v>-0.239336229637269</v>
      </c>
      <c r="AO99" s="16" t="e">
        <f aca="false">'Hedge_Midle(Test)'!G157</f>
        <v>#N/A</v>
      </c>
      <c r="AP99" s="16" t="n">
        <f aca="false">IF(B99&gt;$C$13,-1*$I$13,(($C$13-B99)*$G$13)-$I$13)</f>
        <v>-0.0997171145685997</v>
      </c>
      <c r="AQ99" s="16" t="n">
        <f aca="false">E99+AP99</f>
        <v>-350.924452446069</v>
      </c>
      <c r="AR99" s="69" t="n">
        <f aca="false">AQ99/Portfolio!$F$10</f>
        <v>-0.25692903837382</v>
      </c>
      <c r="AS99" s="16" t="n">
        <f aca="false">'Hedge_Midle(Test)'!G187</f>
        <v>7.40524193470818</v>
      </c>
      <c r="AT99" s="16" t="n">
        <f aca="false">IF(B99&gt;$C$14,-1*$I$14,(($C$14-B99)*$G$14)-$I$14)</f>
        <v>14.8514851485149</v>
      </c>
      <c r="AU99" s="16" t="n">
        <f aca="false">E99+AT99</f>
        <v>-335.973250182985</v>
      </c>
      <c r="AV99" s="69" t="n">
        <f aca="false">AU99/Portfolio!$F$10</f>
        <v>-0.245982528396499</v>
      </c>
      <c r="AW99" s="16" t="n">
        <f aca="false">'Hedge_Midle(Test)'!G217</f>
        <v>35.4666832233228</v>
      </c>
      <c r="AX99" s="16" t="n">
        <f aca="false">IF(B99&gt;$C$15,-1*$I$15,(($C$15-B99)*$G$15)-$I$15)</f>
        <v>35.4</v>
      </c>
      <c r="AY99" s="16" t="n">
        <f aca="false">E99+AX99</f>
        <v>-315.4247353315</v>
      </c>
      <c r="AZ99" s="69" t="n">
        <f aca="false">AY99/Portfolio!$F$10</f>
        <v>-0.230937950784417</v>
      </c>
      <c r="BA99" s="16" t="n">
        <f aca="false">'Hedge_Midle(Test)'!G247</f>
        <v>42.7851877212498</v>
      </c>
      <c r="BB99" s="16" t="n">
        <f aca="false">IF(B99&gt;$C$16,-1*$I$16,(($C$16-B99)*$G$16)-$I$16)</f>
        <v>42.78</v>
      </c>
      <c r="BC99" s="16" t="n">
        <f aca="false">E99+BB99</f>
        <v>-308.0447353315</v>
      </c>
      <c r="BD99" s="69" t="n">
        <f aca="false">BC99/Portfolio!$F$10</f>
        <v>-0.225534690082628</v>
      </c>
      <c r="BE99" s="16" t="n">
        <f aca="false">'Hedge_Midle(Test)'!G277</f>
        <v>32.1803760767713</v>
      </c>
      <c r="BF99" s="16" t="n">
        <f aca="false">IF(B99&gt;$C$17,-1*$I$17,(($C$17-B99)*$G$17)-$I$17)</f>
        <v>32.18</v>
      </c>
      <c r="BG99" s="16" t="n">
        <f aca="false">E99+BF99</f>
        <v>-318.6447353315</v>
      </c>
      <c r="BH99" s="69" t="n">
        <f aca="false">BG99/Portfolio!$F$10</f>
        <v>-0.233295471036418</v>
      </c>
      <c r="BI99" s="16" t="n">
        <f aca="false">'Hedge_Midle(Test)'!G307</f>
        <v>0</v>
      </c>
      <c r="BJ99" s="16" t="n">
        <f aca="false">IF(B99&gt;$C$18,-1*$I$18,(($C$18-B99)*$G$18)-$I$18)</f>
        <v>0</v>
      </c>
      <c r="BK99" s="16" t="n">
        <f aca="false">E99+BJ99</f>
        <v>-350.8247353315</v>
      </c>
      <c r="BL99" s="69" t="n">
        <f aca="false">BK99/Portfolio!$F$10</f>
        <v>-0.256856030573488</v>
      </c>
      <c r="BM99" s="16" t="n">
        <f aca="false">'Hedge_Midle(Test)'!G337</f>
        <v>0</v>
      </c>
      <c r="BN99" s="16" t="n">
        <f aca="false">IF(F99&gt;$C$19,-1*$I$19,(($C$19-F99)*$G$19)-$I$19)</f>
        <v>0</v>
      </c>
      <c r="BO99" s="16" t="n">
        <f aca="false">E99+BN99</f>
        <v>-350.8247353315</v>
      </c>
      <c r="BP99" s="69" t="n">
        <f aca="false">BO99/Portfolio!$F$10</f>
        <v>-0.256856030573488</v>
      </c>
      <c r="BQ99" s="16" t="n">
        <f aca="false">'Hedge_Midle(Test)'!C367</f>
        <v>-0</v>
      </c>
      <c r="BR99" s="16" t="n">
        <f aca="false">IF(J99&gt;$C$20,-1*$I$20,(($C$20-J99)*$G$20)-$I$20)</f>
        <v>0</v>
      </c>
      <c r="BS99" s="16" t="n">
        <f aca="false">E99+BR99</f>
        <v>-350.8247353315</v>
      </c>
      <c r="BT99" s="69" t="n">
        <f aca="false">BS99/Portfolio!$F$10</f>
        <v>-0.256856030573488</v>
      </c>
    </row>
    <row r="100" customFormat="false" ht="14.25" hidden="false" customHeight="true" outlineLevel="0" collapsed="false">
      <c r="B100" s="67" t="n">
        <f aca="false">B99-1</f>
        <v>61</v>
      </c>
      <c r="C100" s="68" t="e">
        <f aca="false">P100/$I$22</f>
        <v>#N/A</v>
      </c>
      <c r="D100" s="68" t="n">
        <f aca="false">Q100/$I$22</f>
        <v>13.6080847735289</v>
      </c>
      <c r="E100" s="16" t="n">
        <f aca="false">(Portfolio!$C$10*B100)-Portfolio!$F$10</f>
        <v>-367.1959803315</v>
      </c>
      <c r="F100" s="69" t="n">
        <f aca="false">(E100/Portfolio!$F$10)</f>
        <v>-0.268842223628755</v>
      </c>
      <c r="N100" s="67" t="n">
        <f aca="false">N99-1</f>
        <v>61</v>
      </c>
      <c r="O100" s="68" t="e">
        <f aca="false">'Hedge_Midle(Test)'!C401</f>
        <v>#N/A</v>
      </c>
      <c r="P100" s="16" t="e">
        <f aca="false">'Hedge_Midle(Test)'!G401</f>
        <v>#N/A</v>
      </c>
      <c r="Q100" s="16" t="n">
        <f aca="false">Z100+AD100+AH100+AL100+AP100+AT100+AX100+BB100+BF100+BJ100+BN100+BR100</f>
        <v>182.582772277228</v>
      </c>
      <c r="R100" s="69" t="e">
        <f aca="false">T100/Portfolio!$F$10</f>
        <v>#N/A</v>
      </c>
      <c r="S100" s="69" t="n">
        <f aca="false">U100/Portfolio!$F$10</f>
        <v>-0.135164402725056</v>
      </c>
      <c r="T100" s="16" t="e">
        <f aca="false">E100+P100</f>
        <v>#N/A</v>
      </c>
      <c r="U100" s="16" t="n">
        <f aca="false">E100+Q100</f>
        <v>-184.613208054272</v>
      </c>
      <c r="V100" s="70" t="e">
        <f aca="false">P101-2*P100+P99</f>
        <v>#N/A</v>
      </c>
      <c r="W100" s="70" t="n">
        <f aca="false">Q101-2*Q100+Q99</f>
        <v>0</v>
      </c>
      <c r="X100" s="67" t="n">
        <f aca="false">X99-1</f>
        <v>61</v>
      </c>
      <c r="Y100" s="16" t="n">
        <f aca="false">'Hedge_Midle(Test)'!G41</f>
        <v>31.6926351339693</v>
      </c>
      <c r="Z100" s="16" t="n">
        <f aca="false">IF(B100&gt;$C$9,-1*$I$9,(($C$9-B100)*$G$9)-$I$9)</f>
        <v>-0.192008486562942</v>
      </c>
      <c r="AA100" s="16" t="n">
        <f aca="false">E100+Z100</f>
        <v>-367.387988818063</v>
      </c>
      <c r="AB100" s="69" t="n">
        <f aca="false">AA100/Portfolio!$F$10</f>
        <v>-0.268982802478329</v>
      </c>
      <c r="AC100" s="16" t="n">
        <f aca="false">'Hedge_Midle(Test)'!G70</f>
        <v>21.2350389532152</v>
      </c>
      <c r="AD100" s="16" t="n">
        <f aca="false">IF(B100&gt;$C$10,-1*$I$10,(($C$10-B100)*$G$10)-$I$10)</f>
        <v>17.7489391796323</v>
      </c>
      <c r="AE100" s="16" t="n">
        <f aca="false">E100+AD100</f>
        <v>-349.447041151868</v>
      </c>
      <c r="AF100" s="69" t="n">
        <f aca="false">AE100/Portfolio!$F$10</f>
        <v>-0.255847352955617</v>
      </c>
      <c r="AG100" s="16" t="n">
        <f aca="false">'Hedge_Midle(Test)'!G99</f>
        <v>1.77793359797389</v>
      </c>
      <c r="AH100" s="16" t="n">
        <f aca="false">IF(B100&gt;$C$11,-1*$I$11,(($C$11-B100)*$G$11)-$I$11)</f>
        <v>-0.0152050919377652</v>
      </c>
      <c r="AI100" s="16" t="n">
        <f aca="false">E100+AH100</f>
        <v>-367.211185423438</v>
      </c>
      <c r="AJ100" s="69" t="n">
        <f aca="false">AI100/Portfolio!$F$10</f>
        <v>-0.268853356023841</v>
      </c>
      <c r="AK100" s="16" t="n">
        <f aca="false">'Hedge_Midle(Test)'!G128</f>
        <v>25.9753615405254</v>
      </c>
      <c r="AL100" s="16" t="n">
        <f aca="false">IF(B100&gt;$C$12,-1*$I$12,(($C$12-B100)*$G$12)-$I$12)</f>
        <v>26.9292786421499</v>
      </c>
      <c r="AM100" s="16" t="n">
        <f aca="false">E100+AL100</f>
        <v>-340.26670168935</v>
      </c>
      <c r="AN100" s="69" t="n">
        <f aca="false">AM100/Portfolio!$F$10</f>
        <v>-0.249125975252784</v>
      </c>
      <c r="AO100" s="16" t="e">
        <f aca="false">'Hedge_Midle(Test)'!G158</f>
        <v>#N/A</v>
      </c>
      <c r="AP100" s="16" t="n">
        <f aca="false">IF(B100&gt;$C$13,-1*$I$13,(($C$13-B100)*$G$13)-$I$13)</f>
        <v>-0.0997171145685997</v>
      </c>
      <c r="AQ100" s="16" t="n">
        <f aca="false">E100+AP100</f>
        <v>-367.295697446069</v>
      </c>
      <c r="AR100" s="69" t="n">
        <f aca="false">AQ100/Portfolio!$F$10</f>
        <v>-0.268915231429086</v>
      </c>
      <c r="AS100" s="16" t="n">
        <f aca="false">'Hedge_Midle(Test)'!G188</f>
        <v>10.7338926748464</v>
      </c>
      <c r="AT100" s="16" t="n">
        <f aca="false">IF(B100&gt;$C$14,-1*$I$14,(($C$14-B100)*$G$14)-$I$14)</f>
        <v>19.8514851485149</v>
      </c>
      <c r="AU100" s="16" t="n">
        <f aca="false">E100+AT100</f>
        <v>-347.344495182985</v>
      </c>
      <c r="AV100" s="69" t="n">
        <f aca="false">AU100/Portfolio!$F$10</f>
        <v>-0.254307975718846</v>
      </c>
      <c r="AW100" s="16" t="n">
        <f aca="false">'Hedge_Midle(Test)'!G218</f>
        <v>38.4369463463422</v>
      </c>
      <c r="AX100" s="16" t="n">
        <f aca="false">IF(B100&gt;$C$15,-1*$I$15,(($C$15-B100)*$G$15)-$I$15)</f>
        <v>38.4</v>
      </c>
      <c r="AY100" s="16" t="n">
        <f aca="false">E100+AX100</f>
        <v>-328.7959803315</v>
      </c>
      <c r="AZ100" s="69" t="n">
        <f aca="false">AY100/Portfolio!$F$10</f>
        <v>-0.240727696399932</v>
      </c>
      <c r="BA100" s="16" t="n">
        <f aca="false">'Hedge_Midle(Test)'!G248</f>
        <v>45.7823366488918</v>
      </c>
      <c r="BB100" s="16" t="n">
        <f aca="false">IF(B100&gt;$C$16,-1*$I$16,(($C$16-B100)*$G$16)-$I$16)</f>
        <v>45.78</v>
      </c>
      <c r="BC100" s="16" t="n">
        <f aca="false">E100+BB100</f>
        <v>-321.4159803315</v>
      </c>
      <c r="BD100" s="69" t="n">
        <f aca="false">BC100/Portfolio!$F$10</f>
        <v>-0.235324435698143</v>
      </c>
      <c r="BE100" s="16" t="n">
        <f aca="false">'Hedge_Midle(Test)'!G278</f>
        <v>34.1801425200109</v>
      </c>
      <c r="BF100" s="16" t="n">
        <f aca="false">IF(B100&gt;$C$17,-1*$I$17,(($C$17-B100)*$G$17)-$I$17)</f>
        <v>34.18</v>
      </c>
      <c r="BG100" s="16" t="n">
        <f aca="false">E100+BF100</f>
        <v>-333.0159803315</v>
      </c>
      <c r="BH100" s="69" t="n">
        <f aca="false">BG100/Portfolio!$F$10</f>
        <v>-0.243817365798516</v>
      </c>
      <c r="BI100" s="16" t="n">
        <f aca="false">'Hedge_Midle(Test)'!G308</f>
        <v>0</v>
      </c>
      <c r="BJ100" s="16" t="n">
        <f aca="false">IF(B100&gt;$C$18,-1*$I$18,(($C$18-B100)*$G$18)-$I$18)</f>
        <v>0</v>
      </c>
      <c r="BK100" s="16" t="n">
        <f aca="false">E100+BJ100</f>
        <v>-367.1959803315</v>
      </c>
      <c r="BL100" s="69" t="n">
        <f aca="false">BK100/Portfolio!$F$10</f>
        <v>-0.268842223628755</v>
      </c>
      <c r="BM100" s="16" t="n">
        <f aca="false">'Hedge_Midle(Test)'!G338</f>
        <v>0</v>
      </c>
      <c r="BN100" s="16" t="n">
        <f aca="false">IF(F100&gt;$C$19,-1*$I$19,(($C$19-F100)*$G$19)-$I$19)</f>
        <v>0</v>
      </c>
      <c r="BO100" s="16" t="n">
        <f aca="false">E100+BN100</f>
        <v>-367.1959803315</v>
      </c>
      <c r="BP100" s="69" t="n">
        <f aca="false">BO100/Portfolio!$F$10</f>
        <v>-0.268842223628755</v>
      </c>
      <c r="BQ100" s="16" t="n">
        <f aca="false">'Hedge_Midle(Test)'!C368</f>
        <v>-0</v>
      </c>
      <c r="BR100" s="16" t="n">
        <f aca="false">IF(J100&gt;$C$20,-1*$I$20,(($C$20-J100)*$G$20)-$I$20)</f>
        <v>0</v>
      </c>
      <c r="BS100" s="16" t="n">
        <f aca="false">E100+BR100</f>
        <v>-367.1959803315</v>
      </c>
      <c r="BT100" s="69" t="n">
        <f aca="false">BS100/Portfolio!$F$10</f>
        <v>-0.268842223628755</v>
      </c>
    </row>
    <row r="101" customFormat="false" ht="14.25" hidden="false" customHeight="true" outlineLevel="0" collapsed="false">
      <c r="B101" s="67" t="n">
        <f aca="false">B100-1</f>
        <v>60</v>
      </c>
      <c r="C101" s="68" t="e">
        <f aca="false">P101/$I$22</f>
        <v>#N/A</v>
      </c>
      <c r="D101" s="68" t="n">
        <f aca="false">Q101/$I$22</f>
        <v>14.9496435792612</v>
      </c>
      <c r="E101" s="16" t="n">
        <f aca="false">(Portfolio!$C$10*B101)-Portfolio!$F$10</f>
        <v>-383.5672253315</v>
      </c>
      <c r="F101" s="69" t="n">
        <f aca="false">(E101/Portfolio!$F$10)</f>
        <v>-0.280828416684021</v>
      </c>
      <c r="N101" s="67" t="n">
        <f aca="false">N100-1</f>
        <v>60</v>
      </c>
      <c r="O101" s="68" t="e">
        <f aca="false">'Hedge_Midle(Test)'!C402</f>
        <v>#N/A</v>
      </c>
      <c r="P101" s="16" t="e">
        <f aca="false">'Hedge_Midle(Test)'!G402</f>
        <v>#N/A</v>
      </c>
      <c r="Q101" s="16" t="n">
        <f aca="false">Z101+AD101+AH101+AL101+AP101+AT101+AX101+BB101+BF101+BJ101+BN101+BR101</f>
        <v>200.582772277228</v>
      </c>
      <c r="R101" s="69" t="e">
        <f aca="false">T101/Portfolio!$F$10</f>
        <v>#N/A</v>
      </c>
      <c r="S101" s="69" t="n">
        <f aca="false">U101/Portfolio!$F$10</f>
        <v>-0.133971911141811</v>
      </c>
      <c r="T101" s="16" t="e">
        <f aca="false">E101+P101</f>
        <v>#N/A</v>
      </c>
      <c r="U101" s="16" t="n">
        <f aca="false">E101+Q101</f>
        <v>-182.984453054272</v>
      </c>
      <c r="V101" s="70" t="e">
        <f aca="false">P102-2*P101+P100</f>
        <v>#N/A</v>
      </c>
      <c r="W101" s="70" t="n">
        <f aca="false">Q102-2*Q101+Q100</f>
        <v>14</v>
      </c>
      <c r="X101" s="67" t="n">
        <f aca="false">X100-1</f>
        <v>60</v>
      </c>
      <c r="Y101" s="16" t="n">
        <f aca="false">'Hedge_Midle(Test)'!G42</f>
        <v>34.7691877485418</v>
      </c>
      <c r="Z101" s="16" t="n">
        <f aca="false">IF(B101&gt;$C$9,-1*$I$9,(($C$9-B101)*$G$9)-$I$9)</f>
        <v>-0.192008486562942</v>
      </c>
      <c r="AA101" s="16" t="n">
        <f aca="false">E101+Z101</f>
        <v>-383.759233818063</v>
      </c>
      <c r="AB101" s="69" t="n">
        <f aca="false">AA101/Portfolio!$F$10</f>
        <v>-0.280968995533595</v>
      </c>
      <c r="AC101" s="16" t="n">
        <f aca="false">'Hedge_Midle(Test)'!G71</f>
        <v>22.6674155284393</v>
      </c>
      <c r="AD101" s="16" t="n">
        <f aca="false">IF(B101&gt;$C$10,-1*$I$10,(($C$10-B101)*$G$10)-$I$10)</f>
        <v>19.7489391796323</v>
      </c>
      <c r="AE101" s="16" t="n">
        <f aca="false">E101+AD101</f>
        <v>-363.818286151868</v>
      </c>
      <c r="AF101" s="69" t="n">
        <f aca="false">AE101/Portfolio!$F$10</f>
        <v>-0.266369247717715</v>
      </c>
      <c r="AG101" s="16" t="n">
        <f aca="false">'Hedge_Midle(Test)'!G100</f>
        <v>2.2250945683543</v>
      </c>
      <c r="AH101" s="16" t="n">
        <f aca="false">IF(B101&gt;$C$11,-1*$I$11,(($C$11-B101)*$G$11)-$I$11)</f>
        <v>-0.0152050919377652</v>
      </c>
      <c r="AI101" s="16" t="n">
        <f aca="false">E101+AH101</f>
        <v>-383.582430423438</v>
      </c>
      <c r="AJ101" s="69" t="n">
        <f aca="false">AI101/Portfolio!$F$10</f>
        <v>-0.280839549079107</v>
      </c>
      <c r="AK101" s="16" t="n">
        <f aca="false">'Hedge_Midle(Test)'!G129</f>
        <v>28.5361442436311</v>
      </c>
      <c r="AL101" s="16" t="n">
        <f aca="false">IF(B101&gt;$C$12,-1*$I$12,(($C$12-B101)*$G$12)-$I$12)</f>
        <v>29.9292786421499</v>
      </c>
      <c r="AM101" s="16" t="n">
        <f aca="false">E101+AL101</f>
        <v>-353.63794668935</v>
      </c>
      <c r="AN101" s="69" t="n">
        <f aca="false">AM101/Portfolio!$F$10</f>
        <v>-0.258915720868298</v>
      </c>
      <c r="AO101" s="16" t="e">
        <f aca="false">'Hedge_Midle(Test)'!G159</f>
        <v>#N/A</v>
      </c>
      <c r="AP101" s="16" t="n">
        <f aca="false">IF(B101&gt;$C$13,-1*$I$13,(($C$13-B101)*$G$13)-$I$13)</f>
        <v>-0.0997171145685997</v>
      </c>
      <c r="AQ101" s="16" t="n">
        <f aca="false">E101+AP101</f>
        <v>-383.666942446069</v>
      </c>
      <c r="AR101" s="69" t="n">
        <f aca="false">AQ101/Portfolio!$F$10</f>
        <v>-0.280901424484352</v>
      </c>
      <c r="AS101" s="16" t="n">
        <f aca="false">'Hedge_Midle(Test)'!G189</f>
        <v>14.3152407896324</v>
      </c>
      <c r="AT101" s="16" t="n">
        <f aca="false">IF(B101&gt;$C$14,-1*$I$14,(($C$14-B101)*$G$14)-$I$14)</f>
        <v>24.8514851485149</v>
      </c>
      <c r="AU101" s="16" t="n">
        <f aca="false">E101+AT101</f>
        <v>-358.715740182985</v>
      </c>
      <c r="AV101" s="69" t="n">
        <f aca="false">AU101/Portfolio!$F$10</f>
        <v>-0.262633423041193</v>
      </c>
      <c r="AW101" s="16" t="n">
        <f aca="false">'Hedge_Midle(Test)'!G219</f>
        <v>41.4196118373696</v>
      </c>
      <c r="AX101" s="16" t="n">
        <f aca="false">IF(B101&gt;$C$15,-1*$I$15,(($C$15-B101)*$G$15)-$I$15)</f>
        <v>41.4</v>
      </c>
      <c r="AY101" s="16" t="n">
        <f aca="false">E101+AX101</f>
        <v>-342.1672253315</v>
      </c>
      <c r="AZ101" s="69" t="n">
        <f aca="false">AY101/Portfolio!$F$10</f>
        <v>-0.250517442015447</v>
      </c>
      <c r="BA101" s="16" t="n">
        <f aca="false">'Hedge_Midle(Test)'!G249</f>
        <v>48.7809955594963</v>
      </c>
      <c r="BB101" s="16" t="n">
        <f aca="false">IF(B101&gt;$C$16,-1*$I$16,(($C$16-B101)*$G$16)-$I$16)</f>
        <v>48.78</v>
      </c>
      <c r="BC101" s="16" t="n">
        <f aca="false">E101+BB101</f>
        <v>-334.7872253315</v>
      </c>
      <c r="BD101" s="69" t="n">
        <f aca="false">BC101/Portfolio!$F$10</f>
        <v>-0.245114181313657</v>
      </c>
      <c r="BE101" s="16" t="n">
        <f aca="false">'Hedge_Midle(Test)'!G279</f>
        <v>36.1800505821052</v>
      </c>
      <c r="BF101" s="16" t="n">
        <f aca="false">IF(B101&gt;$C$17,-1*$I$17,(($C$17-B101)*$G$17)-$I$17)</f>
        <v>36.18</v>
      </c>
      <c r="BG101" s="16" t="n">
        <f aca="false">E101+BF101</f>
        <v>-347.3872253315</v>
      </c>
      <c r="BH101" s="69" t="n">
        <f aca="false">BG101/Portfolio!$F$10</f>
        <v>-0.254339260560615</v>
      </c>
      <c r="BI101" s="16" t="n">
        <f aca="false">'Hedge_Midle(Test)'!G309</f>
        <v>0</v>
      </c>
      <c r="BJ101" s="16" t="n">
        <f aca="false">IF(B101&gt;$C$18,-1*$I$18,(($C$18-B101)*$G$18)-$I$18)</f>
        <v>0</v>
      </c>
      <c r="BK101" s="16" t="n">
        <f aca="false">E101+BJ101</f>
        <v>-383.5672253315</v>
      </c>
      <c r="BL101" s="69" t="n">
        <f aca="false">BK101/Portfolio!$F$10</f>
        <v>-0.280828416684021</v>
      </c>
      <c r="BM101" s="16" t="n">
        <f aca="false">'Hedge_Midle(Test)'!G339</f>
        <v>0</v>
      </c>
      <c r="BN101" s="16" t="n">
        <f aca="false">IF(F101&gt;$C$19,-1*$I$19,(($C$19-F101)*$G$19)-$I$19)</f>
        <v>0</v>
      </c>
      <c r="BO101" s="16" t="n">
        <f aca="false">E101+BN101</f>
        <v>-383.5672253315</v>
      </c>
      <c r="BP101" s="69" t="n">
        <f aca="false">BO101/Portfolio!$F$10</f>
        <v>-0.280828416684021</v>
      </c>
      <c r="BQ101" s="16" t="n">
        <f aca="false">'Hedge_Midle(Test)'!C369</f>
        <v>-0</v>
      </c>
      <c r="BR101" s="16" t="n">
        <f aca="false">IF(J101&gt;$C$20,-1*$I$20,(($C$20-J101)*$G$20)-$I$20)</f>
        <v>0</v>
      </c>
      <c r="BS101" s="16" t="n">
        <f aca="false">E101+BR101</f>
        <v>-383.5672253315</v>
      </c>
      <c r="BT101" s="69" t="n">
        <f aca="false">BS101/Portfolio!$F$10</f>
        <v>-0.280828416684021</v>
      </c>
    </row>
    <row r="102" customFormat="false" ht="14.25" hidden="false" customHeight="true" outlineLevel="0" collapsed="false">
      <c r="B102" s="67" t="n">
        <f aca="false">B101-1</f>
        <v>59</v>
      </c>
      <c r="C102" s="68" t="e">
        <f aca="false">P102/$I$22</f>
        <v>#N/A</v>
      </c>
      <c r="D102" s="68" t="n">
        <f aca="false">Q102/$I$22</f>
        <v>17.3346370116741</v>
      </c>
      <c r="E102" s="16" t="n">
        <f aca="false">(Portfolio!$C$10*B102)-Portfolio!$F$10</f>
        <v>-399.9384703315</v>
      </c>
      <c r="F102" s="69" t="n">
        <f aca="false">(E102/Portfolio!$F$10)</f>
        <v>-0.292814609739287</v>
      </c>
      <c r="N102" s="67" t="n">
        <f aca="false">N101-1</f>
        <v>59</v>
      </c>
      <c r="O102" s="68" t="e">
        <f aca="false">'Hedge_Midle(Test)'!C403</f>
        <v>#N/A</v>
      </c>
      <c r="P102" s="16" t="e">
        <f aca="false">'Hedge_Midle(Test)'!G403</f>
        <v>#N/A</v>
      </c>
      <c r="Q102" s="16" t="n">
        <f aca="false">Z102+AD102+AH102+AL102+AP102+AT102+AX102+BB102+BF102+BJ102+BN102+BR102</f>
        <v>232.582772277228</v>
      </c>
      <c r="R102" s="69" t="e">
        <f aca="false">T102/Portfolio!$F$10</f>
        <v>#N/A</v>
      </c>
      <c r="S102" s="69" t="n">
        <f aca="false">U102/Portfolio!$F$10</f>
        <v>-0.122529331506392</v>
      </c>
      <c r="T102" s="16" t="e">
        <f aca="false">E102+P102</f>
        <v>#N/A</v>
      </c>
      <c r="U102" s="16" t="n">
        <f aca="false">E102+Q102</f>
        <v>-167.355698054272</v>
      </c>
      <c r="V102" s="70" t="e">
        <f aca="false">P103-2*P102+P101</f>
        <v>#N/A</v>
      </c>
      <c r="W102" s="70" t="n">
        <f aca="false">Q103-2*Q102+Q101</f>
        <v>0</v>
      </c>
      <c r="X102" s="67" t="n">
        <f aca="false">X101-1</f>
        <v>59</v>
      </c>
      <c r="Y102" s="16" t="n">
        <f aca="false">'Hedge_Midle(Test)'!G43</f>
        <v>38.0436297408405</v>
      </c>
      <c r="Z102" s="16" t="n">
        <f aca="false">IF(B102&gt;$C$9,-1*$I$9,(($C$9-B102)*$G$9)-$I$9)</f>
        <v>6.80799151343706</v>
      </c>
      <c r="AA102" s="16" t="n">
        <f aca="false">E102+Z102</f>
        <v>-393.130478818063</v>
      </c>
      <c r="AB102" s="69" t="n">
        <f aca="false">AA102/Portfolio!$F$10</f>
        <v>-0.287830144562774</v>
      </c>
      <c r="AC102" s="16" t="n">
        <f aca="false">'Hedge_Midle(Test)'!G72</f>
        <v>24.1511603375322</v>
      </c>
      <c r="AD102" s="16" t="n">
        <f aca="false">IF(B102&gt;$C$10,-1*$I$10,(($C$10-B102)*$G$10)-$I$10)</f>
        <v>21.7489391796323</v>
      </c>
      <c r="AE102" s="16" t="n">
        <f aca="false">E102+AD102</f>
        <v>-378.189531151868</v>
      </c>
      <c r="AF102" s="69" t="n">
        <f aca="false">AE102/Portfolio!$F$10</f>
        <v>-0.276891142479814</v>
      </c>
      <c r="AG102" s="16" t="n">
        <f aca="false">'Hedge_Midle(Test)'!G101</f>
        <v>2.7121808515085</v>
      </c>
      <c r="AH102" s="16" t="n">
        <f aca="false">IF(B102&gt;$C$11,-1*$I$11,(($C$11-B102)*$G$11)-$I$11)</f>
        <v>0.984794908062235</v>
      </c>
      <c r="AI102" s="16" t="n">
        <f aca="false">E102+AH102</f>
        <v>-398.953675423438</v>
      </c>
      <c r="AJ102" s="69" t="n">
        <f aca="false">AI102/Portfolio!$F$10</f>
        <v>-0.292093592987789</v>
      </c>
      <c r="AK102" s="16" t="n">
        <f aca="false">'Hedge_Midle(Test)'!G130</f>
        <v>31.1789072650857</v>
      </c>
      <c r="AL102" s="16" t="n">
        <f aca="false">IF(B102&gt;$C$12,-1*$I$12,(($C$12-B102)*$G$12)-$I$12)</f>
        <v>32.9292786421499</v>
      </c>
      <c r="AM102" s="16" t="n">
        <f aca="false">E102+AL102</f>
        <v>-367.00919168935</v>
      </c>
      <c r="AN102" s="69" t="n">
        <f aca="false">AM102/Portfolio!$F$10</f>
        <v>-0.268705466483813</v>
      </c>
      <c r="AO102" s="16" t="e">
        <f aca="false">'Hedge_Midle(Test)'!G160</f>
        <v>#N/A</v>
      </c>
      <c r="AP102" s="16" t="n">
        <f aca="false">IF(B102&gt;$C$13,-1*$I$13,(($C$13-B102)*$G$13)-$I$13)</f>
        <v>5.9002828854314</v>
      </c>
      <c r="AQ102" s="16" t="n">
        <f aca="false">E102+AP102</f>
        <v>-394.038187446069</v>
      </c>
      <c r="AR102" s="69" t="n">
        <f aca="false">AQ102/Portfolio!$F$10</f>
        <v>-0.288494722660115</v>
      </c>
      <c r="AS102" s="16" t="n">
        <f aca="false">'Hedge_Midle(Test)'!G190</f>
        <v>18.1330740336196</v>
      </c>
      <c r="AT102" s="16" t="n">
        <f aca="false">IF(B102&gt;$C$14,-1*$I$14,(($C$14-B102)*$G$14)-$I$14)</f>
        <v>29.8514851485149</v>
      </c>
      <c r="AU102" s="16" t="n">
        <f aca="false">E102+AT102</f>
        <v>-370.086985182985</v>
      </c>
      <c r="AV102" s="69" t="n">
        <f aca="false">AU102/Portfolio!$F$10</f>
        <v>-0.27095887036354</v>
      </c>
      <c r="AW102" s="16" t="n">
        <f aca="false">'Hedge_Midle(Test)'!G220</f>
        <v>44.409949252432</v>
      </c>
      <c r="AX102" s="16" t="n">
        <f aca="false">IF(B102&gt;$C$15,-1*$I$15,(($C$15-B102)*$G$15)-$I$15)</f>
        <v>44.4</v>
      </c>
      <c r="AY102" s="16" t="n">
        <f aca="false">E102+AX102</f>
        <v>-355.5384703315</v>
      </c>
      <c r="AZ102" s="69" t="n">
        <f aca="false">AY102/Portfolio!$F$10</f>
        <v>-0.260307187630961</v>
      </c>
      <c r="BA102" s="16" t="n">
        <f aca="false">'Hedge_Midle(Test)'!G250</f>
        <v>51.7804000308283</v>
      </c>
      <c r="BB102" s="16" t="n">
        <f aca="false">IF(B102&gt;$C$16,-1*$I$16,(($C$16-B102)*$G$16)-$I$16)</f>
        <v>51.78</v>
      </c>
      <c r="BC102" s="16" t="n">
        <f aca="false">E102+BB102</f>
        <v>-348.1584703315</v>
      </c>
      <c r="BD102" s="69" t="n">
        <f aca="false">BC102/Portfolio!$F$10</f>
        <v>-0.254903926929172</v>
      </c>
      <c r="BE102" s="16" t="n">
        <f aca="false">'Hedge_Midle(Test)'!G280</f>
        <v>38.1800167552561</v>
      </c>
      <c r="BF102" s="16" t="n">
        <f aca="false">IF(B102&gt;$C$17,-1*$I$17,(($C$17-B102)*$G$17)-$I$17)</f>
        <v>38.18</v>
      </c>
      <c r="BG102" s="16" t="n">
        <f aca="false">E102+BF102</f>
        <v>-361.7584703315</v>
      </c>
      <c r="BH102" s="69" t="n">
        <f aca="false">BG102/Portfolio!$F$10</f>
        <v>-0.264861155322713</v>
      </c>
      <c r="BI102" s="16" t="n">
        <f aca="false">'Hedge_Midle(Test)'!G310</f>
        <v>0</v>
      </c>
      <c r="BJ102" s="16" t="n">
        <f aca="false">IF(B102&gt;$C$18,-1*$I$18,(($C$18-B102)*$G$18)-$I$18)</f>
        <v>0</v>
      </c>
      <c r="BK102" s="16" t="n">
        <f aca="false">E102+BJ102</f>
        <v>-399.9384703315</v>
      </c>
      <c r="BL102" s="69" t="n">
        <f aca="false">BK102/Portfolio!$F$10</f>
        <v>-0.292814609739287</v>
      </c>
      <c r="BM102" s="16" t="n">
        <f aca="false">'Hedge_Midle(Test)'!G340</f>
        <v>0</v>
      </c>
      <c r="BN102" s="16" t="n">
        <f aca="false">IF(F102&gt;$C$19,-1*$I$19,(($C$19-F102)*$G$19)-$I$19)</f>
        <v>0</v>
      </c>
      <c r="BO102" s="16" t="n">
        <f aca="false">E102+BN102</f>
        <v>-399.9384703315</v>
      </c>
      <c r="BP102" s="69" t="n">
        <f aca="false">BO102/Portfolio!$F$10</f>
        <v>-0.292814609739287</v>
      </c>
      <c r="BQ102" s="16" t="n">
        <f aca="false">'Hedge_Midle(Test)'!C370</f>
        <v>-0</v>
      </c>
      <c r="BR102" s="16" t="n">
        <f aca="false">IF(J102&gt;$C$20,-1*$I$20,(($C$20-J102)*$G$20)-$I$20)</f>
        <v>0</v>
      </c>
      <c r="BS102" s="16" t="n">
        <f aca="false">E102+BR102</f>
        <v>-399.9384703315</v>
      </c>
      <c r="BT102" s="69" t="n">
        <f aca="false">BS102/Portfolio!$F$10</f>
        <v>-0.292814609739287</v>
      </c>
    </row>
    <row r="103" customFormat="false" ht="14.25" hidden="false" customHeight="true" outlineLevel="0" collapsed="false">
      <c r="B103" s="67" t="n">
        <f aca="false">B102-1</f>
        <v>58</v>
      </c>
      <c r="C103" s="68" t="e">
        <f aca="false">P103/$I$22</f>
        <v>#N/A</v>
      </c>
      <c r="D103" s="68" t="n">
        <f aca="false">Q103/$I$22</f>
        <v>19.719630444087</v>
      </c>
      <c r="E103" s="16" t="n">
        <f aca="false">(Portfolio!$C$10*B103)-Portfolio!$F$10</f>
        <v>-416.3097153315</v>
      </c>
      <c r="F103" s="69" t="n">
        <f aca="false">(E103/Portfolio!$F$10)</f>
        <v>-0.304800802794554</v>
      </c>
      <c r="N103" s="67" t="n">
        <f aca="false">N102-1</f>
        <v>58</v>
      </c>
      <c r="O103" s="68" t="e">
        <f aca="false">'Hedge_Midle(Test)'!C404</f>
        <v>#N/A</v>
      </c>
      <c r="P103" s="16" t="e">
        <f aca="false">'Hedge_Midle(Test)'!G404</f>
        <v>#N/A</v>
      </c>
      <c r="Q103" s="16" t="n">
        <f aca="false">Z103+AD103+AH103+AL103+AP103+AT103+AX103+BB103+BF103+BJ103+BN103+BR103</f>
        <v>264.582772277228</v>
      </c>
      <c r="R103" s="69" t="e">
        <f aca="false">T103/Portfolio!$F$10</f>
        <v>#N/A</v>
      </c>
      <c r="S103" s="69" t="n">
        <f aca="false">U103/Portfolio!$F$10</f>
        <v>-0.111086751870973</v>
      </c>
      <c r="T103" s="16" t="e">
        <f aca="false">E103+P103</f>
        <v>#N/A</v>
      </c>
      <c r="U103" s="16" t="n">
        <f aca="false">E103+Q103</f>
        <v>-151.726943054272</v>
      </c>
      <c r="V103" s="70" t="e">
        <f aca="false">P104-2*P103+P102</f>
        <v>#N/A</v>
      </c>
      <c r="W103" s="70" t="n">
        <f aca="false">Q104-2*Q103+Q102</f>
        <v>0</v>
      </c>
      <c r="X103" s="67" t="n">
        <f aca="false">X102-1</f>
        <v>58</v>
      </c>
      <c r="Y103" s="16" t="n">
        <f aca="false">'Hedge_Midle(Test)'!G44</f>
        <v>41.520480668811</v>
      </c>
      <c r="Z103" s="16" t="n">
        <f aca="false">IF(B103&gt;$C$9,-1*$I$9,(($C$9-B103)*$G$9)-$I$9)</f>
        <v>13.8079915134371</v>
      </c>
      <c r="AA103" s="16" t="n">
        <f aca="false">E103+Z103</f>
        <v>-402.501723818063</v>
      </c>
      <c r="AB103" s="69" t="n">
        <f aca="false">AA103/Portfolio!$F$10</f>
        <v>-0.294691293591953</v>
      </c>
      <c r="AC103" s="16" t="n">
        <f aca="false">'Hedge_Midle(Test)'!G73</f>
        <v>25.6845563621566</v>
      </c>
      <c r="AD103" s="16" t="n">
        <f aca="false">IF(B103&gt;$C$10,-1*$I$10,(($C$10-B103)*$G$10)-$I$10)</f>
        <v>23.7489391796323</v>
      </c>
      <c r="AE103" s="16" t="n">
        <f aca="false">E103+AD103</f>
        <v>-392.560776151868</v>
      </c>
      <c r="AF103" s="69" t="n">
        <f aca="false">AE103/Portfolio!$F$10</f>
        <v>-0.287413037241912</v>
      </c>
      <c r="AG103" s="16" t="n">
        <f aca="false">'Hedge_Midle(Test)'!G102</f>
        <v>3.23999899178206</v>
      </c>
      <c r="AH103" s="16" t="n">
        <f aca="false">IF(B103&gt;$C$11,-1*$I$11,(($C$11-B103)*$G$11)-$I$11)</f>
        <v>1.98479490806224</v>
      </c>
      <c r="AI103" s="16" t="n">
        <f aca="false">E103+AH103</f>
        <v>-414.324920423438</v>
      </c>
      <c r="AJ103" s="69" t="n">
        <f aca="false">AI103/Portfolio!$F$10</f>
        <v>-0.303347636896472</v>
      </c>
      <c r="AK103" s="16" t="n">
        <f aca="false">'Hedge_Midle(Test)'!G131</f>
        <v>33.893303552626</v>
      </c>
      <c r="AL103" s="16" t="n">
        <f aca="false">IF(B103&gt;$C$12,-1*$I$12,(($C$12-B103)*$G$12)-$I$12)</f>
        <v>35.9292786421499</v>
      </c>
      <c r="AM103" s="16" t="n">
        <f aca="false">E103+AL103</f>
        <v>-380.38043668935</v>
      </c>
      <c r="AN103" s="69" t="n">
        <f aca="false">AM103/Portfolio!$F$10</f>
        <v>-0.278495212099328</v>
      </c>
      <c r="AO103" s="16" t="e">
        <f aca="false">'Hedge_Midle(Test)'!G161</f>
        <v>#N/A</v>
      </c>
      <c r="AP103" s="16" t="n">
        <f aca="false">IF(B103&gt;$C$13,-1*$I$13,(($C$13-B103)*$G$13)-$I$13)</f>
        <v>11.9002828854314</v>
      </c>
      <c r="AQ103" s="16" t="n">
        <f aca="false">E103+AP103</f>
        <v>-404.409432446069</v>
      </c>
      <c r="AR103" s="69" t="n">
        <f aca="false">AQ103/Portfolio!$F$10</f>
        <v>-0.296088020835878</v>
      </c>
      <c r="AS103" s="16" t="n">
        <f aca="false">'Hedge_Midle(Test)'!G191</f>
        <v>22.1672810814967</v>
      </c>
      <c r="AT103" s="16" t="n">
        <f aca="false">IF(B103&gt;$C$14,-1*$I$14,(($C$14-B103)*$G$14)-$I$14)</f>
        <v>34.8514851485149</v>
      </c>
      <c r="AU103" s="16" t="n">
        <f aca="false">E103+AT103</f>
        <v>-381.458230182985</v>
      </c>
      <c r="AV103" s="69" t="n">
        <f aca="false">AU103/Portfolio!$F$10</f>
        <v>-0.279284317685886</v>
      </c>
      <c r="AW103" s="16" t="n">
        <f aca="false">'Hedge_Midle(Test)'!G221</f>
        <v>47.4048113609445</v>
      </c>
      <c r="AX103" s="16" t="n">
        <f aca="false">IF(B103&gt;$C$15,-1*$I$15,(($C$15-B103)*$G$15)-$I$15)</f>
        <v>47.4</v>
      </c>
      <c r="AY103" s="16" t="n">
        <f aca="false">E103+AX103</f>
        <v>-368.9097153315</v>
      </c>
      <c r="AZ103" s="69" t="n">
        <f aca="false">AY103/Portfolio!$F$10</f>
        <v>-0.270096933246476</v>
      </c>
      <c r="BA103" s="16" t="n">
        <f aca="false">'Hedge_Midle(Test)'!G251</f>
        <v>54.780151112315</v>
      </c>
      <c r="BB103" s="16" t="n">
        <f aca="false">IF(B103&gt;$C$16,-1*$I$16,(($C$16-B103)*$G$16)-$I$16)</f>
        <v>54.78</v>
      </c>
      <c r="BC103" s="16" t="n">
        <f aca="false">E103+BB103</f>
        <v>-361.5297153315</v>
      </c>
      <c r="BD103" s="69" t="n">
        <f aca="false">BC103/Portfolio!$F$10</f>
        <v>-0.264693672544686</v>
      </c>
      <c r="BE103" s="16" t="n">
        <f aca="false">'Hedge_Midle(Test)'!G281</f>
        <v>40.1800051614321</v>
      </c>
      <c r="BF103" s="16" t="n">
        <f aca="false">IF(B103&gt;$C$17,-1*$I$17,(($C$17-B103)*$G$17)-$I$17)</f>
        <v>40.18</v>
      </c>
      <c r="BG103" s="16" t="n">
        <f aca="false">E103+BF103</f>
        <v>-376.1297153315</v>
      </c>
      <c r="BH103" s="69" t="n">
        <f aca="false">BG103/Portfolio!$F$10</f>
        <v>-0.275383050084812</v>
      </c>
      <c r="BI103" s="16" t="n">
        <f aca="false">'Hedge_Midle(Test)'!G311</f>
        <v>0</v>
      </c>
      <c r="BJ103" s="16" t="n">
        <f aca="false">IF(B103&gt;$C$18,-1*$I$18,(($C$18-B103)*$G$18)-$I$18)</f>
        <v>0</v>
      </c>
      <c r="BK103" s="16" t="n">
        <f aca="false">E103+BJ103</f>
        <v>-416.3097153315</v>
      </c>
      <c r="BL103" s="69" t="n">
        <f aca="false">BK103/Portfolio!$F$10</f>
        <v>-0.304800802794554</v>
      </c>
      <c r="BM103" s="16" t="n">
        <f aca="false">'Hedge_Midle(Test)'!G341</f>
        <v>0</v>
      </c>
      <c r="BN103" s="16" t="n">
        <f aca="false">IF(F103&gt;$C$19,-1*$I$19,(($C$19-F103)*$G$19)-$I$19)</f>
        <v>0</v>
      </c>
      <c r="BO103" s="16" t="n">
        <f aca="false">E103+BN103</f>
        <v>-416.3097153315</v>
      </c>
      <c r="BP103" s="69" t="n">
        <f aca="false">BO103/Portfolio!$F$10</f>
        <v>-0.304800802794554</v>
      </c>
      <c r="BQ103" s="16" t="n">
        <f aca="false">'Hedge_Midle(Test)'!C371</f>
        <v>-0</v>
      </c>
      <c r="BR103" s="16" t="n">
        <f aca="false">IF(J103&gt;$C$20,-1*$I$20,(($C$20-J103)*$G$20)-$I$20)</f>
        <v>0</v>
      </c>
      <c r="BS103" s="16" t="n">
        <f aca="false">E103+BR103</f>
        <v>-416.3097153315</v>
      </c>
      <c r="BT103" s="69" t="n">
        <f aca="false">BS103/Portfolio!$F$10</f>
        <v>-0.304800802794554</v>
      </c>
    </row>
    <row r="104" customFormat="false" ht="14.25" hidden="false" customHeight="true" outlineLevel="0" collapsed="false">
      <c r="B104" s="67" t="n">
        <f aca="false">B103-1</f>
        <v>57</v>
      </c>
      <c r="C104" s="68" t="e">
        <f aca="false">P104/$I$22</f>
        <v>#N/A</v>
      </c>
      <c r="D104" s="68" t="n">
        <f aca="false">Q104/$I$22</f>
        <v>22.1046238764998</v>
      </c>
      <c r="E104" s="16" t="n">
        <f aca="false">(Portfolio!$C$10*B104)-Portfolio!$F$10</f>
        <v>-432.6809603315</v>
      </c>
      <c r="F104" s="69" t="n">
        <f aca="false">(E104/Portfolio!$F$10)</f>
        <v>-0.31678699584982</v>
      </c>
      <c r="N104" s="67" t="n">
        <f aca="false">N103-1</f>
        <v>57</v>
      </c>
      <c r="O104" s="68" t="e">
        <f aca="false">'Hedge_Midle(Test)'!C405</f>
        <v>#N/A</v>
      </c>
      <c r="P104" s="16" t="e">
        <f aca="false">'Hedge_Midle(Test)'!G405</f>
        <v>#N/A</v>
      </c>
      <c r="Q104" s="16" t="n">
        <f aca="false">Z104+AD104+AH104+AL104+AP104+AT104+AX104+BB104+BF104+BJ104+BN104+BR104</f>
        <v>296.582772277228</v>
      </c>
      <c r="R104" s="69" t="e">
        <f aca="false">T104/Portfolio!$F$10</f>
        <v>#N/A</v>
      </c>
      <c r="S104" s="69" t="n">
        <f aca="false">U104/Portfolio!$F$10</f>
        <v>-0.0996441722355537</v>
      </c>
      <c r="T104" s="16" t="e">
        <f aca="false">E104+P104</f>
        <v>#N/A</v>
      </c>
      <c r="U104" s="16" t="n">
        <f aca="false">E104+Q104</f>
        <v>-136.098188054272</v>
      </c>
      <c r="V104" s="15"/>
      <c r="X104" s="67" t="n">
        <f aca="false">X103-1</f>
        <v>57</v>
      </c>
      <c r="Y104" s="16" t="n">
        <f aca="false">'Hedge_Midle(Test)'!G45</f>
        <v>45.2033461744824</v>
      </c>
      <c r="Z104" s="16" t="n">
        <f aca="false">IF(B104&gt;$C$9,-1*$I$9,(($C$9-B104)*$G$9)-$I$9)</f>
        <v>20.8079915134371</v>
      </c>
      <c r="AA104" s="16" t="n">
        <f aca="false">E104+Z104</f>
        <v>-411.872968818063</v>
      </c>
      <c r="AB104" s="69" t="n">
        <f aca="false">AA104/Portfolio!$F$10</f>
        <v>-0.301552442621131</v>
      </c>
      <c r="AC104" s="16" t="n">
        <f aca="false">'Hedge_Midle(Test)'!G74</f>
        <v>27.2656161738461</v>
      </c>
      <c r="AD104" s="16" t="n">
        <f aca="false">IF(B104&gt;$C$10,-1*$I$10,(($C$10-B104)*$G$10)-$I$10)</f>
        <v>25.7489391796323</v>
      </c>
      <c r="AE104" s="16" t="n">
        <f aca="false">E104+AD104</f>
        <v>-406.932021151868</v>
      </c>
      <c r="AF104" s="69" t="n">
        <f aca="false">AE104/Portfolio!$F$10</f>
        <v>-0.297934932004011</v>
      </c>
      <c r="AG104" s="16" t="n">
        <f aca="false">'Hedge_Midle(Test)'!G103</f>
        <v>3.8089509768711</v>
      </c>
      <c r="AH104" s="16" t="n">
        <f aca="false">IF(B104&gt;$C$11,-1*$I$11,(($C$11-B104)*$G$11)-$I$11)</f>
        <v>2.98479490806223</v>
      </c>
      <c r="AI104" s="16" t="n">
        <f aca="false">E104+AH104</f>
        <v>-429.696165423438</v>
      </c>
      <c r="AJ104" s="69" t="n">
        <f aca="false">AI104/Portfolio!$F$10</f>
        <v>-0.314601680805154</v>
      </c>
      <c r="AK104" s="16" t="n">
        <f aca="false">'Hedge_Midle(Test)'!G132</f>
        <v>36.6690984430115</v>
      </c>
      <c r="AL104" s="16" t="n">
        <f aca="false">IF(B104&gt;$C$12,-1*$I$12,(($C$12-B104)*$G$12)-$I$12)</f>
        <v>38.9292786421499</v>
      </c>
      <c r="AM104" s="16" t="n">
        <f aca="false">E104+AL104</f>
        <v>-393.75168168935</v>
      </c>
      <c r="AN104" s="69" t="n">
        <f aca="false">AM104/Portfolio!$F$10</f>
        <v>-0.288284957714842</v>
      </c>
      <c r="AO104" s="16" t="e">
        <f aca="false">'Hedge_Midle(Test)'!G162</f>
        <v>#N/A</v>
      </c>
      <c r="AP104" s="16" t="n">
        <f aca="false">IF(B104&gt;$C$13,-1*$I$13,(($C$13-B104)*$G$13)-$I$13)</f>
        <v>17.9002828854314</v>
      </c>
      <c r="AQ104" s="16" t="n">
        <f aca="false">E104+AP104</f>
        <v>-414.780677446069</v>
      </c>
      <c r="AR104" s="69" t="n">
        <f aca="false">AQ104/Portfolio!$F$10</f>
        <v>-0.30368131901164</v>
      </c>
      <c r="AS104" s="16" t="n">
        <f aca="false">'Hedge_Midle(Test)'!G192</f>
        <v>26.3948235281048</v>
      </c>
      <c r="AT104" s="16" t="n">
        <f aca="false">IF(B104&gt;$C$14,-1*$I$14,(($C$14-B104)*$G$14)-$I$14)</f>
        <v>39.8514851485149</v>
      </c>
      <c r="AU104" s="16" t="n">
        <f aca="false">E104+AT104</f>
        <v>-392.829475182985</v>
      </c>
      <c r="AV104" s="69" t="n">
        <f aca="false">AU104/Portfolio!$F$10</f>
        <v>-0.287609765008233</v>
      </c>
      <c r="AW104" s="16" t="n">
        <f aca="false">'Hedge_Midle(Test)'!G222</f>
        <v>50.4022119343169</v>
      </c>
      <c r="AX104" s="16" t="n">
        <f aca="false">IF(B104&gt;$C$15,-1*$I$15,(($C$15-B104)*$G$15)-$I$15)</f>
        <v>50.4</v>
      </c>
      <c r="AY104" s="16" t="n">
        <f aca="false">E104+AX104</f>
        <v>-382.2809603315</v>
      </c>
      <c r="AZ104" s="69" t="n">
        <f aca="false">AY104/Portfolio!$F$10</f>
        <v>-0.27988667886199</v>
      </c>
      <c r="BA104" s="16" t="n">
        <f aca="false">'Hedge_Midle(Test)'!G252</f>
        <v>57.7800534859827</v>
      </c>
      <c r="BB104" s="16" t="n">
        <f aca="false">IF(B104&gt;$C$16,-1*$I$16,(($C$16-B104)*$G$16)-$I$16)</f>
        <v>57.78</v>
      </c>
      <c r="BC104" s="16" t="n">
        <f aca="false">E104+BB104</f>
        <v>-374.9009603315</v>
      </c>
      <c r="BD104" s="69" t="n">
        <f aca="false">BC104/Portfolio!$F$10</f>
        <v>-0.274483418160201</v>
      </c>
      <c r="BE104" s="16" t="n">
        <f aca="false">'Hedge_Midle(Test)'!G282</f>
        <v>42.1800014729889</v>
      </c>
      <c r="BF104" s="16" t="n">
        <f aca="false">IF(B104&gt;$C$17,-1*$I$17,(($C$17-B104)*$G$17)-$I$17)</f>
        <v>42.18</v>
      </c>
      <c r="BG104" s="16" t="n">
        <f aca="false">E104+BF104</f>
        <v>-390.5009603315</v>
      </c>
      <c r="BH104" s="69" t="n">
        <f aca="false">BG104/Portfolio!$F$10</f>
        <v>-0.28590494484691</v>
      </c>
      <c r="BI104" s="16" t="n">
        <f aca="false">'Hedge_Midle(Test)'!G312</f>
        <v>0</v>
      </c>
      <c r="BJ104" s="16" t="n">
        <f aca="false">IF(B104&gt;$C$18,-1*$I$18,(($C$18-B104)*$G$18)-$I$18)</f>
        <v>0</v>
      </c>
      <c r="BK104" s="16" t="n">
        <f aca="false">E104+BJ104</f>
        <v>-432.6809603315</v>
      </c>
      <c r="BL104" s="69" t="n">
        <f aca="false">BK104/Portfolio!$F$10</f>
        <v>-0.31678699584982</v>
      </c>
      <c r="BM104" s="16" t="n">
        <f aca="false">'Hedge_Midle(Test)'!G342</f>
        <v>0</v>
      </c>
      <c r="BN104" s="16" t="n">
        <f aca="false">IF(F104&gt;$C$19,-1*$I$19,(($C$19-F104)*$G$19)-$I$19)</f>
        <v>0</v>
      </c>
      <c r="BO104" s="16" t="n">
        <f aca="false">E104+BN104</f>
        <v>-432.6809603315</v>
      </c>
      <c r="BP104" s="69" t="n">
        <f aca="false">BO104/Portfolio!$F$10</f>
        <v>-0.31678699584982</v>
      </c>
      <c r="BQ104" s="16" t="n">
        <f aca="false">'Hedge_Midle(Test)'!C372</f>
        <v>-0</v>
      </c>
      <c r="BR104" s="16" t="n">
        <f aca="false">IF(J104&gt;$C$20,-1*$I$20,(($C$20-J104)*$G$20)-$I$20)</f>
        <v>0</v>
      </c>
      <c r="BS104" s="16" t="n">
        <f aca="false">E104+BR104</f>
        <v>-432.6809603315</v>
      </c>
      <c r="BT104" s="69" t="n">
        <f aca="false">BS104/Portfolio!$F$10</f>
        <v>-0.31678699584982</v>
      </c>
    </row>
    <row r="105" customFormat="false" ht="14.2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9">
    <mergeCell ref="Q2:R2"/>
    <mergeCell ref="X7:Y7"/>
    <mergeCell ref="X8:Y8"/>
    <mergeCell ref="X9:Y9"/>
    <mergeCell ref="L60:M60"/>
    <mergeCell ref="B76:F76"/>
    <mergeCell ref="N76:U76"/>
    <mergeCell ref="Y76:AB76"/>
    <mergeCell ref="AC76:AF76"/>
    <mergeCell ref="AG76:AJ76"/>
    <mergeCell ref="AK76:AN76"/>
    <mergeCell ref="AO76:AR76"/>
    <mergeCell ref="AS76:AV76"/>
    <mergeCell ref="AW76:AZ76"/>
    <mergeCell ref="BA76:BD76"/>
    <mergeCell ref="BE76:BH76"/>
    <mergeCell ref="BI76:BL76"/>
    <mergeCell ref="BM76:BP76"/>
    <mergeCell ref="BQ76:BT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 &amp;Kffffff&amp;A</oddHeader>
    <oddFooter>&amp;C&amp;"Times New Roman,Обычный"&amp;12 &amp;KffffffPage &amp;P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2026-03-06T11:25:03Z</dcterms:created>
  <dc:creator>openpyxl</dc:creator>
  <dc:description/>
  <dc:language>ru-RU</dc:language>
  <cp:lastModifiedBy/>
  <dcterms:modified xsi:type="dcterms:W3CDTF">2026-05-10T23:25:26Z</dcterms:modified>
  <cp:revision>245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