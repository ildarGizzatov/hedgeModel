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comments/comment8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ListOption" sheetId="1" state="visible" r:id="rId1"/>
    <sheet name="OptionBoard" sheetId="2" state="visible" r:id="rId2"/>
    <sheet name="Actives" sheetId="3" state="visible" r:id="rId3"/>
    <sheet name="Hedge_Total" sheetId="4" state="visible" r:id="rId4"/>
    <sheet name="Portfolio" sheetId="5" state="visible" r:id="rId5"/>
    <sheet name="Hedge_Far" sheetId="6" state="visible" r:id="rId6"/>
    <sheet name="Far_laeyr" sheetId="7" state="visible" r:id="rId7"/>
    <sheet name="Hedge_MID" sheetId="8" state="visible" r:id="rId8"/>
    <sheet name="MID_laeyr" sheetId="9" state="visible" r:id="rId9"/>
    <sheet name="Hedge_Midle(Test)" sheetId="10" state="visible" r:id="rId10"/>
    <sheet name="Mid_laeyr(test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"/>
    <numFmt numFmtId="165" formatCode="[$$-409]#,##0.00;[RED]\-[$$-409]#,##0.00"/>
    <numFmt numFmtId="166" formatCode="0.0000"/>
    <numFmt numFmtId="167" formatCode="#,##0.00\ [$₽-419];[RED]\-#,##0.00\ [$₽-419]"/>
    <numFmt numFmtId="168" formatCode="0.000"/>
    <numFmt numFmtId="169" formatCode="#,##0.00;[RED]\-#,##0.00"/>
    <numFmt numFmtId="170" formatCode="0.00%;[RED]\-0.00%"/>
  </numFmts>
  <fonts count="14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mbria"/>
      <family val="0"/>
      <b val="1"/>
      <color theme="1"/>
      <sz val="11"/>
    </font>
    <font>
      <name val="Calibri"/>
      <family val="2"/>
      <color theme="1"/>
      <sz val="6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theme="1"/>
      <sz val="9"/>
    </font>
    <font>
      <name val="Arial"/>
      <family val="2"/>
      <color rgb="FF000000"/>
      <sz val="10"/>
    </font>
    <font>
      <name val="Calibri"/>
      <family val="2"/>
      <b val="1"/>
      <color theme="1"/>
      <sz val="7"/>
    </font>
  </fonts>
  <fills count="12">
    <fill>
      <patternFill/>
    </fill>
    <fill>
      <patternFill patternType="gray125"/>
    </fill>
    <fill>
      <patternFill patternType="solid">
        <fgColor rgb="FFD4EA6B"/>
        <bgColor rgb="FFBBE33D"/>
      </patternFill>
    </fill>
    <fill>
      <patternFill patternType="solid">
        <fgColor rgb="FFFFFF38"/>
        <bgColor rgb="FFFFFF00"/>
      </patternFill>
    </fill>
    <fill>
      <patternFill patternType="solid">
        <fgColor rgb="FFE6E905"/>
        <bgColor rgb="FFFFFF00"/>
      </patternFill>
    </fill>
    <fill>
      <patternFill patternType="solid">
        <fgColor rgb="FFBBE33D"/>
        <bgColor rgb="FFD4EA6B"/>
      </patternFill>
    </fill>
    <fill>
      <patternFill patternType="solid">
        <fgColor rgb="FFFFBF00"/>
        <bgColor rgb="FFFFD320"/>
      </patternFill>
    </fill>
    <fill>
      <patternFill patternType="solid">
        <fgColor rgb="FFFFE994"/>
        <bgColor rgb="FFE8F2A1"/>
      </patternFill>
    </fill>
    <fill>
      <patternFill patternType="solid">
        <fgColor rgb="FFDEE6EF"/>
        <bgColor rgb="FFCCFFFF"/>
      </patternFill>
    </fill>
    <fill>
      <patternFill patternType="solid">
        <fgColor rgb="FFE8F2A1"/>
        <bgColor rgb="FFFFE994"/>
      </patternFill>
    </fill>
    <fill>
      <patternFill patternType="solid">
        <fgColor rgb="FFFFFF00"/>
        <bgColor rgb="FFFFFF38"/>
      </patternFill>
    </fill>
    <fill>
      <patternFill patternType="solid">
        <fgColor rgb="FFFFD8CE"/>
        <bgColor rgb="FFFFE99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1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top"/>
    </xf>
    <xf numFmtId="2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top"/>
    </xf>
    <xf numFmtId="166" fontId="0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center" vertical="top"/>
    </xf>
    <xf numFmtId="167" fontId="7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1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165" fontId="6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165" fontId="0" fillId="4" borderId="1" applyAlignment="1" pivotButton="0" quotePrefix="0" xfId="0">
      <alignment horizontal="center" vertical="bottom"/>
    </xf>
    <xf numFmtId="169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5" fontId="5" fillId="5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5" fontId="5" fillId="6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165" fontId="0" fillId="7" borderId="1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0" fontId="0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center" vertical="bottom"/>
    </xf>
    <xf numFmtId="165" fontId="0" fillId="8" borderId="1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bottom"/>
    </xf>
    <xf numFmtId="165" fontId="10" fillId="9" borderId="1" applyAlignment="1" pivotButton="0" quotePrefix="0" xfId="0">
      <alignment horizontal="center" vertical="bottom"/>
    </xf>
    <xf numFmtId="2" fontId="0" fillId="0" borderId="1" applyAlignment="1" pivotButton="0" quotePrefix="0" xfId="0">
      <alignment horizontal="center" vertical="bottom"/>
    </xf>
    <xf numFmtId="170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right" vertical="bottom"/>
    </xf>
    <xf numFmtId="0" fontId="0" fillId="6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bottom"/>
    </xf>
    <xf numFmtId="1" fontId="0" fillId="0" borderId="1" applyAlignment="1" pivotButton="0" quotePrefix="0" xfId="0">
      <alignment horizontal="center" vertical="bottom"/>
    </xf>
    <xf numFmtId="168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top"/>
    </xf>
    <xf numFmtId="166" fontId="0" fillId="0" borderId="1" applyAlignment="1" pivotButton="0" quotePrefix="0" xfId="0">
      <alignment horizontal="general" vertical="bottom"/>
    </xf>
    <xf numFmtId="2" fontId="0" fillId="6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center" vertical="bottom"/>
    </xf>
    <xf numFmtId="2" fontId="0" fillId="2" borderId="1" applyAlignment="1" pivotButton="0" quotePrefix="0" xfId="0">
      <alignment horizontal="center" vertical="bottom"/>
    </xf>
    <xf numFmtId="165" fontId="0" fillId="2" borderId="1" applyAlignment="1" pivotButton="0" quotePrefix="0" xfId="0">
      <alignment horizontal="center" vertical="bottom"/>
    </xf>
    <xf numFmtId="10" fontId="0" fillId="2" borderId="1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0" fontId="0" fillId="9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general" vertical="bottom"/>
    </xf>
    <xf numFmtId="165" fontId="0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9" borderId="1" applyAlignment="1" pivotButton="0" quotePrefix="0" xfId="0">
      <alignment horizontal="general" vertical="bottom"/>
    </xf>
    <xf numFmtId="1" fontId="0" fillId="2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10" fontId="0" fillId="5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center" vertical="bottom"/>
    </xf>
    <xf numFmtId="165" fontId="0" fillId="11" borderId="1" applyAlignment="1" pivotButton="0" quotePrefix="0" xfId="0">
      <alignment horizontal="center" vertical="bottom"/>
    </xf>
    <xf numFmtId="10" fontId="0" fillId="11" borderId="1" applyAlignment="1" pivotButton="0" quotePrefix="0" xfId="0">
      <alignment horizontal="center" vertical="bottom"/>
    </xf>
    <xf numFmtId="2" fontId="0" fillId="9" borderId="1" applyAlignment="1" pivotButton="0" quotePrefix="0" xfId="0">
      <alignment horizontal="center" vertical="bottom"/>
    </xf>
    <xf numFmtId="10" fontId="0" fillId="9" borderId="1" applyAlignment="1" pivotButton="0" quotePrefix="0" xfId="0">
      <alignment horizontal="center" vertical="bottom"/>
    </xf>
    <xf numFmtId="165" fontId="0" fillId="9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bottom"/>
    </xf>
    <xf numFmtId="165" fontId="0" fillId="10" borderId="1" applyAlignment="1" pivotButton="0" quotePrefix="0" xfId="0">
      <alignment horizontal="center" vertical="bottom"/>
    </xf>
    <xf numFmtId="10" fontId="0" fillId="10" borderId="1" applyAlignment="1" pivotButton="0" quotePrefix="0" xfId="0">
      <alignment horizontal="center" vertical="bottom"/>
    </xf>
    <xf numFmtId="1" fontId="0" fillId="11" borderId="1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1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top"/>
    </xf>
    <xf numFmtId="2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top"/>
    </xf>
    <xf numFmtId="166" fontId="0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center" vertical="top"/>
    </xf>
    <xf numFmtId="167" fontId="7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10" fontId="0" fillId="0" borderId="1" applyAlignment="1" pivotButton="0" quotePrefix="0" xfId="0">
      <alignment horizontal="center" vertical="bottom"/>
    </xf>
    <xf numFmtId="168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165" fontId="6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165" fontId="0" fillId="4" borderId="1" applyAlignment="1" pivotButton="0" quotePrefix="0" xfId="0">
      <alignment horizontal="center" vertical="bottom"/>
    </xf>
    <xf numFmtId="169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5" fontId="5" fillId="5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5" fontId="5" fillId="6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165" fontId="0" fillId="7" borderId="1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0" fontId="0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center" vertical="bottom"/>
    </xf>
    <xf numFmtId="165" fontId="0" fillId="8" borderId="1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bottom"/>
    </xf>
    <xf numFmtId="165" fontId="10" fillId="9" borderId="1" applyAlignment="1" pivotButton="0" quotePrefix="0" xfId="0">
      <alignment horizontal="center" vertical="bottom"/>
    </xf>
    <xf numFmtId="2" fontId="0" fillId="0" borderId="1" applyAlignment="1" pivotButton="0" quotePrefix="0" xfId="0">
      <alignment horizontal="center" vertical="bottom"/>
    </xf>
    <xf numFmtId="170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right" vertical="bottom"/>
    </xf>
    <xf numFmtId="0" fontId="0" fillId="6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center" vertical="bottom"/>
    </xf>
    <xf numFmtId="168" fontId="0" fillId="0" borderId="1" applyAlignment="1" pivotButton="0" quotePrefix="0" xfId="0">
      <alignment horizontal="center" vertical="bottom"/>
    </xf>
    <xf numFmtId="1" fontId="0" fillId="0" borderId="1" applyAlignment="1" pivotButton="0" quotePrefix="0" xfId="0">
      <alignment horizontal="center" vertical="bottom"/>
    </xf>
    <xf numFmtId="168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top"/>
    </xf>
    <xf numFmtId="166" fontId="0" fillId="0" borderId="1" applyAlignment="1" pivotButton="0" quotePrefix="0" xfId="0">
      <alignment horizontal="general" vertical="bottom"/>
    </xf>
    <xf numFmtId="2" fontId="0" fillId="6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center" vertical="bottom"/>
    </xf>
    <xf numFmtId="2" fontId="0" fillId="2" borderId="1" applyAlignment="1" pivotButton="0" quotePrefix="0" xfId="0">
      <alignment horizontal="center" vertical="bottom"/>
    </xf>
    <xf numFmtId="165" fontId="0" fillId="2" borderId="1" applyAlignment="1" pivotButton="0" quotePrefix="0" xfId="0">
      <alignment horizontal="center" vertical="bottom"/>
    </xf>
    <xf numFmtId="10" fontId="0" fillId="2" borderId="1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0" fontId="0" fillId="9" borderId="1" applyAlignment="1" pivotButton="0" quotePrefix="0" xfId="0">
      <alignment horizontal="center" vertical="bottom"/>
    </xf>
    <xf numFmtId="2" fontId="0" fillId="0" borderId="1" applyAlignment="1" pivotButton="0" quotePrefix="0" xfId="0">
      <alignment horizontal="general" vertical="bottom"/>
    </xf>
    <xf numFmtId="165" fontId="0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9" borderId="1" applyAlignment="1" pivotButton="0" quotePrefix="0" xfId="0">
      <alignment horizontal="general" vertical="bottom"/>
    </xf>
    <xf numFmtId="1" fontId="0" fillId="2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10" fontId="0" fillId="5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center" vertical="bottom"/>
    </xf>
    <xf numFmtId="165" fontId="0" fillId="11" borderId="1" applyAlignment="1" pivotButton="0" quotePrefix="0" xfId="0">
      <alignment horizontal="center" vertical="bottom"/>
    </xf>
    <xf numFmtId="10" fontId="0" fillId="11" borderId="1" applyAlignment="1" pivotButton="0" quotePrefix="0" xfId="0">
      <alignment horizontal="center" vertical="bottom"/>
    </xf>
    <xf numFmtId="2" fontId="0" fillId="9" borderId="1" applyAlignment="1" pivotButton="0" quotePrefix="0" xfId="0">
      <alignment horizontal="center" vertical="bottom"/>
    </xf>
    <xf numFmtId="10" fontId="0" fillId="9" borderId="1" applyAlignment="1" pivotButton="0" quotePrefix="0" xfId="0">
      <alignment horizontal="center" vertical="bottom"/>
    </xf>
    <xf numFmtId="165" fontId="0" fillId="9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bottom"/>
    </xf>
    <xf numFmtId="165" fontId="0" fillId="10" borderId="1" applyAlignment="1" pivotButton="0" quotePrefix="0" xfId="0">
      <alignment horizontal="center" vertical="bottom"/>
    </xf>
    <xf numFmtId="10" fontId="0" fillId="10" borderId="1" applyAlignment="1" pivotButton="0" quotePrefix="0" xfId="0">
      <alignment horizontal="center" vertical="bottom"/>
    </xf>
    <xf numFmtId="1" fontId="0" fillId="11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6E90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E994"/>
      <rgbColor rgb="FFDEE6EF"/>
      <rgbColor rgb="FF660066"/>
      <rgbColor rgb="FFFF8080"/>
      <rgbColor rgb="FF0066CC"/>
      <rgbColor rgb="FFCCCCFF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D8CE"/>
      <rgbColor rgb="FF3366FF"/>
      <rgbColor rgb="FF33CCCC"/>
      <rgbColor rgb="FFBBE33D"/>
      <rgbColor rgb="FFFFBF00"/>
      <rgbColor rgb="FFFFD320"/>
      <rgbColor rgb="FFFF6600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54870148483632"/>
          <y val="0.129839553540286"/>
          <w val="0.75875709453649"/>
          <h val="0.814352982211371"/>
        </manualLayout>
      </layout>
      <barChart>
        <barDir val="col"/>
        <grouping val="clustered"/>
        <varyColors val="0"/>
        <ser>
          <idx val="0"/>
          <order val="0"/>
          <tx>
            <strRef>
              <f>Portfolio!$M$27</f>
              <strCache>
                <ptCount val="1"/>
                <pt idx="0">
                  <v>Int %loss</v>
                </pt>
              </strCache>
            </strRef>
          </tx>
          <spPr>
            <a:solidFill>
              <a:srgbClr val="004586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Portfolio!$B$28:$B$54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Portfolio!$M$28:$M$54</f>
              <numCache>
                <formatCode>0.00%;[RED]\-0.00%</formatCode>
                <ptCount val="27"/>
              </numCache>
            </numRef>
          </val>
        </ser>
        <ser>
          <idx val="1"/>
          <order val="1"/>
          <tx>
            <strRef>
              <f>Portfolio!$F$27</f>
              <strCache>
                <ptCount val="1"/>
                <pt idx="0">
                  <v>%loss</v>
                </pt>
              </strCache>
            </strRef>
          </tx>
          <spPr>
            <a:solidFill>
              <a:srgbClr val="579d1c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Portfolio!$B$28:$B$54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Portfolio!$F$28:$F$54</f>
              <numCache>
                <formatCode>0.00%;[RED]\-0.00%</formatCode>
                <ptCount val="27"/>
                <pt idx="0">
                  <v>-0.000316870555917234</v>
                </pt>
                <pt idx="1">
                  <v>-0.0123612456094604</v>
                </pt>
                <pt idx="2">
                  <v>-0.0244056206630035</v>
                </pt>
                <pt idx="3">
                  <v>-0.0364499957165466</v>
                </pt>
                <pt idx="4">
                  <v>-0.0484943707700898</v>
                </pt>
                <pt idx="5">
                  <v>-0.060538745823633</v>
                </pt>
                <pt idx="6">
                  <v>-0.07258312087717619</v>
                </pt>
                <pt idx="7">
                  <v>-0.0846274959307193</v>
                </pt>
                <pt idx="8">
                  <v>-0.0966718709842624</v>
                </pt>
                <pt idx="9">
                  <v>-0.108716246037806</v>
                </pt>
                <pt idx="10">
                  <v>-0.120760621091349</v>
                </pt>
                <pt idx="11">
                  <v>-0.132804996144892</v>
                </pt>
                <pt idx="12">
                  <v>-0.144849371198435</v>
                </pt>
                <pt idx="13">
                  <v>-0.156893746251978</v>
                </pt>
                <pt idx="14">
                  <v>-0.168938121305522</v>
                </pt>
                <pt idx="15">
                  <v>-0.180982496359065</v>
                </pt>
                <pt idx="16">
                  <v>-0.193026871412608</v>
                </pt>
                <pt idx="17">
                  <v>-0.205071246466151</v>
                </pt>
                <pt idx="18">
                  <v>-0.217115621519694</v>
                </pt>
                <pt idx="19">
                  <v>-0.229159996573237</v>
                </pt>
                <pt idx="20">
                  <v>-0.24120437162678</v>
                </pt>
                <pt idx="21">
                  <v>-0.253248746680324</v>
                </pt>
                <pt idx="22">
                  <v>-0.265293121733867</v>
                </pt>
                <pt idx="23">
                  <v>-0.27733749678741</v>
                </pt>
                <pt idx="24">
                  <v>-0.289381871840953</v>
                </pt>
                <pt idx="25">
                  <v>-0.301426246894496</v>
                </pt>
                <pt idx="26">
                  <v>-0.31347062194804</v>
                </pt>
              </numCache>
            </numRef>
          </val>
        </ser>
        <ser>
          <idx val="2"/>
          <order val="2"/>
          <tx>
            <strRef>
              <f>Portfolio!$L$27</f>
              <strCache>
                <ptCount val="1"/>
                <pt idx="0">
                  <v>Pnl %loss</v>
                </pt>
              </strCache>
            </strRef>
          </tx>
          <spPr>
            <a:solidFill>
              <a:srgbClr val="ffd320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Portfolio!$B$28:$B$54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Portfolio!$L$28:$L$54</f>
              <numCache>
                <formatCode>0.00%;[RED]\-0.00%</formatCode>
                <ptCount val="27"/>
              </numCache>
            </numRef>
          </val>
        </ser>
        <ser>
          <idx val="3"/>
          <order val="3"/>
          <spPr>
            <a:solidFill>
              <a:srgbClr val="ff420e"/>
            </a:solidFill>
            <a:ln w="0">
              <a:noFill/>
              <a:prstDash val="solid"/>
            </a:ln>
          </spPr>
          <invertIfNegative val="0"/>
          <cat>
            <strRef>
              <f>Portfolio!$B$28:$B$54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</ser>
        <gapWidth val="100"/>
        <overlap val="0"/>
        <axId val="93002218"/>
        <axId val="15781147"/>
      </barChart>
      <catAx>
        <axId val="93002218"/>
        <scaling>
          <orientation val="maxMin"/>
        </scaling>
        <delete val="0"/>
        <axPos val="b"/>
        <numFmt formatCode="[$$-409]#,##0.00;[RED]\-[$$-409]#,##0.00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15781147"/>
        <crosses val="max"/>
        <auto val="1"/>
        <lblAlgn val="ctr"/>
        <lblOffset val="100"/>
        <noMultiLvlLbl val="0"/>
      </catAx>
      <valAx>
        <axId val="15781147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0.00%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93002218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100408514298001"/>
          <y val="0.0599512025095852"/>
          <w val="0.755912706944743"/>
          <h val="0.788776577204601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rgbClr val="004586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Portfolio!$B$28:$B$54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Portfolio!$P$28:$P$54</f>
              <numCache>
                <formatCode>#,##0.00\ [$₽-419];[RED]\-#,##0.00\ [$₽-419]</formatCode>
                <ptCount val="27"/>
              </numCache>
            </numRef>
          </val>
        </ser>
        <gapWidth val="100"/>
        <overlap val="0"/>
        <axId val="1072864"/>
        <axId val="65751725"/>
      </barChart>
      <catAx>
        <axId val="1072864"/>
        <scaling>
          <orientation val="minMax"/>
        </scaling>
        <delete val="0"/>
        <axPos val="b"/>
        <numFmt formatCode="[$$-409]#,##0.00;[RED]\-[$$-409]#,##0.00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65751725"/>
        <crosses val="autoZero"/>
        <auto val="1"/>
        <lblAlgn val="ctr"/>
        <lblOffset val="100"/>
        <noMultiLvlLbl val="0"/>
      </catAx>
      <valAx>
        <axId val="65751725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107286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55016162876425"/>
          <y val="0.12993989001151"/>
          <w val="0.758634378721715"/>
          <h val="0.81212431257194"/>
        </manualLayout>
      </layout>
      <barChart>
        <barDir val="col"/>
        <grouping val="clustered"/>
        <varyColors val="0"/>
        <ser>
          <idx val="0"/>
          <order val="0"/>
          <tx>
            <strRef>
              <f>Far_laeyr!$R$72</f>
              <strCache>
                <ptCount val="1"/>
                <pt idx="0">
                  <v>Int %loss</v>
                </pt>
              </strCache>
            </strRef>
          </tx>
          <spPr>
            <a:solidFill>
              <a:srgbClr val="004586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Far_laeyr!$B$73:$B$99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Far_laeyr!$R$73:$R$99</f>
              <numCache>
                <formatCode>0.00%;[RED]\-0.00%</formatCode>
                <ptCount val="27"/>
                <pt idx="0">
                  <v>-0.0128587609899967</v>
                </pt>
                <pt idx="1">
                  <v>-0.0249031360435398</v>
                </pt>
                <pt idx="2">
                  <v>-0.0369475110970829</v>
                </pt>
                <pt idx="3">
                  <v>-0.0489918861506261</v>
                </pt>
                <pt idx="4">
                  <v>-0.0610362612041692</v>
                </pt>
                <pt idx="5">
                  <v>-0.07308063625771249</v>
                </pt>
                <pt idx="6">
                  <v>-0.08512501131125561</v>
                </pt>
                <pt idx="7">
                  <v>-0.0971693863647987</v>
                </pt>
                <pt idx="8">
                  <v>-0.109213761418342</v>
                </pt>
                <pt idx="9">
                  <v>-0.121258136471885</v>
                </pt>
                <pt idx="10">
                  <v>-0.133302511525428</v>
                </pt>
                <pt idx="11">
                  <v>-0.145346886578971</v>
                </pt>
                <pt idx="12">
                  <v>-0.157391261632515</v>
                </pt>
                <pt idx="13">
                  <v>-0.169435636686058</v>
                </pt>
                <pt idx="14">
                  <v>-0.171691219205685</v>
                </pt>
                <pt idx="15">
                  <v>-0.173946801725313</v>
                </pt>
                <pt idx="16">
                  <v>-0.17620238424494</v>
                </pt>
                <pt idx="17">
                  <v>-0.178457966764568</v>
                </pt>
                <pt idx="18">
                  <v>-0.180713549284195</v>
                </pt>
                <pt idx="19">
                  <v>-0.182969131803823</v>
                </pt>
                <pt idx="20">
                  <v>-0.18522471432345</v>
                </pt>
                <pt idx="21">
                  <v>-0.187480296843078</v>
                </pt>
                <pt idx="22">
                  <v>-0.189735879362705</v>
                </pt>
                <pt idx="23">
                  <v>-0.191991461882333</v>
                </pt>
                <pt idx="24">
                  <v>-0.188129049068263</v>
                </pt>
                <pt idx="25">
                  <v>-0.184266636254193</v>
                </pt>
                <pt idx="26">
                  <v>-0.180404223440124</v>
                </pt>
              </numCache>
            </numRef>
          </val>
        </ser>
        <ser>
          <idx val="1"/>
          <order val="1"/>
          <tx>
            <strRef>
              <f>Far_laeyr!$F$72</f>
              <strCache>
                <ptCount val="1"/>
                <pt idx="0">
                  <v>%loss</v>
                </pt>
              </strCache>
            </strRef>
          </tx>
          <spPr>
            <a:solidFill>
              <a:srgbClr val="579d1c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Far_laeyr!$B$73:$B$99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Far_laeyr!$F$73:$F$99</f>
              <numCache>
                <formatCode>0.00%;[RED]\-0.00%</formatCode>
                <ptCount val="27"/>
                <pt idx="0">
                  <v>-0.000316870555917234</v>
                </pt>
                <pt idx="1">
                  <v>-0.0123612456094604</v>
                </pt>
                <pt idx="2">
                  <v>-0.0244056206630035</v>
                </pt>
                <pt idx="3">
                  <v>-0.0364499957165466</v>
                </pt>
                <pt idx="4">
                  <v>-0.0484943707700898</v>
                </pt>
                <pt idx="5">
                  <v>-0.060538745823633</v>
                </pt>
                <pt idx="6">
                  <v>-0.07258312087717619</v>
                </pt>
                <pt idx="7">
                  <v>-0.0846274959307193</v>
                </pt>
                <pt idx="8">
                  <v>-0.0966718709842624</v>
                </pt>
                <pt idx="9">
                  <v>-0.108716246037806</v>
                </pt>
                <pt idx="10">
                  <v>-0.120760621091349</v>
                </pt>
                <pt idx="11">
                  <v>-0.132804996144892</v>
                </pt>
                <pt idx="12">
                  <v>-0.144849371198435</v>
                </pt>
                <pt idx="13">
                  <v>-0.156893746251978</v>
                </pt>
                <pt idx="14">
                  <v>-0.168938121305522</v>
                </pt>
                <pt idx="15">
                  <v>-0.180982496359065</v>
                </pt>
                <pt idx="16">
                  <v>-0.193026871412608</v>
                </pt>
                <pt idx="17">
                  <v>-0.205071246466151</v>
                </pt>
                <pt idx="18">
                  <v>-0.217115621519694</v>
                </pt>
                <pt idx="19">
                  <v>-0.229159996573237</v>
                </pt>
                <pt idx="20">
                  <v>-0.24120437162678</v>
                </pt>
                <pt idx="21">
                  <v>-0.253248746680324</v>
                </pt>
                <pt idx="22">
                  <v>-0.265293121733867</v>
                </pt>
                <pt idx="23">
                  <v>-0.27733749678741</v>
                </pt>
                <pt idx="24">
                  <v>-0.289381871840953</v>
                </pt>
                <pt idx="25">
                  <v>-0.301426246894496</v>
                </pt>
                <pt idx="26">
                  <v>-0.31347062194804</v>
                </pt>
              </numCache>
            </numRef>
          </val>
        </ser>
        <ser>
          <idx val="2"/>
          <order val="2"/>
          <tx>
            <strRef>
              <f>Far_laeyr!$Q$72</f>
              <strCache>
                <ptCount val="1"/>
                <pt idx="0">
                  <v>Pnl %loss</v>
                </pt>
              </strCache>
            </strRef>
          </tx>
          <spPr>
            <a:solidFill>
              <a:srgbClr val="ffd320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Far_laeyr!$B$73:$B$99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Far_laeyr!$Q$73:$Q$99</f>
              <numCache>
                <formatCode>0.00%;[RED]\-0.00%</formatCode>
                <ptCount val="27"/>
                <pt idx="0">
                  <v>-0.007836441344424889</v>
                </pt>
                <pt idx="1">
                  <v>-0.0188472082904008</v>
                </pt>
                <pt idx="2">
                  <v>-0.0296739651901265</v>
                </pt>
                <pt idx="3">
                  <v>-0.0402909333295815</v>
                </pt>
                <pt idx="4">
                  <v>-0.0506702930276497</v>
                </pt>
                <pt idx="5">
                  <v>-0.0607823599588443</v>
                </pt>
                <pt idx="6">
                  <v>-0.0705958447438106</v>
                </pt>
                <pt idx="7">
                  <v>-0.08007820097565529</v>
                </pt>
                <pt idx="8">
                  <v>-0.08919606330608219</v>
                </pt>
                <pt idx="9">
                  <v>-0.097915772793674</v>
                </pt>
                <pt idx="10">
                  <v>-0.106203981560367</v>
                </pt>
                <pt idx="11">
                  <v>-0.114028323160992</v>
                </pt>
                <pt idx="12">
                  <v>-0.121358129303934</v>
                </pt>
                <pt idx="13">
                  <v>-0.128165168126714</v>
                </pt>
                <pt idx="14">
                  <v>-0.134424374659421</v>
                </pt>
                <pt idx="15">
                  <v>-0.140114540960512</v>
                </pt>
                <pt idx="16">
                  <v>-0.145218932211311</v>
                </pt>
                <pt idx="17">
                  <v>-0.149725796230831</v>
                </pt>
                <pt idx="18">
                  <v>-0.153628737663985</v>
                </pt>
                <pt idx="19">
                  <v>-0.156926934495248</v>
                </pt>
                <pt idx="20">
                  <v>-0.159625183236324</v>
                </pt>
                <pt idx="21">
                  <v>-0.161733769502903</v>
                </pt>
                <pt idx="22">
                  <v>-0.163268171816081</v>
                </pt>
                <pt idx="23">
                  <v>-0.164248617215691</v>
                </pt>
                <pt idx="24">
                  <v>-0.164699516457932</v>
                </pt>
                <pt idx="25">
                  <v>-0.164648813084983</v>
                </pt>
                <pt idx="26">
                  <v>-0.164127283675461</v>
                </pt>
              </numCache>
            </numRef>
          </val>
        </ser>
        <ser>
          <idx val="3"/>
          <order val="3"/>
          <spPr>
            <a:solidFill>
              <a:srgbClr val="ff420e"/>
            </a:solidFill>
            <a:ln w="0">
              <a:noFill/>
              <a:prstDash val="solid"/>
            </a:ln>
          </spPr>
          <invertIfNegative val="0"/>
          <cat>
            <strRef>
              <f>Far_laeyr!$B$73:$B$99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</ser>
        <gapWidth val="100"/>
        <overlap val="0"/>
        <axId val="67482612"/>
        <axId val="33959872"/>
      </barChart>
      <catAx>
        <axId val="67482612"/>
        <scaling>
          <orientation val="maxMin"/>
        </scaling>
        <delete val="0"/>
        <axPos val="b"/>
        <numFmt formatCode="[$$-409]#,##0.00;[RED]\-[$$-409]#,##0.00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33959872"/>
        <crosses val="max"/>
        <auto val="1"/>
        <lblAlgn val="ctr"/>
        <lblOffset val="100"/>
        <noMultiLvlLbl val="0"/>
      </catAx>
      <valAx>
        <axId val="33959872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0.00%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67482612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09516452958443"/>
          <y val="0.0599596425482848"/>
          <w val="0.756642978526186"/>
          <h val="0.788027289324493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rgbClr val="004586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Far_laeyr!$B$73:$B$99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Far_laeyr!$U$73:$U$99</f>
              <numCache>
                <formatCode>#,##0.00\ [$₽-419];[RED]\-#,##0.00\ [$₽-419]</formatCode>
                <ptCount val="27"/>
                <pt idx="1">
                  <v>0.150384264954178</v>
                </pt>
                <pt idx="2">
                  <v>0.171452206832512</v>
                </pt>
                <pt idx="3">
                  <v>0.194188151859258</v>
                </pt>
                <pt idx="4">
                  <v>0.218447998318614</v>
                </pt>
                <pt idx="5">
                  <v>0.244019592973169</v>
                </pt>
                <pt idx="6">
                  <v>0.270618507420018</v>
                </pt>
                <pt idx="7">
                  <v>0.297886710872579</v>
                </pt>
                <pt idx="8">
                  <v>0.325394856581804</v>
                </pt>
                <pt idx="9">
                  <v>0.352648782291809</v>
                </pt>
                <pt idx="10">
                  <v>0.379100621009069</v>
                </pt>
                <pt idx="11">
                  <v>0.404164624775202</v>
                </pt>
                <pt idx="12">
                  <v>0.427237429621577</v>
                </pt>
                <pt idx="13">
                  <v>0.447722056158167</v>
                </pt>
                <pt idx="14">
                  <v>0.465054483191238</v>
                </pt>
                <pt idx="15">
                  <v>0.478731200614547</v>
                </pt>
                <pt idx="16">
                  <v>0.488335801753152</v>
                </pt>
                <pt idx="17">
                  <v>0.493562477106437</v>
                </pt>
                <pt idx="18">
                  <v>0.494234278473385</v>
                </pt>
                <pt idx="19">
                  <v>0.490314275726178</v>
                </pt>
                <pt idx="20">
                  <v>0.481908241453382</v>
                </pt>
                <pt idx="21">
                  <v>0.469258247255624</v>
                </pt>
                <pt idx="22">
                  <v>0.452727473095763</v>
                </pt>
                <pt idx="23">
                  <v>0.432777510022447</v>
                </pt>
                <pt idx="24">
                  <v>0.409940338158847</v>
                </pt>
                <pt idx="25">
                  <v>0.384787835633034</v>
                </pt>
              </numCache>
            </numRef>
          </val>
        </ser>
        <gapWidth val="100"/>
        <overlap val="0"/>
        <axId val="74519479"/>
        <axId val="75912110"/>
      </barChart>
      <catAx>
        <axId val="74519479"/>
        <scaling>
          <orientation val="minMax"/>
        </scaling>
        <delete val="0"/>
        <axPos val="b"/>
        <numFmt formatCode="[$$-409]#,##0.00;[RED]\-[$$-409]#,##0.00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75912110"/>
        <crosses val="autoZero"/>
        <auto val="1"/>
        <lblAlgn val="ctr"/>
        <lblOffset val="100"/>
        <noMultiLvlLbl val="0"/>
      </catAx>
      <valAx>
        <axId val="75912110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7451947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55260921298657"/>
          <y val="0.12993989001151"/>
          <w val="0.758626551079381"/>
          <h val="0.81212431257194"/>
        </manualLayout>
      </layout>
      <barChart>
        <barDir val="col"/>
        <grouping val="clustered"/>
        <varyColors val="0"/>
        <ser>
          <idx val="0"/>
          <order val="0"/>
          <tx>
            <strRef>
              <f>MID_laeyr!$R$75</f>
              <strCache>
                <ptCount val="1"/>
                <pt idx="0">
                  <v>Int %loss</v>
                </pt>
              </strCache>
            </strRef>
          </tx>
          <spPr>
            <a:solidFill>
              <a:srgbClr val="004586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MID_laeyr!$B$76:$B$102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MID_laeyr!$R$76:$R$102</f>
              <numCache>
                <formatCode>0.00%;[RED]\-0.00%</formatCode>
                <ptCount val="27"/>
              </numCache>
            </numRef>
          </val>
        </ser>
        <ser>
          <idx val="1"/>
          <order val="1"/>
          <tx>
            <strRef>
              <f>MID_laeyr!$F$75</f>
              <strCache>
                <ptCount val="1"/>
                <pt idx="0">
                  <v>%loss</v>
                </pt>
              </strCache>
            </strRef>
          </tx>
          <spPr>
            <a:solidFill>
              <a:srgbClr val="579d1c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MID_laeyr!$B$76:$B$102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MID_laeyr!$F$76:$F$102</f>
              <numCache>
                <formatCode>0.00%;[RED]\-0.00%</formatCode>
                <ptCount val="27"/>
                <pt idx="0">
                  <v>-0.000316870555917234</v>
                </pt>
                <pt idx="1">
                  <v>-0.0123612456094604</v>
                </pt>
                <pt idx="2">
                  <v>-0.0244056206630035</v>
                </pt>
                <pt idx="3">
                  <v>-0.0364499957165466</v>
                </pt>
                <pt idx="4">
                  <v>-0.0484943707700898</v>
                </pt>
                <pt idx="5">
                  <v>-0.060538745823633</v>
                </pt>
                <pt idx="6">
                  <v>-0.07258312087717619</v>
                </pt>
                <pt idx="7">
                  <v>-0.0846274959307193</v>
                </pt>
                <pt idx="8">
                  <v>-0.0966718709842624</v>
                </pt>
                <pt idx="9">
                  <v>-0.108716246037806</v>
                </pt>
                <pt idx="10">
                  <v>-0.120760621091349</v>
                </pt>
                <pt idx="11">
                  <v>-0.132804996144892</v>
                </pt>
                <pt idx="12">
                  <v>-0.144849371198435</v>
                </pt>
                <pt idx="13">
                  <v>-0.156893746251978</v>
                </pt>
                <pt idx="14">
                  <v>-0.168938121305522</v>
                </pt>
                <pt idx="15">
                  <v>-0.180982496359065</v>
                </pt>
                <pt idx="16">
                  <v>-0.193026871412608</v>
                </pt>
                <pt idx="17">
                  <v>-0.205071246466151</v>
                </pt>
                <pt idx="18">
                  <v>-0.217115621519694</v>
                </pt>
                <pt idx="19">
                  <v>-0.229159996573237</v>
                </pt>
                <pt idx="20">
                  <v>-0.24120437162678</v>
                </pt>
                <pt idx="21">
                  <v>-0.253248746680324</v>
                </pt>
                <pt idx="22">
                  <v>-0.265293121733867</v>
                </pt>
                <pt idx="23">
                  <v>-0.27733749678741</v>
                </pt>
                <pt idx="24">
                  <v>-0.289381871840953</v>
                </pt>
                <pt idx="25">
                  <v>-0.301426246894496</v>
                </pt>
                <pt idx="26">
                  <v>-0.31347062194804</v>
                </pt>
              </numCache>
            </numRef>
          </val>
        </ser>
        <ser>
          <idx val="2"/>
          <order val="2"/>
          <tx>
            <strRef>
              <f>MID_laeyr!$Q$75</f>
              <strCache>
                <ptCount val="1"/>
                <pt idx="0">
                  <v>Pnl %loss</v>
                </pt>
              </strCache>
            </strRef>
          </tx>
          <spPr>
            <a:solidFill>
              <a:srgbClr val="ffd320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MID_laeyr!$B$76:$B$102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MID_laeyr!$Q$76:$Q$102</f>
              <numCache>
                <formatCode>0.00%;[RED]\-0.00%</formatCode>
                <ptCount val="27"/>
              </numCache>
            </numRef>
          </val>
        </ser>
        <ser>
          <idx val="3"/>
          <order val="3"/>
          <spPr>
            <a:solidFill>
              <a:srgbClr val="ff420e"/>
            </a:solidFill>
            <a:ln w="0">
              <a:noFill/>
              <a:prstDash val="solid"/>
            </a:ln>
          </spPr>
          <invertIfNegative val="0"/>
          <cat>
            <strRef>
              <f>MID_laeyr!$B$76:$B$102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</ser>
        <gapWidth val="100"/>
        <overlap val="0"/>
        <axId val="49230514"/>
        <axId val="17712346"/>
      </barChart>
      <catAx>
        <axId val="49230514"/>
        <scaling>
          <orientation val="maxMin"/>
        </scaling>
        <delete val="0"/>
        <axPos val="b"/>
        <numFmt formatCode="[$$-409]#,##0.00;[RED]\-[$$-409]#,##0.00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17712346"/>
        <crosses val="max"/>
        <auto val="1"/>
        <lblAlgn val="ctr"/>
        <lblOffset val="100"/>
        <noMultiLvlLbl val="0"/>
      </catAx>
      <valAx>
        <axId val="17712346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0.00%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49230514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083577939131779"/>
          <y val="0.0599596425482848"/>
          <w val="0.756642978526186"/>
          <h val="0.788027289324493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rgbClr val="004586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MID_laeyr!$B$76:$B$102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MID_laeyr!$U$76:$U$102</f>
              <numCache>
                <formatCode>#,##0.00\ [$₽-419];[RED]\-#,##0.00\ [$₽-419]</formatCode>
                <ptCount val="27"/>
              </numCache>
            </numRef>
          </val>
        </ser>
        <gapWidth val="100"/>
        <overlap val="0"/>
        <axId val="15890025"/>
        <axId val="33465299"/>
      </barChart>
      <catAx>
        <axId val="15890025"/>
        <scaling>
          <orientation val="minMax"/>
        </scaling>
        <delete val="0"/>
        <axPos val="b"/>
        <numFmt formatCode="[$$-409]#,##0.00;[RED]\-[$$-409]#,##0.00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33465299"/>
        <crosses val="autoZero"/>
        <auto val="1"/>
        <lblAlgn val="ctr"/>
        <lblOffset val="100"/>
        <noMultiLvlLbl val="0"/>
      </catAx>
      <valAx>
        <axId val="33465299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15890025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54910842268219"/>
          <y val="0.129890053694707"/>
          <w val="0.758614758328078"/>
          <h val="0.812068524673996"/>
        </manualLayout>
      </layout>
      <barChart>
        <barDir val="col"/>
        <grouping val="clustered"/>
        <varyColors val="0"/>
        <ser>
          <idx val="0"/>
          <order val="0"/>
          <tx>
            <strRef>
              <f>'Mid_laeyr(test)'!$S$77</f>
              <strCache>
                <ptCount val="1"/>
                <pt idx="0">
                  <v>Int %loss</v>
                </pt>
              </strCache>
            </strRef>
          </tx>
          <spPr>
            <a:solidFill>
              <a:srgbClr val="004586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'Mid_laeyr(test)'!$B$78:$B$104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'Mid_laeyr(test)'!$S$78:$S$104</f>
              <numCache>
                <formatCode>0.00%;[RED]\-0.00%</formatCode>
                <ptCount val="27"/>
              </numCache>
            </numRef>
          </val>
        </ser>
        <ser>
          <idx val="1"/>
          <order val="1"/>
          <tx>
            <strRef>
              <f>'Mid_laeyr(test)'!$F$77</f>
              <strCache>
                <ptCount val="1"/>
                <pt idx="0">
                  <v>%loss</v>
                </pt>
              </strCache>
            </strRef>
          </tx>
          <spPr>
            <a:solidFill>
              <a:srgbClr val="579d1c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'Mid_laeyr(test)'!$B$78:$B$104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'Mid_laeyr(test)'!$F$78:$F$104</f>
              <numCache>
                <formatCode>0.00%;[RED]\-0.00%</formatCode>
                <ptCount val="27"/>
                <pt idx="0">
                  <v>-0.000316870555917234</v>
                </pt>
                <pt idx="1">
                  <v>-0.0123612456094604</v>
                </pt>
                <pt idx="2">
                  <v>-0.0244056206630035</v>
                </pt>
                <pt idx="3">
                  <v>-0.0364499957165466</v>
                </pt>
                <pt idx="4">
                  <v>-0.0484943707700898</v>
                </pt>
                <pt idx="5">
                  <v>-0.060538745823633</v>
                </pt>
                <pt idx="6">
                  <v>-0.07258312087717619</v>
                </pt>
                <pt idx="7">
                  <v>-0.0846274959307193</v>
                </pt>
                <pt idx="8">
                  <v>-0.0966718709842624</v>
                </pt>
                <pt idx="9">
                  <v>-0.108716246037806</v>
                </pt>
                <pt idx="10">
                  <v>-0.120760621091349</v>
                </pt>
                <pt idx="11">
                  <v>-0.132804996144892</v>
                </pt>
                <pt idx="12">
                  <v>-0.144849371198435</v>
                </pt>
                <pt idx="13">
                  <v>-0.156893746251978</v>
                </pt>
                <pt idx="14">
                  <v>-0.168938121305522</v>
                </pt>
                <pt idx="15">
                  <v>-0.180982496359065</v>
                </pt>
                <pt idx="16">
                  <v>-0.193026871412608</v>
                </pt>
                <pt idx="17">
                  <v>-0.205071246466151</v>
                </pt>
                <pt idx="18">
                  <v>-0.217115621519694</v>
                </pt>
                <pt idx="19">
                  <v>-0.229159996573237</v>
                </pt>
                <pt idx="20">
                  <v>-0.24120437162678</v>
                </pt>
                <pt idx="21">
                  <v>-0.253248746680324</v>
                </pt>
                <pt idx="22">
                  <v>-0.265293121733867</v>
                </pt>
                <pt idx="23">
                  <v>-0.27733749678741</v>
                </pt>
                <pt idx="24">
                  <v>-0.289381871840953</v>
                </pt>
                <pt idx="25">
                  <v>-0.301426246894496</v>
                </pt>
                <pt idx="26">
                  <v>-0.31347062194804</v>
                </pt>
              </numCache>
            </numRef>
          </val>
        </ser>
        <ser>
          <idx val="2"/>
          <order val="2"/>
          <tx>
            <strRef>
              <f>'Mid_laeyr(test)'!$R$77</f>
              <strCache>
                <ptCount val="1"/>
                <pt idx="0">
                  <v>Pnl %loss</v>
                </pt>
              </strCache>
            </strRef>
          </tx>
          <spPr>
            <a:solidFill>
              <a:srgbClr val="ffd320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'Mid_laeyr(test)'!$B$78:$B$104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'Mid_laeyr(test)'!$R$78:$R$104</f>
              <numCache>
                <formatCode>0.00%;[RED]\-0.00%</formatCode>
                <ptCount val="27"/>
              </numCache>
            </numRef>
          </val>
        </ser>
        <ser>
          <idx val="3"/>
          <order val="3"/>
          <spPr>
            <a:solidFill>
              <a:srgbClr val="ff420e"/>
            </a:solidFill>
            <a:ln w="0">
              <a:noFill/>
              <a:prstDash val="solid"/>
            </a:ln>
          </spPr>
          <invertIfNegative val="0"/>
          <cat>
            <strRef>
              <f>'Mid_laeyr(test)'!$B$78:$B$104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</ser>
        <gapWidth val="100"/>
        <overlap val="0"/>
        <axId val="29291231"/>
        <axId val="82514916"/>
      </barChart>
      <catAx>
        <axId val="29291231"/>
        <scaling>
          <orientation val="maxMin"/>
        </scaling>
        <delete val="0"/>
        <axPos val="b"/>
        <numFmt formatCode="[$$-409]#,##0.00;[RED]\-[$$-409]#,##0.00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82514916"/>
        <crosses val="max"/>
        <auto val="1"/>
        <lblAlgn val="ctr"/>
        <lblOffset val="100"/>
        <noMultiLvlLbl val="0"/>
      </catAx>
      <valAx>
        <axId val="82514916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0.00%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29291231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09469744754216"/>
          <y val="0.0598794373744139"/>
          <w val="0.757032925444683"/>
          <h val="0.78988613529805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rgbClr val="004586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'Mid_laeyr(test)'!$B$78:$B$104</f>
              <strCache>
                <ptCount val="27"/>
                <pt idx="0">
                  <v>$83,00</v>
                </pt>
                <pt idx="1">
                  <v>$82,00</v>
                </pt>
                <pt idx="2">
                  <v>$81,00</v>
                </pt>
                <pt idx="3">
                  <v>$80,00</v>
                </pt>
                <pt idx="4">
                  <v>$79,00</v>
                </pt>
                <pt idx="5">
                  <v>$78,00</v>
                </pt>
                <pt idx="6">
                  <v>$77,00</v>
                </pt>
                <pt idx="7">
                  <v>$76,00</v>
                </pt>
                <pt idx="8">
                  <v>$75,00</v>
                </pt>
                <pt idx="9">
                  <v>$74,00</v>
                </pt>
                <pt idx="10">
                  <v>$73,00</v>
                </pt>
                <pt idx="11">
                  <v>$72,00</v>
                </pt>
                <pt idx="12">
                  <v>$71,00</v>
                </pt>
                <pt idx="13">
                  <v>$70,00</v>
                </pt>
                <pt idx="14">
                  <v>$69,00</v>
                </pt>
                <pt idx="15">
                  <v>$68,00</v>
                </pt>
                <pt idx="16">
                  <v>$67,00</v>
                </pt>
                <pt idx="17">
                  <v>$66,00</v>
                </pt>
                <pt idx="18">
                  <v>$65,00</v>
                </pt>
                <pt idx="19">
                  <v>$64,00</v>
                </pt>
                <pt idx="20">
                  <v>$63,00</v>
                </pt>
                <pt idx="21">
                  <v>$62,00</v>
                </pt>
                <pt idx="22">
                  <v>$61,00</v>
                </pt>
                <pt idx="23">
                  <v>$60,00</v>
                </pt>
                <pt idx="24">
                  <v>$59,00</v>
                </pt>
                <pt idx="25">
                  <v>$58,00</v>
                </pt>
                <pt idx="26">
                  <v>$57,00</v>
                </pt>
              </strCache>
            </strRef>
          </cat>
          <val>
            <numRef>
              <f>'Mid_laeyr(test)'!$V$78:$V$104</f>
              <numCache>
                <formatCode>#,##0.00\ [$₽-419];[RED]\-#,##0.00\ [$₽-419]</formatCode>
                <ptCount val="27"/>
              </numCache>
            </numRef>
          </val>
        </ser>
        <gapWidth val="100"/>
        <overlap val="0"/>
        <axId val="59537350"/>
        <axId val="8488850"/>
      </barChart>
      <catAx>
        <axId val="59537350"/>
        <scaling>
          <orientation val="minMax"/>
        </scaling>
        <delete val="0"/>
        <axPos val="b"/>
        <numFmt formatCode="[$$-409]#,##0.00;[RED]\-[$$-409]#,##0.00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8488850"/>
        <crosses val="autoZero"/>
        <auto val="1"/>
        <lblAlgn val="ctr"/>
        <lblOffset val="100"/>
        <noMultiLvlLbl val="0"/>
      </catAx>
      <valAx>
        <axId val="8488850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</a:p>
        </txPr>
        <crossAx val="5953735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omments/comment1.xml><?xml version="1.0" encoding="utf-8"?>
<comments xmlns="http://schemas.openxmlformats.org/spreadsheetml/2006/main">
  <authors>
    <author>&lt;анонимный&gt;</author>
  </authors>
  <commentList>
    <comment ref="S18" authorId="0" shapeId="0">
      <text>
        <t xml:space="preserve">Интерпретация:
маленькое значение → держать выгодно
большое значение → тета доминирует
</t>
      </text>
    </comment>
  </commentList>
</comments>
</file>

<file path=xl/comments/comment2.xml><?xml version="1.0" encoding="utf-8"?>
<comments xmlns="http://schemas.openxmlformats.org/spreadsheetml/2006/main">
  <authors>
    <author>&lt;анонимный&gt;</author>
  </authors>
  <commentList>
    <comment ref="C27" authorId="0" shapeId="0">
      <text>
        <t>Чем больше тем лучше</t>
      </text>
    </comment>
    <comment ref="D27" authorId="0" shapeId="0">
      <text>
        <t>Чем больше тем лучше</t>
      </text>
    </comment>
  </commentList>
</comments>
</file>

<file path=xl/comments/comment3.xml><?xml version="1.0" encoding="utf-8"?>
<comments xmlns="http://schemas.openxmlformats.org/spreadsheetml/2006/main">
  <authors>
    <author>&lt;анонимный&gt;</author>
  </authors>
  <commentList>
    <comment ref="S14" authorId="0" shapeId="0">
      <text>
        <t xml:space="preserve">Интерпретация:
маленькое значение → держать выгодно
большое значение → тета доминирует
</t>
      </text>
    </comment>
  </commentList>
</comments>
</file>

<file path=xl/comments/comment4.xml><?xml version="1.0" encoding="utf-8"?>
<comments xmlns="http://schemas.openxmlformats.org/spreadsheetml/2006/main">
  <authors>
    <author>&lt;анонимный&gt;</author>
  </authors>
  <commentList>
    <comment ref="C72" authorId="0" shapeId="0">
      <text>
        <t>Чем больше тем лучше</t>
      </text>
    </comment>
    <comment ref="D72" authorId="0" shapeId="0">
      <text>
        <t>Чем больше тем лучше</t>
      </text>
    </comment>
  </commentList>
</comments>
</file>

<file path=xl/comments/comment5.xml><?xml version="1.0" encoding="utf-8"?>
<comments xmlns="http://schemas.openxmlformats.org/spreadsheetml/2006/main">
  <authors>
    <author>&lt;анонимный&gt;</author>
  </authors>
  <commentList>
    <comment ref="S14" authorId="0" shapeId="0">
      <text>
        <t xml:space="preserve">Интерпретация:
маленькое значение → держать выгодно
большое значение → тета доминирует
</t>
      </text>
    </comment>
  </commentList>
</comments>
</file>

<file path=xl/comments/comment6.xml><?xml version="1.0" encoding="utf-8"?>
<comments xmlns="http://schemas.openxmlformats.org/spreadsheetml/2006/main">
  <authors>
    <author>&lt;анонимный&gt;</author>
  </authors>
  <commentList>
    <comment ref="C75" authorId="0" shapeId="0">
      <text>
        <t>Чем больше тем лучше</t>
      </text>
    </comment>
    <comment ref="D75" authorId="0" shapeId="0">
      <text>
        <t>Чем больше тем лучше</t>
      </text>
    </comment>
  </commentList>
</comments>
</file>

<file path=xl/comments/comment7.xml><?xml version="1.0" encoding="utf-8"?>
<comments xmlns="http://schemas.openxmlformats.org/spreadsheetml/2006/main">
  <authors>
    <author>&lt;анонимный&gt;</author>
  </authors>
  <commentList>
    <comment ref="S16" authorId="0" shapeId="0">
      <text>
        <t xml:space="preserve">Интерпретация:
маленькое значение → держать выгодно
большое значение → тета доминирует
</t>
      </text>
    </comment>
  </commentList>
</comments>
</file>

<file path=xl/comments/comment8.xml><?xml version="1.0" encoding="utf-8"?>
<comments xmlns="http://schemas.openxmlformats.org/spreadsheetml/2006/main">
  <authors>
    <author>&lt;анонимный&gt;</author>
  </authors>
  <commentList>
    <comment ref="C77" authorId="0" shapeId="0">
      <text>
        <t>Чем больше тем лучше</t>
      </text>
    </comment>
    <comment ref="D77" authorId="0" shapeId="0">
      <text>
        <t>Чем больше тем лучше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16</col>
      <colOff>158040</colOff>
      <row>0</row>
      <rowOff>81000</rowOff>
    </from>
    <to>
      <col>26</col>
      <colOff>433080</colOff>
      <row>22</row>
      <rowOff>84960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23</col>
      <colOff>464760</colOff>
      <row>0</row>
      <rowOff>48240</rowOff>
    </from>
    <to>
      <col>34</col>
      <colOff>427320</colOff>
      <row>22</row>
      <rowOff>55080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24</col>
      <colOff>364320</colOff>
      <row>40</row>
      <rowOff>120960</rowOff>
    </from>
    <to>
      <col>35</col>
      <colOff>174960</colOff>
      <row>54</row>
      <rowOff>1800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21</col>
      <colOff>0</colOff>
      <row>19</row>
      <rowOff>11160</rowOff>
    </from>
    <to>
      <col>36</col>
      <colOff>152640</colOff>
      <row>37</row>
      <rowOff>42480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20</col>
      <colOff>522360</colOff>
      <row>0</row>
      <rowOff>73440</rowOff>
    </from>
    <to>
      <col>30</col>
      <colOff>229680</colOff>
      <row>17</row>
      <rowOff>39960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20</col>
      <colOff>519840</colOff>
      <row>22</row>
      <rowOff>11160</rowOff>
    </from>
    <to>
      <col>35</col>
      <colOff>252720</colOff>
      <row>40</row>
      <rowOff>42480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20</col>
      <colOff>458280</colOff>
      <row>0</row>
      <rowOff>120600</rowOff>
    </from>
    <to>
      <col>27</col>
      <colOff>735120</colOff>
      <row>16</row>
      <rowOff>145440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19</col>
      <colOff>304200</colOff>
      <row>21</row>
      <rowOff>171720</rowOff>
    </from>
    <to>
      <col>29</col>
      <colOff>375840</colOff>
      <row>47</row>
      <rowOff>97920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2.8" zeroHeight="0" outlineLevelRow="0"/>
  <sheetData>
    <row r="1" ht="13.8" customHeight="1" s="116">
      <c r="A1" s="117" t="inlineStr">
        <is>
          <t>symbol</t>
        </is>
      </c>
      <c r="B1" s="117" t="inlineStr">
        <is>
          <t>last_price</t>
        </is>
      </c>
      <c r="C1" s="117" t="inlineStr">
        <is>
          <t>bid_price</t>
        </is>
      </c>
      <c r="D1" s="117" t="inlineStr">
        <is>
          <t>ask_price</t>
        </is>
      </c>
      <c r="E1" s="117" t="inlineStr">
        <is>
          <t>mark_price_live</t>
        </is>
      </c>
    </row>
    <row r="2" ht="13.8" customHeight="1" s="116">
      <c r="A2" s="117" t="inlineStr">
        <is>
          <t>SOL-26JUN26-70-P-USDT</t>
        </is>
      </c>
      <c r="B2" s="117" t="n">
        <v>0.7</v>
      </c>
      <c r="C2" s="117" t="n">
        <v>0.63</v>
      </c>
      <c r="D2" s="117" t="n">
        <v>0.67</v>
      </c>
      <c r="E2" s="117" t="n">
        <v>0.6109535</v>
      </c>
    </row>
    <row r="3" ht="13.8" customHeight="1" s="116">
      <c r="A3" s="117" t="inlineStr">
        <is>
          <t>SOL-26JUN26-72-P-USDT</t>
        </is>
      </c>
      <c r="B3" s="117" t="n">
        <v>1.56</v>
      </c>
      <c r="C3" s="117" t="n">
        <v>0.85</v>
      </c>
      <c r="D3" s="117" t="n">
        <v>0.9</v>
      </c>
      <c r="E3" s="117" t="n">
        <v>0.84884646</v>
      </c>
    </row>
    <row r="4" ht="13.8" customHeight="1" s="116">
      <c r="A4" s="117" t="inlineStr">
        <is>
          <t>SOL-26JUN26-74-P-USDT</t>
        </is>
      </c>
      <c r="B4" s="117" t="n">
        <v>1.25</v>
      </c>
      <c r="C4" s="117" t="n">
        <v>1.16</v>
      </c>
      <c r="D4" s="117" t="n">
        <v>1.21</v>
      </c>
      <c r="E4" s="117" t="n">
        <v>1.17035664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strike</t>
        </is>
      </c>
      <c r="C1" t="inlineStr">
        <is>
          <t>delta</t>
        </is>
      </c>
      <c r="D1" t="inlineStr">
        <is>
          <t>gamma</t>
        </is>
      </c>
      <c r="E1" t="inlineStr">
        <is>
          <t>vega</t>
        </is>
      </c>
      <c r="F1" t="inlineStr">
        <is>
          <t>theta</t>
        </is>
      </c>
      <c r="G1" t="inlineStr">
        <is>
          <t>mark_price</t>
        </is>
      </c>
      <c r="H1" t="inlineStr">
        <is>
          <t>iv</t>
        </is>
      </c>
      <c r="I1" t="inlineStr">
        <is>
          <t>dte</t>
        </is>
      </c>
      <c r="J1" t="inlineStr">
        <is>
          <t>T</t>
        </is>
      </c>
      <c r="K1" t="inlineStr">
        <is>
          <t>type</t>
        </is>
      </c>
      <c r="L1" t="inlineStr">
        <is>
          <t>spot_price</t>
        </is>
      </c>
      <c r="M1" t="inlineStr">
        <is>
          <t>hedge_cost_per_day</t>
        </is>
      </c>
      <c r="N1" t="inlineStr">
        <is>
          <t>open_interest</t>
        </is>
      </c>
    </row>
    <row r="2">
      <c r="A2" t="inlineStr">
        <is>
          <t>SOL-12JUN26-60-P-USDT</t>
        </is>
      </c>
      <c r="B2" t="n">
        <v>60</v>
      </c>
      <c r="C2" t="n">
        <v>-0.09762761</v>
      </c>
      <c r="D2" t="n">
        <v>0.01634276</v>
      </c>
      <c r="E2" t="n">
        <v>0.01884251</v>
      </c>
      <c r="F2" t="n">
        <v>-0.10762038</v>
      </c>
      <c r="G2" t="n">
        <v>0.51653985</v>
      </c>
      <c r="H2" t="n">
        <v>0.9657</v>
      </c>
      <c r="I2" t="n">
        <v>8</v>
      </c>
      <c r="J2" t="n">
        <v>0.02191780821917808</v>
      </c>
      <c r="K2" t="inlineStr">
        <is>
          <t>PUT</t>
        </is>
      </c>
      <c r="L2" t="n">
        <v>71.72</v>
      </c>
      <c r="M2" t="n">
        <v>0.06456748125</v>
      </c>
      <c r="N2" t="inlineStr">
        <is>
          <t>111</t>
        </is>
      </c>
    </row>
    <row r="3">
      <c r="A3" t="inlineStr">
        <is>
          <t>SOL-12JUN26-62-P-USDT</t>
        </is>
      </c>
      <c r="B3" t="n">
        <v>62</v>
      </c>
      <c r="C3" t="n">
        <v>-0.13199103</v>
      </c>
      <c r="D3" t="n">
        <v>0.02124147</v>
      </c>
      <c r="E3" t="n">
        <v>0.0233593</v>
      </c>
      <c r="F3" t="n">
        <v>-0.12725583</v>
      </c>
      <c r="G3" t="n">
        <v>0.71085656</v>
      </c>
      <c r="H3" t="n">
        <v>0.9211</v>
      </c>
      <c r="I3" t="n">
        <v>8</v>
      </c>
      <c r="J3" t="n">
        <v>0.02191780821917808</v>
      </c>
      <c r="K3" t="inlineStr">
        <is>
          <t>PUT</t>
        </is>
      </c>
      <c r="L3" t="n">
        <v>71.72</v>
      </c>
      <c r="M3" t="n">
        <v>0.08885707</v>
      </c>
      <c r="N3" t="inlineStr">
        <is>
          <t>10</t>
        </is>
      </c>
    </row>
    <row r="4">
      <c r="A4" t="inlineStr">
        <is>
          <t>SOL-12JUN26-64-P-USDT</t>
        </is>
      </c>
      <c r="B4" t="n">
        <v>64</v>
      </c>
      <c r="C4" t="n">
        <v>-0.17725246</v>
      </c>
      <c r="D4" t="n">
        <v>0.02703299</v>
      </c>
      <c r="E4" t="n">
        <v>0.02839573</v>
      </c>
      <c r="F4" t="n">
        <v>-0.14775922</v>
      </c>
      <c r="G4" t="n">
        <v>0.98082448</v>
      </c>
      <c r="H4" t="n">
        <v>0.8798</v>
      </c>
      <c r="I4" t="n">
        <v>8</v>
      </c>
      <c r="J4" t="n">
        <v>0.02191780821917808</v>
      </c>
      <c r="K4" t="inlineStr">
        <is>
          <t>PUT</t>
        </is>
      </c>
      <c r="L4" t="n">
        <v>71.72</v>
      </c>
      <c r="M4" t="n">
        <v>0.12260306</v>
      </c>
      <c r="N4" t="inlineStr">
        <is>
          <t>104</t>
        </is>
      </c>
    </row>
    <row r="5">
      <c r="A5" t="inlineStr">
        <is>
          <t>SOL-12JUN26-66-P-USDT</t>
        </is>
      </c>
      <c r="B5" t="n">
        <v>66</v>
      </c>
      <c r="C5" t="n">
        <v>-0.2354303</v>
      </c>
      <c r="D5" t="n">
        <v>0.03341661</v>
      </c>
      <c r="E5" t="n">
        <v>0.03361236</v>
      </c>
      <c r="F5" t="n">
        <v>-0.16748589</v>
      </c>
      <c r="G5" t="n">
        <v>1.35392845</v>
      </c>
      <c r="H5" t="n">
        <v>0.8425</v>
      </c>
      <c r="I5" t="n">
        <v>8</v>
      </c>
      <c r="J5" t="n">
        <v>0.02191780821917808</v>
      </c>
      <c r="K5" t="inlineStr">
        <is>
          <t>PUT</t>
        </is>
      </c>
      <c r="L5" t="n">
        <v>71.72</v>
      </c>
      <c r="M5" t="n">
        <v>0.16924105625</v>
      </c>
      <c r="N5" t="inlineStr">
        <is>
          <t>2162</t>
        </is>
      </c>
    </row>
    <row r="6">
      <c r="A6" t="inlineStr">
        <is>
          <t>SOL-12JUN26-68-P-USDT</t>
        </is>
      </c>
      <c r="B6" t="n">
        <v>68</v>
      </c>
      <c r="C6" t="n">
        <v>-0.3075575</v>
      </c>
      <c r="D6" t="n">
        <v>0.03972563</v>
      </c>
      <c r="E6" t="n">
        <v>0.03841604</v>
      </c>
      <c r="F6" t="n">
        <v>-0.1840335</v>
      </c>
      <c r="G6" t="n">
        <v>1.86348427</v>
      </c>
      <c r="H6" t="n">
        <v>0.8100000000000001</v>
      </c>
      <c r="I6" t="n">
        <v>8</v>
      </c>
      <c r="J6" t="n">
        <v>0.02191780821917808</v>
      </c>
      <c r="K6" t="inlineStr">
        <is>
          <t>PUT</t>
        </is>
      </c>
      <c r="L6" t="n">
        <v>71.72</v>
      </c>
      <c r="M6" t="n">
        <v>0.23293553375</v>
      </c>
      <c r="N6" t="inlineStr">
        <is>
          <t>105</t>
        </is>
      </c>
    </row>
    <row r="7">
      <c r="A7" t="inlineStr">
        <is>
          <t>SOL-12JUN26-70-P-USDT</t>
        </is>
      </c>
      <c r="B7" t="n">
        <v>70</v>
      </c>
      <c r="C7" t="n">
        <v>-0.39257405</v>
      </c>
      <c r="D7" t="n">
        <v>0.04491861</v>
      </c>
      <c r="E7" t="n">
        <v>0.04200178</v>
      </c>
      <c r="F7" t="n">
        <v>-0.1945591</v>
      </c>
      <c r="G7" t="n">
        <v>2.54521197</v>
      </c>
      <c r="H7" t="n">
        <v>0.7832</v>
      </c>
      <c r="I7" t="n">
        <v>8</v>
      </c>
      <c r="J7" t="n">
        <v>0.02191780821917808</v>
      </c>
      <c r="K7" t="inlineStr">
        <is>
          <t>PUT</t>
        </is>
      </c>
      <c r="L7" t="n">
        <v>71.72</v>
      </c>
      <c r="M7" t="n">
        <v>0.31815149625</v>
      </c>
      <c r="N7" t="inlineStr">
        <is>
          <t>1154</t>
        </is>
      </c>
    </row>
    <row r="8">
      <c r="A8" t="inlineStr">
        <is>
          <t>SOL-12JUN26-72-P-USDT</t>
        </is>
      </c>
      <c r="B8" t="n">
        <v>72</v>
      </c>
      <c r="C8" t="n">
        <v>-0.48639682</v>
      </c>
      <c r="D8" t="n">
        <v>0.04782202</v>
      </c>
      <c r="E8" t="n">
        <v>0.04356657</v>
      </c>
      <c r="F8" t="n">
        <v>-0.19661715</v>
      </c>
      <c r="G8" t="n">
        <v>3.42984962</v>
      </c>
      <c r="H8" t="n">
        <v>0.7631</v>
      </c>
      <c r="I8" t="n">
        <v>8</v>
      </c>
      <c r="J8" t="n">
        <v>0.02191780821917808</v>
      </c>
      <c r="K8" t="inlineStr">
        <is>
          <t>PUT</t>
        </is>
      </c>
      <c r="L8" t="n">
        <v>71.72</v>
      </c>
      <c r="M8" t="n">
        <v>0.4287312025</v>
      </c>
      <c r="N8" t="inlineStr">
        <is>
          <t>260</t>
        </is>
      </c>
    </row>
    <row r="9">
      <c r="A9" t="inlineStr">
        <is>
          <t>SOL-12JUN26-74-P-USDT</t>
        </is>
      </c>
      <c r="B9" t="n">
        <v>74</v>
      </c>
      <c r="C9" t="n">
        <v>-0.58211611</v>
      </c>
      <c r="D9" t="n">
        <v>0.04763922</v>
      </c>
      <c r="E9" t="n">
        <v>0.04266518</v>
      </c>
      <c r="F9" t="n">
        <v>-0.18928883</v>
      </c>
      <c r="G9" t="n">
        <v>4.53326905</v>
      </c>
      <c r="H9" t="n">
        <v>0.7501</v>
      </c>
      <c r="I9" t="n">
        <v>8</v>
      </c>
      <c r="J9" t="n">
        <v>0.02191780821917808</v>
      </c>
      <c r="K9" t="inlineStr">
        <is>
          <t>PUT</t>
        </is>
      </c>
      <c r="L9" t="n">
        <v>71.72</v>
      </c>
      <c r="M9" t="n">
        <v>0.56665863125</v>
      </c>
      <c r="N9" t="inlineStr">
        <is>
          <t>140</t>
        </is>
      </c>
    </row>
    <row r="10">
      <c r="A10" t="inlineStr">
        <is>
          <t>SOL-12JUN26-75-P-USDT</t>
        </is>
      </c>
      <c r="B10" t="n">
        <v>75</v>
      </c>
      <c r="C10" t="n">
        <v>-0.62819653</v>
      </c>
      <c r="D10" t="n">
        <v>0.04636835</v>
      </c>
      <c r="E10" t="n">
        <v>0.04132142</v>
      </c>
      <c r="F10" t="n">
        <v>-0.1824195</v>
      </c>
      <c r="G10" t="n">
        <v>5.16600932</v>
      </c>
      <c r="H10" t="n">
        <v>0.7464</v>
      </c>
      <c r="I10" t="n">
        <v>8</v>
      </c>
      <c r="J10" t="n">
        <v>0.02191780821917808</v>
      </c>
      <c r="K10" t="inlineStr">
        <is>
          <t>PUT</t>
        </is>
      </c>
      <c r="L10" t="n">
        <v>71.72</v>
      </c>
      <c r="M10" t="n">
        <v>0.645751165</v>
      </c>
      <c r="N10" t="inlineStr">
        <is>
          <t>346</t>
        </is>
      </c>
    </row>
    <row r="11">
      <c r="A11" t="inlineStr">
        <is>
          <t>SOL-12JUN26-76-P-USDT</t>
        </is>
      </c>
      <c r="B11" t="n">
        <v>76</v>
      </c>
      <c r="C11" t="n">
        <v>-0.6718913</v>
      </c>
      <c r="D11" t="n">
        <v>0.04441771</v>
      </c>
      <c r="E11" t="n">
        <v>0.03948008</v>
      </c>
      <c r="F11" t="n">
        <v>-0.17383708</v>
      </c>
      <c r="G11" t="n">
        <v>5.84938479</v>
      </c>
      <c r="H11" t="n">
        <v>0.7445000000000001</v>
      </c>
      <c r="I11" t="n">
        <v>8</v>
      </c>
      <c r="J11" t="n">
        <v>0.02191780821917808</v>
      </c>
      <c r="K11" t="inlineStr">
        <is>
          <t>PUT</t>
        </is>
      </c>
      <c r="L11" t="n">
        <v>71.72</v>
      </c>
      <c r="M11" t="n">
        <v>0.73117309875</v>
      </c>
      <c r="N11" t="inlineStr">
        <is>
          <t>183</t>
        </is>
      </c>
    </row>
    <row r="12">
      <c r="A12" t="inlineStr">
        <is>
          <t>SOL-12JUN26-68-C-USDT</t>
        </is>
      </c>
      <c r="B12" t="n">
        <v>68</v>
      </c>
      <c r="C12" t="n">
        <v>0.69244251</v>
      </c>
      <c r="D12" t="n">
        <v>0.03972563</v>
      </c>
      <c r="E12" t="n">
        <v>0.03841604</v>
      </c>
      <c r="F12" t="n">
        <v>-0.1840335</v>
      </c>
      <c r="G12" t="n">
        <v>5.66348427</v>
      </c>
      <c r="H12" t="n">
        <v>0.8100000000000001</v>
      </c>
      <c r="I12" t="n">
        <v>8</v>
      </c>
      <c r="J12" t="n">
        <v>0.02191780821917808</v>
      </c>
      <c r="K12" t="inlineStr">
        <is>
          <t>CALL</t>
        </is>
      </c>
      <c r="L12" t="n">
        <v>71.72</v>
      </c>
      <c r="M12" t="n">
        <v>0.70793553375</v>
      </c>
      <c r="N12" t="inlineStr">
        <is>
          <t>0</t>
        </is>
      </c>
    </row>
    <row r="13">
      <c r="A13" t="inlineStr">
        <is>
          <t>SOL-12JUN26-70-C-USDT</t>
        </is>
      </c>
      <c r="B13" t="n">
        <v>70</v>
      </c>
      <c r="C13" t="n">
        <v>0.60742596</v>
      </c>
      <c r="D13" t="n">
        <v>0.04491861</v>
      </c>
      <c r="E13" t="n">
        <v>0.04200178</v>
      </c>
      <c r="F13" t="n">
        <v>-0.1945591</v>
      </c>
      <c r="G13" t="n">
        <v>4.34521197</v>
      </c>
      <c r="H13" t="n">
        <v>0.7832</v>
      </c>
      <c r="I13" t="n">
        <v>8</v>
      </c>
      <c r="J13" t="n">
        <v>0.02191780821917808</v>
      </c>
      <c r="K13" t="inlineStr">
        <is>
          <t>CALL</t>
        </is>
      </c>
      <c r="L13" t="n">
        <v>71.72</v>
      </c>
      <c r="M13" t="n">
        <v>0.54315149625</v>
      </c>
      <c r="N13" t="inlineStr">
        <is>
          <t>0</t>
        </is>
      </c>
    </row>
    <row r="14">
      <c r="A14" t="inlineStr">
        <is>
          <t>SOL-12JUN26-72-C-USDT</t>
        </is>
      </c>
      <c r="B14" t="n">
        <v>72</v>
      </c>
      <c r="C14" t="n">
        <v>0.51360319</v>
      </c>
      <c r="D14" t="n">
        <v>0.04782202</v>
      </c>
      <c r="E14" t="n">
        <v>0.04356657</v>
      </c>
      <c r="F14" t="n">
        <v>-0.19661715</v>
      </c>
      <c r="G14" t="n">
        <v>3.22984962</v>
      </c>
      <c r="H14" t="n">
        <v>0.7631</v>
      </c>
      <c r="I14" t="n">
        <v>8</v>
      </c>
      <c r="J14" t="n">
        <v>0.02191780821917808</v>
      </c>
      <c r="K14" t="inlineStr">
        <is>
          <t>CALL</t>
        </is>
      </c>
      <c r="L14" t="n">
        <v>71.72</v>
      </c>
      <c r="M14" t="n">
        <v>0.4037312025</v>
      </c>
      <c r="N14" t="inlineStr">
        <is>
          <t>15</t>
        </is>
      </c>
    </row>
    <row r="15">
      <c r="A15" t="inlineStr">
        <is>
          <t>SOL-12JUN26-74-C-USDT</t>
        </is>
      </c>
      <c r="B15" t="n">
        <v>74</v>
      </c>
      <c r="C15" t="n">
        <v>0.4178839</v>
      </c>
      <c r="D15" t="n">
        <v>0.04763922</v>
      </c>
      <c r="E15" t="n">
        <v>0.04266518</v>
      </c>
      <c r="F15" t="n">
        <v>-0.18928883</v>
      </c>
      <c r="G15" t="n">
        <v>2.33326905</v>
      </c>
      <c r="H15" t="n">
        <v>0.7501</v>
      </c>
      <c r="I15" t="n">
        <v>8</v>
      </c>
      <c r="J15" t="n">
        <v>0.02191780821917808</v>
      </c>
      <c r="K15" t="inlineStr">
        <is>
          <t>CALL</t>
        </is>
      </c>
      <c r="L15" t="n">
        <v>71.72</v>
      </c>
      <c r="M15" t="n">
        <v>0.29165863125</v>
      </c>
      <c r="N15" t="inlineStr">
        <is>
          <t>93</t>
        </is>
      </c>
    </row>
    <row r="16">
      <c r="A16" t="inlineStr">
        <is>
          <t>SOL-12JUN26-75-C-USDT</t>
        </is>
      </c>
      <c r="B16" t="n">
        <v>75</v>
      </c>
      <c r="C16" t="n">
        <v>0.37180348</v>
      </c>
      <c r="D16" t="n">
        <v>0.04636835</v>
      </c>
      <c r="E16" t="n">
        <v>0.04132142</v>
      </c>
      <c r="F16" t="n">
        <v>-0.1824195</v>
      </c>
      <c r="G16" t="n">
        <v>1.96600932</v>
      </c>
      <c r="H16" t="n">
        <v>0.7464</v>
      </c>
      <c r="I16" t="n">
        <v>8</v>
      </c>
      <c r="J16" t="n">
        <v>0.02191780821917808</v>
      </c>
      <c r="K16" t="inlineStr">
        <is>
          <t>CALL</t>
        </is>
      </c>
      <c r="L16" t="n">
        <v>71.72</v>
      </c>
      <c r="M16" t="n">
        <v>0.245751165</v>
      </c>
      <c r="N16" t="inlineStr">
        <is>
          <t>107</t>
        </is>
      </c>
    </row>
    <row r="17">
      <c r="A17" t="inlineStr">
        <is>
          <t>SOL-12JUN26-76-C-USDT</t>
        </is>
      </c>
      <c r="B17" t="n">
        <v>76</v>
      </c>
      <c r="C17" t="n">
        <v>0.32810871</v>
      </c>
      <c r="D17" t="n">
        <v>0.04441771</v>
      </c>
      <c r="E17" t="n">
        <v>0.03948008</v>
      </c>
      <c r="F17" t="n">
        <v>-0.17383708</v>
      </c>
      <c r="G17" t="n">
        <v>1.64938479</v>
      </c>
      <c r="H17" t="n">
        <v>0.7445000000000001</v>
      </c>
      <c r="I17" t="n">
        <v>8</v>
      </c>
      <c r="J17" t="n">
        <v>0.02191780821917808</v>
      </c>
      <c r="K17" t="inlineStr">
        <is>
          <t>CALL</t>
        </is>
      </c>
      <c r="L17" t="n">
        <v>71.72</v>
      </c>
      <c r="M17" t="n">
        <v>0.20617309875</v>
      </c>
      <c r="N17" t="inlineStr">
        <is>
          <t>2364</t>
        </is>
      </c>
    </row>
    <row r="18">
      <c r="A18" t="inlineStr">
        <is>
          <t>SOL-12JUN26-78-C-USDT</t>
        </is>
      </c>
      <c r="B18" t="n">
        <v>78</v>
      </c>
      <c r="C18" t="n">
        <v>0.25036918</v>
      </c>
      <c r="D18" t="n">
        <v>0.03904217</v>
      </c>
      <c r="E18" t="n">
        <v>0.03475023</v>
      </c>
      <c r="F18" t="n">
        <v>-0.153223</v>
      </c>
      <c r="G18" t="n">
        <v>1.15144954</v>
      </c>
      <c r="H18" t="n">
        <v>0.7455000000000001</v>
      </c>
      <c r="I18" t="n">
        <v>8</v>
      </c>
      <c r="J18" t="n">
        <v>0.02191780821917808</v>
      </c>
      <c r="K18" t="inlineStr">
        <is>
          <t>CALL</t>
        </is>
      </c>
      <c r="L18" t="n">
        <v>71.72</v>
      </c>
      <c r="M18" t="n">
        <v>0.1439311925</v>
      </c>
      <c r="N18" t="inlineStr">
        <is>
          <t>275</t>
        </is>
      </c>
    </row>
    <row r="19">
      <c r="A19" t="inlineStr">
        <is>
          <t>SOL-12JUN26-80-C-USDT</t>
        </is>
      </c>
      <c r="B19" t="n">
        <v>80</v>
      </c>
      <c r="C19" t="n">
        <v>0.18740414</v>
      </c>
      <c r="D19" t="n">
        <v>0.03273882</v>
      </c>
      <c r="E19" t="n">
        <v>0.02940137</v>
      </c>
      <c r="F19" t="n">
        <v>-0.13080205</v>
      </c>
      <c r="G19" t="n">
        <v>0.80130921</v>
      </c>
      <c r="H19" t="n">
        <v>0.7522</v>
      </c>
      <c r="I19" t="n">
        <v>8</v>
      </c>
      <c r="J19" t="n">
        <v>0.02191780821917808</v>
      </c>
      <c r="K19" t="inlineStr">
        <is>
          <t>CALL</t>
        </is>
      </c>
      <c r="L19" t="n">
        <v>71.72</v>
      </c>
      <c r="M19" t="n">
        <v>0.10016365125</v>
      </c>
      <c r="N19" t="inlineStr">
        <is>
          <t>718</t>
        </is>
      </c>
    </row>
    <row r="20">
      <c r="A20" t="inlineStr">
        <is>
          <t>SOL-12JUN26-82-C-USDT</t>
        </is>
      </c>
      <c r="B20" t="n">
        <v>82</v>
      </c>
      <c r="C20" t="n">
        <v>0.13886651</v>
      </c>
      <c r="D20" t="n">
        <v>0.0265388</v>
      </c>
      <c r="E20" t="n">
        <v>0.02418656</v>
      </c>
      <c r="F20" t="n">
        <v>-0.10919666</v>
      </c>
      <c r="G20" t="n">
        <v>0.56020037</v>
      </c>
      <c r="H20" t="n">
        <v>0.7634</v>
      </c>
      <c r="I20" t="n">
        <v>8</v>
      </c>
      <c r="J20" t="n">
        <v>0.02191780821917808</v>
      </c>
      <c r="K20" t="inlineStr">
        <is>
          <t>CALL</t>
        </is>
      </c>
      <c r="L20" t="n">
        <v>71.72</v>
      </c>
      <c r="M20" t="n">
        <v>0.07002504625</v>
      </c>
      <c r="N20" t="inlineStr">
        <is>
          <t>1994</t>
        </is>
      </c>
    </row>
    <row r="21">
      <c r="A21" t="inlineStr">
        <is>
          <t>SOL-12JUN26-84-C-USDT</t>
        </is>
      </c>
      <c r="B21" t="n">
        <v>84</v>
      </c>
      <c r="C21" t="n">
        <v>0.1026388</v>
      </c>
      <c r="D21" t="n">
        <v>0.02104595</v>
      </c>
      <c r="E21" t="n">
        <v>0.01954385</v>
      </c>
      <c r="F21" t="n">
        <v>-0.08990711999999999</v>
      </c>
      <c r="G21" t="n">
        <v>0.39555041</v>
      </c>
      <c r="H21" t="n">
        <v>0.7778</v>
      </c>
      <c r="I21" t="n">
        <v>8</v>
      </c>
      <c r="J21" t="n">
        <v>0.02191780821917808</v>
      </c>
      <c r="K21" t="inlineStr">
        <is>
          <t>CALL</t>
        </is>
      </c>
      <c r="L21" t="n">
        <v>71.72</v>
      </c>
      <c r="M21" t="n">
        <v>0.04944380125</v>
      </c>
      <c r="N21" t="inlineStr">
        <is>
          <t>1190</t>
        </is>
      </c>
    </row>
    <row r="22">
      <c r="A22" t="inlineStr">
        <is>
          <t>SOL-12JUN26-85-C-USDT</t>
        </is>
      </c>
      <c r="B22" t="n">
        <v>85</v>
      </c>
      <c r="C22" t="n">
        <v>0.08831368000000001</v>
      </c>
      <c r="D22" t="n">
        <v>0.01864527</v>
      </c>
      <c r="E22" t="n">
        <v>0.01749621</v>
      </c>
      <c r="F22" t="n">
        <v>-0.08133207000000001</v>
      </c>
      <c r="G22" t="n">
        <v>0.3339705</v>
      </c>
      <c r="H22" t="n">
        <v>0.786</v>
      </c>
      <c r="I22" t="n">
        <v>8</v>
      </c>
      <c r="J22" t="n">
        <v>0.02191780821917808</v>
      </c>
      <c r="K22" t="inlineStr">
        <is>
          <t>CALL</t>
        </is>
      </c>
      <c r="L22" t="n">
        <v>71.72</v>
      </c>
      <c r="M22" t="n">
        <v>0.0417463125</v>
      </c>
      <c r="N22" t="inlineStr">
        <is>
          <t>2348</t>
        </is>
      </c>
    </row>
    <row r="23">
      <c r="A23" t="inlineStr">
        <is>
          <t>SOL-12JUN26-86-C-USDT</t>
        </is>
      </c>
      <c r="B23" t="n">
        <v>86</v>
      </c>
      <c r="C23" t="n">
        <v>0.07608292999999999</v>
      </c>
      <c r="D23" t="n">
        <v>0.01648311</v>
      </c>
      <c r="E23" t="n">
        <v>0.01563747</v>
      </c>
      <c r="F23" t="n">
        <v>-0.07349139</v>
      </c>
      <c r="G23" t="n">
        <v>0.28297212</v>
      </c>
      <c r="H23" t="n">
        <v>0.7946</v>
      </c>
      <c r="I23" t="n">
        <v>8</v>
      </c>
      <c r="J23" t="n">
        <v>0.02191780821917808</v>
      </c>
      <c r="K23" t="inlineStr">
        <is>
          <t>CALL</t>
        </is>
      </c>
      <c r="L23" t="n">
        <v>71.72</v>
      </c>
      <c r="M23" t="n">
        <v>0.035371515</v>
      </c>
      <c r="N23" t="inlineStr">
        <is>
          <t>291</t>
        </is>
      </c>
    </row>
    <row r="24">
      <c r="A24" t="inlineStr">
        <is>
          <t>SOL-12JUN26-87-C-USDT</t>
        </is>
      </c>
      <c r="B24" t="n">
        <v>87</v>
      </c>
      <c r="C24" t="n">
        <v>0.06565353</v>
      </c>
      <c r="D24" t="n">
        <v>0.01455199</v>
      </c>
      <c r="E24" t="n">
        <v>0.01396257</v>
      </c>
      <c r="F24" t="n">
        <v>-0.06636678999999999</v>
      </c>
      <c r="G24" t="n">
        <v>0.24064052</v>
      </c>
      <c r="H24" t="n">
        <v>0.8037</v>
      </c>
      <c r="I24" t="n">
        <v>8</v>
      </c>
      <c r="J24" t="n">
        <v>0.02191780821917808</v>
      </c>
      <c r="K24" t="inlineStr">
        <is>
          <t>CALL</t>
        </is>
      </c>
      <c r="L24" t="n">
        <v>71.72</v>
      </c>
      <c r="M24" t="n">
        <v>0.030080065</v>
      </c>
      <c r="N24" t="inlineStr">
        <is>
          <t>1359</t>
        </is>
      </c>
    </row>
    <row r="25">
      <c r="A25" t="inlineStr">
        <is>
          <t>SOL-12JUN26-88-C-USDT</t>
        </is>
      </c>
      <c r="B25" t="n">
        <v>88</v>
      </c>
      <c r="C25" t="n">
        <v>0.05676361</v>
      </c>
      <c r="D25" t="n">
        <v>0.01283814</v>
      </c>
      <c r="E25" t="n">
        <v>0.01246172</v>
      </c>
      <c r="F25" t="n">
        <v>-0.05992339</v>
      </c>
      <c r="G25" t="n">
        <v>0.20540656</v>
      </c>
      <c r="H25" t="n">
        <v>0.8129999999999999</v>
      </c>
      <c r="I25" t="n">
        <v>8</v>
      </c>
      <c r="J25" t="n">
        <v>0.02191780821917808</v>
      </c>
      <c r="K25" t="inlineStr">
        <is>
          <t>CALL</t>
        </is>
      </c>
      <c r="L25" t="n">
        <v>71.72</v>
      </c>
      <c r="M25" t="n">
        <v>0.02567582</v>
      </c>
      <c r="N25" t="inlineStr">
        <is>
          <t>636</t>
        </is>
      </c>
    </row>
    <row r="26">
      <c r="A26" t="inlineStr">
        <is>
          <t>SOL-12JUN26-89-C-USDT</t>
        </is>
      </c>
      <c r="B26" t="n">
        <v>89</v>
      </c>
      <c r="C26" t="n">
        <v>0.04918356</v>
      </c>
      <c r="D26" t="n">
        <v>0.01132429</v>
      </c>
      <c r="E26" t="n">
        <v>0.01112241</v>
      </c>
      <c r="F26" t="n">
        <v>-0.05411641</v>
      </c>
      <c r="G26" t="n">
        <v>0.17599014</v>
      </c>
      <c r="H26" t="n">
        <v>0.8227</v>
      </c>
      <c r="I26" t="n">
        <v>8</v>
      </c>
      <c r="J26" t="n">
        <v>0.02191780821917808</v>
      </c>
      <c r="K26" t="inlineStr">
        <is>
          <t>CALL</t>
        </is>
      </c>
      <c r="L26" t="n">
        <v>71.72</v>
      </c>
      <c r="M26" t="n">
        <v>0.0219987675</v>
      </c>
      <c r="N26" t="inlineStr">
        <is>
          <t>277</t>
        </is>
      </c>
    </row>
    <row r="27">
      <c r="A27" t="inlineStr">
        <is>
          <t>SOL-12JUN26-90-C-USDT</t>
        </is>
      </c>
      <c r="B27" t="n">
        <v>90</v>
      </c>
      <c r="C27" t="n">
        <v>0.04271473</v>
      </c>
      <c r="D27" t="n">
        <v>0.009991699999999999</v>
      </c>
      <c r="E27" t="n">
        <v>0.00993083</v>
      </c>
      <c r="F27" t="n">
        <v>-0.04889608</v>
      </c>
      <c r="G27" t="n">
        <v>0.15134964</v>
      </c>
      <c r="H27" t="n">
        <v>0.8325</v>
      </c>
      <c r="I27" t="n">
        <v>8</v>
      </c>
      <c r="J27" t="n">
        <v>0.02191780821917808</v>
      </c>
      <c r="K27" t="inlineStr">
        <is>
          <t>CALL</t>
        </is>
      </c>
      <c r="L27" t="n">
        <v>71.72</v>
      </c>
      <c r="M27" t="n">
        <v>0.018918705</v>
      </c>
      <c r="N27" t="inlineStr">
        <is>
          <t>550</t>
        </is>
      </c>
    </row>
    <row r="28">
      <c r="A28" t="inlineStr">
        <is>
          <t>SOL-12JUN26-92-C-USDT</t>
        </is>
      </c>
      <c r="B28" t="n">
        <v>92</v>
      </c>
      <c r="C28" t="n">
        <v>0.03245566</v>
      </c>
      <c r="D28" t="n">
        <v>0.0077953</v>
      </c>
      <c r="E28" t="n">
        <v>0.007934790000000001</v>
      </c>
      <c r="F28" t="n">
        <v>-0.04001109</v>
      </c>
      <c r="G28" t="n">
        <v>0.11316844</v>
      </c>
      <c r="H28" t="n">
        <v>0.8526</v>
      </c>
      <c r="I28" t="n">
        <v>8</v>
      </c>
      <c r="J28" t="n">
        <v>0.02191780821917808</v>
      </c>
      <c r="K28" t="inlineStr">
        <is>
          <t>CALL</t>
        </is>
      </c>
      <c r="L28" t="n">
        <v>71.72</v>
      </c>
      <c r="M28" t="n">
        <v>0.014146055</v>
      </c>
      <c r="N28" t="inlineStr">
        <is>
          <t>1163</t>
        </is>
      </c>
    </row>
    <row r="29">
      <c r="A29" t="inlineStr">
        <is>
          <t>SOL-12JUN26-100-C-USDT</t>
        </is>
      </c>
      <c r="B29" t="n">
        <v>100</v>
      </c>
      <c r="C29" t="n">
        <v>0.01195999</v>
      </c>
      <c r="D29" t="n">
        <v>0.00305004</v>
      </c>
      <c r="E29" t="n">
        <v>0.00340301</v>
      </c>
      <c r="F29" t="n">
        <v>-0.01880884</v>
      </c>
      <c r="G29" t="n">
        <v>0.0403705</v>
      </c>
      <c r="H29" t="n">
        <v>0.9345</v>
      </c>
      <c r="I29" t="n">
        <v>8</v>
      </c>
      <c r="J29" t="n">
        <v>0.02191780821917808</v>
      </c>
      <c r="K29" t="inlineStr">
        <is>
          <t>CALL</t>
        </is>
      </c>
      <c r="L29" t="n">
        <v>71.72</v>
      </c>
      <c r="M29" t="n">
        <v>0.0050463125</v>
      </c>
      <c r="N29" t="inlineStr">
        <is>
          <t>1361</t>
        </is>
      </c>
    </row>
    <row r="30">
      <c r="A30" t="inlineStr">
        <is>
          <t>SOL-19JUN26-50-P-USDT</t>
        </is>
      </c>
      <c r="B30" t="n">
        <v>50</v>
      </c>
      <c r="C30" t="n">
        <v>-0.01498946</v>
      </c>
      <c r="D30" t="n">
        <v>0.00304167</v>
      </c>
      <c r="E30" t="n">
        <v>0.0055884</v>
      </c>
      <c r="F30" t="n">
        <v>-0.0152373</v>
      </c>
      <c r="G30" t="n">
        <v>0.07006531000000001</v>
      </c>
      <c r="H30" t="n">
        <v>0.8428</v>
      </c>
      <c r="I30" t="n">
        <v>15</v>
      </c>
      <c r="J30" t="n">
        <v>0.0410958904109589</v>
      </c>
      <c r="K30" t="inlineStr">
        <is>
          <t>PUT</t>
        </is>
      </c>
      <c r="L30" t="n">
        <v>71.72</v>
      </c>
      <c r="M30" t="n">
        <v>0.004671020666666667</v>
      </c>
      <c r="N30" t="inlineStr">
        <is>
          <t>0</t>
        </is>
      </c>
    </row>
    <row r="31">
      <c r="A31" t="inlineStr">
        <is>
          <t>SOL-19JUN26-60-P-USDT</t>
        </is>
      </c>
      <c r="B31" t="n">
        <v>60</v>
      </c>
      <c r="C31" t="n">
        <v>-0.08199846</v>
      </c>
      <c r="D31" t="n">
        <v>0.01561533</v>
      </c>
      <c r="E31" t="n">
        <v>0.02236401</v>
      </c>
      <c r="F31" t="n">
        <v>-0.04753279</v>
      </c>
      <c r="G31" t="n">
        <v>0.38287487</v>
      </c>
      <c r="H31" t="n">
        <v>0.657</v>
      </c>
      <c r="I31" t="n">
        <v>15</v>
      </c>
      <c r="J31" t="n">
        <v>0.0410958904109589</v>
      </c>
      <c r="K31" t="inlineStr">
        <is>
          <t>PUT</t>
        </is>
      </c>
      <c r="L31" t="n">
        <v>71.72</v>
      </c>
      <c r="M31" t="n">
        <v>0.02552499133333333</v>
      </c>
      <c r="N31" t="inlineStr">
        <is>
          <t>1076</t>
        </is>
      </c>
    </row>
    <row r="32">
      <c r="A32" t="inlineStr">
        <is>
          <t>SOL-19JUN26-70-P-USDT</t>
        </is>
      </c>
      <c r="B32" t="n">
        <v>70</v>
      </c>
      <c r="C32" t="n">
        <v>-0.39024987</v>
      </c>
      <c r="D32" t="n">
        <v>0.04802137</v>
      </c>
      <c r="E32" t="n">
        <v>0.05666261</v>
      </c>
      <c r="F32" t="n">
        <v>-0.09922104</v>
      </c>
      <c r="G32" t="n">
        <v>2.34515152</v>
      </c>
      <c r="H32" t="n">
        <v>0.5413</v>
      </c>
      <c r="I32" t="n">
        <v>15</v>
      </c>
      <c r="J32" t="n">
        <v>0.0410958904109589</v>
      </c>
      <c r="K32" t="inlineStr">
        <is>
          <t>PUT</t>
        </is>
      </c>
      <c r="L32" t="n">
        <v>71.72</v>
      </c>
      <c r="M32" t="n">
        <v>0.1563434346666667</v>
      </c>
      <c r="N32" t="inlineStr">
        <is>
          <t>130</t>
        </is>
      </c>
    </row>
    <row r="33">
      <c r="A33" t="inlineStr">
        <is>
          <t>SOL-19JUN26-72-P-USDT</t>
        </is>
      </c>
      <c r="B33" t="n">
        <v>72</v>
      </c>
      <c r="C33" t="n">
        <v>-0.49024754</v>
      </c>
      <c r="D33" t="n">
        <v>0.05064232</v>
      </c>
      <c r="E33" t="n">
        <v>0.05888837</v>
      </c>
      <c r="F33" t="n">
        <v>-0.10162267</v>
      </c>
      <c r="G33" t="n">
        <v>3.26691672</v>
      </c>
      <c r="H33" t="n">
        <v>0.5334</v>
      </c>
      <c r="I33" t="n">
        <v>15</v>
      </c>
      <c r="J33" t="n">
        <v>0.0410958904109589</v>
      </c>
      <c r="K33" t="inlineStr">
        <is>
          <t>PUT</t>
        </is>
      </c>
      <c r="L33" t="n">
        <v>71.72</v>
      </c>
      <c r="M33" t="n">
        <v>0.217794448</v>
      </c>
      <c r="N33" t="inlineStr">
        <is>
          <t>39</t>
        </is>
      </c>
    </row>
    <row r="34">
      <c r="A34" t="inlineStr">
        <is>
          <t>SOL-19JUN26-74-P-USDT</t>
        </is>
      </c>
      <c r="B34" t="n">
        <v>74</v>
      </c>
      <c r="C34" t="n">
        <v>-0.58951886</v>
      </c>
      <c r="D34" t="n">
        <v>0.04953823</v>
      </c>
      <c r="E34" t="n">
        <v>0.05741668</v>
      </c>
      <c r="F34" t="n">
        <v>-0.09875995999999999</v>
      </c>
      <c r="G34" t="n">
        <v>4.42338163</v>
      </c>
      <c r="H34" t="n">
        <v>0.5317</v>
      </c>
      <c r="I34" t="n">
        <v>15</v>
      </c>
      <c r="J34" t="n">
        <v>0.0410958904109589</v>
      </c>
      <c r="K34" t="inlineStr">
        <is>
          <t>PUT</t>
        </is>
      </c>
      <c r="L34" t="n">
        <v>71.72</v>
      </c>
      <c r="M34" t="n">
        <v>0.2948921086666667</v>
      </c>
      <c r="N34" t="inlineStr">
        <is>
          <t>29</t>
        </is>
      </c>
    </row>
    <row r="35">
      <c r="A35" t="inlineStr">
        <is>
          <t>SOL-19JUN26-76-P-USDT</t>
        </is>
      </c>
      <c r="B35" t="n">
        <v>76</v>
      </c>
      <c r="C35" t="n">
        <v>-0.67938217</v>
      </c>
      <c r="D35" t="n">
        <v>0.04526957</v>
      </c>
      <c r="E35" t="n">
        <v>0.05284576</v>
      </c>
      <c r="F35" t="n">
        <v>-0.09155017</v>
      </c>
      <c r="G35" t="n">
        <v>5.79585905</v>
      </c>
      <c r="H35" t="n">
        <v>0.5355</v>
      </c>
      <c r="I35" t="n">
        <v>15</v>
      </c>
      <c r="J35" t="n">
        <v>0.0410958904109589</v>
      </c>
      <c r="K35" t="inlineStr">
        <is>
          <t>PUT</t>
        </is>
      </c>
      <c r="L35" t="n">
        <v>71.72</v>
      </c>
      <c r="M35" t="n">
        <v>0.3863906033333333</v>
      </c>
      <c r="N35" t="inlineStr">
        <is>
          <t>8</t>
        </is>
      </c>
    </row>
    <row r="36">
      <c r="A36" t="inlineStr">
        <is>
          <t>SOL-19JUN26-70-C-USDT</t>
        </is>
      </c>
      <c r="B36" t="n">
        <v>70</v>
      </c>
      <c r="C36" t="n">
        <v>0.60975013</v>
      </c>
      <c r="D36" t="n">
        <v>0.04802137</v>
      </c>
      <c r="E36" t="n">
        <v>0.05666261</v>
      </c>
      <c r="F36" t="n">
        <v>-0.09922104</v>
      </c>
      <c r="G36" t="n">
        <v>4.10515152</v>
      </c>
      <c r="H36" t="n">
        <v>0.5413</v>
      </c>
      <c r="I36" t="n">
        <v>15</v>
      </c>
      <c r="J36" t="n">
        <v>0.0410958904109589</v>
      </c>
      <c r="K36" t="inlineStr">
        <is>
          <t>CALL</t>
        </is>
      </c>
      <c r="L36" t="n">
        <v>71.72</v>
      </c>
      <c r="M36" t="n">
        <v>0.273676768</v>
      </c>
      <c r="N36" t="inlineStr">
        <is>
          <t>0</t>
        </is>
      </c>
    </row>
    <row r="37">
      <c r="A37" t="inlineStr">
        <is>
          <t>SOL-19JUN26-72-C-USDT</t>
        </is>
      </c>
      <c r="B37" t="n">
        <v>72</v>
      </c>
      <c r="C37" t="n">
        <v>0.50975247</v>
      </c>
      <c r="D37" t="n">
        <v>0.05064232</v>
      </c>
      <c r="E37" t="n">
        <v>0.05888837</v>
      </c>
      <c r="F37" t="n">
        <v>-0.10162267</v>
      </c>
      <c r="G37" t="n">
        <v>3.02691672</v>
      </c>
      <c r="H37" t="n">
        <v>0.5334</v>
      </c>
      <c r="I37" t="n">
        <v>15</v>
      </c>
      <c r="J37" t="n">
        <v>0.0410958904109589</v>
      </c>
      <c r="K37" t="inlineStr">
        <is>
          <t>CALL</t>
        </is>
      </c>
      <c r="L37" t="n">
        <v>71.72</v>
      </c>
      <c r="M37" t="n">
        <v>0.201794448</v>
      </c>
      <c r="N37" t="inlineStr">
        <is>
          <t>0</t>
        </is>
      </c>
    </row>
    <row r="38">
      <c r="A38" t="inlineStr">
        <is>
          <t>SOL-19JUN26-74-C-USDT</t>
        </is>
      </c>
      <c r="B38" t="n">
        <v>74</v>
      </c>
      <c r="C38" t="n">
        <v>0.41048115</v>
      </c>
      <c r="D38" t="n">
        <v>0.04953823</v>
      </c>
      <c r="E38" t="n">
        <v>0.05741668</v>
      </c>
      <c r="F38" t="n">
        <v>-0.09875995999999999</v>
      </c>
      <c r="G38" t="n">
        <v>2.18338163</v>
      </c>
      <c r="H38" t="n">
        <v>0.5317</v>
      </c>
      <c r="I38" t="n">
        <v>15</v>
      </c>
      <c r="J38" t="n">
        <v>0.0410958904109589</v>
      </c>
      <c r="K38" t="inlineStr">
        <is>
          <t>CALL</t>
        </is>
      </c>
      <c r="L38" t="n">
        <v>71.72</v>
      </c>
      <c r="M38" t="n">
        <v>0.1455587753333333</v>
      </c>
      <c r="N38" t="inlineStr">
        <is>
          <t>9</t>
        </is>
      </c>
    </row>
    <row r="39">
      <c r="A39" t="inlineStr">
        <is>
          <t>SOL-19JUN26-76-C-USDT</t>
        </is>
      </c>
      <c r="B39" t="n">
        <v>76</v>
      </c>
      <c r="C39" t="n">
        <v>0.32061783</v>
      </c>
      <c r="D39" t="n">
        <v>0.04526957</v>
      </c>
      <c r="E39" t="n">
        <v>0.05284576</v>
      </c>
      <c r="F39" t="n">
        <v>-0.09155017</v>
      </c>
      <c r="G39" t="n">
        <v>1.55585905</v>
      </c>
      <c r="H39" t="n">
        <v>0.5355</v>
      </c>
      <c r="I39" t="n">
        <v>15</v>
      </c>
      <c r="J39" t="n">
        <v>0.0410958904109589</v>
      </c>
      <c r="K39" t="inlineStr">
        <is>
          <t>CALL</t>
        </is>
      </c>
      <c r="L39" t="n">
        <v>71.72</v>
      </c>
      <c r="M39" t="n">
        <v>0.1037239366666667</v>
      </c>
      <c r="N39" t="inlineStr">
        <is>
          <t>11</t>
        </is>
      </c>
    </row>
    <row r="40">
      <c r="A40" t="inlineStr">
        <is>
          <t>SOL-19JUN26-78-C-USDT</t>
        </is>
      </c>
      <c r="B40" t="n">
        <v>78</v>
      </c>
      <c r="C40" t="n">
        <v>0.2453407</v>
      </c>
      <c r="D40" t="n">
        <v>0.03917986</v>
      </c>
      <c r="E40" t="n">
        <v>0.04645233</v>
      </c>
      <c r="F40" t="n">
        <v>-0.08173297</v>
      </c>
      <c r="G40" t="n">
        <v>1.10624746</v>
      </c>
      <c r="H40" t="n">
        <v>0.5439000000000001</v>
      </c>
      <c r="I40" t="n">
        <v>15</v>
      </c>
      <c r="J40" t="n">
        <v>0.0410958904109589</v>
      </c>
      <c r="K40" t="inlineStr">
        <is>
          <t>CALL</t>
        </is>
      </c>
      <c r="L40" t="n">
        <v>71.72</v>
      </c>
      <c r="M40" t="n">
        <v>0.07374983066666667</v>
      </c>
      <c r="N40" t="inlineStr">
        <is>
          <t>10</t>
        </is>
      </c>
    </row>
    <row r="41">
      <c r="A41" t="inlineStr">
        <is>
          <t>SOL-19JUN26-80-C-USDT</t>
        </is>
      </c>
      <c r="B41" t="n">
        <v>80</v>
      </c>
      <c r="C41" t="n">
        <v>0.18576064</v>
      </c>
      <c r="D41" t="n">
        <v>0.03261954</v>
      </c>
      <c r="E41" t="n">
        <v>0.03951409</v>
      </c>
      <c r="F41" t="n">
        <v>-0.07103484</v>
      </c>
      <c r="G41" t="n">
        <v>0.79109783</v>
      </c>
      <c r="H41" t="n">
        <v>0.5557</v>
      </c>
      <c r="I41" t="n">
        <v>15</v>
      </c>
      <c r="J41" t="n">
        <v>0.0410958904109589</v>
      </c>
      <c r="K41" t="inlineStr">
        <is>
          <t>CALL</t>
        </is>
      </c>
      <c r="L41" t="n">
        <v>71.72</v>
      </c>
      <c r="M41" t="n">
        <v>0.05273985533333334</v>
      </c>
      <c r="N41" t="inlineStr">
        <is>
          <t>525</t>
        </is>
      </c>
    </row>
    <row r="42">
      <c r="A42" t="inlineStr">
        <is>
          <t>SOL-19JUN26-82-C-USDT</t>
        </is>
      </c>
      <c r="B42" t="n">
        <v>82</v>
      </c>
      <c r="C42" t="n">
        <v>0.14028696</v>
      </c>
      <c r="D42" t="n">
        <v>0.02649005</v>
      </c>
      <c r="E42" t="n">
        <v>0.03291039</v>
      </c>
      <c r="F42" t="n">
        <v>-0.06067762</v>
      </c>
      <c r="G42" t="n">
        <v>0.57195305</v>
      </c>
      <c r="H42" t="n">
        <v>0.5699</v>
      </c>
      <c r="I42" t="n">
        <v>15</v>
      </c>
      <c r="J42" t="n">
        <v>0.0410958904109589</v>
      </c>
      <c r="K42" t="inlineStr">
        <is>
          <t>CALL</t>
        </is>
      </c>
      <c r="L42" t="n">
        <v>71.72</v>
      </c>
      <c r="M42" t="n">
        <v>0.03813020333333333</v>
      </c>
      <c r="N42" t="inlineStr">
        <is>
          <t>82</t>
        </is>
      </c>
    </row>
    <row r="43">
      <c r="A43" t="inlineStr">
        <is>
          <t>SOL-19JUN26-84-C-USDT</t>
        </is>
      </c>
      <c r="B43" t="n">
        <v>84</v>
      </c>
      <c r="C43" t="n">
        <v>0.1062648</v>
      </c>
      <c r="D43" t="n">
        <v>0.02121022</v>
      </c>
      <c r="E43" t="n">
        <v>0.02708248</v>
      </c>
      <c r="F43" t="n">
        <v>-0.05131886</v>
      </c>
      <c r="G43" t="n">
        <v>0.41922961</v>
      </c>
      <c r="H43" t="n">
        <v>0.5857</v>
      </c>
      <c r="I43" t="n">
        <v>15</v>
      </c>
      <c r="J43" t="n">
        <v>0.0410958904109589</v>
      </c>
      <c r="K43" t="inlineStr">
        <is>
          <t>CALL</t>
        </is>
      </c>
      <c r="L43" t="n">
        <v>71.72</v>
      </c>
      <c r="M43" t="n">
        <v>0.02794864066666667</v>
      </c>
      <c r="N43" t="inlineStr">
        <is>
          <t>129</t>
        </is>
      </c>
    </row>
    <row r="44">
      <c r="A44" t="inlineStr">
        <is>
          <t>SOL-19JUN26-86-C-USDT</t>
        </is>
      </c>
      <c r="B44" t="n">
        <v>86</v>
      </c>
      <c r="C44" t="n">
        <v>0.08102022</v>
      </c>
      <c r="D44" t="n">
        <v>0.01687255</v>
      </c>
      <c r="E44" t="n">
        <v>0.02216251</v>
      </c>
      <c r="F44" t="n">
        <v>-0.04320188</v>
      </c>
      <c r="G44" t="n">
        <v>0.31187309</v>
      </c>
      <c r="H44" t="n">
        <v>0.6025</v>
      </c>
      <c r="I44" t="n">
        <v>15</v>
      </c>
      <c r="J44" t="n">
        <v>0.0410958904109589</v>
      </c>
      <c r="K44" t="inlineStr">
        <is>
          <t>CALL</t>
        </is>
      </c>
      <c r="L44" t="n">
        <v>71.72</v>
      </c>
      <c r="M44" t="n">
        <v>0.02079153933333333</v>
      </c>
      <c r="N44" t="inlineStr">
        <is>
          <t>21</t>
        </is>
      </c>
    </row>
    <row r="45">
      <c r="A45" t="inlineStr">
        <is>
          <t>SOL-19JUN26-90-C-USDT</t>
        </is>
      </c>
      <c r="B45" t="n">
        <v>90</v>
      </c>
      <c r="C45" t="n">
        <v>0.04836164</v>
      </c>
      <c r="D45" t="n">
        <v>0.01066874</v>
      </c>
      <c r="E45" t="n">
        <v>0.01482868</v>
      </c>
      <c r="F45" t="n">
        <v>-0.03058704</v>
      </c>
      <c r="G45" t="n">
        <v>0.18037137</v>
      </c>
      <c r="H45" t="n">
        <v>0.6375999999999999</v>
      </c>
      <c r="I45" t="n">
        <v>15</v>
      </c>
      <c r="J45" t="n">
        <v>0.0410958904109589</v>
      </c>
      <c r="K45" t="inlineStr">
        <is>
          <t>CALL</t>
        </is>
      </c>
      <c r="L45" t="n">
        <v>71.72</v>
      </c>
      <c r="M45" t="n">
        <v>0.012024758</v>
      </c>
      <c r="N45" t="inlineStr">
        <is>
          <t>502</t>
        </is>
      </c>
    </row>
    <row r="46">
      <c r="A46" t="inlineStr">
        <is>
          <t>SOL-19JUN26-100-C-USDT</t>
        </is>
      </c>
      <c r="B46" t="n">
        <v>100</v>
      </c>
      <c r="C46" t="n">
        <v>0.01572586</v>
      </c>
      <c r="D46" t="n">
        <v>0.00368642</v>
      </c>
      <c r="E46" t="n">
        <v>0.00582335</v>
      </c>
      <c r="F46" t="n">
        <v>-0.01365166</v>
      </c>
      <c r="G46" t="n">
        <v>0.05719793</v>
      </c>
      <c r="H46" t="n">
        <v>0.7246</v>
      </c>
      <c r="I46" t="n">
        <v>15</v>
      </c>
      <c r="J46" t="n">
        <v>0.0410958904109589</v>
      </c>
      <c r="K46" t="inlineStr">
        <is>
          <t>CALL</t>
        </is>
      </c>
      <c r="L46" t="n">
        <v>71.72</v>
      </c>
      <c r="M46" t="n">
        <v>0.003813195333333333</v>
      </c>
      <c r="N46" t="inlineStr">
        <is>
          <t>208</t>
        </is>
      </c>
    </row>
    <row r="47">
      <c r="A47" t="inlineStr">
        <is>
          <t>SOL-26JUN26-50-P-USDT</t>
        </is>
      </c>
      <c r="B47" t="n">
        <v>50</v>
      </c>
      <c r="C47" t="n">
        <v>-0.02077109</v>
      </c>
      <c r="D47" t="n">
        <v>0.0037571</v>
      </c>
      <c r="E47" t="n">
        <v>0.00889465</v>
      </c>
      <c r="F47" t="n">
        <v>-0.0148149</v>
      </c>
      <c r="G47" t="n">
        <v>0.10871688</v>
      </c>
      <c r="H47" t="n">
        <v>0.748</v>
      </c>
      <c r="I47" t="n">
        <v>22</v>
      </c>
      <c r="J47" t="n">
        <v>0.06027397260273973</v>
      </c>
      <c r="K47" t="inlineStr">
        <is>
          <t>PUT</t>
        </is>
      </c>
      <c r="L47" t="n">
        <v>71.72</v>
      </c>
      <c r="M47" t="n">
        <v>0.004941676363636364</v>
      </c>
      <c r="N47" t="inlineStr">
        <is>
          <t>0</t>
        </is>
      </c>
    </row>
    <row r="48">
      <c r="A48" t="inlineStr">
        <is>
          <t>SOL-26JUN26-60-P-USDT</t>
        </is>
      </c>
      <c r="B48" t="n">
        <v>60</v>
      </c>
      <c r="C48" t="n">
        <v>-0.10471492</v>
      </c>
      <c r="D48" t="n">
        <v>0.01671101</v>
      </c>
      <c r="E48" t="n">
        <v>0.03228647</v>
      </c>
      <c r="F48" t="n">
        <v>-0.04388664</v>
      </c>
      <c r="G48" t="n">
        <v>0.58002242</v>
      </c>
      <c r="H48" t="n">
        <v>0.6105</v>
      </c>
      <c r="I48" t="n">
        <v>22</v>
      </c>
      <c r="J48" t="n">
        <v>0.06027397260273973</v>
      </c>
      <c r="K48" t="inlineStr">
        <is>
          <t>PUT</t>
        </is>
      </c>
      <c r="L48" t="n">
        <v>71.72</v>
      </c>
      <c r="M48" t="n">
        <v>0.02636465545454546</v>
      </c>
      <c r="N48" t="inlineStr">
        <is>
          <t>5242</t>
        </is>
      </c>
    </row>
    <row r="49">
      <c r="A49" t="inlineStr">
        <is>
          <t>SOL-26JUN26-70-P-USDT</t>
        </is>
      </c>
      <c r="B49" t="n">
        <v>70</v>
      </c>
      <c r="C49" t="n">
        <v>-0.40115638</v>
      </c>
      <c r="D49" t="n">
        <v>0.04062838</v>
      </c>
      <c r="E49" t="n">
        <v>0.06878537</v>
      </c>
      <c r="F49" t="n">
        <v>-0.08193253</v>
      </c>
      <c r="G49" t="n">
        <v>2.94612682</v>
      </c>
      <c r="H49" t="n">
        <v>0.535</v>
      </c>
      <c r="I49" t="n">
        <v>22</v>
      </c>
      <c r="J49" t="n">
        <v>0.06027397260273973</v>
      </c>
      <c r="K49" t="inlineStr">
        <is>
          <t>PUT</t>
        </is>
      </c>
      <c r="L49" t="n">
        <v>71.72</v>
      </c>
      <c r="M49" t="n">
        <v>0.1339148554545455</v>
      </c>
      <c r="N49" t="inlineStr">
        <is>
          <t>4181</t>
        </is>
      </c>
    </row>
    <row r="50">
      <c r="A50" t="inlineStr">
        <is>
          <t>SOL-26JUN26-72-P-USDT</t>
        </is>
      </c>
      <c r="B50" t="n">
        <v>72</v>
      </c>
      <c r="C50" t="n">
        <v>-0.48515147</v>
      </c>
      <c r="D50" t="n">
        <v>0.04224319</v>
      </c>
      <c r="E50" t="n">
        <v>0.07092598999999999</v>
      </c>
      <c r="F50" t="n">
        <v>-0.08378144</v>
      </c>
      <c r="G50" t="n">
        <v>3.90588002</v>
      </c>
      <c r="H50" t="n">
        <v>0.5305</v>
      </c>
      <c r="I50" t="n">
        <v>22</v>
      </c>
      <c r="J50" t="n">
        <v>0.06027397260273973</v>
      </c>
      <c r="K50" t="inlineStr">
        <is>
          <t>PUT</t>
        </is>
      </c>
      <c r="L50" t="n">
        <v>71.72</v>
      </c>
      <c r="M50" t="n">
        <v>0.1775400009090909</v>
      </c>
      <c r="N50" t="inlineStr">
        <is>
          <t>3167</t>
        </is>
      </c>
    </row>
    <row r="51">
      <c r="A51" t="inlineStr">
        <is>
          <t>SOL-26JUN26-74-P-USDT</t>
        </is>
      </c>
      <c r="B51" t="n">
        <v>74</v>
      </c>
      <c r="C51" t="n">
        <v>-0.56806773</v>
      </c>
      <c r="D51" t="n">
        <v>0.04171575</v>
      </c>
      <c r="E51" t="n">
        <v>0.06993953999999999</v>
      </c>
      <c r="F51" t="n">
        <v>-0.08249721</v>
      </c>
      <c r="G51" t="n">
        <v>5.05794603</v>
      </c>
      <c r="H51" t="n">
        <v>0.5298</v>
      </c>
      <c r="I51" t="n">
        <v>22</v>
      </c>
      <c r="J51" t="n">
        <v>0.06027397260273973</v>
      </c>
      <c r="K51" t="inlineStr">
        <is>
          <t>PUT</t>
        </is>
      </c>
      <c r="L51" t="n">
        <v>71.72</v>
      </c>
      <c r="M51" t="n">
        <v>0.2299066377272727</v>
      </c>
      <c r="N51" t="inlineStr">
        <is>
          <t>3381</t>
        </is>
      </c>
    </row>
    <row r="52">
      <c r="A52" t="inlineStr">
        <is>
          <t>SOL-26JUN26-76-P-USDT</t>
        </is>
      </c>
      <c r="B52" t="n">
        <v>76</v>
      </c>
      <c r="C52" t="n">
        <v>-0.64770634</v>
      </c>
      <c r="D52" t="n">
        <v>0.03976346</v>
      </c>
      <c r="E52" t="n">
        <v>0.06605303999999999</v>
      </c>
      <c r="F52" t="n">
        <v>-0.07719608</v>
      </c>
      <c r="G52" t="n">
        <v>6.33957907</v>
      </c>
      <c r="H52" t="n">
        <v>0.5249</v>
      </c>
      <c r="I52" t="n">
        <v>22</v>
      </c>
      <c r="J52" t="n">
        <v>0.06027397260273973</v>
      </c>
      <c r="K52" t="inlineStr">
        <is>
          <t>PUT</t>
        </is>
      </c>
      <c r="L52" t="n">
        <v>71.72</v>
      </c>
      <c r="M52" t="n">
        <v>0.288162685</v>
      </c>
      <c r="N52" t="inlineStr">
        <is>
          <t>4604</t>
        </is>
      </c>
    </row>
    <row r="53">
      <c r="A53" t="inlineStr">
        <is>
          <t>SOL-26JUN26-70-C-USDT</t>
        </is>
      </c>
      <c r="B53" t="n">
        <v>70</v>
      </c>
      <c r="C53" t="n">
        <v>0.59884362</v>
      </c>
      <c r="D53" t="n">
        <v>0.04062838</v>
      </c>
      <c r="E53" t="n">
        <v>0.06878537</v>
      </c>
      <c r="F53" t="n">
        <v>-0.08193253</v>
      </c>
      <c r="G53" t="n">
        <v>4.67612682</v>
      </c>
      <c r="H53" t="n">
        <v>0.535</v>
      </c>
      <c r="I53" t="n">
        <v>22</v>
      </c>
      <c r="J53" t="n">
        <v>0.06027397260273973</v>
      </c>
      <c r="K53" t="inlineStr">
        <is>
          <t>CALL</t>
        </is>
      </c>
      <c r="L53" t="n">
        <v>71.72</v>
      </c>
      <c r="M53" t="n">
        <v>0.2125512190909091</v>
      </c>
      <c r="N53" t="inlineStr">
        <is>
          <t>1211</t>
        </is>
      </c>
    </row>
    <row r="54">
      <c r="A54" t="inlineStr">
        <is>
          <t>SOL-26JUN26-72-C-USDT</t>
        </is>
      </c>
      <c r="B54" t="n">
        <v>72</v>
      </c>
      <c r="C54" t="n">
        <v>0.51484853</v>
      </c>
      <c r="D54" t="n">
        <v>0.04224319</v>
      </c>
      <c r="E54" t="n">
        <v>0.07092598999999999</v>
      </c>
      <c r="F54" t="n">
        <v>-0.08378144</v>
      </c>
      <c r="G54" t="n">
        <v>3.63588002</v>
      </c>
      <c r="H54" t="n">
        <v>0.5305</v>
      </c>
      <c r="I54" t="n">
        <v>22</v>
      </c>
      <c r="J54" t="n">
        <v>0.06027397260273973</v>
      </c>
      <c r="K54" t="inlineStr">
        <is>
          <t>CALL</t>
        </is>
      </c>
      <c r="L54" t="n">
        <v>71.72</v>
      </c>
      <c r="M54" t="n">
        <v>0.1652672736363636</v>
      </c>
      <c r="N54" t="inlineStr">
        <is>
          <t>92</t>
        </is>
      </c>
    </row>
    <row r="55">
      <c r="A55" t="inlineStr">
        <is>
          <t>SOL-26JUN26-74-C-USDT</t>
        </is>
      </c>
      <c r="B55" t="n">
        <v>74</v>
      </c>
      <c r="C55" t="n">
        <v>0.43193228</v>
      </c>
      <c r="D55" t="n">
        <v>0.04171575</v>
      </c>
      <c r="E55" t="n">
        <v>0.06993953999999999</v>
      </c>
      <c r="F55" t="n">
        <v>-0.08249721</v>
      </c>
      <c r="G55" t="n">
        <v>2.78794603</v>
      </c>
      <c r="H55" t="n">
        <v>0.5298</v>
      </c>
      <c r="I55" t="n">
        <v>22</v>
      </c>
      <c r="J55" t="n">
        <v>0.06027397260273973</v>
      </c>
      <c r="K55" t="inlineStr">
        <is>
          <t>CALL</t>
        </is>
      </c>
      <c r="L55" t="n">
        <v>71.72</v>
      </c>
      <c r="M55" t="n">
        <v>0.1267248195454546</v>
      </c>
      <c r="N55" t="inlineStr">
        <is>
          <t>386</t>
        </is>
      </c>
    </row>
    <row r="56">
      <c r="A56" t="inlineStr">
        <is>
          <t>SOL-26JUN26-76-C-USDT</t>
        </is>
      </c>
      <c r="B56" t="n">
        <v>76</v>
      </c>
      <c r="C56" t="n">
        <v>0.35229367</v>
      </c>
      <c r="D56" t="n">
        <v>0.03976346</v>
      </c>
      <c r="E56" t="n">
        <v>0.06605303999999999</v>
      </c>
      <c r="F56" t="n">
        <v>-0.07719608</v>
      </c>
      <c r="G56" t="n">
        <v>2.06957907</v>
      </c>
      <c r="H56" t="n">
        <v>0.5249</v>
      </c>
      <c r="I56" t="n">
        <v>22</v>
      </c>
      <c r="J56" t="n">
        <v>0.06027397260273973</v>
      </c>
      <c r="K56" t="inlineStr">
        <is>
          <t>CALL</t>
        </is>
      </c>
      <c r="L56" t="n">
        <v>71.72</v>
      </c>
      <c r="M56" t="n">
        <v>0.09407177590909091</v>
      </c>
      <c r="N56" t="inlineStr">
        <is>
          <t>316</t>
        </is>
      </c>
    </row>
    <row r="57">
      <c r="A57" t="inlineStr">
        <is>
          <t>SOL-26JUN26-78-C-USDT</t>
        </is>
      </c>
      <c r="B57" t="n">
        <v>78</v>
      </c>
      <c r="C57" t="n">
        <v>0.28583478</v>
      </c>
      <c r="D57" t="n">
        <v>0.03573975</v>
      </c>
      <c r="E57" t="n">
        <v>0.06048415</v>
      </c>
      <c r="F57" t="n">
        <v>-0.07201542</v>
      </c>
      <c r="G57" t="n">
        <v>1.58612726</v>
      </c>
      <c r="H57" t="n">
        <v>0.5347</v>
      </c>
      <c r="I57" t="n">
        <v>22</v>
      </c>
      <c r="J57" t="n">
        <v>0.06027397260273973</v>
      </c>
      <c r="K57" t="inlineStr">
        <is>
          <t>CALL</t>
        </is>
      </c>
      <c r="L57" t="n">
        <v>71.72</v>
      </c>
      <c r="M57" t="n">
        <v>0.07209669363636363</v>
      </c>
      <c r="N57" t="inlineStr">
        <is>
          <t>362</t>
        </is>
      </c>
    </row>
    <row r="58">
      <c r="A58" t="inlineStr">
        <is>
          <t>SOL-26JUN26-80-C-USDT</t>
        </is>
      </c>
      <c r="B58" t="n">
        <v>80</v>
      </c>
      <c r="C58" t="n">
        <v>0.22986858</v>
      </c>
      <c r="D58" t="n">
        <v>0.03129345</v>
      </c>
      <c r="E58" t="n">
        <v>0.05400424</v>
      </c>
      <c r="F58" t="n">
        <v>-0.06556864</v>
      </c>
      <c r="G58" t="n">
        <v>1.21487374</v>
      </c>
      <c r="H58" t="n">
        <v>0.5453</v>
      </c>
      <c r="I58" t="n">
        <v>22</v>
      </c>
      <c r="J58" t="n">
        <v>0.06027397260273973</v>
      </c>
      <c r="K58" t="inlineStr">
        <is>
          <t>CALL</t>
        </is>
      </c>
      <c r="L58" t="n">
        <v>71.72</v>
      </c>
      <c r="M58" t="n">
        <v>0.05522153363636364</v>
      </c>
      <c r="N58" t="inlineStr">
        <is>
          <t>1118</t>
        </is>
      </c>
    </row>
    <row r="59">
      <c r="A59" t="inlineStr">
        <is>
          <t>SOL-26JUN26-82-C-USDT</t>
        </is>
      </c>
      <c r="B59" t="n">
        <v>82</v>
      </c>
      <c r="C59" t="n">
        <v>0.1829895</v>
      </c>
      <c r="D59" t="n">
        <v>0.02687065</v>
      </c>
      <c r="E59" t="n">
        <v>0.04716697</v>
      </c>
      <c r="F59" t="n">
        <v>-0.05824942</v>
      </c>
      <c r="G59" t="n">
        <v>0.9240034499999999</v>
      </c>
      <c r="H59" t="n">
        <v>0.5546</v>
      </c>
      <c r="I59" t="n">
        <v>22</v>
      </c>
      <c r="J59" t="n">
        <v>0.06027397260273973</v>
      </c>
      <c r="K59" t="inlineStr">
        <is>
          <t>CALL</t>
        </is>
      </c>
      <c r="L59" t="n">
        <v>71.72</v>
      </c>
      <c r="M59" t="n">
        <v>0.04200015681818182</v>
      </c>
      <c r="N59" t="inlineStr">
        <is>
          <t>283</t>
        </is>
      </c>
    </row>
    <row r="60">
      <c r="A60" t="inlineStr">
        <is>
          <t>SOL-26JUN26-84-C-USDT</t>
        </is>
      </c>
      <c r="B60" t="n">
        <v>84</v>
      </c>
      <c r="C60" t="n">
        <v>0.14541058</v>
      </c>
      <c r="D60" t="n">
        <v>0.02270952</v>
      </c>
      <c r="E60" t="n">
        <v>0.04062655</v>
      </c>
      <c r="F60" t="n">
        <v>-0.05113353</v>
      </c>
      <c r="G60" t="n">
        <v>0.70736953</v>
      </c>
      <c r="H60" t="n">
        <v>0.5653</v>
      </c>
      <c r="I60" t="n">
        <v>22</v>
      </c>
      <c r="J60" t="n">
        <v>0.06027397260273973</v>
      </c>
      <c r="K60" t="inlineStr">
        <is>
          <t>CALL</t>
        </is>
      </c>
      <c r="L60" t="n">
        <v>71.72</v>
      </c>
      <c r="M60" t="n">
        <v>0.03215316045454546</v>
      </c>
      <c r="N60" t="inlineStr">
        <is>
          <t>539</t>
        </is>
      </c>
    </row>
    <row r="61">
      <c r="A61" t="inlineStr">
        <is>
          <t>SOL-26JUN26-86-C-USDT</t>
        </is>
      </c>
      <c r="B61" t="n">
        <v>86</v>
      </c>
      <c r="C61" t="n">
        <v>0.11567778</v>
      </c>
      <c r="D61" t="n">
        <v>0.01899637</v>
      </c>
      <c r="E61" t="n">
        <v>0.03467697</v>
      </c>
      <c r="F61" t="n">
        <v>-0.04453543</v>
      </c>
      <c r="G61" t="n">
        <v>0.5458930400000001</v>
      </c>
      <c r="H61" t="n">
        <v>0.5768</v>
      </c>
      <c r="I61" t="n">
        <v>22</v>
      </c>
      <c r="J61" t="n">
        <v>0.06027397260273973</v>
      </c>
      <c r="K61" t="inlineStr">
        <is>
          <t>CALL</t>
        </is>
      </c>
      <c r="L61" t="n">
        <v>71.72</v>
      </c>
      <c r="M61" t="n">
        <v>0.02481332</v>
      </c>
      <c r="N61" t="inlineStr">
        <is>
          <t>562</t>
        </is>
      </c>
    </row>
    <row r="62">
      <c r="A62" t="inlineStr">
        <is>
          <t>SOL-26JUN26-88-C-USDT</t>
        </is>
      </c>
      <c r="B62" t="n">
        <v>88</v>
      </c>
      <c r="C62" t="n">
        <v>0.09231644</v>
      </c>
      <c r="D62" t="n">
        <v>0.0157952</v>
      </c>
      <c r="E62" t="n">
        <v>0.02944027</v>
      </c>
      <c r="F62" t="n">
        <v>-0.03860577</v>
      </c>
      <c r="G62" t="n">
        <v>0.42502343</v>
      </c>
      <c r="H62" t="n">
        <v>0.5889</v>
      </c>
      <c r="I62" t="n">
        <v>22</v>
      </c>
      <c r="J62" t="n">
        <v>0.06027397260273973</v>
      </c>
      <c r="K62" t="inlineStr">
        <is>
          <t>CALL</t>
        </is>
      </c>
      <c r="L62" t="n">
        <v>71.72</v>
      </c>
      <c r="M62" t="n">
        <v>0.01931924681818182</v>
      </c>
      <c r="N62" t="inlineStr">
        <is>
          <t>1026</t>
        </is>
      </c>
    </row>
    <row r="63">
      <c r="A63" t="inlineStr">
        <is>
          <t>SOL-26JUN26-90-C-USDT</t>
        </is>
      </c>
      <c r="B63" t="n">
        <v>90</v>
      </c>
      <c r="C63" t="n">
        <v>0.07400804</v>
      </c>
      <c r="D63" t="n">
        <v>0.01309634</v>
      </c>
      <c r="E63" t="n">
        <v>0.02492923</v>
      </c>
      <c r="F63" t="n">
        <v>-0.03338577</v>
      </c>
      <c r="G63" t="n">
        <v>0.3339674</v>
      </c>
      <c r="H63" t="n">
        <v>0.6015</v>
      </c>
      <c r="I63" t="n">
        <v>22</v>
      </c>
      <c r="J63" t="n">
        <v>0.06027397260273973</v>
      </c>
      <c r="K63" t="inlineStr">
        <is>
          <t>CALL</t>
        </is>
      </c>
      <c r="L63" t="n">
        <v>71.72</v>
      </c>
      <c r="M63" t="n">
        <v>0.01518033636363636</v>
      </c>
      <c r="N63" t="inlineStr">
        <is>
          <t>700</t>
        </is>
      </c>
    </row>
    <row r="64">
      <c r="A64" t="inlineStr">
        <is>
          <t>SOL-26JUN26-92-C-USDT</t>
        </is>
      </c>
      <c r="B64" t="n">
        <v>92</v>
      </c>
      <c r="C64" t="n">
        <v>0.05965174</v>
      </c>
      <c r="D64" t="n">
        <v>0.0108528</v>
      </c>
      <c r="E64" t="n">
        <v>0.02109655</v>
      </c>
      <c r="F64" t="n">
        <v>-0.02885192</v>
      </c>
      <c r="G64" t="n">
        <v>0.26483816</v>
      </c>
      <c r="H64" t="n">
        <v>0.6142</v>
      </c>
      <c r="I64" t="n">
        <v>22</v>
      </c>
      <c r="J64" t="n">
        <v>0.06027397260273973</v>
      </c>
      <c r="K64" t="inlineStr">
        <is>
          <t>CALL</t>
        </is>
      </c>
      <c r="L64" t="n">
        <v>71.72</v>
      </c>
      <c r="M64" t="n">
        <v>0.01203809818181818</v>
      </c>
      <c r="N64" t="inlineStr">
        <is>
          <t>550</t>
        </is>
      </c>
    </row>
    <row r="65">
      <c r="A65" t="inlineStr">
        <is>
          <t>SOL-26JUN26-94-C-USDT</t>
        </is>
      </c>
      <c r="B65" t="n">
        <v>94</v>
      </c>
      <c r="C65" t="n">
        <v>0.04836433</v>
      </c>
      <c r="D65" t="n">
        <v>0.00900343</v>
      </c>
      <c r="E65" t="n">
        <v>0.01786771</v>
      </c>
      <c r="F65" t="n">
        <v>-0.02494731</v>
      </c>
      <c r="G65" t="n">
        <v>0.21191019</v>
      </c>
      <c r="H65" t="n">
        <v>0.6271</v>
      </c>
      <c r="I65" t="n">
        <v>22</v>
      </c>
      <c r="J65" t="n">
        <v>0.06027397260273973</v>
      </c>
      <c r="K65" t="inlineStr">
        <is>
          <t>CALL</t>
        </is>
      </c>
      <c r="L65" t="n">
        <v>71.72</v>
      </c>
      <c r="M65" t="n">
        <v>0.009632281363636364</v>
      </c>
      <c r="N65" t="inlineStr">
        <is>
          <t>974</t>
        </is>
      </c>
    </row>
    <row r="66">
      <c r="A66" t="inlineStr">
        <is>
          <t>SOL-26JUN26-96-C-USDT</t>
        </is>
      </c>
      <c r="B66" t="n">
        <v>96</v>
      </c>
      <c r="C66" t="n">
        <v>0.03945359</v>
      </c>
      <c r="D66" t="n">
        <v>0.00748583</v>
      </c>
      <c r="E66" t="n">
        <v>0.01516054</v>
      </c>
      <c r="F66" t="n">
        <v>-0.02160146</v>
      </c>
      <c r="G66" t="n">
        <v>0.17103072</v>
      </c>
      <c r="H66" t="n">
        <v>0.6399</v>
      </c>
      <c r="I66" t="n">
        <v>22</v>
      </c>
      <c r="J66" t="n">
        <v>0.06027397260273973</v>
      </c>
      <c r="K66" t="inlineStr">
        <is>
          <t>CALL</t>
        </is>
      </c>
      <c r="L66" t="n">
        <v>71.72</v>
      </c>
      <c r="M66" t="n">
        <v>0.007774123636363636</v>
      </c>
      <c r="N66" t="inlineStr">
        <is>
          <t>796</t>
        </is>
      </c>
    </row>
    <row r="67">
      <c r="A67" t="inlineStr">
        <is>
          <t>SOL-26JUN26-98-C-USDT</t>
        </is>
      </c>
      <c r="B67" t="n">
        <v>98</v>
      </c>
      <c r="C67" t="n">
        <v>0.03238411</v>
      </c>
      <c r="D67" t="n">
        <v>0.0062427</v>
      </c>
      <c r="E67" t="n">
        <v>0.0128957</v>
      </c>
      <c r="F67" t="n">
        <v>-0.01874181</v>
      </c>
      <c r="G67" t="n">
        <v>0.13917937</v>
      </c>
      <c r="H67" t="n">
        <v>0.6526999999999999</v>
      </c>
      <c r="I67" t="n">
        <v>22</v>
      </c>
      <c r="J67" t="n">
        <v>0.06027397260273973</v>
      </c>
      <c r="K67" t="inlineStr">
        <is>
          <t>CALL</t>
        </is>
      </c>
      <c r="L67" t="n">
        <v>71.72</v>
      </c>
      <c r="M67" t="n">
        <v>0.006326335</v>
      </c>
      <c r="N67" t="inlineStr">
        <is>
          <t>1406</t>
        </is>
      </c>
    </row>
    <row r="68">
      <c r="A68" t="inlineStr">
        <is>
          <t>SOL-26JUN26-100-C-USDT</t>
        </is>
      </c>
      <c r="B68" t="n">
        <v>100</v>
      </c>
      <c r="C68" t="n">
        <v>0.02674451</v>
      </c>
      <c r="D68" t="n">
        <v>0.00522425</v>
      </c>
      <c r="E68" t="n">
        <v>0.01100162</v>
      </c>
      <c r="F68" t="n">
        <v>-0.01629985</v>
      </c>
      <c r="G68" t="n">
        <v>0.11414808</v>
      </c>
      <c r="H68" t="n">
        <v>0.6654</v>
      </c>
      <c r="I68" t="n">
        <v>22</v>
      </c>
      <c r="J68" t="n">
        <v>0.06027397260273973</v>
      </c>
      <c r="K68" t="inlineStr">
        <is>
          <t>CALL</t>
        </is>
      </c>
      <c r="L68" t="n">
        <v>71.72</v>
      </c>
      <c r="M68" t="n">
        <v>0.005188549090909091</v>
      </c>
      <c r="N68" t="inlineStr">
        <is>
          <t>2110</t>
        </is>
      </c>
    </row>
    <row r="69">
      <c r="A69" t="inlineStr">
        <is>
          <t>SOL-26JUN26-102-C-USDT</t>
        </is>
      </c>
      <c r="B69" t="n">
        <v>102</v>
      </c>
      <c r="C69" t="n">
        <v>0.02221952</v>
      </c>
      <c r="D69" t="n">
        <v>0.00438865</v>
      </c>
      <c r="E69" t="n">
        <v>0.00941618</v>
      </c>
      <c r="F69" t="n">
        <v>-0.01421385</v>
      </c>
      <c r="G69" t="n">
        <v>0.09431207</v>
      </c>
      <c r="H69" t="n">
        <v>0.6778999999999999</v>
      </c>
      <c r="I69" t="n">
        <v>22</v>
      </c>
      <c r="J69" t="n">
        <v>0.06027397260273973</v>
      </c>
      <c r="K69" t="inlineStr">
        <is>
          <t>CALL</t>
        </is>
      </c>
      <c r="L69" t="n">
        <v>71.72</v>
      </c>
      <c r="M69" t="n">
        <v>0.004286912272727273</v>
      </c>
      <c r="N69" t="inlineStr">
        <is>
          <t>29</t>
        </is>
      </c>
    </row>
    <row r="70">
      <c r="A70" t="inlineStr">
        <is>
          <t>SOL-26JUN26-104-C-USDT</t>
        </is>
      </c>
      <c r="B70" t="n">
        <v>104</v>
      </c>
      <c r="C70" t="n">
        <v>0.0185674</v>
      </c>
      <c r="D70" t="n">
        <v>0.00370145</v>
      </c>
      <c r="E70" t="n">
        <v>0.0080867</v>
      </c>
      <c r="F70" t="n">
        <v>-0.0124298</v>
      </c>
      <c r="G70" t="n">
        <v>0.07846686</v>
      </c>
      <c r="H70" t="n">
        <v>0.6903</v>
      </c>
      <c r="I70" t="n">
        <v>22</v>
      </c>
      <c r="J70" t="n">
        <v>0.06027397260273973</v>
      </c>
      <c r="K70" t="inlineStr">
        <is>
          <t>CALL</t>
        </is>
      </c>
      <c r="L70" t="n">
        <v>71.72</v>
      </c>
      <c r="M70" t="n">
        <v>0.003566675454545455</v>
      </c>
      <c r="N70" t="inlineStr">
        <is>
          <t>338</t>
        </is>
      </c>
    </row>
    <row r="71">
      <c r="A71" t="inlineStr">
        <is>
          <t>SOL-26JUN26-106-C-USDT</t>
        </is>
      </c>
      <c r="B71" t="n">
        <v>106</v>
      </c>
      <c r="C71" t="n">
        <v>0.01560239</v>
      </c>
      <c r="D71" t="n">
        <v>0.0031346</v>
      </c>
      <c r="E71" t="n">
        <v>0.00696919</v>
      </c>
      <c r="F71" t="n">
        <v>-0.01090126</v>
      </c>
      <c r="G71" t="n">
        <v>0.06571252</v>
      </c>
      <c r="H71" t="n">
        <v>0.7025</v>
      </c>
      <c r="I71" t="n">
        <v>22</v>
      </c>
      <c r="J71" t="n">
        <v>0.06027397260273973</v>
      </c>
      <c r="K71" t="inlineStr">
        <is>
          <t>CALL</t>
        </is>
      </c>
      <c r="L71" t="n">
        <v>71.72</v>
      </c>
      <c r="M71" t="n">
        <v>0.002986932727272727</v>
      </c>
      <c r="N71" t="inlineStr">
        <is>
          <t>1056</t>
        </is>
      </c>
    </row>
    <row r="72">
      <c r="A72" t="inlineStr">
        <is>
          <t>SOL-26JUN26-108-C-USDT</t>
        </is>
      </c>
      <c r="B72" t="n">
        <v>108</v>
      </c>
      <c r="C72" t="n">
        <v>0.0131812</v>
      </c>
      <c r="D72" t="n">
        <v>0.00266542</v>
      </c>
      <c r="E72" t="n">
        <v>0.00602721</v>
      </c>
      <c r="F72" t="n">
        <v>-0.00958875</v>
      </c>
      <c r="G72" t="n">
        <v>0.05537129</v>
      </c>
      <c r="H72" t="n">
        <v>0.7145</v>
      </c>
      <c r="I72" t="n">
        <v>22</v>
      </c>
      <c r="J72" t="n">
        <v>0.06027397260273973</v>
      </c>
      <c r="K72" t="inlineStr">
        <is>
          <t>CALL</t>
        </is>
      </c>
      <c r="L72" t="n">
        <v>71.72</v>
      </c>
      <c r="M72" t="n">
        <v>0.002516876818181818</v>
      </c>
      <c r="N72" t="inlineStr">
        <is>
          <t>346</t>
        </is>
      </c>
    </row>
    <row r="73">
      <c r="A73" t="inlineStr">
        <is>
          <t>SOL-26JUN26-110-C-USDT</t>
        </is>
      </c>
      <c r="B73" t="n">
        <v>110</v>
      </c>
      <c r="C73" t="n">
        <v>0.01119287</v>
      </c>
      <c r="D73" t="n">
        <v>0.00227565</v>
      </c>
      <c r="E73" t="n">
        <v>0.00523075</v>
      </c>
      <c r="F73" t="n">
        <v>-0.00845894</v>
      </c>
      <c r="G73" t="n">
        <v>0.04692859</v>
      </c>
      <c r="H73" t="n">
        <v>0.7262999999999999</v>
      </c>
      <c r="I73" t="n">
        <v>22</v>
      </c>
      <c r="J73" t="n">
        <v>0.06027397260273973</v>
      </c>
      <c r="K73" t="inlineStr">
        <is>
          <t>CALL</t>
        </is>
      </c>
      <c r="L73" t="n">
        <v>71.72</v>
      </c>
      <c r="M73" t="n">
        <v>0.002133117727272727</v>
      </c>
      <c r="N73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3" activeCellId="0" sqref="E13"/>
    </sheetView>
  </sheetViews>
  <sheetFormatPr baseColWidth="8" defaultColWidth="11.53515625" defaultRowHeight="13.5" zeroHeight="0" outlineLevelRow="0"/>
  <cols>
    <col width="4.31" customWidth="1" style="117" min="1" max="1"/>
    <col width="22.76" customWidth="1" style="117" min="2" max="2"/>
    <col width="13.95" customWidth="1" style="117" min="3" max="3"/>
    <col width="13.03" customWidth="1" style="117" min="4" max="4"/>
    <col width="8.35" customWidth="1" style="117" min="5" max="5"/>
    <col width="16.95" customWidth="1" style="117" min="6" max="6"/>
    <col width="15.94" customWidth="1" style="117" min="7" max="7"/>
    <col width="12.02" customWidth="1" style="117" min="8" max="8"/>
    <col width="7.08" customWidth="1" style="117" min="9" max="9"/>
    <col width="9.529999999999999" customWidth="1" style="117" min="10" max="10"/>
    <col width="8.800000000000001" customWidth="1" style="117" min="11" max="11"/>
    <col width="7.69" customWidth="1" style="117" min="12" max="15"/>
    <col width="6.58" customWidth="1" style="117" min="16" max="16"/>
  </cols>
  <sheetData>
    <row r="1" ht="13.5" customHeight="1" s="116">
      <c r="J1" s="118" t="n"/>
      <c r="K1" s="119" t="n"/>
      <c r="N1" s="118" t="n"/>
    </row>
    <row r="2" ht="18.75" customHeight="1" s="116">
      <c r="A2" s="120" t="inlineStr">
        <is>
          <t>Информация по базовому активу</t>
        </is>
      </c>
      <c r="I2" s="120" t="n"/>
      <c r="J2" s="120" t="n"/>
      <c r="O2" s="120" t="n"/>
      <c r="P2" s="120" t="n"/>
    </row>
    <row r="3" ht="13.5" customHeight="1" s="116"/>
    <row r="4" ht="16.5" customHeight="1" s="116">
      <c r="A4" s="121" t="inlineStr">
        <is>
          <t>№</t>
        </is>
      </c>
      <c r="B4" s="121" t="inlineStr">
        <is>
          <t>Дата покупки</t>
        </is>
      </c>
      <c r="C4" s="121" t="inlineStr">
        <is>
          <t>Актив</t>
        </is>
      </c>
      <c r="D4" s="121" t="inlineStr">
        <is>
          <t>Количество</t>
        </is>
      </c>
      <c r="E4" s="121" t="inlineStr">
        <is>
          <t>Цена</t>
        </is>
      </c>
      <c r="F4" s="121" t="inlineStr">
        <is>
          <t>Нач. Стоимость</t>
        </is>
      </c>
      <c r="G4" s="121" t="inlineStr">
        <is>
          <t>Тек.стоимость</t>
        </is>
      </c>
      <c r="H4" s="121" t="inlineStr">
        <is>
          <t>Pnl</t>
        </is>
      </c>
      <c r="I4" s="122" t="n"/>
      <c r="J4" s="123" t="n"/>
    </row>
    <row r="5" ht="16.5" customHeight="1" s="116">
      <c r="A5" s="124" t="n"/>
      <c r="B5" s="125" t="n">
        <v>46114</v>
      </c>
      <c r="C5" s="126" t="inlineStr">
        <is>
          <t>Meteor</t>
        </is>
      </c>
      <c r="D5" s="126">
        <f>2.0423-D8</f>
        <v/>
      </c>
      <c r="E5" s="127" t="n">
        <v>80.5</v>
      </c>
      <c r="F5" s="127">
        <f>D5*E5</f>
        <v/>
      </c>
      <c r="G5" s="127">
        <f>D5*Portfolio!$C$4</f>
        <v/>
      </c>
      <c r="H5" s="127">
        <f>G5-F5</f>
        <v/>
      </c>
      <c r="I5" s="128" t="n"/>
      <c r="J5" s="128" t="n"/>
    </row>
    <row r="6" ht="16.5" customHeight="1" s="116">
      <c r="A6" s="124" t="n"/>
      <c r="B6" s="125" t="n">
        <v>46113</v>
      </c>
      <c r="C6" s="126" t="inlineStr">
        <is>
          <t>Swap</t>
        </is>
      </c>
      <c r="D6" s="126" t="n">
        <v>1.8</v>
      </c>
      <c r="E6" s="127" t="n">
        <v>84.44</v>
      </c>
      <c r="F6" s="127">
        <f>D6*E6</f>
        <v/>
      </c>
      <c r="G6" s="127">
        <f>D6*Portfolio!$C$4</f>
        <v/>
      </c>
      <c r="H6" s="127">
        <f>G6-F6</f>
        <v/>
      </c>
      <c r="I6" s="128" t="n"/>
      <c r="J6" s="128" t="n"/>
    </row>
    <row r="7" ht="16.5" customHeight="1" s="116">
      <c r="A7" s="124" t="n"/>
      <c r="B7" s="125" t="n">
        <v>46112</v>
      </c>
      <c r="C7" s="126" t="inlineStr">
        <is>
          <t>Swap</t>
        </is>
      </c>
      <c r="D7" s="126" t="n">
        <v>1.0007</v>
      </c>
      <c r="E7" s="127" t="n">
        <v>83.26000000000001</v>
      </c>
      <c r="F7" s="127">
        <f>D7*E7</f>
        <v/>
      </c>
      <c r="G7" s="127">
        <f>D7*Portfolio!$C$4</f>
        <v/>
      </c>
      <c r="H7" s="127">
        <f>G7-F7</f>
        <v/>
      </c>
      <c r="I7" s="128" t="n"/>
      <c r="J7" s="128" t="n"/>
    </row>
    <row r="8" ht="16.5" customHeight="1" s="116">
      <c r="A8" s="124" t="n"/>
      <c r="B8" s="125" t="n">
        <v>46110</v>
      </c>
      <c r="C8" s="126" t="inlineStr">
        <is>
          <t>Swap</t>
        </is>
      </c>
      <c r="D8" s="126" t="n">
        <v>1.0019</v>
      </c>
      <c r="E8" s="127" t="n">
        <v>81.84</v>
      </c>
      <c r="F8" s="127">
        <f>D8*E8</f>
        <v/>
      </c>
      <c r="G8" s="127">
        <f>D8*Portfolio!$C$4</f>
        <v/>
      </c>
      <c r="H8" s="127">
        <f>G8-F8</f>
        <v/>
      </c>
      <c r="I8" s="128" t="n"/>
      <c r="J8" s="128" t="n"/>
    </row>
    <row r="9" ht="16.5" customHeight="1" s="116">
      <c r="A9" s="124" t="n"/>
      <c r="B9" s="125" t="n">
        <v>46108</v>
      </c>
      <c r="C9" s="126" t="inlineStr">
        <is>
          <t>Swap</t>
        </is>
      </c>
      <c r="D9" s="126" t="n">
        <v>1.0004</v>
      </c>
      <c r="E9" s="127" t="n">
        <v>82.97</v>
      </c>
      <c r="F9" s="127">
        <f>D9*E9</f>
        <v/>
      </c>
      <c r="G9" s="127">
        <f>D9*Portfolio!$C$4</f>
        <v/>
      </c>
      <c r="H9" s="127">
        <f>G9-F9</f>
        <v/>
      </c>
      <c r="I9" s="128" t="n"/>
      <c r="J9" s="128" t="n"/>
    </row>
    <row r="10" ht="16.5" customHeight="1" s="116">
      <c r="A10" s="124" t="n"/>
      <c r="B10" s="125" t="n">
        <v>46120</v>
      </c>
      <c r="C10" s="126" t="inlineStr">
        <is>
          <t>Swap</t>
        </is>
      </c>
      <c r="D10" s="126" t="n">
        <v>2</v>
      </c>
      <c r="E10" s="127" t="n">
        <v>84.59999999999999</v>
      </c>
      <c r="F10" s="127">
        <f>D10*E10</f>
        <v/>
      </c>
      <c r="G10" s="127">
        <f>D10*Portfolio!$C$4</f>
        <v/>
      </c>
      <c r="H10" s="127">
        <f>G10-F10</f>
        <v/>
      </c>
      <c r="I10" s="128" t="n"/>
      <c r="J10" s="128" t="n"/>
    </row>
    <row r="11" ht="16.5" customHeight="1" s="116">
      <c r="A11" s="124" t="n"/>
      <c r="B11" s="125" t="n">
        <v>46172</v>
      </c>
      <c r="C11" s="126" t="inlineStr">
        <is>
          <t>Swap</t>
        </is>
      </c>
      <c r="D11" s="126" t="n">
        <v>2</v>
      </c>
      <c r="E11" s="127" t="n">
        <v>82</v>
      </c>
      <c r="F11" s="127">
        <f>D11*E11</f>
        <v/>
      </c>
      <c r="G11" s="127">
        <f>D11*Portfolio!$C$4</f>
        <v/>
      </c>
      <c r="H11" s="127">
        <f>G11-F11</f>
        <v/>
      </c>
      <c r="I11" s="128" t="n"/>
      <c r="J11" s="128" t="n"/>
    </row>
    <row r="12" ht="16.5" customHeight="1" s="116">
      <c r="A12" s="124" t="n"/>
      <c r="B12" s="125" t="n"/>
      <c r="C12" s="126" t="n"/>
      <c r="D12" s="126" t="n"/>
      <c r="E12" s="127" t="n"/>
      <c r="F12" s="127" t="n"/>
      <c r="G12" s="127" t="n"/>
      <c r="H12" s="127" t="n"/>
      <c r="I12" s="128" t="n"/>
      <c r="J12" s="128" t="n"/>
    </row>
    <row r="13" ht="14.25" customHeight="1" s="116">
      <c r="A13" s="129" t="n"/>
      <c r="B13" s="121" t="inlineStr">
        <is>
          <t>Total</t>
        </is>
      </c>
      <c r="C13" s="129" t="n"/>
      <c r="D13" s="129">
        <f>SUM(D5:D12)</f>
        <v/>
      </c>
      <c r="E13" s="127">
        <f>F13/D13</f>
        <v/>
      </c>
      <c r="F13" s="130">
        <f>SUM(F5:F12)</f>
        <v/>
      </c>
      <c r="G13" s="130">
        <f>SUM(G5:G12)</f>
        <v/>
      </c>
      <c r="H13" s="130">
        <f>SUM(H5:H12)</f>
        <v/>
      </c>
      <c r="I13" s="128" t="n"/>
      <c r="J13" s="128" t="n"/>
    </row>
    <row r="14" ht="14.25" customHeight="1" s="116">
      <c r="B14" s="123" t="n"/>
      <c r="E14" s="128" t="n"/>
      <c r="G14" s="128" t="n"/>
      <c r="H14" s="128" t="n"/>
      <c r="I14" s="128" t="n"/>
      <c r="J14" s="128" t="n"/>
    </row>
    <row r="15" ht="13.5" customHeight="1" s="116">
      <c r="F15" s="131" t="n"/>
    </row>
    <row r="16" ht="13.5" customHeight="1" s="116"/>
    <row r="17" ht="13.5" customHeight="1" s="116"/>
    <row r="18" ht="14.25" customHeight="1" s="116">
      <c r="A18" s="121" t="inlineStr">
        <is>
          <t>№</t>
        </is>
      </c>
      <c r="B18" s="121" t="inlineStr">
        <is>
          <t>Дата операции</t>
        </is>
      </c>
      <c r="C18" s="121" t="inlineStr">
        <is>
          <t>Protocol</t>
        </is>
      </c>
      <c r="D18" s="121" t="inlineStr">
        <is>
          <t>Pnl</t>
        </is>
      </c>
    </row>
    <row r="19" ht="14.25" customHeight="1" s="116">
      <c r="A19" s="121" t="n"/>
      <c r="B19" s="125" t="n">
        <v>46114</v>
      </c>
      <c r="C19" s="126" t="inlineStr">
        <is>
          <t>Option</t>
        </is>
      </c>
      <c r="D19" s="132" t="n">
        <v>-10</v>
      </c>
    </row>
    <row r="20" ht="14.25" customHeight="1" s="116">
      <c r="A20" s="121" t="n"/>
      <c r="B20" s="125" t="n">
        <v>46114</v>
      </c>
      <c r="C20" s="126" t="inlineStr">
        <is>
          <t>Meteor</t>
        </is>
      </c>
      <c r="D20" s="132" t="n">
        <v>10.95</v>
      </c>
      <c r="I20" s="131" t="n"/>
      <c r="J20" s="131" t="n"/>
    </row>
    <row r="21" ht="14.25" customHeight="1" s="116">
      <c r="A21" s="121" t="n"/>
      <c r="B21" s="125" t="n">
        <v>46114</v>
      </c>
      <c r="C21" s="126" t="inlineStr">
        <is>
          <t>Meteor</t>
        </is>
      </c>
      <c r="D21" s="132" t="n">
        <v>8.73</v>
      </c>
    </row>
    <row r="22" ht="14.25" customHeight="1" s="116">
      <c r="A22" s="121" t="n"/>
      <c r="B22" s="125" t="n">
        <v>46114</v>
      </c>
      <c r="C22" s="126" t="inlineStr">
        <is>
          <t>Meteor</t>
        </is>
      </c>
      <c r="D22" s="132" t="n">
        <v>5.4</v>
      </c>
    </row>
    <row r="23" ht="14.25" customHeight="1" s="116">
      <c r="A23" s="121" t="n"/>
      <c r="B23" s="125" t="n">
        <v>46094</v>
      </c>
      <c r="C23" s="126" t="inlineStr">
        <is>
          <t>Option</t>
        </is>
      </c>
      <c r="D23" s="132" t="n">
        <v>-15</v>
      </c>
    </row>
    <row r="24" ht="14.25" customHeight="1" s="116">
      <c r="A24" s="129" t="n"/>
      <c r="B24" s="125" t="n">
        <v>46093</v>
      </c>
      <c r="C24" s="126" t="inlineStr">
        <is>
          <t>Meteor</t>
        </is>
      </c>
      <c r="D24" s="132" t="n">
        <v>4.73</v>
      </c>
    </row>
    <row r="25" ht="14.25" customHeight="1" s="116">
      <c r="A25" s="129" t="n"/>
      <c r="B25" s="125" t="n">
        <v>46115</v>
      </c>
      <c r="C25" s="126" t="inlineStr">
        <is>
          <t>Option</t>
        </is>
      </c>
      <c r="D25" s="132" t="n">
        <v>2.37</v>
      </c>
    </row>
    <row r="26" ht="14.25" customHeight="1" s="116">
      <c r="A26" s="129" t="n"/>
      <c r="B26" s="125" t="n">
        <v>46117</v>
      </c>
      <c r="C26" s="126" t="inlineStr">
        <is>
          <t>Option</t>
        </is>
      </c>
      <c r="D26" s="132" t="n">
        <v>-1.4</v>
      </c>
    </row>
    <row r="27" ht="14.25" customHeight="1" s="116">
      <c r="A27" s="129" t="n"/>
      <c r="B27" s="125" t="n">
        <v>46118</v>
      </c>
      <c r="C27" s="126" t="inlineStr">
        <is>
          <t>Option</t>
        </is>
      </c>
      <c r="D27" s="132" t="n">
        <v>-2.36</v>
      </c>
    </row>
    <row r="28" ht="14.25" customHeight="1" s="116">
      <c r="A28" s="129" t="n"/>
      <c r="B28" s="125" t="n">
        <v>46118</v>
      </c>
      <c r="C28" s="126" t="inlineStr">
        <is>
          <t>Option</t>
        </is>
      </c>
      <c r="D28" s="132" t="n">
        <v>-3.5</v>
      </c>
    </row>
    <row r="29" ht="14.25" customHeight="1" s="116">
      <c r="A29" s="129" t="n"/>
      <c r="B29" s="125" t="n">
        <v>46119</v>
      </c>
      <c r="C29" s="126" t="inlineStr">
        <is>
          <t>Option</t>
        </is>
      </c>
      <c r="D29" s="132" t="n">
        <v>-5.73</v>
      </c>
    </row>
    <row r="30" ht="14.25" customHeight="1" s="116">
      <c r="A30" s="129" t="n"/>
      <c r="B30" s="125" t="n">
        <v>46119</v>
      </c>
      <c r="C30" s="126" t="inlineStr">
        <is>
          <t>Option</t>
        </is>
      </c>
      <c r="D30" s="132" t="n">
        <v>-5.67</v>
      </c>
    </row>
    <row r="31" ht="14.25" customHeight="1" s="116">
      <c r="A31" s="129" t="n"/>
      <c r="B31" s="125" t="n">
        <v>46120</v>
      </c>
      <c r="C31" s="126" t="inlineStr">
        <is>
          <t>Option</t>
        </is>
      </c>
      <c r="D31" s="132" t="n">
        <v>-3.3</v>
      </c>
    </row>
    <row r="32" ht="14.25" customHeight="1" s="116">
      <c r="A32" s="129" t="n"/>
      <c r="B32" s="125" t="n">
        <v>46121</v>
      </c>
      <c r="C32" s="126" t="inlineStr">
        <is>
          <t>Option</t>
        </is>
      </c>
      <c r="D32" s="132" t="n">
        <v>-1.7</v>
      </c>
    </row>
    <row r="33" ht="14.25" customHeight="1" s="116">
      <c r="A33" s="129" t="n"/>
      <c r="B33" s="125" t="n">
        <v>46122</v>
      </c>
      <c r="C33" s="126" t="inlineStr">
        <is>
          <t>Option</t>
        </is>
      </c>
      <c r="D33" s="132" t="n">
        <v>1</v>
      </c>
    </row>
    <row r="34" ht="14.25" customHeight="1" s="116">
      <c r="A34" s="129" t="n"/>
      <c r="B34" s="125" t="n">
        <v>46125</v>
      </c>
      <c r="C34" s="126" t="inlineStr">
        <is>
          <t>Option</t>
        </is>
      </c>
      <c r="D34" s="132" t="n">
        <v>-1.56</v>
      </c>
    </row>
    <row r="35" ht="13.5" customHeight="1" s="116">
      <c r="A35" s="129" t="n"/>
      <c r="B35" s="129" t="n"/>
      <c r="C35" s="129" t="n"/>
      <c r="D35" s="132" t="n"/>
    </row>
    <row r="36" ht="13.5" customHeight="1" s="116">
      <c r="D36" s="131">
        <f>SUM(D19:D35)</f>
        <v/>
      </c>
    </row>
    <row r="37" ht="13.5" customHeight="1" s="116">
      <c r="S37" s="117" t="n"/>
      <c r="T37" s="117" t="n"/>
      <c r="U37" s="117" t="n"/>
      <c r="V37" s="117" t="n"/>
      <c r="W37" s="117" t="n"/>
    </row>
    <row r="38" ht="13.5" customHeight="1" s="116">
      <c r="S38" s="117" t="n"/>
      <c r="T38" s="117" t="n"/>
      <c r="U38" s="117" t="n"/>
      <c r="V38" s="117" t="n"/>
      <c r="W38" s="117" t="n"/>
    </row>
    <row r="39" ht="13.5" customHeight="1" s="116">
      <c r="S39" s="117" t="n"/>
      <c r="T39" s="117" t="n"/>
      <c r="U39" s="117" t="n"/>
      <c r="V39" s="117" t="n"/>
      <c r="W39" s="117" t="n"/>
    </row>
    <row r="40" ht="13.5" customHeight="1" s="116">
      <c r="S40" s="117" t="n"/>
      <c r="T40" s="117" t="n"/>
      <c r="U40" s="117" t="n"/>
      <c r="V40" s="117" t="n"/>
      <c r="W40" s="117" t="n"/>
    </row>
    <row r="41" ht="13.5" customHeight="1" s="116">
      <c r="S41" s="117" t="n"/>
      <c r="T41" s="117" t="n"/>
      <c r="U41" s="117" t="n"/>
      <c r="V41" s="117" t="n"/>
      <c r="W41" s="117" t="n"/>
    </row>
    <row r="42" ht="13.5" customHeight="1" s="116">
      <c r="S42" s="117" t="n"/>
      <c r="T42" s="117" t="n"/>
      <c r="U42" s="117" t="n"/>
      <c r="V42" s="117" t="n"/>
      <c r="W42" s="117" t="n"/>
    </row>
    <row r="43" ht="13.5" customHeight="1" s="116">
      <c r="S43" s="117" t="n"/>
      <c r="T43" s="117" t="n"/>
      <c r="U43" s="117" t="n"/>
      <c r="V43" s="117" t="n"/>
      <c r="W43" s="117" t="n"/>
    </row>
    <row r="44" ht="13.5" customHeight="1" s="116">
      <c r="S44" s="117" t="n"/>
      <c r="T44" s="117" t="n"/>
      <c r="U44" s="117" t="n"/>
      <c r="V44" s="117" t="n"/>
      <c r="W44" s="117" t="n"/>
    </row>
    <row r="45" ht="13.5" customHeight="1" s="116">
      <c r="S45" s="117" t="n"/>
      <c r="T45" s="117" t="n"/>
      <c r="U45" s="117" t="n"/>
      <c r="V45" s="117" t="n"/>
      <c r="W45" s="117" t="n"/>
    </row>
    <row r="46" ht="13.5" customHeight="1" s="116">
      <c r="S46" s="117" t="n"/>
      <c r="T46" s="117" t="n"/>
      <c r="U46" s="117" t="n"/>
      <c r="V46" s="117" t="n"/>
      <c r="W46" s="117" t="n"/>
    </row>
    <row r="47" ht="13.5" customHeight="1" s="116">
      <c r="S47" s="117" t="n"/>
      <c r="T47" s="117" t="n"/>
      <c r="U47" s="117" t="n"/>
      <c r="V47" s="117" t="n"/>
      <c r="W47" s="117" t="n"/>
    </row>
    <row r="48" ht="13.5" customHeight="1" s="116">
      <c r="S48" s="117" t="n"/>
      <c r="T48" s="117" t="n"/>
      <c r="U48" s="117" t="n"/>
      <c r="V48" s="117" t="n"/>
      <c r="W48" s="117" t="n"/>
    </row>
    <row r="49" ht="13.5" customHeight="1" s="116">
      <c r="S49" s="117" t="n"/>
      <c r="T49" s="117" t="n"/>
      <c r="U49" s="117" t="n"/>
      <c r="V49" s="117" t="n"/>
      <c r="W49" s="117" t="n"/>
    </row>
    <row r="50" ht="13.5" customHeight="1" s="116">
      <c r="S50" s="117" t="n"/>
      <c r="T50" s="117" t="n"/>
      <c r="U50" s="117" t="n"/>
      <c r="V50" s="117" t="n"/>
      <c r="W50" s="117" t="n"/>
    </row>
    <row r="1048478" ht="12.75" customHeight="1" s="116"/>
    <row r="1048479" ht="12.75" customHeight="1" s="116"/>
    <row r="1048480" ht="12.75" customHeight="1" s="116"/>
    <row r="1048481" ht="12.75" customHeight="1" s="116"/>
    <row r="1048482" ht="12.75" customHeight="1" s="116"/>
    <row r="1048483" ht="12.75" customHeight="1" s="116"/>
    <row r="1048484" ht="12.75" customHeight="1" s="116"/>
    <row r="1048485" ht="12.75" customHeight="1" s="116"/>
    <row r="1048486" ht="12.75" customHeight="1" s="116"/>
    <row r="1048487" ht="12.75" customHeight="1" s="116"/>
    <row r="1048488" ht="12.75" customHeight="1" s="116"/>
    <row r="1048489" ht="12.75" customHeight="1" s="116"/>
    <row r="1048490" ht="12.75" customHeight="1" s="116"/>
    <row r="1048491" ht="12.75" customHeight="1" s="116"/>
    <row r="1048492" ht="12.75" customHeight="1" s="116"/>
    <row r="1048493" ht="12.75" customHeight="1" s="116"/>
    <row r="1048494" ht="12.75" customHeight="1" s="116"/>
    <row r="1048495" ht="12.75" customHeight="1" s="116"/>
    <row r="1048496" ht="12.75" customHeight="1" s="116"/>
    <row r="1048497" ht="12.75" customHeight="1" s="116"/>
    <row r="1048498" ht="12.75" customHeight="1" s="116"/>
    <row r="1048499" ht="12.75" customHeight="1" s="116"/>
    <row r="1048500" ht="12.75" customHeight="1" s="116"/>
    <row r="1048501" ht="12.75" customHeight="1" s="116"/>
    <row r="1048502" ht="12.75" customHeight="1" s="116"/>
    <row r="1048503" ht="12.75" customHeight="1" s="116"/>
    <row r="1048504" ht="12.75" customHeight="1" s="116"/>
    <row r="1048505" ht="12.75" customHeight="1" s="116"/>
    <row r="1048506" ht="12.75" customHeight="1" s="116"/>
    <row r="1048507" ht="12.75" customHeight="1" s="116"/>
    <row r="1048508" ht="12.75" customHeight="1" s="116"/>
    <row r="1048509" ht="12.75" customHeight="1" s="116"/>
    <row r="1048510" ht="12.75" customHeight="1" s="116"/>
    <row r="1048511" ht="12.75" customHeight="1" s="116"/>
    <row r="1048512" ht="12.75" customHeight="1" s="116"/>
    <row r="1048513" ht="12.75" customHeight="1" s="116"/>
    <row r="1048514" ht="12.75" customHeight="1" s="116"/>
    <row r="1048515" ht="12.75" customHeight="1" s="116"/>
    <row r="1048516" ht="12.75" customHeight="1" s="116"/>
    <row r="1048517" ht="12.75" customHeight="1" s="116"/>
    <row r="1048518" ht="12.75" customHeight="1" s="116"/>
    <row r="1048519" ht="12.75" customHeight="1" s="116"/>
    <row r="1048520" ht="12.75" customHeight="1" s="116"/>
    <row r="1048521" ht="12.75" customHeight="1" s="116"/>
    <row r="1048522" ht="12.75" customHeight="1" s="116"/>
    <row r="1048523" ht="12.75" customHeight="1" s="116"/>
    <row r="1048524" ht="12.75" customHeight="1" s="116"/>
    <row r="1048525" ht="12.75" customHeight="1" s="116"/>
    <row r="1048526" ht="12.75" customHeight="1" s="116"/>
    <row r="1048527" ht="12.75" customHeight="1" s="116"/>
    <row r="1048528" ht="12.75" customHeight="1" s="116"/>
    <row r="1048529" ht="12.75" customHeight="1" s="116"/>
    <row r="1048530" ht="12.75" customHeight="1" s="116"/>
    <row r="1048531" ht="12.75" customHeight="1" s="116"/>
    <row r="1048532" ht="12.75" customHeight="1" s="116"/>
    <row r="1048533" ht="12.75" customHeight="1" s="116"/>
    <row r="1048534" ht="12.75" customHeight="1" s="116"/>
    <row r="1048535" ht="12.75" customHeight="1" s="116"/>
    <row r="1048536" ht="12.75" customHeight="1" s="116"/>
    <row r="1048537" ht="12.75" customHeight="1" s="116"/>
    <row r="1048538" ht="12.75" customHeight="1" s="116"/>
    <row r="1048539" ht="12.75" customHeight="1" s="116"/>
    <row r="1048540" ht="12.75" customHeight="1" s="116"/>
    <row r="1048541" ht="12.75" customHeight="1" s="116"/>
    <row r="1048542" ht="12.75" customHeight="1" s="116"/>
    <row r="1048543" ht="12.75" customHeight="1" s="116"/>
    <row r="1048544" ht="12.75" customHeight="1" s="116"/>
    <row r="1048545" ht="12.75" customHeight="1" s="116"/>
    <row r="1048546" ht="12.75" customHeight="1" s="116"/>
    <row r="1048547" ht="12.75" customHeight="1" s="116"/>
    <row r="1048548" ht="12.75" customHeight="1" s="116"/>
    <row r="1048549" ht="12.75" customHeight="1" s="116"/>
    <row r="1048550" ht="12.75" customHeight="1" s="116"/>
    <row r="1048551" ht="12.75" customHeight="1" s="116"/>
    <row r="1048552" ht="12.75" customHeight="1" s="116"/>
    <row r="1048553" ht="12.75" customHeight="1" s="116"/>
    <row r="1048554" ht="12.75" customHeight="1" s="116"/>
    <row r="1048555" ht="12.75" customHeight="1" s="116"/>
    <row r="1048556" ht="12.75" customHeight="1" s="116"/>
    <row r="1048557" ht="12.75" customHeight="1" s="116"/>
    <row r="1048558" ht="12.75" customHeight="1" s="116"/>
    <row r="1048559" ht="12.75" customHeight="1" s="116"/>
    <row r="1048560" ht="12.75" customHeight="1" s="116"/>
    <row r="1048561" ht="12.75" customHeight="1" s="116"/>
    <row r="1048562" ht="12.75" customHeight="1" s="116"/>
    <row r="1048563" ht="12.75" customHeight="1" s="116"/>
    <row r="1048564" ht="12.75" customHeight="1" s="116"/>
    <row r="1048565" ht="12.75" customHeight="1" s="116"/>
    <row r="1048566" ht="12.75" customHeight="1" s="116"/>
    <row r="1048567" ht="12.75" customHeight="1" s="116"/>
    <row r="1048568" ht="12.75" customHeight="1" s="116"/>
    <row r="1048569" ht="12.75" customHeight="1" s="116"/>
    <row r="1048570" ht="12.75" customHeight="1" s="116"/>
    <row r="1048571" ht="12.75" customHeight="1" s="116"/>
    <row r="1048572" ht="12.75" customHeight="1" s="116"/>
    <row r="1048573" ht="12.75" customHeight="1" s="116"/>
    <row r="1048574" ht="12.75" customHeight="1" s="116"/>
    <row r="1048575" ht="12.75" customHeight="1" s="116"/>
    <row r="1048576" ht="12.75" customHeight="1" s="116"/>
  </sheetData>
  <mergeCells count="2">
    <mergeCell ref="A2:H2"/>
    <mergeCell ref="K1:M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U464"/>
  <sheetViews>
    <sheetView showFormulas="0" showGridLines="1" showRowColHeaders="1" showZeros="1" rightToLeft="0" tabSelected="0" showOutlineSymbols="1" defaultGridColor="1" view="normal" topLeftCell="A42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3.5" zeroHeight="0" outlineLevelRow="0"/>
  <cols>
    <col width="23.97" customWidth="1" style="117" min="1" max="1"/>
    <col width="19.73" customWidth="1" style="117" min="13" max="13"/>
  </cols>
  <sheetData>
    <row r="1" ht="15" customHeight="1" s="116">
      <c r="A1" s="133" t="inlineStr">
        <is>
          <t>symbol</t>
        </is>
      </c>
      <c r="B1" s="133" t="inlineStr">
        <is>
          <t>strike</t>
        </is>
      </c>
      <c r="C1" s="133" t="inlineStr">
        <is>
          <t>delta</t>
        </is>
      </c>
      <c r="D1" s="133" t="inlineStr">
        <is>
          <t>gamma</t>
        </is>
      </c>
      <c r="E1" s="133" t="inlineStr">
        <is>
          <t>vega</t>
        </is>
      </c>
      <c r="F1" s="133" t="inlineStr">
        <is>
          <t>theta</t>
        </is>
      </c>
      <c r="G1" s="133" t="inlineStr">
        <is>
          <t>mark_price</t>
        </is>
      </c>
      <c r="H1" s="133" t="inlineStr">
        <is>
          <t>iv</t>
        </is>
      </c>
      <c r="I1" s="133" t="inlineStr">
        <is>
          <t>dte</t>
        </is>
      </c>
      <c r="J1" s="133" t="inlineStr">
        <is>
          <t>T</t>
        </is>
      </c>
      <c r="K1" s="133" t="inlineStr">
        <is>
          <t>type</t>
        </is>
      </c>
      <c r="L1" s="133" t="inlineStr">
        <is>
          <t>spot_price</t>
        </is>
      </c>
      <c r="M1" s="133" t="inlineStr">
        <is>
          <t>hedge_cost_per_day</t>
        </is>
      </c>
      <c r="N1" s="133" t="inlineStr">
        <is>
          <t>total_price</t>
        </is>
      </c>
      <c r="O1" s="133" t="inlineStr">
        <is>
          <t>position</t>
        </is>
      </c>
      <c r="P1" s="133" t="inlineStr">
        <is>
          <t>contracts</t>
        </is>
      </c>
      <c r="R1" s="117" t="inlineStr">
        <is>
          <t>Start</t>
        </is>
      </c>
      <c r="S1" s="117" t="inlineStr">
        <is>
          <t>Current</t>
        </is>
      </c>
    </row>
    <row r="2" ht="13.5" customHeight="1" s="116">
      <c r="A2" s="117">
        <f>Portfolio!H10</f>
        <v/>
      </c>
      <c r="B2" s="117">
        <f>VLOOKUP(A2,OptionBoard!$A$2:$M$86,2,FALSE())</f>
        <v/>
      </c>
      <c r="C2" s="117">
        <f>VLOOKUP(A2,OptionBoard!$A$2:$M$86,3,0)</f>
        <v/>
      </c>
      <c r="D2" s="117">
        <f>VLOOKUP(A2,OptionBoard!$A$2:$M$86,4,0)</f>
        <v/>
      </c>
      <c r="E2" s="117">
        <f>VLOOKUP(A2,OptionBoard!$A$2:$M$86,5,0)</f>
        <v/>
      </c>
      <c r="F2" s="117">
        <f>VLOOKUP(A2,OptionBoard!$A$2:$M$86,6,0)</f>
        <v/>
      </c>
      <c r="G2" s="117">
        <f>N2/P2</f>
        <v/>
      </c>
      <c r="H2" s="117">
        <f>VLOOKUP(A2,OptionBoard!$A$2:$M$86,8,0)</f>
        <v/>
      </c>
      <c r="I2" s="117">
        <f>VLOOKUP(A2,OptionBoard!$A$2:$M$86,9,0)</f>
        <v/>
      </c>
      <c r="J2" s="117">
        <f>VLOOKUP(A2,OptionBoard!$A$2:$M$86,10,0)</f>
        <v/>
      </c>
      <c r="K2" s="117">
        <f>VLOOKUP(A2,OptionBoard!$A$2:$M$86,11,FALSE())</f>
        <v/>
      </c>
      <c r="L2" s="117">
        <f>VLOOKUP(A2,OptionBoard!$A$2:$M$86,12,0)</f>
        <v/>
      </c>
      <c r="M2" s="117">
        <f>VLOOKUP(A2,OptionBoard!$A$2:$M$86,13,0)</f>
        <v/>
      </c>
      <c r="N2" s="134">
        <f>Portfolio!J10</f>
        <v/>
      </c>
      <c r="O2" s="135" t="inlineStr">
        <is>
          <t>buy</t>
        </is>
      </c>
      <c r="P2" s="135">
        <f>Portfolio!I10</f>
        <v/>
      </c>
      <c r="R2" s="117">
        <f>G2</f>
        <v/>
      </c>
      <c r="S2" s="117">
        <f>VLOOKUP(A2,OptionBoard!$A$2:$G$93,7,FALSE())</f>
        <v/>
      </c>
      <c r="U2" s="117">
        <f>R2-S2</f>
        <v/>
      </c>
    </row>
    <row r="3" ht="13.5" customHeight="1" s="116">
      <c r="A3" s="117">
        <f>Portfolio!H11</f>
        <v/>
      </c>
      <c r="B3" s="117">
        <f>VLOOKUP(A3,OptionBoard!$A$2:$M$86,2,FALSE())</f>
        <v/>
      </c>
      <c r="C3" s="117">
        <f>VLOOKUP(A3,OptionBoard!$A$2:$M$86,3,0)</f>
        <v/>
      </c>
      <c r="D3" s="117">
        <f>VLOOKUP(A3,OptionBoard!$A$2:$M$86,4,0)</f>
        <v/>
      </c>
      <c r="E3" s="117">
        <f>VLOOKUP(A3,OptionBoard!$A$2:$M$86,5,0)</f>
        <v/>
      </c>
      <c r="F3" s="117">
        <f>VLOOKUP(A3,OptionBoard!$A$2:$M$86,6,0)</f>
        <v/>
      </c>
      <c r="G3" s="117">
        <f>N3/P3</f>
        <v/>
      </c>
      <c r="H3" s="117">
        <f>VLOOKUP(A3,OptionBoard!$A$2:$M$86,8,0)</f>
        <v/>
      </c>
      <c r="I3" s="117">
        <f>VLOOKUP(A3,OptionBoard!$A$2:$M$86,9,0)</f>
        <v/>
      </c>
      <c r="J3" s="117">
        <f>VLOOKUP(A3,OptionBoard!$A$2:$M$86,10,0)</f>
        <v/>
      </c>
      <c r="K3" s="117">
        <f>VLOOKUP(A3,OptionBoard!$A$2:$M$86,11,FALSE())</f>
        <v/>
      </c>
      <c r="L3" s="117">
        <f>VLOOKUP(A3,OptionBoard!$A$2:$M$86,12,0)</f>
        <v/>
      </c>
      <c r="M3" s="117">
        <f>VLOOKUP(A3,OptionBoard!$A$2:$M$86,13,0)</f>
        <v/>
      </c>
      <c r="N3" s="134">
        <f>Portfolio!J11</f>
        <v/>
      </c>
      <c r="O3" s="135" t="inlineStr">
        <is>
          <t>buy</t>
        </is>
      </c>
      <c r="P3" s="135">
        <f>Portfolio!I11</f>
        <v/>
      </c>
      <c r="R3" s="117">
        <f>G3</f>
        <v/>
      </c>
      <c r="S3" s="117">
        <f>VLOOKUP(A3,OptionBoard!$A$2:$G$93,7,FALSE())</f>
        <v/>
      </c>
      <c r="U3" s="117">
        <f>R3-S3</f>
        <v/>
      </c>
    </row>
    <row r="4" ht="13.5" customHeight="1" s="116">
      <c r="A4" s="117">
        <f>Portfolio!H12</f>
        <v/>
      </c>
      <c r="B4" s="117">
        <f>VLOOKUP(A4,OptionBoard!$A$2:$M$86,2,FALSE())</f>
        <v/>
      </c>
      <c r="C4" s="117">
        <f>VLOOKUP(A4,OptionBoard!$A$2:$M$86,3,0)</f>
        <v/>
      </c>
      <c r="D4" s="117">
        <f>VLOOKUP(A4,OptionBoard!$A$2:$M$86,4,0)</f>
        <v/>
      </c>
      <c r="E4" s="117">
        <f>VLOOKUP(A4,OptionBoard!$A$2:$M$86,5,0)</f>
        <v/>
      </c>
      <c r="F4" s="117">
        <f>VLOOKUP(A4,OptionBoard!$A$2:$M$86,6,0)</f>
        <v/>
      </c>
      <c r="G4" s="117">
        <f>N4/P4</f>
        <v/>
      </c>
      <c r="H4" s="117">
        <f>VLOOKUP(A4,OptionBoard!$A$2:$M$86,8,0)</f>
        <v/>
      </c>
      <c r="I4" s="117">
        <f>VLOOKUP(A4,OptionBoard!$A$2:$M$86,9,0)</f>
        <v/>
      </c>
      <c r="J4" s="117">
        <f>VLOOKUP(A4,OptionBoard!$A$2:$M$86,10,0)</f>
        <v/>
      </c>
      <c r="K4" s="117">
        <f>VLOOKUP(A4,OptionBoard!$A$2:$M$86,11,FALSE())</f>
        <v/>
      </c>
      <c r="L4" s="117">
        <f>VLOOKUP(A4,OptionBoard!$A$2:$M$86,12,0)</f>
        <v/>
      </c>
      <c r="M4" s="117">
        <f>VLOOKUP(A4,OptionBoard!$A$2:$M$86,13,0)</f>
        <v/>
      </c>
      <c r="N4" s="134">
        <f>Portfolio!J12</f>
        <v/>
      </c>
      <c r="O4" s="135" t="inlineStr">
        <is>
          <t>buy</t>
        </is>
      </c>
      <c r="P4" s="135">
        <f>Portfolio!I12</f>
        <v/>
      </c>
      <c r="R4" s="117">
        <f>G4</f>
        <v/>
      </c>
      <c r="S4" s="117">
        <f>VLOOKUP(A4,OptionBoard!$A$2:$G$93,7,FALSE())</f>
        <v/>
      </c>
      <c r="U4" s="117">
        <f>R4-S4</f>
        <v/>
      </c>
    </row>
    <row r="5" ht="13.5" customHeight="1" s="116">
      <c r="A5" s="117">
        <f>Portfolio!H13</f>
        <v/>
      </c>
      <c r="B5" s="117">
        <f>VLOOKUP(A5,OptionBoard!$A$2:$M$86,2,FALSE())</f>
        <v/>
      </c>
      <c r="C5" s="117">
        <f>VLOOKUP(A5,OptionBoard!$A$2:$M$86,3,0)</f>
        <v/>
      </c>
      <c r="D5" s="117">
        <f>VLOOKUP(A5,OptionBoard!$A$2:$M$86,4,0)</f>
        <v/>
      </c>
      <c r="E5" s="117">
        <f>VLOOKUP(A5,OptionBoard!$A$2:$M$86,5,0)</f>
        <v/>
      </c>
      <c r="F5" s="117">
        <f>VLOOKUP(A5,OptionBoard!$A$2:$M$86,6,0)</f>
        <v/>
      </c>
      <c r="G5" s="117">
        <f>N5/P5</f>
        <v/>
      </c>
      <c r="H5" s="117">
        <f>VLOOKUP(A5,OptionBoard!$A$2:$M$86,8,0)</f>
        <v/>
      </c>
      <c r="I5" s="117">
        <f>VLOOKUP(A5,OptionBoard!$A$2:$M$86,9,0)</f>
        <v/>
      </c>
      <c r="J5" s="117">
        <f>VLOOKUP(A5,OptionBoard!$A$2:$M$86,10,0)</f>
        <v/>
      </c>
      <c r="K5" s="117">
        <f>VLOOKUP(A5,OptionBoard!$A$2:$M$86,11,FALSE())</f>
        <v/>
      </c>
      <c r="L5" s="117">
        <f>VLOOKUP(A5,OptionBoard!$A$2:$M$86,12,0)</f>
        <v/>
      </c>
      <c r="M5" s="117">
        <f>VLOOKUP(A5,OptionBoard!$A$2:$M$86,13,0)</f>
        <v/>
      </c>
      <c r="N5" s="134">
        <f>Portfolio!J13</f>
        <v/>
      </c>
      <c r="O5" s="135" t="inlineStr">
        <is>
          <t>buy</t>
        </is>
      </c>
      <c r="P5" s="135">
        <f>Portfolio!I13</f>
        <v/>
      </c>
      <c r="R5" s="117">
        <f>G5</f>
        <v/>
      </c>
      <c r="S5" s="117">
        <f>VLOOKUP(A5,OptionBoard!$A$2:$G$93,7,FALSE())</f>
        <v/>
      </c>
      <c r="U5" s="117">
        <f>R5-S5</f>
        <v/>
      </c>
    </row>
    <row r="6" ht="13.5" customHeight="1" s="116">
      <c r="A6" s="117">
        <f>Portfolio!H14</f>
        <v/>
      </c>
      <c r="B6" s="117">
        <f>VLOOKUP(A6,OptionBoard!$A$2:$M$86,2,FALSE())</f>
        <v/>
      </c>
      <c r="C6" s="117">
        <f>VLOOKUP(A6,OptionBoard!$A$2:$M$86,3,0)</f>
        <v/>
      </c>
      <c r="D6" s="117">
        <f>VLOOKUP(A6,OptionBoard!$A$2:$M$86,4,0)</f>
        <v/>
      </c>
      <c r="E6" s="117">
        <f>VLOOKUP(A6,OptionBoard!$A$2:$M$86,5,0)</f>
        <v/>
      </c>
      <c r="F6" s="117">
        <f>VLOOKUP(A6,OptionBoard!$A$2:$M$86,6,0)</f>
        <v/>
      </c>
      <c r="G6" s="117">
        <f>N6/P6</f>
        <v/>
      </c>
      <c r="H6" s="117">
        <f>VLOOKUP(A6,OptionBoard!$A$2:$M$86,8,0)</f>
        <v/>
      </c>
      <c r="I6" s="117">
        <f>VLOOKUP(A6,OptionBoard!$A$2:$M$86,9,0)</f>
        <v/>
      </c>
      <c r="J6" s="117">
        <f>VLOOKUP(A6,OptionBoard!$A$2:$M$86,10,0)</f>
        <v/>
      </c>
      <c r="K6" s="117">
        <f>VLOOKUP(A6,OptionBoard!$A$2:$M$86,11,FALSE())</f>
        <v/>
      </c>
      <c r="L6" s="117">
        <f>VLOOKUP(A6,OptionBoard!$A$2:$M$86,12,0)</f>
        <v/>
      </c>
      <c r="M6" s="117">
        <f>VLOOKUP(A6,OptionBoard!$A$2:$M$86,13,0)</f>
        <v/>
      </c>
      <c r="N6" s="134">
        <f>Portfolio!J14</f>
        <v/>
      </c>
      <c r="O6" s="135" t="inlineStr">
        <is>
          <t>buy</t>
        </is>
      </c>
      <c r="P6" s="135">
        <f>Portfolio!I14</f>
        <v/>
      </c>
      <c r="R6" s="117">
        <f>G6</f>
        <v/>
      </c>
      <c r="S6" s="117">
        <f>VLOOKUP(A6,OptionBoard!$A$2:$G$93,7,FALSE())</f>
        <v/>
      </c>
      <c r="U6" s="117">
        <f>R6-S6</f>
        <v/>
      </c>
    </row>
    <row r="7" ht="13.5" customHeight="1" s="116">
      <c r="A7" s="117">
        <f>Portfolio!H15</f>
        <v/>
      </c>
      <c r="B7" s="117">
        <f>VLOOKUP(A7,OptionBoard!$A$2:$M$86,2,FALSE())</f>
        <v/>
      </c>
      <c r="C7" s="117">
        <f>VLOOKUP(A7,OptionBoard!$A$2:$M$86,3,0)</f>
        <v/>
      </c>
      <c r="D7" s="117">
        <f>VLOOKUP(A7,OptionBoard!$A$2:$M$86,4,0)</f>
        <v/>
      </c>
      <c r="E7" s="117">
        <f>VLOOKUP(A7,OptionBoard!$A$2:$M$86,5,0)</f>
        <v/>
      </c>
      <c r="F7" s="117">
        <f>VLOOKUP(A7,OptionBoard!$A$2:$M$86,6,0)</f>
        <v/>
      </c>
      <c r="G7" s="117">
        <f>N7/P7</f>
        <v/>
      </c>
      <c r="H7" s="117">
        <f>VLOOKUP(A7,OptionBoard!$A$2:$M$86,8,0)</f>
        <v/>
      </c>
      <c r="I7" s="117">
        <f>VLOOKUP(A7,OptionBoard!$A$2:$M$86,9,0)</f>
        <v/>
      </c>
      <c r="J7" s="117">
        <f>VLOOKUP(A7,OptionBoard!$A$2:$M$86,10,0)</f>
        <v/>
      </c>
      <c r="K7" s="117">
        <f>VLOOKUP(A7,OptionBoard!$A$2:$M$86,11,FALSE())</f>
        <v/>
      </c>
      <c r="L7" s="117">
        <f>VLOOKUP(A7,OptionBoard!$A$2:$M$86,12,0)</f>
        <v/>
      </c>
      <c r="M7" s="117">
        <f>VLOOKUP(A7,OptionBoard!$A$2:$M$86,13,0)</f>
        <v/>
      </c>
      <c r="N7" s="134">
        <f>Portfolio!J15</f>
        <v/>
      </c>
      <c r="O7" s="135" t="inlineStr">
        <is>
          <t>buy</t>
        </is>
      </c>
      <c r="P7" s="135">
        <f>Portfolio!I15</f>
        <v/>
      </c>
      <c r="R7" s="117">
        <f>G7</f>
        <v/>
      </c>
      <c r="S7" s="117">
        <f>VLOOKUP(A7,OptionBoard!$A$2:$G$93,7,FALSE())</f>
        <v/>
      </c>
      <c r="U7" s="117">
        <f>R7-S7</f>
        <v/>
      </c>
    </row>
    <row r="8" ht="13.5" customHeight="1" s="116">
      <c r="A8" s="117">
        <f>Portfolio!H16</f>
        <v/>
      </c>
      <c r="B8" s="117">
        <f>VLOOKUP(A8,OptionBoard!$A$2:$M$86,2,FALSE())</f>
        <v/>
      </c>
      <c r="C8" s="117">
        <f>VLOOKUP(A8,OptionBoard!$A$2:$M$86,3,0)</f>
        <v/>
      </c>
      <c r="D8" s="117">
        <f>VLOOKUP(A8,OptionBoard!$A$2:$M$86,4,0)</f>
        <v/>
      </c>
      <c r="E8" s="117">
        <f>VLOOKUP(A8,OptionBoard!$A$2:$M$86,5,0)</f>
        <v/>
      </c>
      <c r="F8" s="117">
        <f>VLOOKUP(A8,OptionBoard!$A$2:$M$86,6,0)</f>
        <v/>
      </c>
      <c r="G8" s="117">
        <f>N8/P8</f>
        <v/>
      </c>
      <c r="H8" s="117">
        <f>VLOOKUP(A8,OptionBoard!$A$2:$M$86,8,0)</f>
        <v/>
      </c>
      <c r="I8" s="117">
        <f>VLOOKUP(A8,OptionBoard!$A$2:$M$86,9,0)</f>
        <v/>
      </c>
      <c r="J8" s="117">
        <f>VLOOKUP(A8,OptionBoard!$A$2:$M$86,10,0)</f>
        <v/>
      </c>
      <c r="K8" s="117">
        <f>VLOOKUP(A8,OptionBoard!$A$2:$M$86,11,FALSE())</f>
        <v/>
      </c>
      <c r="L8" s="117">
        <f>VLOOKUP(A8,OptionBoard!$A$2:$M$86,12,0)</f>
        <v/>
      </c>
      <c r="M8" s="117">
        <f>VLOOKUP(A8,OptionBoard!$A$2:$M$86,13,0)</f>
        <v/>
      </c>
      <c r="N8" s="134">
        <f>Portfolio!J16</f>
        <v/>
      </c>
      <c r="O8" s="135" t="inlineStr">
        <is>
          <t>buy</t>
        </is>
      </c>
      <c r="P8" s="135">
        <f>Portfolio!I16</f>
        <v/>
      </c>
      <c r="R8" s="117">
        <f>G8</f>
        <v/>
      </c>
      <c r="S8" s="117">
        <f>VLOOKUP(A8,OptionBoard!$A$2:$G$93,7,FALSE())</f>
        <v/>
      </c>
      <c r="U8" s="117">
        <f>R8-S8</f>
        <v/>
      </c>
    </row>
    <row r="9" ht="13.5" customHeight="1" s="116">
      <c r="A9" s="117">
        <f>Portfolio!H17</f>
        <v/>
      </c>
      <c r="B9" s="117">
        <f>VLOOKUP(A9,OptionBoard!$A$2:$M$86,2,FALSE())</f>
        <v/>
      </c>
      <c r="C9" s="117">
        <f>VLOOKUP(A9,OptionBoard!$A$2:$M$86,3,0)</f>
        <v/>
      </c>
      <c r="D9" s="117">
        <f>VLOOKUP(A9,OptionBoard!$A$2:$M$86,4,0)</f>
        <v/>
      </c>
      <c r="E9" s="117">
        <f>VLOOKUP(A9,OptionBoard!$A$2:$M$86,5,0)</f>
        <v/>
      </c>
      <c r="F9" s="117">
        <f>VLOOKUP(A9,OptionBoard!$A$2:$M$86,6,0)</f>
        <v/>
      </c>
      <c r="G9" s="117" t="n">
        <v>1.76</v>
      </c>
      <c r="H9" s="117">
        <f>VLOOKUP(A9,OptionBoard!$A$2:$M$86,8,0)</f>
        <v/>
      </c>
      <c r="I9" s="117">
        <f>VLOOKUP(A9,OptionBoard!$A$2:$M$86,9,0)</f>
        <v/>
      </c>
      <c r="J9" s="117">
        <f>VLOOKUP(A9,OptionBoard!$A$2:$M$86,10,0)</f>
        <v/>
      </c>
      <c r="K9" s="117">
        <f>VLOOKUP(A9,OptionBoard!$A$2:$M$86,11,FALSE())</f>
        <v/>
      </c>
      <c r="L9" s="117">
        <f>VLOOKUP(A9,OptionBoard!$A$2:$M$86,12,0)</f>
        <v/>
      </c>
      <c r="M9" s="117">
        <f>VLOOKUP(A9,OptionBoard!$A$2:$M$86,13,0)</f>
        <v/>
      </c>
      <c r="N9" s="134">
        <f>G9*P9</f>
        <v/>
      </c>
      <c r="O9" s="135" t="inlineStr">
        <is>
          <t>buy</t>
        </is>
      </c>
      <c r="P9" s="135">
        <f>Portfolio!I17</f>
        <v/>
      </c>
      <c r="R9" s="117">
        <f>G9</f>
        <v/>
      </c>
      <c r="S9" s="117">
        <f>VLOOKUP(A9,OptionBoard!$A$2:$G$93,7,FALSE())</f>
        <v/>
      </c>
      <c r="U9" s="117">
        <f>R9-S9</f>
        <v/>
      </c>
    </row>
    <row r="10" ht="13.5" customHeight="1" s="116">
      <c r="A10" s="117">
        <f>Portfolio!H18</f>
        <v/>
      </c>
      <c r="B10" s="117">
        <f>VLOOKUP(A10,OptionBoard!$A$2:$M$86,2,FALSE())</f>
        <v/>
      </c>
      <c r="C10" s="117">
        <f>VLOOKUP(A10,OptionBoard!$A$2:$M$86,3,0)</f>
        <v/>
      </c>
      <c r="D10" s="117">
        <f>VLOOKUP(A10,OptionBoard!$A$2:$M$86,4,0)</f>
        <v/>
      </c>
      <c r="E10" s="117">
        <f>VLOOKUP(A10,OptionBoard!$A$2:$M$86,5,0)</f>
        <v/>
      </c>
      <c r="F10" s="117">
        <f>VLOOKUP(A10,OptionBoard!$A$2:$M$86,6,0)</f>
        <v/>
      </c>
      <c r="G10" s="117" t="n">
        <v>2.15</v>
      </c>
      <c r="H10" s="117">
        <f>VLOOKUP(A10,OptionBoard!$A$2:$M$86,8,0)</f>
        <v/>
      </c>
      <c r="I10" s="117">
        <f>VLOOKUP(A10,OptionBoard!$A$2:$M$86,9,0)</f>
        <v/>
      </c>
      <c r="J10" s="117">
        <f>VLOOKUP(A10,OptionBoard!$A$2:$M$86,10,0)</f>
        <v/>
      </c>
      <c r="K10" s="117">
        <f>VLOOKUP(A10,OptionBoard!$A$2:$M$86,11,FALSE())</f>
        <v/>
      </c>
      <c r="L10" s="117">
        <f>VLOOKUP(A10,OptionBoard!$A$2:$M$86,12,0)</f>
        <v/>
      </c>
      <c r="M10" s="117">
        <f>VLOOKUP(A10,OptionBoard!$A$2:$M$86,13,0)</f>
        <v/>
      </c>
      <c r="N10" s="134">
        <f>G10*P10</f>
        <v/>
      </c>
      <c r="O10" s="135" t="inlineStr">
        <is>
          <t>buy</t>
        </is>
      </c>
      <c r="P10" s="135">
        <f>Portfolio!I18</f>
        <v/>
      </c>
      <c r="R10" s="117">
        <f>G10</f>
        <v/>
      </c>
      <c r="S10" s="117">
        <f>VLOOKUP(A10,OptionBoard!$A$2:$G$93,7,FALSE())</f>
        <v/>
      </c>
      <c r="U10" s="117">
        <f>R10-S10</f>
        <v/>
      </c>
    </row>
    <row r="11" ht="13.5" customHeight="1" s="116">
      <c r="A11" s="117">
        <f>Portfolio!H19</f>
        <v/>
      </c>
      <c r="B11" s="117">
        <f>VLOOKUP(A11,OptionBoard!$A$2:$M$86,2,FALSE())</f>
        <v/>
      </c>
      <c r="C11" s="117">
        <f>VLOOKUP(A11,OptionBoard!$A$2:$M$86,3,0)</f>
        <v/>
      </c>
      <c r="D11" s="117">
        <f>VLOOKUP(A11,OptionBoard!$A$2:$M$86,4,0)</f>
        <v/>
      </c>
      <c r="E11" s="117">
        <f>VLOOKUP(A11,OptionBoard!$A$2:$M$86,5,0)</f>
        <v/>
      </c>
      <c r="F11" s="117">
        <f>VLOOKUP(A11,OptionBoard!$A$2:$M$86,6,0)</f>
        <v/>
      </c>
      <c r="G11" s="117" t="n">
        <v>9.609999999999999</v>
      </c>
      <c r="H11" s="117">
        <f>VLOOKUP(A11,OptionBoard!$A$2:$M$86,8,0)</f>
        <v/>
      </c>
      <c r="I11" s="117">
        <f>VLOOKUP(A11,OptionBoard!$A$2:$M$86,9,0)</f>
        <v/>
      </c>
      <c r="J11" s="117">
        <f>VLOOKUP(A11,OptionBoard!$A$2:$M$86,10,0)</f>
        <v/>
      </c>
      <c r="K11" s="117">
        <f>VLOOKUP(A11,OptionBoard!$A$2:$M$86,11,FALSE())</f>
        <v/>
      </c>
      <c r="L11" s="117">
        <f>VLOOKUP(A11,OptionBoard!$A$2:$M$86,12,0)</f>
        <v/>
      </c>
      <c r="M11" s="117">
        <f>VLOOKUP(A11,OptionBoard!$A$2:$M$86,13,0)</f>
        <v/>
      </c>
      <c r="N11" s="134">
        <f>G11*P11</f>
        <v/>
      </c>
      <c r="O11" s="135" t="inlineStr">
        <is>
          <t>buy</t>
        </is>
      </c>
      <c r="P11" s="135">
        <f>Portfolio!I19</f>
        <v/>
      </c>
      <c r="R11" s="117">
        <f>G11</f>
        <v/>
      </c>
      <c r="S11" s="117">
        <f>VLOOKUP(A11,OptionBoard!$A$2:$G$93,7,FALSE())</f>
        <v/>
      </c>
      <c r="U11" s="117">
        <f>R11-S11</f>
        <v/>
      </c>
    </row>
    <row r="12" ht="13.5" customHeight="1" s="116">
      <c r="A12" s="117">
        <f>Portfolio!H20</f>
        <v/>
      </c>
      <c r="B12" s="117">
        <f>VLOOKUP(A12,OptionBoard!$A$2:$M$86,2,FALSE())</f>
        <v/>
      </c>
      <c r="C12" s="117">
        <f>VLOOKUP(A12,OptionBoard!$A$2:$M$86,3,0)</f>
        <v/>
      </c>
      <c r="D12" s="117">
        <f>VLOOKUP(A12,OptionBoard!$A$2:$M$86,4,0)</f>
        <v/>
      </c>
      <c r="E12" s="117">
        <f>VLOOKUP(A12,OptionBoard!$A$2:$M$86,5,0)</f>
        <v/>
      </c>
      <c r="F12" s="117">
        <f>VLOOKUP(A12,OptionBoard!$A$2:$M$86,6,0)</f>
        <v/>
      </c>
      <c r="G12" s="117" t="n">
        <v>0.48</v>
      </c>
      <c r="H12" s="117">
        <f>VLOOKUP(A12,OptionBoard!$A$2:$M$86,8,0)</f>
        <v/>
      </c>
      <c r="I12" s="117">
        <f>VLOOKUP(A12,OptionBoard!$A$2:$M$86,9,0)</f>
        <v/>
      </c>
      <c r="J12" s="117">
        <f>VLOOKUP(A12,OptionBoard!$A$2:$M$86,10,0)</f>
        <v/>
      </c>
      <c r="K12" s="117">
        <f>VLOOKUP(A12,OptionBoard!$A$2:$M$86,11,FALSE())</f>
        <v/>
      </c>
      <c r="L12" s="117">
        <f>VLOOKUP(A12,OptionBoard!$A$2:$M$86,12,0)</f>
        <v/>
      </c>
      <c r="M12" s="117">
        <f>VLOOKUP(A12,OptionBoard!$A$2:$M$86,13,0)</f>
        <v/>
      </c>
      <c r="N12" s="134">
        <f>G12*P12</f>
        <v/>
      </c>
      <c r="O12" s="135" t="inlineStr">
        <is>
          <t>buy</t>
        </is>
      </c>
      <c r="P12" s="135">
        <f>Portfolio!I20</f>
        <v/>
      </c>
      <c r="R12" s="117">
        <f>G12</f>
        <v/>
      </c>
      <c r="S12" s="117">
        <f>VLOOKUP(A12,OptionBoard!$A$2:$G$93,7,FALSE())</f>
        <v/>
      </c>
      <c r="U12" s="117" t="n"/>
    </row>
    <row r="13" ht="13.5" customHeight="1" s="116">
      <c r="A13" s="117">
        <f>Portfolio!H21</f>
        <v/>
      </c>
      <c r="B13" s="117">
        <f>VLOOKUP(A13,OptionBoard!$A$2:$M$86,2,FALSE())</f>
        <v/>
      </c>
      <c r="C13" s="117">
        <f>VLOOKUP(A13,OptionBoard!$A$2:$M$86,3,0)</f>
        <v/>
      </c>
      <c r="D13" s="117">
        <f>VLOOKUP(A13,OptionBoard!$A$2:$M$86,4,0)</f>
        <v/>
      </c>
      <c r="E13" s="117">
        <f>VLOOKUP(A13,OptionBoard!$A$2:$M$86,5,0)</f>
        <v/>
      </c>
      <c r="F13" s="117">
        <f>VLOOKUP(A13,OptionBoard!$A$2:$M$86,6,0)</f>
        <v/>
      </c>
      <c r="G13" s="117" t="n">
        <v>1.96</v>
      </c>
      <c r="H13" s="117">
        <f>VLOOKUP(A13,OptionBoard!$A$2:$M$86,8,0)</f>
        <v/>
      </c>
      <c r="I13" s="117">
        <f>VLOOKUP(A13,OptionBoard!$A$2:$M$86,9,0)</f>
        <v/>
      </c>
      <c r="J13" s="117">
        <f>VLOOKUP(A13,OptionBoard!$A$2:$M$86,10,0)</f>
        <v/>
      </c>
      <c r="K13" s="117">
        <f>VLOOKUP(A13,OptionBoard!$A$2:$M$86,11,FALSE())</f>
        <v/>
      </c>
      <c r="L13" s="117">
        <f>VLOOKUP(A13,OptionBoard!$A$2:$M$86,12,0)</f>
        <v/>
      </c>
      <c r="M13" s="117">
        <f>VLOOKUP(A13,OptionBoard!$A$2:$M$86,13,0)</f>
        <v/>
      </c>
      <c r="N13" s="134">
        <f>G13*P13</f>
        <v/>
      </c>
      <c r="O13" s="135" t="inlineStr">
        <is>
          <t>buy</t>
        </is>
      </c>
      <c r="P13" s="135">
        <f>Portfolio!I21</f>
        <v/>
      </c>
      <c r="R13" s="117">
        <f>G13</f>
        <v/>
      </c>
      <c r="S13" s="117">
        <f>VLOOKUP(A13,OptionBoard!$A$2:$G$93,7,FALSE())</f>
        <v/>
      </c>
      <c r="U13" s="117" t="n"/>
    </row>
    <row r="14" ht="13.5" customHeight="1" s="116">
      <c r="A14" s="117">
        <f>Portfolio!H22</f>
        <v/>
      </c>
      <c r="B14" s="117">
        <f>VLOOKUP(A14,OptionBoard!$A$2:$M$86,2,FALSE())</f>
        <v/>
      </c>
      <c r="C14" s="117">
        <f>VLOOKUP(A14,OptionBoard!$A$2:$M$86,3,0)</f>
        <v/>
      </c>
      <c r="D14" s="117">
        <f>VLOOKUP(A14,OptionBoard!$A$2:$M$86,4,0)</f>
        <v/>
      </c>
      <c r="E14" s="117">
        <f>VLOOKUP(A14,OptionBoard!$A$2:$M$86,5,0)</f>
        <v/>
      </c>
      <c r="F14" s="117">
        <f>VLOOKUP(A14,OptionBoard!$A$2:$M$86,6,0)</f>
        <v/>
      </c>
      <c r="G14" s="117" t="n">
        <v>2.3</v>
      </c>
      <c r="H14" s="117">
        <f>VLOOKUP(A14,OptionBoard!$A$2:$M$86,8,0)</f>
        <v/>
      </c>
      <c r="I14" s="117">
        <f>VLOOKUP(A14,OptionBoard!$A$2:$M$86,9,0)</f>
        <v/>
      </c>
      <c r="J14" s="117">
        <f>VLOOKUP(A14,OptionBoard!$A$2:$M$86,10,0)</f>
        <v/>
      </c>
      <c r="K14" s="117">
        <f>VLOOKUP(A14,OptionBoard!$A$2:$M$86,11,FALSE())</f>
        <v/>
      </c>
      <c r="L14" s="117">
        <f>VLOOKUP(A14,OptionBoard!$A$2:$M$86,12,0)</f>
        <v/>
      </c>
      <c r="M14" s="117">
        <f>VLOOKUP(A14,OptionBoard!$A$2:$M$86,13,0)</f>
        <v/>
      </c>
      <c r="N14" s="134">
        <f>G14*P14</f>
        <v/>
      </c>
      <c r="O14" s="135" t="inlineStr">
        <is>
          <t>buy</t>
        </is>
      </c>
      <c r="P14" s="135">
        <f>Portfolio!I22</f>
        <v/>
      </c>
      <c r="R14" s="117">
        <f>G14</f>
        <v/>
      </c>
      <c r="S14" s="117">
        <f>VLOOKUP(A14,OptionBoard!$A$2:$G$93,7,FALSE())</f>
        <v/>
      </c>
      <c r="U14" s="117" t="n"/>
    </row>
    <row r="15" ht="13.5" customHeight="1" s="116">
      <c r="A15" s="117">
        <f>Portfolio!H23</f>
        <v/>
      </c>
      <c r="B15" s="117">
        <f>VLOOKUP(A15,OptionBoard!$A$2:$M$86,2,FALSE())</f>
        <v/>
      </c>
      <c r="C15" s="117">
        <f>VLOOKUP(A15,OptionBoard!$A$2:$M$86,3,0)</f>
        <v/>
      </c>
      <c r="D15" s="117">
        <f>VLOOKUP(A15,OptionBoard!$A$2:$M$86,4,0)</f>
        <v/>
      </c>
      <c r="E15" s="117">
        <f>VLOOKUP(A15,OptionBoard!$A$2:$M$86,5,0)</f>
        <v/>
      </c>
      <c r="F15" s="117">
        <f>VLOOKUP(A15,OptionBoard!$A$2:$M$86,6,0)</f>
        <v/>
      </c>
      <c r="G15" s="117" t="n">
        <v>1.42</v>
      </c>
      <c r="H15" s="117">
        <f>VLOOKUP(A15,OptionBoard!$A$2:$M$86,8,0)</f>
        <v/>
      </c>
      <c r="I15" s="117">
        <f>VLOOKUP(A15,OptionBoard!$A$2:$M$86,9,0)</f>
        <v/>
      </c>
      <c r="J15" s="117">
        <f>VLOOKUP(A15,OptionBoard!$A$2:$M$86,10,0)</f>
        <v/>
      </c>
      <c r="K15" s="117">
        <f>VLOOKUP(A15,OptionBoard!$A$2:$M$86,11,FALSE())</f>
        <v/>
      </c>
      <c r="L15" s="117">
        <f>VLOOKUP(A15,OptionBoard!$A$2:$M$86,12,0)</f>
        <v/>
      </c>
      <c r="M15" s="117">
        <f>VLOOKUP(A15,OptionBoard!$A$2:$M$86,13,0)</f>
        <v/>
      </c>
      <c r="N15" s="134">
        <f>G15*P15</f>
        <v/>
      </c>
      <c r="O15" s="135" t="inlineStr">
        <is>
          <t>buy</t>
        </is>
      </c>
      <c r="P15" s="135">
        <f>Portfolio!I23</f>
        <v/>
      </c>
      <c r="R15" s="117">
        <f>G15</f>
        <v/>
      </c>
      <c r="S15" s="117">
        <f>VLOOKUP(A15,OptionBoard!$A$2:$G$93,7,FALSE())</f>
        <v/>
      </c>
      <c r="U15" s="117" t="n"/>
    </row>
    <row r="16" ht="13.5" customHeight="1" s="116">
      <c r="N16" s="134" t="n"/>
      <c r="O16" s="118" t="n"/>
      <c r="P16" s="118" t="n"/>
    </row>
    <row r="17" ht="13.5" customHeight="1" s="116">
      <c r="B17" s="118" t="n"/>
      <c r="C17" s="136" t="n"/>
      <c r="D17" s="136" t="n"/>
      <c r="E17" s="136" t="n"/>
      <c r="F17" s="136" t="n"/>
      <c r="G17" s="136" t="n"/>
      <c r="H17" s="118" t="n"/>
      <c r="I17" s="118" t="n"/>
      <c r="J17" s="136" t="n"/>
      <c r="K17" s="118" t="n"/>
      <c r="L17" s="118" t="n"/>
      <c r="M17" s="118" t="n"/>
      <c r="N17" s="118" t="n"/>
      <c r="O17" s="118" t="n"/>
      <c r="P17" s="118" t="n"/>
    </row>
    <row r="18" ht="13.5" customHeight="1" s="116">
      <c r="A18" s="117" t="inlineStr">
        <is>
          <t>Now_Greeks</t>
        </is>
      </c>
      <c r="C18" s="117">
        <f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P11)+(IF($O$12="buy",1,-1) * C12 * P12)+(IF($O$13="buy",1,-1) * C13 * P13)+(IF($O$14="buy",1,-1) * C14 * P14)+(IF($O$15="buy",1,-1) * C15 * P15)</f>
        <v/>
      </c>
      <c r="D18" s="117">
        <f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P11)+(IF($O$12="buy",1,-1) * D12 * P12)+(IF($O$13="buy",1,-1) * D13 * P13)+(IF($O$14="buy",1,-1) * D14 * P14)+(IF($O$15="buy",1,-1) * D15 * P15)</f>
        <v/>
      </c>
      <c r="E18" s="117">
        <f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P11)+(IF($O$12="buy",1,-1) * E12 * P12)+(IF($O$13="buy",1,-1) * E13 * P13)+(IF($O$14="buy",1,-1) * E14 * P14)+(IF($O$15="buy",1,-1) * E15 * P15)</f>
        <v/>
      </c>
      <c r="F18" s="117">
        <f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P11)+(IF($O$12="buy",1,-1) * F12 * P12)+(IF($O$13="buy",1,-1) * F13 * P13)+(IF($O$14="buy",1,-1) * F14 * P14)+(IF($O$15="buy",1,-1) * F15 * P15)</f>
        <v/>
      </c>
      <c r="G18" s="117">
        <f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P11)+(IF($O$12="buy",1,-1) * G12 * P12)+(IF($O$13="buy",1,-1) * G13 * P13)+(IF($O$14="buy",1,-1) * G14 * P14)+(IF($O$15="buy",1,-1) * G15 * P15)</f>
        <v/>
      </c>
      <c r="H18" s="117" t="n"/>
      <c r="M18" s="117">
        <f>M2*P2+M3*P3+M5*P5+M4*P4+M6*P6+M7*P7+M8*P8+M9*P9+M10*P10+M11*P11+M12*P12+M13*P13+M14*P14+M15*P15</f>
        <v/>
      </c>
      <c r="S18" s="117">
        <f>F18/C18</f>
        <v/>
      </c>
    </row>
    <row r="20" ht="17.25" customHeight="1" s="116">
      <c r="A20" s="117">
        <f>A2</f>
        <v/>
      </c>
      <c r="B20" s="137" t="n"/>
      <c r="C20" s="133" t="inlineStr">
        <is>
          <t>delta</t>
        </is>
      </c>
      <c r="D20" s="133" t="inlineStr">
        <is>
          <t>gamma</t>
        </is>
      </c>
      <c r="E20" s="133" t="inlineStr">
        <is>
          <t>vega</t>
        </is>
      </c>
      <c r="F20" s="133" t="inlineStr">
        <is>
          <t>theta</t>
        </is>
      </c>
      <c r="G20" s="133" t="inlineStr">
        <is>
          <t>mark_price</t>
        </is>
      </c>
      <c r="I20" s="133" t="inlineStr">
        <is>
          <t>d1</t>
        </is>
      </c>
      <c r="J20" s="133" t="inlineStr">
        <is>
          <t>d2</t>
        </is>
      </c>
    </row>
    <row r="21" ht="13.5" customHeight="1" s="116">
      <c r="B21" s="138">
        <f>Portfolio!B28</f>
        <v/>
      </c>
      <c r="C21" s="139">
        <f>IF($O$2="sell",-1,1) *  IF($K$2="call",  NORMDIST(I21,0,1,1),  NORMDIST(I21,0,1,1)-1  ) * $P$2</f>
        <v/>
      </c>
      <c r="D21" s="139">
        <f>IF($O$2="sell",-1,1) * NORMDIST(I21,0,1,0)/(B21*$H$2*SQRT($J$2)) * $P$2</f>
        <v/>
      </c>
      <c r="E21" s="139">
        <f>IF($O$2="sell",-1,1) * (B21*NORMDIST(I21,0,1,0)*SQRT($J$2)/365) * $P$2</f>
        <v/>
      </c>
      <c r="F21" s="139">
        <f>IF($O$2="sell",-1,1) * (-(B21*NORMDIST(I21,0,1,0)*$H$2)/(2*SQRT($J$2))/365) *$P$2</f>
        <v/>
      </c>
      <c r="G21" s="139">
        <f>IF($O$2="buy",1,-1)*( IF($K$2="call",B21*NORMDIST(I21,0,1,1) - $B$2*NORMDIST(J21,0,1,1),$B$2*NORMDIST(-J21,0,1,1) - B21*NORMDIST(-I21,0,1,1) ) - $G$2) * $P$2</f>
        <v/>
      </c>
      <c r="I21" s="140">
        <f>(LN(B21/$B$2)+($H$2^2/2)*($J$2))/($H$2*SQRT($J$2))</f>
        <v/>
      </c>
      <c r="J21" s="140">
        <f>I21 - $H$2*SQRT($J$2)</f>
        <v/>
      </c>
    </row>
    <row r="22" ht="13.5" customHeight="1" s="116">
      <c r="B22" s="138">
        <f>Portfolio!B29</f>
        <v/>
      </c>
      <c r="C22" s="139">
        <f>IF($O$2="sell",-1,1) *  IF($K$2="call",  NORMDIST(I22,0,1,1),  NORMDIST(I22,0,1,1)-1  ) * $P$2</f>
        <v/>
      </c>
      <c r="D22" s="139">
        <f>IF($O$2="sell",-1,1) * NORMDIST(I22,0,1,0)/(B22*$H$2*SQRT($J$2)) * $P$2</f>
        <v/>
      </c>
      <c r="E22" s="139">
        <f>IF($O$2="sell",-1,1) * (B22*NORMDIST(I22,0,1,0)*SQRT($J$2)/365) * $P$2</f>
        <v/>
      </c>
      <c r="F22" s="139">
        <f>IF($O$2="sell",-1,1) * (-(B22*NORMDIST(I22,0,1,0)*$H$2)/(2*SQRT($J$2))/365) *$P$2</f>
        <v/>
      </c>
      <c r="G22" s="139">
        <f>IF($O$2="buy",1,-1)*( IF($K$2="call",B22*NORMDIST(I22,0,1,1) - $B$2*NORMDIST(J22,0,1,1),$B$2*NORMDIST(-J22,0,1,1) - B22*NORMDIST(-I22,0,1,1) ) - $G$2) * $P$2</f>
        <v/>
      </c>
      <c r="I22" s="140">
        <f>(LN(B22/$B$2)+($H$2^2/2)*($J$2))/($H$2*SQRT($J$2))</f>
        <v/>
      </c>
      <c r="J22" s="140">
        <f>I22 - $H$2*SQRT($J$2)</f>
        <v/>
      </c>
      <c r="L22" s="117" t="n"/>
    </row>
    <row r="23" ht="13.5" customHeight="1" s="116">
      <c r="B23" s="138">
        <f>Portfolio!B30</f>
        <v/>
      </c>
      <c r="C23" s="139">
        <f>IF($O$2="sell",-1,1) *  IF($K$2="call",  NORMDIST(I23,0,1,1),  NORMDIST(I23,0,1,1)-1  ) * $P$2</f>
        <v/>
      </c>
      <c r="D23" s="139">
        <f>IF($O$2="sell",-1,1) * NORMDIST(I23,0,1,0)/(B23*$H$2*SQRT($J$2)) * $P$2</f>
        <v/>
      </c>
      <c r="E23" s="139">
        <f>IF($O$2="sell",-1,1) * (B23*NORMDIST(I23,0,1,0)*SQRT($J$2)/365) * $P$2</f>
        <v/>
      </c>
      <c r="F23" s="139">
        <f>IF($O$2="sell",-1,1) * (-(B23*NORMDIST(I23,0,1,0)*$H$2)/(2*SQRT($J$2))/365) *$P$2</f>
        <v/>
      </c>
      <c r="G23" s="139">
        <f>IF($O$2="buy",1,-1)*( IF($K$2="call",B23*NORMDIST(I23,0,1,1) - $B$2*NORMDIST(J23,0,1,1),$B$2*NORMDIST(-J23,0,1,1) - B23*NORMDIST(-I23,0,1,1) ) - $G$2) * $P$2</f>
        <v/>
      </c>
      <c r="I23" s="140">
        <f>(LN(B23/$B$2)+($H$2^2/2)*($J$2))/($H$2*SQRT($J$2))</f>
        <v/>
      </c>
      <c r="J23" s="140">
        <f>I23 - $H$2*SQRT($J$2)</f>
        <v/>
      </c>
      <c r="L23" s="117" t="n"/>
      <c r="M23" s="141" t="n"/>
    </row>
    <row r="24" ht="13.5" customHeight="1" s="116">
      <c r="B24" s="138">
        <f>Portfolio!B31</f>
        <v/>
      </c>
      <c r="C24" s="139">
        <f>IF($O$2="sell",-1,1) *  IF($K$2="call",  NORMDIST(I24,0,1,1),  NORMDIST(I24,0,1,1)-1  ) * $P$2</f>
        <v/>
      </c>
      <c r="D24" s="139">
        <f>IF($O$2="sell",-1,1) * NORMDIST(I24,0,1,0)/(B24*$H$2*SQRT($J$2)) * $P$2</f>
        <v/>
      </c>
      <c r="E24" s="139">
        <f>IF($O$2="sell",-1,1) * (B24*NORMDIST(I24,0,1,0)*SQRT($J$2)/365) * $P$2</f>
        <v/>
      </c>
      <c r="F24" s="139">
        <f>IF($O$2="sell",-1,1) * (-(B24*NORMDIST(I24,0,1,0)*$H$2)/(2*SQRT($J$2))/365) *$P$2</f>
        <v/>
      </c>
      <c r="G24" s="139">
        <f>IF($O$2="buy",1,-1)*( IF($K$2="call",B24*NORMDIST(I24,0,1,1) - $B$2*NORMDIST(J24,0,1,1),$B$2*NORMDIST(-J24,0,1,1) - B24*NORMDIST(-I24,0,1,1) ) - $G$2) * $P$2</f>
        <v/>
      </c>
      <c r="I24" s="140">
        <f>(LN(B24/$B$2)+($H$2^2/2)*($J$2))/($H$2*SQRT($J$2))</f>
        <v/>
      </c>
      <c r="J24" s="140">
        <f>I24 - $H$2*SQRT($J$2)</f>
        <v/>
      </c>
      <c r="L24" s="117" t="n"/>
      <c r="M24" s="141" t="n"/>
      <c r="N24" s="141" t="n"/>
    </row>
    <row r="25" ht="13.5" customHeight="1" s="116">
      <c r="B25" s="138">
        <f>Portfolio!B32</f>
        <v/>
      </c>
      <c r="C25" s="139">
        <f>IF($O$2="sell",-1,1) *  IF($K$2="call",  NORMDIST(I25,0,1,1),  NORMDIST(I25,0,1,1)-1  ) * $P$2</f>
        <v/>
      </c>
      <c r="D25" s="139">
        <f>IF($O$2="sell",-1,1) * NORMDIST(I25,0,1,0)/(B25*$H$2*SQRT($J$2)) * $P$2</f>
        <v/>
      </c>
      <c r="E25" s="139">
        <f>IF($O$2="sell",-1,1) * (B25*NORMDIST(I25,0,1,0)*SQRT($J$2)/365) * $P$2</f>
        <v/>
      </c>
      <c r="F25" s="139">
        <f>IF($O$2="sell",-1,1) * (-(B25*NORMDIST(I25,0,1,0)*$H$2)/(2*SQRT($J$2))/365) *$P$2</f>
        <v/>
      </c>
      <c r="G25" s="139">
        <f>IF($O$2="buy",1,-1)*( IF($K$2="call",B25*NORMDIST(I25,0,1,1) - $B$2*NORMDIST(J25,0,1,1),$B$2*NORMDIST(-J25,0,1,1) - B25*NORMDIST(-I25,0,1,1) ) - $G$2) * $P$2</f>
        <v/>
      </c>
      <c r="I25" s="140">
        <f>(LN(B25/$B$2)+($H$2^2/2)*($J$2))/($H$2*SQRT($J$2))</f>
        <v/>
      </c>
      <c r="J25" s="140">
        <f>I25 - $H$2*SQRT($J$2)</f>
        <v/>
      </c>
      <c r="L25" s="117" t="n"/>
      <c r="M25" s="141" t="n"/>
      <c r="N25" s="141" t="n"/>
    </row>
    <row r="26" ht="13.5" customHeight="1" s="116">
      <c r="B26" s="138">
        <f>Portfolio!B33</f>
        <v/>
      </c>
      <c r="C26" s="139">
        <f>IF($O$2="sell",-1,1) *  IF($K$2="call",  NORMDIST(I26,0,1,1),  NORMDIST(I26,0,1,1)-1  ) * $P$2</f>
        <v/>
      </c>
      <c r="D26" s="139">
        <f>IF($O$2="sell",-1,1) * NORMDIST(I26,0,1,0)/(B26*$H$2*SQRT($J$2)) * $P$2</f>
        <v/>
      </c>
      <c r="E26" s="139">
        <f>IF($O$2="sell",-1,1) * (B26*NORMDIST(I26,0,1,0)*SQRT($J$2)/365) * $P$2</f>
        <v/>
      </c>
      <c r="F26" s="139">
        <f>IF($O$2="sell",-1,1) * (-(B26*NORMDIST(I26,0,1,0)*$H$2)/(2*SQRT($J$2))/365) *$P$2</f>
        <v/>
      </c>
      <c r="G26" s="139">
        <f>IF($O$2="buy",1,-1)*( IF($K$2="call",B26*NORMDIST(I26,0,1,1) - $B$2*NORMDIST(J26,0,1,1),$B$2*NORMDIST(-J26,0,1,1) - B26*NORMDIST(-I26,0,1,1) ) - $G$2) * $P$2</f>
        <v/>
      </c>
      <c r="I26" s="140">
        <f>(LN(B26/$B$2)+($H$2^2/2)*($J$2))/($H$2*SQRT($J$2))</f>
        <v/>
      </c>
      <c r="J26" s="140">
        <f>I26 - $H$2*SQRT($J$2)</f>
        <v/>
      </c>
      <c r="L26" s="117" t="n"/>
      <c r="M26" s="141" t="n"/>
      <c r="N26" s="141" t="n"/>
    </row>
    <row r="27" ht="13.5" customHeight="1" s="116">
      <c r="B27" s="138">
        <f>Portfolio!B34</f>
        <v/>
      </c>
      <c r="C27" s="139">
        <f>IF($O$2="sell",-1,1) *  IF($K$2="call",  NORMDIST(I27,0,1,1),  NORMDIST(I27,0,1,1)-1  ) * $P$2</f>
        <v/>
      </c>
      <c r="D27" s="139">
        <f>IF($O$2="sell",-1,1) * NORMDIST(I27,0,1,0)/(B27*$H$2*SQRT($J$2)) * $P$2</f>
        <v/>
      </c>
      <c r="E27" s="139">
        <f>IF($O$2="sell",-1,1) * (B27*NORMDIST(I27,0,1,0)*SQRT($J$2)/365) * $P$2</f>
        <v/>
      </c>
      <c r="F27" s="139">
        <f>IF($O$2="sell",-1,1) * (-(B27*NORMDIST(I27,0,1,0)*$H$2)/(2*SQRT($J$2))/365) *$P$2</f>
        <v/>
      </c>
      <c r="G27" s="139">
        <f>IF($O$2="buy",1,-1)*( IF($K$2="call",B27*NORMDIST(I27,0,1,1) - $B$2*NORMDIST(J27,0,1,1),$B$2*NORMDIST(-J27,0,1,1) - B27*NORMDIST(-I27,0,1,1) ) - $G$2) * $P$2</f>
        <v/>
      </c>
      <c r="I27" s="140">
        <f>(LN(B27/$B$2)+($H$2^2/2)*($J$2))/($H$2*SQRT($J$2))</f>
        <v/>
      </c>
      <c r="J27" s="140">
        <f>I27 - $H$2*SQRT($J$2)</f>
        <v/>
      </c>
      <c r="L27" s="117" t="n"/>
      <c r="M27" s="141" t="n"/>
      <c r="N27" s="141" t="n"/>
    </row>
    <row r="28" ht="13.5" customHeight="1" s="116">
      <c r="B28" s="138">
        <f>Portfolio!B35</f>
        <v/>
      </c>
      <c r="C28" s="139">
        <f>IF($O$2="sell",-1,1) *  IF($K$2="call",  NORMDIST(I28,0,1,1),  NORMDIST(I28,0,1,1)-1  ) * $P$2</f>
        <v/>
      </c>
      <c r="D28" s="139">
        <f>IF($O$2="sell",-1,1) * NORMDIST(I28,0,1,0)/(B28*$H$2*SQRT($J$2)) * $P$2</f>
        <v/>
      </c>
      <c r="E28" s="139">
        <f>IF($O$2="sell",-1,1) * (B28*NORMDIST(I28,0,1,0)*SQRT($J$2)/365) * $P$2</f>
        <v/>
      </c>
      <c r="F28" s="139">
        <f>IF($O$2="sell",-1,1) * (-(B28*NORMDIST(I28,0,1,0)*$H$2)/(2*SQRT($J$2))/365) *$P$2</f>
        <v/>
      </c>
      <c r="G28" s="139">
        <f>IF($O$2="buy",1,-1)*( IF($K$2="call",B28*NORMDIST(I28,0,1,1) - $B$2*NORMDIST(J28,0,1,1),$B$2*NORMDIST(-J28,0,1,1) - B28*NORMDIST(-I28,0,1,1) ) - $G$2) * $P$2</f>
        <v/>
      </c>
      <c r="I28" s="140">
        <f>(LN(B28/$B$2)+($H$2^2/2)*($J$2))/($H$2*SQRT($J$2))</f>
        <v/>
      </c>
      <c r="J28" s="140">
        <f>I28 - $H$2*SQRT($J$2)</f>
        <v/>
      </c>
      <c r="L28" s="117" t="n"/>
      <c r="M28" s="141" t="n"/>
      <c r="N28" s="141" t="n"/>
    </row>
    <row r="29" ht="13.5" customHeight="1" s="116">
      <c r="B29" s="138">
        <f>Portfolio!B36</f>
        <v/>
      </c>
      <c r="C29" s="139">
        <f>IF($O$2="sell",-1,1) *  IF($K$2="call",  NORMDIST(I29,0,1,1),  NORMDIST(I29,0,1,1)-1  ) * $P$2</f>
        <v/>
      </c>
      <c r="D29" s="139">
        <f>IF($O$2="sell",-1,1) * NORMDIST(I29,0,1,0)/(B29*$H$2*SQRT($J$2)) * $P$2</f>
        <v/>
      </c>
      <c r="E29" s="139">
        <f>IF($O$2="sell",-1,1) * (B29*NORMDIST(I29,0,1,0)*SQRT($J$2)/365) * $P$2</f>
        <v/>
      </c>
      <c r="F29" s="139">
        <f>IF($O$2="sell",-1,1) * (-(B29*NORMDIST(I29,0,1,0)*$H$2)/(2*SQRT($J$2))/365) *$P$2</f>
        <v/>
      </c>
      <c r="G29" s="139">
        <f>IF($O$2="buy",1,-1)*( IF($K$2="call",B29*NORMDIST(I29,0,1,1) - $B$2*NORMDIST(J29,0,1,1),$B$2*NORMDIST(-J29,0,1,1) - B29*NORMDIST(-I29,0,1,1) ) - $G$2) * $P$2</f>
        <v/>
      </c>
      <c r="I29" s="140">
        <f>(LN(B29/$B$2)+($H$2^2/2)*($J$2))/($H$2*SQRT($J$2))</f>
        <v/>
      </c>
      <c r="J29" s="140">
        <f>I29 - $H$2*SQRT($J$2)</f>
        <v/>
      </c>
      <c r="L29" s="117" t="n"/>
      <c r="M29" s="141" t="n"/>
      <c r="N29" s="141" t="n"/>
    </row>
    <row r="30" ht="13.5" customHeight="1" s="116">
      <c r="B30" s="138">
        <f>Portfolio!B37</f>
        <v/>
      </c>
      <c r="C30" s="139">
        <f>IF($O$2="sell",-1,1) *  IF($K$2="call",  NORMDIST(I30,0,1,1),  NORMDIST(I30,0,1,1)-1  ) * $P$2</f>
        <v/>
      </c>
      <c r="D30" s="139">
        <f>IF($O$2="sell",-1,1) * NORMDIST(I30,0,1,0)/(B30*$H$2*SQRT($J$2)) * $P$2</f>
        <v/>
      </c>
      <c r="E30" s="139">
        <f>IF($O$2="sell",-1,1) * (B30*NORMDIST(I30,0,1,0)*SQRT($J$2)/365) * $P$2</f>
        <v/>
      </c>
      <c r="F30" s="139">
        <f>IF($O$2="sell",-1,1) * (-(B30*NORMDIST(I30,0,1,0)*$H$2)/(2*SQRT($J$2))/365) *$P$2</f>
        <v/>
      </c>
      <c r="G30" s="139">
        <f>IF($O$2="buy",1,-1)*( IF($K$2="call",B30*NORMDIST(I30,0,1,1) - $B$2*NORMDIST(J30,0,1,1),$B$2*NORMDIST(-J30,0,1,1) - B30*NORMDIST(-I30,0,1,1) ) - $G$2) * $P$2</f>
        <v/>
      </c>
      <c r="I30" s="140">
        <f>(LN(B30/$B$2)+($H$2^2/2)*($J$2))/($H$2*SQRT($J$2))</f>
        <v/>
      </c>
      <c r="J30" s="140">
        <f>I30 - $H$2*SQRT($J$2)</f>
        <v/>
      </c>
      <c r="L30" s="117" t="n"/>
      <c r="M30" s="141" t="n"/>
      <c r="N30" s="141" t="n"/>
    </row>
    <row r="31" ht="13.5" customHeight="1" s="116">
      <c r="B31" s="138">
        <f>Portfolio!B38</f>
        <v/>
      </c>
      <c r="C31" s="139">
        <f>IF($O$2="sell",-1,1) *  IF($K$2="call",  NORMDIST(I31,0,1,1),  NORMDIST(I31,0,1,1)-1  ) * $P$2</f>
        <v/>
      </c>
      <c r="D31" s="139">
        <f>IF($O$2="sell",-1,1) * NORMDIST(I31,0,1,0)/(B31*$H$2*SQRT($J$2)) * $P$2</f>
        <v/>
      </c>
      <c r="E31" s="139">
        <f>IF($O$2="sell",-1,1) * (B31*NORMDIST(I31,0,1,0)*SQRT($J$2)/365) * $P$2</f>
        <v/>
      </c>
      <c r="F31" s="139">
        <f>IF($O$2="sell",-1,1) * (-(B31*NORMDIST(I31,0,1,0)*$H$2)/(2*SQRT($J$2))/365) *$P$2</f>
        <v/>
      </c>
      <c r="G31" s="139">
        <f>IF($O$2="buy",1,-1)*( IF($K$2="call",B31*NORMDIST(I31,0,1,1) - $B$2*NORMDIST(J31,0,1,1),$B$2*NORMDIST(-J31,0,1,1) - B31*NORMDIST(-I31,0,1,1) ) - $G$2) * $P$2</f>
        <v/>
      </c>
      <c r="I31" s="140">
        <f>(LN(B31/$B$2)+($H$2^2/2)*($J$2))/($H$2*SQRT($J$2))</f>
        <v/>
      </c>
      <c r="J31" s="140">
        <f>I31 - $H$2*SQRT($J$2)</f>
        <v/>
      </c>
      <c r="L31" s="117" t="n"/>
      <c r="M31" s="141" t="n"/>
      <c r="N31" s="141" t="n"/>
    </row>
    <row r="32" ht="13.5" customHeight="1" s="116">
      <c r="B32" s="138">
        <f>Portfolio!B39</f>
        <v/>
      </c>
      <c r="C32" s="139">
        <f>IF($O$2="sell",-1,1) *  IF($K$2="call",  NORMDIST(I32,0,1,1),  NORMDIST(I32,0,1,1)-1  ) * $P$2</f>
        <v/>
      </c>
      <c r="D32" s="139">
        <f>IF($O$2="sell",-1,1) * NORMDIST(I32,0,1,0)/(B32*$H$2*SQRT($J$2)) * $P$2</f>
        <v/>
      </c>
      <c r="E32" s="139">
        <f>IF($O$2="sell",-1,1) * (B32*NORMDIST(I32,0,1,0)*SQRT($J$2)/365) * $P$2</f>
        <v/>
      </c>
      <c r="F32" s="139">
        <f>IF($O$2="sell",-1,1) * (-(B32*NORMDIST(I32,0,1,0)*$H$2)/(2*SQRT($J$2))/365) *$P$2</f>
        <v/>
      </c>
      <c r="G32" s="139">
        <f>IF($O$2="buy",1,-1)*( IF($K$2="call",B32*NORMDIST(I32,0,1,1) - $B$2*NORMDIST(J32,0,1,1),$B$2*NORMDIST(-J32,0,1,1) - B32*NORMDIST(-I32,0,1,1) ) - $G$2) * $P$2</f>
        <v/>
      </c>
      <c r="I32" s="140">
        <f>(LN(B32/$B$2)+($H$2^2/2)*($J$2))/($H$2*SQRT($J$2))</f>
        <v/>
      </c>
      <c r="J32" s="140">
        <f>I32 - $H$2*SQRT($J$2)</f>
        <v/>
      </c>
      <c r="L32" s="117" t="n"/>
      <c r="M32" s="141" t="n"/>
      <c r="N32" s="141" t="n"/>
    </row>
    <row r="33" ht="13.5" customHeight="1" s="116">
      <c r="B33" s="138">
        <f>Portfolio!B40</f>
        <v/>
      </c>
      <c r="C33" s="139">
        <f>IF($O$2="sell",-1,1) *  IF($K$2="call",  NORMDIST(I33,0,1,1),  NORMDIST(I33,0,1,1)-1  ) * $P$2</f>
        <v/>
      </c>
      <c r="D33" s="139">
        <f>IF($O$2="sell",-1,1) * NORMDIST(I33,0,1,0)/(B33*$H$2*SQRT($J$2)) * $P$2</f>
        <v/>
      </c>
      <c r="E33" s="139">
        <f>IF($O$2="sell",-1,1) * (B33*NORMDIST(I33,0,1,0)*SQRT($J$2)/365) * $P$2</f>
        <v/>
      </c>
      <c r="F33" s="139">
        <f>IF($O$2="sell",-1,1) * (-(B33*NORMDIST(I33,0,1,0)*$H$2)/(2*SQRT($J$2))/365) *$P$2</f>
        <v/>
      </c>
      <c r="G33" s="139">
        <f>IF($O$2="buy",1,-1)*( IF($K$2="call",B33*NORMDIST(I33,0,1,1) - $B$2*NORMDIST(J33,0,1,1),$B$2*NORMDIST(-J33,0,1,1) - B33*NORMDIST(-I33,0,1,1) ) - $G$2) * $P$2</f>
        <v/>
      </c>
      <c r="I33" s="140">
        <f>(LN(B33/$B$2)+($H$2^2/2)*($J$2))/($H$2*SQRT($J$2))</f>
        <v/>
      </c>
      <c r="J33" s="140">
        <f>I33 - $H$2*SQRT($J$2)</f>
        <v/>
      </c>
      <c r="L33" s="117" t="n"/>
      <c r="M33" s="141" t="n"/>
      <c r="N33" s="141" t="n"/>
    </row>
    <row r="34" ht="13.5" customHeight="1" s="116">
      <c r="B34" s="138">
        <f>Portfolio!B41</f>
        <v/>
      </c>
      <c r="C34" s="139">
        <f>IF($O$2="sell",-1,1) *  IF($K$2="call",  NORMDIST(I34,0,1,1),  NORMDIST(I34,0,1,1)-1  ) * $P$2</f>
        <v/>
      </c>
      <c r="D34" s="139">
        <f>IF($O$2="sell",-1,1) * NORMDIST(I34,0,1,0)/(B34*$H$2*SQRT($J$2)) * $P$2</f>
        <v/>
      </c>
      <c r="E34" s="139">
        <f>IF($O$2="sell",-1,1) * (B34*NORMDIST(I34,0,1,0)*SQRT($J$2)/365) * $P$2</f>
        <v/>
      </c>
      <c r="F34" s="139">
        <f>IF($O$2="sell",-1,1) * (-(B34*NORMDIST(I34,0,1,0)*$H$2)/(2*SQRT($J$2))/365) *$P$2</f>
        <v/>
      </c>
      <c r="G34" s="139">
        <f>IF($O$2="buy",1,-1)*( IF($K$2="call",B34*NORMDIST(I34,0,1,1) - $B$2*NORMDIST(J34,0,1,1),$B$2*NORMDIST(-J34,0,1,1) - B34*NORMDIST(-I34,0,1,1) ) - $G$2) * $P$2</f>
        <v/>
      </c>
      <c r="I34" s="140">
        <f>(LN(B34/$B$2)+($H$2^2/2)*($J$2))/($H$2*SQRT($J$2))</f>
        <v/>
      </c>
      <c r="J34" s="140">
        <f>I34 - $H$2*SQRT($J$2)</f>
        <v/>
      </c>
      <c r="L34" s="117" t="n"/>
      <c r="M34" s="141" t="n"/>
      <c r="N34" s="141" t="n"/>
    </row>
    <row r="35" ht="13.5" customHeight="1" s="116">
      <c r="B35" s="138">
        <f>Portfolio!B42</f>
        <v/>
      </c>
      <c r="C35" s="139">
        <f>IF($O$2="sell",-1,1) *  IF($K$2="call",  NORMDIST(I35,0,1,1),  NORMDIST(I35,0,1,1)-1  ) * $P$2</f>
        <v/>
      </c>
      <c r="D35" s="139">
        <f>IF($O$2="sell",-1,1) * NORMDIST(I35,0,1,0)/(B35*$H$2*SQRT($J$2)) * $P$2</f>
        <v/>
      </c>
      <c r="E35" s="139">
        <f>IF($O$2="sell",-1,1) * (B35*NORMDIST(I35,0,1,0)*SQRT($J$2)/365) * $P$2</f>
        <v/>
      </c>
      <c r="F35" s="139">
        <f>IF($O$2="sell",-1,1) * (-(B35*NORMDIST(I35,0,1,0)*$H$2)/(2*SQRT($J$2))/365) *$P$2</f>
        <v/>
      </c>
      <c r="G35" s="139">
        <f>IF($O$2="buy",1,-1)*( IF($K$2="call",B35*NORMDIST(I35,0,1,1) - $B$2*NORMDIST(J35,0,1,1),$B$2*NORMDIST(-J35,0,1,1) - B35*NORMDIST(-I35,0,1,1) ) - $G$2) * $P$2</f>
        <v/>
      </c>
      <c r="I35" s="140">
        <f>(LN(B35/$B$2)+($H$2^2/2)*($J$2))/($H$2*SQRT($J$2))</f>
        <v/>
      </c>
      <c r="J35" s="140">
        <f>I35 - $H$2*SQRT($J$2)</f>
        <v/>
      </c>
      <c r="L35" s="117" t="n"/>
      <c r="M35" s="141" t="n"/>
      <c r="N35" s="141" t="n"/>
    </row>
    <row r="36" ht="13.5" customHeight="1" s="116">
      <c r="B36" s="138">
        <f>Portfolio!B43</f>
        <v/>
      </c>
      <c r="C36" s="139">
        <f>IF($O$2="sell",-1,1) *  IF($K$2="call",  NORMDIST(I36,0,1,1),  NORMDIST(I36,0,1,1)-1  ) * $P$2</f>
        <v/>
      </c>
      <c r="D36" s="139">
        <f>IF($O$2="sell",-1,1) * NORMDIST(I36,0,1,0)/(B36*$H$2*SQRT($J$2)) * $P$2</f>
        <v/>
      </c>
      <c r="E36" s="139">
        <f>IF($O$2="sell",-1,1) * (B36*NORMDIST(I36,0,1,0)*SQRT($J$2)/365) * $P$2</f>
        <v/>
      </c>
      <c r="F36" s="139">
        <f>IF($O$2="sell",-1,1) * (-(B36*NORMDIST(I36,0,1,0)*$H$2)/(2*SQRT($J$2))/365) *$P$2</f>
        <v/>
      </c>
      <c r="G36" s="139">
        <f>IF($O$2="buy",1,-1)*( IF($K$2="call",B36*NORMDIST(I36,0,1,1) - $B$2*NORMDIST(J36,0,1,1),$B$2*NORMDIST(-J36,0,1,1) - B36*NORMDIST(-I36,0,1,1) ) - $G$2) * $P$2</f>
        <v/>
      </c>
      <c r="I36" s="140">
        <f>(LN(B36/$B$2)+($H$2^2/2)*($J$2))/($H$2*SQRT($J$2))</f>
        <v/>
      </c>
      <c r="J36" s="140">
        <f>I36 - $H$2*SQRT($J$2)</f>
        <v/>
      </c>
      <c r="L36" s="117" t="n"/>
      <c r="M36" s="141" t="n"/>
      <c r="N36" s="141" t="n"/>
    </row>
    <row r="37" ht="13.5" customHeight="1" s="116">
      <c r="B37" s="138">
        <f>Portfolio!B44</f>
        <v/>
      </c>
      <c r="C37" s="139">
        <f>IF($O$2="sell",-1,1) *  IF($K$2="call",  NORMDIST(I37,0,1,1),  NORMDIST(I37,0,1,1)-1  ) * $P$2</f>
        <v/>
      </c>
      <c r="D37" s="139">
        <f>IF($O$2="sell",-1,1) * NORMDIST(I37,0,1,0)/(B37*$H$2*SQRT($J$2)) * $P$2</f>
        <v/>
      </c>
      <c r="E37" s="139">
        <f>IF($O$2="sell",-1,1) * (B37*NORMDIST(I37,0,1,0)*SQRT($J$2)/365) * $P$2</f>
        <v/>
      </c>
      <c r="F37" s="139">
        <f>IF($O$2="sell",-1,1) * (-(B37*NORMDIST(I37,0,1,0)*$H$2)/(2*SQRT($J$2))/365) *$P$2</f>
        <v/>
      </c>
      <c r="G37" s="139">
        <f>IF($O$2="buy",1,-1)*( IF($K$2="call",B37*NORMDIST(I37,0,1,1) - $B$2*NORMDIST(J37,0,1,1),$B$2*NORMDIST(-J37,0,1,1) - B37*NORMDIST(-I37,0,1,1) ) - $G$2) * $P$2</f>
        <v/>
      </c>
      <c r="I37" s="140">
        <f>(LN(B37/$B$2)+($H$2^2/2)*($J$2))/($H$2*SQRT($J$2))</f>
        <v/>
      </c>
      <c r="J37" s="140">
        <f>I37 - $H$2*SQRT($J$2)</f>
        <v/>
      </c>
      <c r="L37" s="117" t="n"/>
      <c r="M37" s="141" t="n"/>
      <c r="N37" s="141" t="n"/>
    </row>
    <row r="38" ht="13.5" customHeight="1" s="116">
      <c r="B38" s="138">
        <f>Portfolio!B45</f>
        <v/>
      </c>
      <c r="C38" s="139">
        <f>IF($O$2="sell",-1,1) *  IF($K$2="call",  NORMDIST(I38,0,1,1),  NORMDIST(I38,0,1,1)-1  ) * $P$2</f>
        <v/>
      </c>
      <c r="D38" s="139">
        <f>IF($O$2="sell",-1,1) * NORMDIST(I38,0,1,0)/(B38*$H$2*SQRT($J$2)) * $P$2</f>
        <v/>
      </c>
      <c r="E38" s="139">
        <f>IF($O$2="sell",-1,1) * (B38*NORMDIST(I38,0,1,0)*SQRT($J$2)/365) * $P$2</f>
        <v/>
      </c>
      <c r="F38" s="139">
        <f>IF($O$2="sell",-1,1) * (-(B38*NORMDIST(I38,0,1,0)*$H$2)/(2*SQRT($J$2))/365) *$P$2</f>
        <v/>
      </c>
      <c r="G38" s="139">
        <f>IF($O$2="buy",1,-1)*( IF($K$2="call",B38*NORMDIST(I38,0,1,1) - $B$2*NORMDIST(J38,0,1,1),$B$2*NORMDIST(-J38,0,1,1) - B38*NORMDIST(-I38,0,1,1) ) - $G$2) * $P$2</f>
        <v/>
      </c>
      <c r="I38" s="140">
        <f>(LN(B38/$B$2)+($H$2^2/2)*($J$2))/($H$2*SQRT($J$2))</f>
        <v/>
      </c>
      <c r="J38" s="140">
        <f>I38 - $H$2*SQRT($J$2)</f>
        <v/>
      </c>
      <c r="L38" s="117" t="n"/>
      <c r="M38" s="141" t="n"/>
      <c r="N38" s="141" t="n"/>
    </row>
    <row r="39" ht="13.5" customHeight="1" s="116">
      <c r="B39" s="138">
        <f>Portfolio!B46</f>
        <v/>
      </c>
      <c r="C39" s="139">
        <f>IF($O$2="sell",-1,1) *  IF($K$2="call",  NORMDIST(I39,0,1,1),  NORMDIST(I39,0,1,1)-1  ) * $P$2</f>
        <v/>
      </c>
      <c r="D39" s="139">
        <f>IF($O$2="sell",-1,1) * NORMDIST(I39,0,1,0)/(B39*$H$2*SQRT($J$2)) * $P$2</f>
        <v/>
      </c>
      <c r="E39" s="139">
        <f>IF($O$2="sell",-1,1) * (B39*NORMDIST(I39,0,1,0)*SQRT($J$2)/365) * $P$2</f>
        <v/>
      </c>
      <c r="F39" s="139">
        <f>IF($O$2="sell",-1,1) * (-(B39*NORMDIST(I39,0,1,0)*$H$2)/(2*SQRT($J$2))/365) *$P$2</f>
        <v/>
      </c>
      <c r="G39" s="139">
        <f>IF($O$2="buy",1,-1)*( IF($K$2="call",B39*NORMDIST(I39,0,1,1) - $B$2*NORMDIST(J39,0,1,1),$B$2*NORMDIST(-J39,0,1,1) - B39*NORMDIST(-I39,0,1,1) ) - $G$2) * $P$2</f>
        <v/>
      </c>
      <c r="I39" s="140">
        <f>(LN(B39/$B$2)+($H$2^2/2)*($J$2))/($H$2*SQRT($J$2))</f>
        <v/>
      </c>
      <c r="J39" s="140">
        <f>I39 - $H$2*SQRT($J$2)</f>
        <v/>
      </c>
      <c r="L39" s="117" t="n"/>
      <c r="M39" s="141" t="n"/>
      <c r="N39" s="141" t="n"/>
    </row>
    <row r="40" ht="13.5" customHeight="1" s="116">
      <c r="B40" s="138">
        <f>Portfolio!B47</f>
        <v/>
      </c>
      <c r="C40" s="139">
        <f>IF($O$2="sell",-1,1) *  IF($K$2="call",  NORMDIST(I40,0,1,1),  NORMDIST(I40,0,1,1)-1  ) * $P$2</f>
        <v/>
      </c>
      <c r="D40" s="139">
        <f>IF($O$2="sell",-1,1) * NORMDIST(I40,0,1,0)/(B40*$H$2*SQRT($J$2)) * $P$2</f>
        <v/>
      </c>
      <c r="E40" s="139">
        <f>IF($O$2="sell",-1,1) * (B40*NORMDIST(I40,0,1,0)*SQRT($J$2)/365) * $P$2</f>
        <v/>
      </c>
      <c r="F40" s="139">
        <f>IF($O$2="sell",-1,1) * (-(B40*NORMDIST(I40,0,1,0)*$H$2)/(2*SQRT($J$2))/365) *$P$2</f>
        <v/>
      </c>
      <c r="G40" s="139">
        <f>IF($O$2="buy",1,-1)*( IF($K$2="call",B40*NORMDIST(I40,0,1,1) - $B$2*NORMDIST(J40,0,1,1),$B$2*NORMDIST(-J40,0,1,1) - B40*NORMDIST(-I40,0,1,1) ) - $G$2) * $P$2</f>
        <v/>
      </c>
      <c r="I40" s="140">
        <f>(LN(B40/$B$2)+($H$2^2/2)*($J$2))/($H$2*SQRT($J$2))</f>
        <v/>
      </c>
      <c r="J40" s="140">
        <f>I40 - $H$2*SQRT($J$2)</f>
        <v/>
      </c>
      <c r="L40" s="117" t="n"/>
      <c r="M40" s="141" t="n"/>
      <c r="N40" s="141" t="n"/>
    </row>
    <row r="41" ht="13.5" customHeight="1" s="116">
      <c r="B41" s="138">
        <f>Portfolio!B48</f>
        <v/>
      </c>
      <c r="C41" s="139">
        <f>IF($O$2="sell",-1,1) *  IF($K$2="call",  NORMDIST(I41,0,1,1),  NORMDIST(I41,0,1,1)-1  ) * $P$2</f>
        <v/>
      </c>
      <c r="D41" s="139">
        <f>IF($O$2="sell",-1,1) * NORMDIST(I41,0,1,0)/(B41*$H$2*SQRT($J$2)) * $P$2</f>
        <v/>
      </c>
      <c r="E41" s="139">
        <f>IF($O$2="sell",-1,1) * (B41*NORMDIST(I41,0,1,0)*SQRT($J$2)/365) * $P$2</f>
        <v/>
      </c>
      <c r="F41" s="139">
        <f>IF($O$2="sell",-1,1) * (-(B41*NORMDIST(I41,0,1,0)*$H$2)/(2*SQRT($J$2))/365) *$P$2</f>
        <v/>
      </c>
      <c r="G41" s="139">
        <f>IF($O$2="buy",1,-1)*( IF($K$2="call",B41*NORMDIST(I41,0,1,1) - $B$2*NORMDIST(J41,0,1,1),$B$2*NORMDIST(-J41,0,1,1) - B41*NORMDIST(-I41,0,1,1) ) - $G$2) * $P$2</f>
        <v/>
      </c>
      <c r="I41" s="140">
        <f>(LN(B41/$B$2)+($H$2^2/2)*($J$2))/($H$2*SQRT($J$2))</f>
        <v/>
      </c>
      <c r="J41" s="140">
        <f>I41 - $H$2*SQRT($J$2)</f>
        <v/>
      </c>
      <c r="L41" s="117" t="n"/>
      <c r="M41" s="141" t="n"/>
      <c r="N41" s="141" t="n"/>
    </row>
    <row r="42" ht="13.5" customHeight="1" s="116">
      <c r="B42" s="138">
        <f>Portfolio!B49</f>
        <v/>
      </c>
      <c r="C42" s="139">
        <f>IF($O$2="sell",-1,1) *  IF($K$2="call",  NORMDIST(I42,0,1,1),  NORMDIST(I42,0,1,1)-1  ) * $P$2</f>
        <v/>
      </c>
      <c r="D42" s="139">
        <f>IF($O$2="sell",-1,1) * NORMDIST(I42,0,1,0)/(B42*$H$2*SQRT($J$2)) * $P$2</f>
        <v/>
      </c>
      <c r="E42" s="139">
        <f>IF($O$2="sell",-1,1) * (B42*NORMDIST(I42,0,1,0)*SQRT($J$2)/365) * $P$2</f>
        <v/>
      </c>
      <c r="F42" s="139">
        <f>IF($O$2="sell",-1,1) * (-(B42*NORMDIST(I42,0,1,0)*$H$2)/(2*SQRT($J$2))/365) *$P$2</f>
        <v/>
      </c>
      <c r="G42" s="139">
        <f>IF($O$2="buy",1,-1)*( IF($K$2="call",B42*NORMDIST(I42,0,1,1) - $B$2*NORMDIST(J42,0,1,1),$B$2*NORMDIST(-J42,0,1,1) - B42*NORMDIST(-I42,0,1,1) ) - $G$2) * $P$2</f>
        <v/>
      </c>
      <c r="I42" s="140">
        <f>(LN(B42/$B$2)+($H$2^2/2)*($J$2))/($H$2*SQRT($J$2))</f>
        <v/>
      </c>
      <c r="J42" s="140">
        <f>I42 - $H$2*SQRT($J$2)</f>
        <v/>
      </c>
      <c r="L42" s="117" t="n"/>
      <c r="M42" s="141" t="n"/>
      <c r="N42" s="141" t="n"/>
    </row>
    <row r="43" ht="13.5" customHeight="1" s="116">
      <c r="B43" s="138">
        <f>Portfolio!B50</f>
        <v/>
      </c>
      <c r="C43" s="139">
        <f>IF($O$2="sell",-1,1) *  IF($K$2="call",  NORMDIST(I43,0,1,1),  NORMDIST(I43,0,1,1)-1  ) * $P$2</f>
        <v/>
      </c>
      <c r="D43" s="139">
        <f>IF($O$2="sell",-1,1) * NORMDIST(I43,0,1,0)/(B43*$H$2*SQRT($J$2)) * $P$2</f>
        <v/>
      </c>
      <c r="E43" s="139">
        <f>IF($O$2="sell",-1,1) * (B43*NORMDIST(I43,0,1,0)*SQRT($J$2)/365) * $P$2</f>
        <v/>
      </c>
      <c r="F43" s="139">
        <f>IF($O$2="sell",-1,1) * (-(B43*NORMDIST(I43,0,1,0)*$H$2)/(2*SQRT($J$2))/365) *$P$2</f>
        <v/>
      </c>
      <c r="G43" s="139">
        <f>IF($O$2="buy",1,-1)*( IF($K$2="call",B43*NORMDIST(I43,0,1,1) - $B$2*NORMDIST(J43,0,1,1),$B$2*NORMDIST(-J43,0,1,1) - B43*NORMDIST(-I43,0,1,1) ) - $G$2) * $P$2</f>
        <v/>
      </c>
      <c r="I43" s="140">
        <f>(LN(B43/$B$2)+($H$2^2/2)*($J$2))/($H$2*SQRT($J$2))</f>
        <v/>
      </c>
      <c r="J43" s="140">
        <f>I43 - $H$2*SQRT($J$2)</f>
        <v/>
      </c>
      <c r="L43" s="117" t="n"/>
      <c r="M43" s="141" t="n"/>
      <c r="N43" s="141" t="n"/>
    </row>
    <row r="44" ht="13.5" customHeight="1" s="116">
      <c r="B44" s="138">
        <f>Portfolio!B51</f>
        <v/>
      </c>
      <c r="C44" s="139">
        <f>IF($O$2="sell",-1,1) *  IF($K$2="call",  NORMDIST(I44,0,1,1),  NORMDIST(I44,0,1,1)-1  ) * $P$2</f>
        <v/>
      </c>
      <c r="D44" s="139">
        <f>IF($O$2="sell",-1,1) * NORMDIST(I44,0,1,0)/(B44*$H$2*SQRT($J$2)) * $P$2</f>
        <v/>
      </c>
      <c r="E44" s="139">
        <f>IF($O$2="sell",-1,1) * (B44*NORMDIST(I44,0,1,0)*SQRT($J$2)/365) * $P$2</f>
        <v/>
      </c>
      <c r="F44" s="139">
        <f>IF($O$2="sell",-1,1) * (-(B44*NORMDIST(I44,0,1,0)*$H$2)/(2*SQRT($J$2))/365) *$P$2</f>
        <v/>
      </c>
      <c r="G44" s="139">
        <f>IF($O$2="buy",1,-1)*( IF($K$2="call",B44*NORMDIST(I44,0,1,1) - $B$2*NORMDIST(J44,0,1,1),$B$2*NORMDIST(-J44,0,1,1) - B44*NORMDIST(-I44,0,1,1) ) - $G$2) * $P$2</f>
        <v/>
      </c>
      <c r="I44" s="140">
        <f>(LN(B44/$B$2)+($H$2^2/2)*($J$2))/($H$2*SQRT($J$2))</f>
        <v/>
      </c>
      <c r="J44" s="140">
        <f>I44 - $H$2*SQRT($J$2)</f>
        <v/>
      </c>
      <c r="L44" s="117" t="n"/>
      <c r="M44" s="141" t="n"/>
      <c r="N44" s="141" t="n"/>
    </row>
    <row r="45" ht="13.5" customHeight="1" s="116">
      <c r="B45" s="138">
        <f>Portfolio!B52</f>
        <v/>
      </c>
      <c r="C45" s="139">
        <f>IF($O$2="sell",-1,1) *  IF($K$2="call",  NORMDIST(I45,0,1,1),  NORMDIST(I45,0,1,1)-1  ) * $P$2</f>
        <v/>
      </c>
      <c r="D45" s="139">
        <f>IF($O$2="sell",-1,1) * NORMDIST(I45,0,1,0)/(B45*$H$2*SQRT($J$2)) * $P$2</f>
        <v/>
      </c>
      <c r="E45" s="139">
        <f>IF($O$2="sell",-1,1) * (B45*NORMDIST(I45,0,1,0)*SQRT($J$2)/365) * $P$2</f>
        <v/>
      </c>
      <c r="F45" s="139">
        <f>IF($O$2="sell",-1,1) * (-(B45*NORMDIST(I45,0,1,0)*$H$2)/(2*SQRT($J$2))/365) *$P$2</f>
        <v/>
      </c>
      <c r="G45" s="139">
        <f>IF($O$2="buy",1,-1)*( IF($K$2="call",B45*NORMDIST(I45,0,1,1) - $B$2*NORMDIST(J45,0,1,1),$B$2*NORMDIST(-J45,0,1,1) - B45*NORMDIST(-I45,0,1,1) ) - $G$2) * $P$2</f>
        <v/>
      </c>
      <c r="I45" s="140">
        <f>(LN(B45/$B$2)+($H$2^2/2)*($J$2))/($H$2*SQRT($J$2))</f>
        <v/>
      </c>
      <c r="J45" s="140">
        <f>I45 - $H$2*SQRT($J$2)</f>
        <v/>
      </c>
      <c r="L45" s="117" t="n"/>
      <c r="M45" s="141" t="n"/>
      <c r="N45" s="141" t="n"/>
    </row>
    <row r="46" ht="13.5" customHeight="1" s="116">
      <c r="B46" s="138">
        <f>Portfolio!B53</f>
        <v/>
      </c>
      <c r="C46" s="139">
        <f>IF($O$2="sell",-1,1) *  IF($K$2="call",  NORMDIST(I46,0,1,1),  NORMDIST(I46,0,1,1)-1  ) * $P$2</f>
        <v/>
      </c>
      <c r="D46" s="139">
        <f>IF($O$2="sell",-1,1) * NORMDIST(I46,0,1,0)/(B46*$H$2*SQRT($J$2)) * $P$2</f>
        <v/>
      </c>
      <c r="E46" s="139">
        <f>IF($O$2="sell",-1,1) * (B46*NORMDIST(I46,0,1,0)*SQRT($J$2)/365) * $P$2</f>
        <v/>
      </c>
      <c r="F46" s="139">
        <f>IF($O$2="sell",-1,1) * (-(B46*NORMDIST(I46,0,1,0)*$H$2)/(2*SQRT($J$2))/365) *$P$2</f>
        <v/>
      </c>
      <c r="G46" s="139">
        <f>IF($O$2="buy",1,-1)*( IF($K$2="call",B46*NORMDIST(I46,0,1,1) - $B$2*NORMDIST(J46,0,1,1),$B$2*NORMDIST(-J46,0,1,1) - B46*NORMDIST(-I46,0,1,1) ) - $G$2) * $P$2</f>
        <v/>
      </c>
      <c r="I46" s="140">
        <f>(LN(B46/$B$2)+($H$2^2/2)*($J$2))/($H$2*SQRT($J$2))</f>
        <v/>
      </c>
      <c r="J46" s="140">
        <f>I46 - $H$2*SQRT($J$2)</f>
        <v/>
      </c>
      <c r="L46" s="117" t="n"/>
      <c r="M46" s="141" t="n"/>
      <c r="N46" s="141" t="n"/>
    </row>
    <row r="47" ht="13.5" customHeight="1" s="116">
      <c r="B47" s="138">
        <f>Portfolio!B54</f>
        <v/>
      </c>
      <c r="C47" s="139">
        <f>IF($O$2="sell",-1,1) *  IF($K$2="call",  NORMDIST(I47,0,1,1),  NORMDIST(I47,0,1,1)-1  ) * $P$2</f>
        <v/>
      </c>
      <c r="D47" s="139">
        <f>IF($O$2="sell",-1,1) * NORMDIST(I47,0,1,0)/(B47*$H$2*SQRT($J$2)) * $P$2</f>
        <v/>
      </c>
      <c r="E47" s="139">
        <f>IF($O$2="sell",-1,1) * (B47*NORMDIST(I47,0,1,0)*SQRT($J$2)/365) * $P$2</f>
        <v/>
      </c>
      <c r="F47" s="139">
        <f>IF($O$2="sell",-1,1) * (-(B47*NORMDIST(I47,0,1,0)*$H$2)/(2*SQRT($J$2))/365) *$P$2</f>
        <v/>
      </c>
      <c r="G47" s="139">
        <f>IF($O$2="buy",1,-1)*( IF($K$2="call",B47*NORMDIST(I47,0,1,1) - $B$2*NORMDIST(J47,0,1,1),$B$2*NORMDIST(-J47,0,1,1) - B47*NORMDIST(-I47,0,1,1) ) - $G$2) * $P$2</f>
        <v/>
      </c>
      <c r="I47" s="140">
        <f>(LN(B47/$B$2)+($H$2^2/2)*($J$2))/($H$2*SQRT($J$2))</f>
        <v/>
      </c>
      <c r="J47" s="140">
        <f>I47 - $H$2*SQRT($J$2)</f>
        <v/>
      </c>
      <c r="L47" s="117" t="n"/>
      <c r="M47" s="141" t="n"/>
      <c r="N47" s="141" t="n"/>
    </row>
    <row r="49" ht="17.25" customHeight="1" s="116">
      <c r="A49" s="117">
        <f>A3</f>
        <v/>
      </c>
      <c r="B49" s="137" t="n"/>
      <c r="C49" s="133" t="inlineStr">
        <is>
          <t>delta</t>
        </is>
      </c>
      <c r="D49" s="133" t="inlineStr">
        <is>
          <t>gamma</t>
        </is>
      </c>
      <c r="E49" s="133" t="inlineStr">
        <is>
          <t>vega</t>
        </is>
      </c>
      <c r="F49" s="133" t="inlineStr">
        <is>
          <t>theta</t>
        </is>
      </c>
      <c r="G49" s="133" t="inlineStr">
        <is>
          <t>mark_price</t>
        </is>
      </c>
      <c r="I49" s="133" t="inlineStr">
        <is>
          <t>d1</t>
        </is>
      </c>
      <c r="J49" s="133" t="inlineStr">
        <is>
          <t>d2</t>
        </is>
      </c>
    </row>
    <row r="50" ht="13.5" customHeight="1" s="116">
      <c r="B50" s="138">
        <f>B21</f>
        <v/>
      </c>
      <c r="C50" s="139">
        <f>IF($O$3="sell",-1,1) *  IF($K$3="call",  NORMDIST(I50,0,1,1),  NORMDIST(I50,0,1,1)-1  ) * $P$3</f>
        <v/>
      </c>
      <c r="D50" s="139">
        <f>IF($O$3="sell",-1,1) * NORMDIST(I50,0,1,0)/(B50*$H$3*SQRT($J$3)) * $P$3</f>
        <v/>
      </c>
      <c r="E50" s="139">
        <f>IF($O$3="sell",-1,1) * (B50*NORMDIST(I50,0,1,0)*SQRT($J$3)/365) * $P$3</f>
        <v/>
      </c>
      <c r="F50" s="139">
        <f>IF($O$3="sell",-1,1) * (-(B50*NORMDIST(I50,0,1,0)*$H$3)/(2*SQRT($J$3))/365) *$P$3</f>
        <v/>
      </c>
      <c r="G50" s="139">
        <f>IF($O$3="buy",1,-1)*( IF($K$3="call",B50*NORMDIST(I50,0,1,1) - $B$3*NORMDIST(J50,0,1,1),$B$3*NORMDIST(-J50,0,1,1) - B50*NORMDIST(-I50,0,1,1) ) - $G$3) * $P$3</f>
        <v/>
      </c>
      <c r="I50" s="140">
        <f>(LN(B50/$B$3)+($H$3^2/2)*($J$3))/($H$3*SQRT($J$3))</f>
        <v/>
      </c>
      <c r="J50" s="140">
        <f>I50 - $H$3*SQRT($J$3)</f>
        <v/>
      </c>
    </row>
    <row r="51" ht="13.5" customHeight="1" s="116">
      <c r="B51" s="138">
        <f>B22</f>
        <v/>
      </c>
      <c r="C51" s="139">
        <f>IF($O$3="sell",-1,1) *  IF($K$3="call",  NORMDIST(I51,0,1,1),  NORMDIST(I51,0,1,1)-1  ) * $P$3</f>
        <v/>
      </c>
      <c r="D51" s="139">
        <f>IF($O$3="sell",-1,1) * NORMDIST(I51,0,1,0)/(B51*$H$3*SQRT($J$3)) * $P$3</f>
        <v/>
      </c>
      <c r="E51" s="139">
        <f>IF($O$3="sell",-1,1) * (B51*NORMDIST(I51,0,1,0)*SQRT($J$3)/365) * $P$3</f>
        <v/>
      </c>
      <c r="F51" s="139">
        <f>IF($O$3="sell",-1,1) * (-(B51*NORMDIST(I51,0,1,0)*$H$3)/(2*SQRT($J$3))/365) *$P$3</f>
        <v/>
      </c>
      <c r="G51" s="139">
        <f>IF($O$3="buy",1,-1)*( IF($K$3="call",B51*NORMDIST(I51,0,1,1) - $B$3*NORMDIST(J51,0,1,1),$B$3*NORMDIST(-J51,0,1,1) - B51*NORMDIST(-I51,0,1,1) ) - $G$3) * $P$3</f>
        <v/>
      </c>
      <c r="I51" s="140">
        <f>(LN(B51/$B$3)+($H$3^2/2)*($J$3))/($H$3*SQRT($J$3))</f>
        <v/>
      </c>
      <c r="J51" s="140">
        <f>I51 - $H$3*SQRT($J$3)</f>
        <v/>
      </c>
      <c r="L51" s="117" t="n"/>
    </row>
    <row r="52" ht="13.5" customHeight="1" s="116">
      <c r="B52" s="138">
        <f>B23</f>
        <v/>
      </c>
      <c r="C52" s="139">
        <f>IF($O$3="sell",-1,1) *  IF($K$3="call",  NORMDIST(I52,0,1,1),  NORMDIST(I52,0,1,1)-1  ) * $P$3</f>
        <v/>
      </c>
      <c r="D52" s="139">
        <f>IF($O$3="sell",-1,1) * NORMDIST(I52,0,1,0)/(B52*$H$3*SQRT($J$3)) * $P$3</f>
        <v/>
      </c>
      <c r="E52" s="139">
        <f>IF($O$3="sell",-1,1) * (B52*NORMDIST(I52,0,1,0)*SQRT($J$3)/365) * $P$3</f>
        <v/>
      </c>
      <c r="F52" s="139">
        <f>IF($O$3="sell",-1,1) * (-(B52*NORMDIST(I52,0,1,0)*$H$3)/(2*SQRT($J$3))/365) *$P$3</f>
        <v/>
      </c>
      <c r="G52" s="139">
        <f>IF($O$3="buy",1,-1)*( IF($K$3="call",B52*NORMDIST(I52,0,1,1) - $B$3*NORMDIST(J52,0,1,1),$B$3*NORMDIST(-J52,0,1,1) - B52*NORMDIST(-I52,0,1,1) ) - $G$3) * $P$3</f>
        <v/>
      </c>
      <c r="I52" s="140">
        <f>(LN(B52/$B$3)+($H$3^2/2)*($J$3))/($H$3*SQRT($J$3))</f>
        <v/>
      </c>
      <c r="J52" s="140">
        <f>I52 - $H$3*SQRT($J$3)</f>
        <v/>
      </c>
      <c r="L52" s="117" t="n"/>
      <c r="M52" s="141" t="n"/>
    </row>
    <row r="53" ht="13.5" customHeight="1" s="116">
      <c r="B53" s="138">
        <f>B24</f>
        <v/>
      </c>
      <c r="C53" s="139">
        <f>IF($O$3="sell",-1,1) *  IF($K$3="call",  NORMDIST(I53,0,1,1),  NORMDIST(I53,0,1,1)-1  ) * $P$3</f>
        <v/>
      </c>
      <c r="D53" s="139">
        <f>IF($O$3="sell",-1,1) * NORMDIST(I53,0,1,0)/(B53*$H$3*SQRT($J$3)) * $P$3</f>
        <v/>
      </c>
      <c r="E53" s="139">
        <f>IF($O$3="sell",-1,1) * (B53*NORMDIST(I53,0,1,0)*SQRT($J$3)/365) * $P$3</f>
        <v/>
      </c>
      <c r="F53" s="139">
        <f>IF($O$3="sell",-1,1) * (-(B53*NORMDIST(I53,0,1,0)*$H$3)/(2*SQRT($J$3))/365) *$P$3</f>
        <v/>
      </c>
      <c r="G53" s="139">
        <f>IF($O$3="buy",1,-1)*( IF($K$3="call",B53*NORMDIST(I53,0,1,1) - $B$3*NORMDIST(J53,0,1,1),$B$3*NORMDIST(-J53,0,1,1) - B53*NORMDIST(-I53,0,1,1) ) - $G$3) * $P$3</f>
        <v/>
      </c>
      <c r="I53" s="140">
        <f>(LN(B53/$B$3)+($H$3^2/2)*($J$3))/($H$3*SQRT($J$3))</f>
        <v/>
      </c>
      <c r="J53" s="140">
        <f>I53 - $H$3*SQRT($J$3)</f>
        <v/>
      </c>
      <c r="L53" s="117" t="n"/>
      <c r="M53" s="141" t="n"/>
      <c r="N53" s="141" t="n"/>
    </row>
    <row r="54" ht="13.5" customHeight="1" s="116">
      <c r="B54" s="138">
        <f>B25</f>
        <v/>
      </c>
      <c r="C54" s="139">
        <f>IF($O$3="sell",-1,1) *  IF($K$3="call",  NORMDIST(I54,0,1,1),  NORMDIST(I54,0,1,1)-1  ) * $P$3</f>
        <v/>
      </c>
      <c r="D54" s="139">
        <f>IF($O$3="sell",-1,1) * NORMDIST(I54,0,1,0)/(B54*$H$3*SQRT($J$3)) * $P$3</f>
        <v/>
      </c>
      <c r="E54" s="139">
        <f>IF($O$3="sell",-1,1) * (B54*NORMDIST(I54,0,1,0)*SQRT($J$3)/365) * $P$3</f>
        <v/>
      </c>
      <c r="F54" s="139">
        <f>IF($O$3="sell",-1,1) * (-(B54*NORMDIST(I54,0,1,0)*$H$3)/(2*SQRT($J$3))/365) *$P$3</f>
        <v/>
      </c>
      <c r="G54" s="139">
        <f>IF($O$3="buy",1,-1)*( IF($K$3="call",B54*NORMDIST(I54,0,1,1) - $B$3*NORMDIST(J54,0,1,1),$B$3*NORMDIST(-J54,0,1,1) - B54*NORMDIST(-I54,0,1,1) ) - $G$3) * $P$3</f>
        <v/>
      </c>
      <c r="I54" s="140">
        <f>(LN(B54/$B$3)+($H$3^2/2)*($J$3))/($H$3*SQRT($J$3))</f>
        <v/>
      </c>
      <c r="J54" s="140">
        <f>I54 - $H$3*SQRT($J$3)</f>
        <v/>
      </c>
      <c r="L54" s="117" t="n"/>
      <c r="M54" s="141" t="n"/>
      <c r="N54" s="141" t="n"/>
    </row>
    <row r="55" ht="13.5" customHeight="1" s="116">
      <c r="B55" s="138">
        <f>B26</f>
        <v/>
      </c>
      <c r="C55" s="139">
        <f>IF($O$3="sell",-1,1) *  IF($K$3="call",  NORMDIST(I55,0,1,1),  NORMDIST(I55,0,1,1)-1  ) * $P$3</f>
        <v/>
      </c>
      <c r="D55" s="139">
        <f>IF($O$3="sell",-1,1) * NORMDIST(I55,0,1,0)/(B55*$H$3*SQRT($J$3)) * $P$3</f>
        <v/>
      </c>
      <c r="E55" s="139">
        <f>IF($O$3="sell",-1,1) * (B55*NORMDIST(I55,0,1,0)*SQRT($J$3)/365) * $P$3</f>
        <v/>
      </c>
      <c r="F55" s="139">
        <f>IF($O$3="sell",-1,1) * (-(B55*NORMDIST(I55,0,1,0)*$H$3)/(2*SQRT($J$3))/365) *$P$3</f>
        <v/>
      </c>
      <c r="G55" s="139">
        <f>IF($O$3="buy",1,-1)*( IF($K$3="call",B55*NORMDIST(I55,0,1,1) - $B$3*NORMDIST(J55,0,1,1),$B$3*NORMDIST(-J55,0,1,1) - B55*NORMDIST(-I55,0,1,1) ) - $G$3) * $P$3</f>
        <v/>
      </c>
      <c r="I55" s="140">
        <f>(LN(B55/$B$3)+($H$3^2/2)*($J$3))/($H$3*SQRT($J$3))</f>
        <v/>
      </c>
      <c r="J55" s="140">
        <f>I55 - $H$3*SQRT($J$3)</f>
        <v/>
      </c>
      <c r="L55" s="117" t="n"/>
      <c r="M55" s="141" t="n"/>
      <c r="N55" s="141" t="n"/>
    </row>
    <row r="56" ht="13.5" customHeight="1" s="116">
      <c r="B56" s="138">
        <f>B27</f>
        <v/>
      </c>
      <c r="C56" s="139">
        <f>IF($O$3="sell",-1,1) *  IF($K$3="call",  NORMDIST(I56,0,1,1),  NORMDIST(I56,0,1,1)-1  ) * $P$3</f>
        <v/>
      </c>
      <c r="D56" s="139">
        <f>IF($O$3="sell",-1,1) * NORMDIST(I56,0,1,0)/(B56*$H$3*SQRT($J$3)) * $P$3</f>
        <v/>
      </c>
      <c r="E56" s="139">
        <f>IF($O$3="sell",-1,1) * (B56*NORMDIST(I56,0,1,0)*SQRT($J$3)/365) * $P$3</f>
        <v/>
      </c>
      <c r="F56" s="139">
        <f>IF($O$3="sell",-1,1) * (-(B56*NORMDIST(I56,0,1,0)*$H$3)/(2*SQRT($J$3))/365) *$P$3</f>
        <v/>
      </c>
      <c r="G56" s="139">
        <f>IF($O$3="buy",1,-1)*( IF($K$3="call",B56*NORMDIST(I56,0,1,1) - $B$3*NORMDIST(J56,0,1,1),$B$3*NORMDIST(-J56,0,1,1) - B56*NORMDIST(-I56,0,1,1) ) - $G$3) * $P$3</f>
        <v/>
      </c>
      <c r="I56" s="140">
        <f>(LN(B56/$B$3)+($H$3^2/2)*($J$3))/($H$3*SQRT($J$3))</f>
        <v/>
      </c>
      <c r="J56" s="140">
        <f>I56 - $H$3*SQRT($J$3)</f>
        <v/>
      </c>
      <c r="L56" s="117" t="n"/>
      <c r="M56" s="141" t="n"/>
      <c r="N56" s="141" t="n"/>
    </row>
    <row r="57" ht="13.5" customHeight="1" s="116">
      <c r="B57" s="138">
        <f>B28</f>
        <v/>
      </c>
      <c r="C57" s="139">
        <f>IF($O$3="sell",-1,1) *  IF($K$3="call",  NORMDIST(I57,0,1,1),  NORMDIST(I57,0,1,1)-1  ) * $P$3</f>
        <v/>
      </c>
      <c r="D57" s="139">
        <f>IF($O$3="sell",-1,1) * NORMDIST(I57,0,1,0)/(B57*$H$3*SQRT($J$3)) * $P$3</f>
        <v/>
      </c>
      <c r="E57" s="139">
        <f>IF($O$3="sell",-1,1) * (B57*NORMDIST(I57,0,1,0)*SQRT($J$3)/365) * $P$3</f>
        <v/>
      </c>
      <c r="F57" s="139">
        <f>IF($O$3="sell",-1,1) * (-(B57*NORMDIST(I57,0,1,0)*$H$3)/(2*SQRT($J$3))/365) *$P$3</f>
        <v/>
      </c>
      <c r="G57" s="139">
        <f>IF($O$3="buy",1,-1)*( IF($K$3="call",B57*NORMDIST(I57,0,1,1) - $B$3*NORMDIST(J57,0,1,1),$B$3*NORMDIST(-J57,0,1,1) - B57*NORMDIST(-I57,0,1,1) ) - $G$3) * $P$3</f>
        <v/>
      </c>
      <c r="I57" s="140">
        <f>(LN(B57/$B$3)+($H$3^2/2)*($J$3))/($H$3*SQRT($J$3))</f>
        <v/>
      </c>
      <c r="J57" s="140">
        <f>I57 - $H$3*SQRT($J$3)</f>
        <v/>
      </c>
      <c r="L57" s="117" t="n"/>
      <c r="M57" s="141" t="n"/>
      <c r="N57" s="141" t="n"/>
    </row>
    <row r="58" ht="13.5" customHeight="1" s="116">
      <c r="B58" s="138">
        <f>B29</f>
        <v/>
      </c>
      <c r="C58" s="139">
        <f>IF($O$3="sell",-1,1) *  IF($K$3="call",  NORMDIST(I58,0,1,1),  NORMDIST(I58,0,1,1)-1  ) * $P$3</f>
        <v/>
      </c>
      <c r="D58" s="139">
        <f>IF($O$3="sell",-1,1) * NORMDIST(I58,0,1,0)/(B58*$H$3*SQRT($J$3)) * $P$3</f>
        <v/>
      </c>
      <c r="E58" s="139">
        <f>IF($O$3="sell",-1,1) * (B58*NORMDIST(I58,0,1,0)*SQRT($J$3)/365) * $P$3</f>
        <v/>
      </c>
      <c r="F58" s="139">
        <f>IF($O$3="sell",-1,1) * (-(B58*NORMDIST(I58,0,1,0)*$H$3)/(2*SQRT($J$3))/365) *$P$3</f>
        <v/>
      </c>
      <c r="G58" s="139">
        <f>IF($O$3="buy",1,-1)*( IF($K$3="call",B58*NORMDIST(I58,0,1,1) - $B$3*NORMDIST(J58,0,1,1),$B$3*NORMDIST(-J58,0,1,1) - B58*NORMDIST(-I58,0,1,1) ) - $G$3) * $P$3</f>
        <v/>
      </c>
      <c r="I58" s="140">
        <f>(LN(B58/$B$3)+($H$3^2/2)*($J$3))/($H$3*SQRT($J$3))</f>
        <v/>
      </c>
      <c r="J58" s="140">
        <f>I58 - $H$3*SQRT($J$3)</f>
        <v/>
      </c>
      <c r="L58" s="117" t="n"/>
      <c r="M58" s="141" t="n"/>
      <c r="N58" s="141" t="n"/>
    </row>
    <row r="59" ht="13.5" customHeight="1" s="116">
      <c r="B59" s="138">
        <f>B30</f>
        <v/>
      </c>
      <c r="C59" s="139">
        <f>IF($O$3="sell",-1,1) *  IF($K$3="call",  NORMDIST(I59,0,1,1),  NORMDIST(I59,0,1,1)-1  ) * $P$3</f>
        <v/>
      </c>
      <c r="D59" s="139">
        <f>IF($O$3="sell",-1,1) * NORMDIST(I59,0,1,0)/(B59*$H$3*SQRT($J$3)) * $P$3</f>
        <v/>
      </c>
      <c r="E59" s="139">
        <f>IF($O$3="sell",-1,1) * (B59*NORMDIST(I59,0,1,0)*SQRT($J$3)/365) * $P$3</f>
        <v/>
      </c>
      <c r="F59" s="139">
        <f>IF($O$3="sell",-1,1) * (-(B59*NORMDIST(I59,0,1,0)*$H$3)/(2*SQRT($J$3))/365) *$P$3</f>
        <v/>
      </c>
      <c r="G59" s="139">
        <f>IF($O$3="buy",1,-1)*( IF($K$3="call",B59*NORMDIST(I59,0,1,1) - $B$3*NORMDIST(J59,0,1,1),$B$3*NORMDIST(-J59,0,1,1) - B59*NORMDIST(-I59,0,1,1) ) - $G$3) * $P$3</f>
        <v/>
      </c>
      <c r="I59" s="140">
        <f>(LN(B59/$B$3)+($H$3^2/2)*($J$3))/($H$3*SQRT($J$3))</f>
        <v/>
      </c>
      <c r="J59" s="140">
        <f>I59 - $H$3*SQRT($J$3)</f>
        <v/>
      </c>
      <c r="L59" s="117" t="n"/>
      <c r="M59" s="141" t="n"/>
      <c r="N59" s="141" t="n"/>
    </row>
    <row r="60" ht="13.5" customHeight="1" s="116">
      <c r="B60" s="138">
        <f>B31</f>
        <v/>
      </c>
      <c r="C60" s="139">
        <f>IF($O$3="sell",-1,1) *  IF($K$3="call",  NORMDIST(I60,0,1,1),  NORMDIST(I60,0,1,1)-1  ) * $P$3</f>
        <v/>
      </c>
      <c r="D60" s="139">
        <f>IF($O$3="sell",-1,1) * NORMDIST(I60,0,1,0)/(B60*$H$3*SQRT($J$3)) * $P$3</f>
        <v/>
      </c>
      <c r="E60" s="139">
        <f>IF($O$3="sell",-1,1) * (B60*NORMDIST(I60,0,1,0)*SQRT($J$3)/365) * $P$3</f>
        <v/>
      </c>
      <c r="F60" s="139">
        <f>IF($O$3="sell",-1,1) * (-(B60*NORMDIST(I60,0,1,0)*$H$3)/(2*SQRT($J$3))/365) *$P$3</f>
        <v/>
      </c>
      <c r="G60" s="139">
        <f>IF($O$3="buy",1,-1)*( IF($K$3="call",B60*NORMDIST(I60,0,1,1) - $B$3*NORMDIST(J60,0,1,1),$B$3*NORMDIST(-J60,0,1,1) - B60*NORMDIST(-I60,0,1,1) ) - $G$3) * $P$3</f>
        <v/>
      </c>
      <c r="I60" s="140">
        <f>(LN(B60/$B$3)+($H$3^2/2)*($J$3))/($H$3*SQRT($J$3))</f>
        <v/>
      </c>
      <c r="J60" s="140">
        <f>I60 - $H$3*SQRT($J$3)</f>
        <v/>
      </c>
      <c r="L60" s="117" t="n"/>
      <c r="M60" s="141" t="n"/>
      <c r="N60" s="141" t="n"/>
    </row>
    <row r="61" ht="13.5" customHeight="1" s="116">
      <c r="B61" s="138">
        <f>B32</f>
        <v/>
      </c>
      <c r="C61" s="139">
        <f>IF($O$3="sell",-1,1) *  IF($K$3="call",  NORMDIST(I61,0,1,1),  NORMDIST(I61,0,1,1)-1  ) * $P$3</f>
        <v/>
      </c>
      <c r="D61" s="139">
        <f>IF($O$3="sell",-1,1) * NORMDIST(I61,0,1,0)/(B61*$H$3*SQRT($J$3)) * $P$3</f>
        <v/>
      </c>
      <c r="E61" s="139">
        <f>IF($O$3="sell",-1,1) * (B61*NORMDIST(I61,0,1,0)*SQRT($J$3)/365) * $P$3</f>
        <v/>
      </c>
      <c r="F61" s="139">
        <f>IF($O$3="sell",-1,1) * (-(B61*NORMDIST(I61,0,1,0)*$H$3)/(2*SQRT($J$3))/365) *$P$3</f>
        <v/>
      </c>
      <c r="G61" s="139">
        <f>IF($O$3="buy",1,-1)*( IF($K$3="call",B61*NORMDIST(I61,0,1,1) - $B$3*NORMDIST(J61,0,1,1),$B$3*NORMDIST(-J61,0,1,1) - B61*NORMDIST(-I61,0,1,1) ) - $G$3) * $P$3</f>
        <v/>
      </c>
      <c r="I61" s="140">
        <f>(LN(B61/$B$3)+($H$3^2/2)*($J$3))/($H$3*SQRT($J$3))</f>
        <v/>
      </c>
      <c r="J61" s="140">
        <f>I61 - $H$3*SQRT($J$3)</f>
        <v/>
      </c>
      <c r="L61" s="117" t="n"/>
      <c r="M61" s="141" t="n"/>
      <c r="N61" s="141" t="n"/>
    </row>
    <row r="62" ht="13.5" customHeight="1" s="116">
      <c r="B62" s="138">
        <f>B33</f>
        <v/>
      </c>
      <c r="C62" s="139">
        <f>IF($O$3="sell",-1,1) *  IF($K$3="call",  NORMDIST(I62,0,1,1),  NORMDIST(I62,0,1,1)-1  ) * $P$3</f>
        <v/>
      </c>
      <c r="D62" s="139">
        <f>IF($O$3="sell",-1,1) * NORMDIST(I62,0,1,0)/(B62*$H$3*SQRT($J$3)) * $P$3</f>
        <v/>
      </c>
      <c r="E62" s="139">
        <f>IF($O$3="sell",-1,1) * (B62*NORMDIST(I62,0,1,0)*SQRT($J$3)/365) * $P$3</f>
        <v/>
      </c>
      <c r="F62" s="139">
        <f>IF($O$3="sell",-1,1) * (-(B62*NORMDIST(I62,0,1,0)*$H$3)/(2*SQRT($J$3))/365) *$P$3</f>
        <v/>
      </c>
      <c r="G62" s="139">
        <f>IF($O$3="buy",1,-1)*( IF($K$3="call",B62*NORMDIST(I62,0,1,1) - $B$3*NORMDIST(J62,0,1,1),$B$3*NORMDIST(-J62,0,1,1) - B62*NORMDIST(-I62,0,1,1) ) - $G$3) * $P$3</f>
        <v/>
      </c>
      <c r="I62" s="140">
        <f>(LN(B62/$B$3)+($H$3^2/2)*($J$3))/($H$3*SQRT($J$3))</f>
        <v/>
      </c>
      <c r="J62" s="140">
        <f>I62 - $H$3*SQRT($J$3)</f>
        <v/>
      </c>
      <c r="L62" s="117" t="n"/>
      <c r="M62" s="141" t="n"/>
      <c r="N62" s="141" t="n"/>
    </row>
    <row r="63" ht="13.5" customHeight="1" s="116">
      <c r="B63" s="138">
        <f>B34</f>
        <v/>
      </c>
      <c r="C63" s="139">
        <f>IF($O$3="sell",-1,1) *  IF($K$3="call",  NORMDIST(I63,0,1,1),  NORMDIST(I63,0,1,1)-1  ) * $P$3</f>
        <v/>
      </c>
      <c r="D63" s="139">
        <f>IF($O$3="sell",-1,1) * NORMDIST(I63,0,1,0)/(B63*$H$3*SQRT($J$3)) * $P$3</f>
        <v/>
      </c>
      <c r="E63" s="139">
        <f>IF($O$3="sell",-1,1) * (B63*NORMDIST(I63,0,1,0)*SQRT($J$3)/365) * $P$3</f>
        <v/>
      </c>
      <c r="F63" s="139">
        <f>IF($O$3="sell",-1,1) * (-(B63*NORMDIST(I63,0,1,0)*$H$3)/(2*SQRT($J$3))/365) *$P$3</f>
        <v/>
      </c>
      <c r="G63" s="139">
        <f>IF($O$3="buy",1,-1)*( IF($K$3="call",B63*NORMDIST(I63,0,1,1) - $B$3*NORMDIST(J63,0,1,1),$B$3*NORMDIST(-J63,0,1,1) - B63*NORMDIST(-I63,0,1,1) ) - $G$3) * $P$3</f>
        <v/>
      </c>
      <c r="I63" s="140">
        <f>(LN(B63/$B$3)+($H$3^2/2)*($J$3))/($H$3*SQRT($J$3))</f>
        <v/>
      </c>
      <c r="J63" s="140">
        <f>I63 - $H$3*SQRT($J$3)</f>
        <v/>
      </c>
      <c r="L63" s="117" t="n"/>
      <c r="M63" s="141" t="n"/>
      <c r="N63" s="141" t="n"/>
    </row>
    <row r="64" ht="13.5" customHeight="1" s="116">
      <c r="B64" s="138">
        <f>B35</f>
        <v/>
      </c>
      <c r="C64" s="139">
        <f>IF($O$3="sell",-1,1) *  IF($K$3="call",  NORMDIST(I64,0,1,1),  NORMDIST(I64,0,1,1)-1  ) * $P$3</f>
        <v/>
      </c>
      <c r="D64" s="139">
        <f>IF($O$3="sell",-1,1) * NORMDIST(I64,0,1,0)/(B64*$H$3*SQRT($J$3)) * $P$3</f>
        <v/>
      </c>
      <c r="E64" s="139">
        <f>IF($O$3="sell",-1,1) * (B64*NORMDIST(I64,0,1,0)*SQRT($J$3)/365) * $P$3</f>
        <v/>
      </c>
      <c r="F64" s="139">
        <f>IF($O$3="sell",-1,1) * (-(B64*NORMDIST(I64,0,1,0)*$H$3)/(2*SQRT($J$3))/365) *$P$3</f>
        <v/>
      </c>
      <c r="G64" s="139">
        <f>IF($O$3="buy",1,-1)*( IF($K$3="call",B64*NORMDIST(I64,0,1,1) - $B$3*NORMDIST(J64,0,1,1),$B$3*NORMDIST(-J64,0,1,1) - B64*NORMDIST(-I64,0,1,1) ) - $G$3) * $P$3</f>
        <v/>
      </c>
      <c r="I64" s="140">
        <f>(LN(B64/$B$3)+($H$3^2/2)*($J$3))/($H$3*SQRT($J$3))</f>
        <v/>
      </c>
      <c r="J64" s="140">
        <f>I64 - $H$3*SQRT($J$3)</f>
        <v/>
      </c>
      <c r="L64" s="117" t="n"/>
      <c r="M64" s="141" t="n"/>
      <c r="N64" s="141" t="n"/>
    </row>
    <row r="65" ht="13.5" customHeight="1" s="116">
      <c r="B65" s="138">
        <f>B36</f>
        <v/>
      </c>
      <c r="C65" s="139">
        <f>IF($O$3="sell",-1,1) *  IF($K$3="call",  NORMDIST(I65,0,1,1),  NORMDIST(I65,0,1,1)-1  ) * $P$3</f>
        <v/>
      </c>
      <c r="D65" s="139">
        <f>IF($O$3="sell",-1,1) * NORMDIST(I65,0,1,0)/(B65*$H$3*SQRT($J$3)) * $P$3</f>
        <v/>
      </c>
      <c r="E65" s="139">
        <f>IF($O$3="sell",-1,1) * (B65*NORMDIST(I65,0,1,0)*SQRT($J$3)/365) * $P$3</f>
        <v/>
      </c>
      <c r="F65" s="139">
        <f>IF($O$3="sell",-1,1) * (-(B65*NORMDIST(I65,0,1,0)*$H$3)/(2*SQRT($J$3))/365) *$P$3</f>
        <v/>
      </c>
      <c r="G65" s="139">
        <f>IF($O$3="buy",1,-1)*( IF($K$3="call",B65*NORMDIST(I65,0,1,1) - $B$3*NORMDIST(J65,0,1,1),$B$3*NORMDIST(-J65,0,1,1) - B65*NORMDIST(-I65,0,1,1) ) - $G$3) * $P$3</f>
        <v/>
      </c>
      <c r="I65" s="140">
        <f>(LN(B65/$B$3)+($H$3^2/2)*($J$3))/($H$3*SQRT($J$3))</f>
        <v/>
      </c>
      <c r="J65" s="140">
        <f>I65 - $H$3*SQRT($J$3)</f>
        <v/>
      </c>
      <c r="L65" s="117" t="n"/>
      <c r="M65" s="141" t="n"/>
      <c r="N65" s="141" t="n"/>
    </row>
    <row r="66" ht="13.5" customHeight="1" s="116">
      <c r="B66" s="138">
        <f>B37</f>
        <v/>
      </c>
      <c r="C66" s="139">
        <f>IF($O$3="sell",-1,1) *  IF($K$3="call",  NORMDIST(I66,0,1,1),  NORMDIST(I66,0,1,1)-1  ) * $P$3</f>
        <v/>
      </c>
      <c r="D66" s="139">
        <f>IF($O$3="sell",-1,1) * NORMDIST(I66,0,1,0)/(B66*$H$3*SQRT($J$3)) * $P$3</f>
        <v/>
      </c>
      <c r="E66" s="139">
        <f>IF($O$3="sell",-1,1) * (B66*NORMDIST(I66,0,1,0)*SQRT($J$3)/365) * $P$3</f>
        <v/>
      </c>
      <c r="F66" s="139">
        <f>IF($O$3="sell",-1,1) * (-(B66*NORMDIST(I66,0,1,0)*$H$3)/(2*SQRT($J$3))/365) *$P$3</f>
        <v/>
      </c>
      <c r="G66" s="139">
        <f>IF($O$3="buy",1,-1)*( IF($K$3="call",B66*NORMDIST(I66,0,1,1) - $B$3*NORMDIST(J66,0,1,1),$B$3*NORMDIST(-J66,0,1,1) - B66*NORMDIST(-I66,0,1,1) ) - $G$3) * $P$3</f>
        <v/>
      </c>
      <c r="I66" s="140">
        <f>(LN(B66/$B$3)+($H$3^2/2)*($J$3))/($H$3*SQRT($J$3))</f>
        <v/>
      </c>
      <c r="J66" s="140">
        <f>I66 - $H$3*SQRT($J$3)</f>
        <v/>
      </c>
      <c r="L66" s="117" t="n"/>
      <c r="M66" s="141" t="n"/>
      <c r="N66" s="141" t="n"/>
    </row>
    <row r="67" ht="13.5" customHeight="1" s="116">
      <c r="B67" s="138">
        <f>B38</f>
        <v/>
      </c>
      <c r="C67" s="139">
        <f>IF($O$3="sell",-1,1) *  IF($K$3="call",  NORMDIST(I67,0,1,1),  NORMDIST(I67,0,1,1)-1  ) * $P$3</f>
        <v/>
      </c>
      <c r="D67" s="139">
        <f>IF($O$3="sell",-1,1) * NORMDIST(I67,0,1,0)/(B67*$H$3*SQRT($J$3)) * $P$3</f>
        <v/>
      </c>
      <c r="E67" s="139">
        <f>IF($O$3="sell",-1,1) * (B67*NORMDIST(I67,0,1,0)*SQRT($J$3)/365) * $P$3</f>
        <v/>
      </c>
      <c r="F67" s="139">
        <f>IF($O$3="sell",-1,1) * (-(B67*NORMDIST(I67,0,1,0)*$H$3)/(2*SQRT($J$3))/365) *$P$3</f>
        <v/>
      </c>
      <c r="G67" s="139">
        <f>IF($O$3="buy",1,-1)*( IF($K$3="call",B67*NORMDIST(I67,0,1,1) - $B$3*NORMDIST(J67,0,1,1),$B$3*NORMDIST(-J67,0,1,1) - B67*NORMDIST(-I67,0,1,1) ) - $G$3) * $P$3</f>
        <v/>
      </c>
      <c r="I67" s="140">
        <f>(LN(B67/$B$3)+($H$3^2/2)*($J$3))/($H$3*SQRT($J$3))</f>
        <v/>
      </c>
      <c r="J67" s="140">
        <f>I67 - $H$3*SQRT($J$3)</f>
        <v/>
      </c>
      <c r="L67" s="117" t="n"/>
      <c r="M67" s="141" t="n"/>
      <c r="N67" s="141" t="n"/>
    </row>
    <row r="68" ht="13.5" customHeight="1" s="116">
      <c r="B68" s="138">
        <f>B39</f>
        <v/>
      </c>
      <c r="C68" s="139">
        <f>IF($O$3="sell",-1,1) *  IF($K$3="call",  NORMDIST(I68,0,1,1),  NORMDIST(I68,0,1,1)-1  ) * $P$3</f>
        <v/>
      </c>
      <c r="D68" s="139">
        <f>IF($O$3="sell",-1,1) * NORMDIST(I68,0,1,0)/(B68*$H$3*SQRT($J$3)) * $P$3</f>
        <v/>
      </c>
      <c r="E68" s="139">
        <f>IF($O$3="sell",-1,1) * (B68*NORMDIST(I68,0,1,0)*SQRT($J$3)/365) * $P$3</f>
        <v/>
      </c>
      <c r="F68" s="139">
        <f>IF($O$3="sell",-1,1) * (-(B68*NORMDIST(I68,0,1,0)*$H$3)/(2*SQRT($J$3))/365) *$P$3</f>
        <v/>
      </c>
      <c r="G68" s="139">
        <f>IF($O$3="buy",1,-1)*( IF($K$3="call",B68*NORMDIST(I68,0,1,1) - $B$3*NORMDIST(J68,0,1,1),$B$3*NORMDIST(-J68,0,1,1) - B68*NORMDIST(-I68,0,1,1) ) - $G$3) * $P$3</f>
        <v/>
      </c>
      <c r="I68" s="142">
        <f>(LN(B68/$B$3)+($H$3^2/2)*($J$3))/($H$3*SQRT($J$3))</f>
        <v/>
      </c>
      <c r="J68" s="143">
        <f>I68 - $H$3*SQRT($J$3)</f>
        <v/>
      </c>
      <c r="L68" s="117" t="n"/>
      <c r="M68" s="141" t="n"/>
      <c r="N68" s="141" t="n"/>
    </row>
    <row r="69" ht="13.5" customHeight="1" s="116">
      <c r="B69" s="138">
        <f>B40</f>
        <v/>
      </c>
      <c r="C69" s="139">
        <f>IF($O$3="sell",-1,1) *  IF($K$3="call",  NORMDIST(I69,0,1,1),  NORMDIST(I69,0,1,1)-1  ) * $P$3</f>
        <v/>
      </c>
      <c r="D69" s="139">
        <f>IF($O$3="sell",-1,1) * NORMDIST(I69,0,1,0)/(B69*$H$3*SQRT($J$3)) * $P$3</f>
        <v/>
      </c>
      <c r="E69" s="139">
        <f>IF($O$3="sell",-1,1) * (B69*NORMDIST(I69,0,1,0)*SQRT($J$3)/365) * $P$3</f>
        <v/>
      </c>
      <c r="F69" s="139">
        <f>IF($O$3="sell",-1,1) * (-(B69*NORMDIST(I69,0,1,0)*$H$3)/(2*SQRT($J$3))/365) *$P$3</f>
        <v/>
      </c>
      <c r="G69" s="139">
        <f>IF($O$3="buy",1,-1)*( IF($K$3="call",B69*NORMDIST(I69,0,1,1) - $B$3*NORMDIST(J69,0,1,1),$B$3*NORMDIST(-J69,0,1,1) - B69*NORMDIST(-I69,0,1,1) ) - $G$3) * $P$3</f>
        <v/>
      </c>
      <c r="I69" s="142">
        <f>(LN(B69/$B$3)+($H$3^2/2)*($J$3))/($H$3*SQRT($J$3))</f>
        <v/>
      </c>
      <c r="J69" s="143">
        <f>I69 - $H$3*SQRT($J$3)</f>
        <v/>
      </c>
      <c r="L69" s="117" t="n"/>
      <c r="M69" s="141" t="n"/>
      <c r="N69" s="141" t="n"/>
    </row>
    <row r="70" ht="13.5" customHeight="1" s="116">
      <c r="B70" s="138">
        <f>B41</f>
        <v/>
      </c>
      <c r="C70" s="139">
        <f>IF($O$3="sell",-1,1) *  IF($K$3="call",  NORMDIST(I70,0,1,1),  NORMDIST(I70,0,1,1)-1  ) * $P$3</f>
        <v/>
      </c>
      <c r="D70" s="139">
        <f>IF($O$3="sell",-1,1) * NORMDIST(I70,0,1,0)/(B70*$H$3*SQRT($J$3)) * $P$3</f>
        <v/>
      </c>
      <c r="E70" s="139">
        <f>IF($O$3="sell",-1,1) * (B70*NORMDIST(I70,0,1,0)*SQRT($J$3)/365) * $P$3</f>
        <v/>
      </c>
      <c r="F70" s="139">
        <f>IF($O$3="sell",-1,1) * (-(B70*NORMDIST(I70,0,1,0)*$H$3)/(2*SQRT($J$3))/365) *$P$3</f>
        <v/>
      </c>
      <c r="G70" s="139">
        <f>IF($O$3="buy",1,-1)*( IF($K$3="call",B70*NORMDIST(I70,0,1,1) - $B$3*NORMDIST(J70,0,1,1),$B$3*NORMDIST(-J70,0,1,1) - B70*NORMDIST(-I70,0,1,1) ) - $G$3) * $P$3</f>
        <v/>
      </c>
      <c r="I70" s="142">
        <f>(LN(B70/$B$3)+($H$3^2/2)*($J$3))/($H$3*SQRT($J$3))</f>
        <v/>
      </c>
      <c r="J70" s="143">
        <f>I70 - $H$3*SQRT($J$3)</f>
        <v/>
      </c>
      <c r="L70" s="117" t="n"/>
      <c r="M70" s="141" t="n"/>
      <c r="N70" s="141" t="n"/>
    </row>
    <row r="71" ht="13.5" customHeight="1" s="116">
      <c r="B71" s="138">
        <f>B42</f>
        <v/>
      </c>
      <c r="C71" s="139">
        <f>IF($O$3="sell",-1,1) *  IF($K$3="call",  NORMDIST(I71,0,1,1),  NORMDIST(I71,0,1,1)-1  ) * $P$3</f>
        <v/>
      </c>
      <c r="D71" s="139">
        <f>IF($O$3="sell",-1,1) * NORMDIST(I71,0,1,0)/(B71*$H$3*SQRT($J$3)) * $P$3</f>
        <v/>
      </c>
      <c r="E71" s="139">
        <f>IF($O$3="sell",-1,1) * (B71*NORMDIST(I71,0,1,0)*SQRT($J$3)/365) * $P$3</f>
        <v/>
      </c>
      <c r="F71" s="139">
        <f>IF($O$3="sell",-1,1) * (-(B71*NORMDIST(I71,0,1,0)*$H$3)/(2*SQRT($J$3))/365) *$P$3</f>
        <v/>
      </c>
      <c r="G71" s="139">
        <f>IF($O$3="buy",1,-1)*( IF($K$3="call",B71*NORMDIST(I71,0,1,1) - $B$3*NORMDIST(J71,0,1,1),$B$3*NORMDIST(-J71,0,1,1) - B71*NORMDIST(-I71,0,1,1) ) - $G$3) * $P$3</f>
        <v/>
      </c>
      <c r="I71" s="142">
        <f>(LN(B71/$B$3)+($H$3^2/2)*($J$3))/($H$3*SQRT($J$3))</f>
        <v/>
      </c>
      <c r="J71" s="143">
        <f>I71 - $H$3*SQRT($J$3)</f>
        <v/>
      </c>
      <c r="L71" s="117" t="n"/>
      <c r="M71" s="141" t="n"/>
      <c r="N71" s="141" t="n"/>
    </row>
    <row r="72" ht="13.5" customHeight="1" s="116">
      <c r="B72" s="138">
        <f>B43</f>
        <v/>
      </c>
      <c r="C72" s="139">
        <f>IF($O$3="sell",-1,1) *  IF($K$3="call",  NORMDIST(I72,0,1,1),  NORMDIST(I72,0,1,1)-1  ) * $P$3</f>
        <v/>
      </c>
      <c r="D72" s="139">
        <f>IF($O$3="sell",-1,1) * NORMDIST(I72,0,1,0)/(B72*$H$3*SQRT($J$3)) * $P$3</f>
        <v/>
      </c>
      <c r="E72" s="139">
        <f>IF($O$3="sell",-1,1) * (B72*NORMDIST(I72,0,1,0)*SQRT($J$3)/365) * $P$3</f>
        <v/>
      </c>
      <c r="F72" s="139">
        <f>IF($O$3="sell",-1,1) * (-(B72*NORMDIST(I72,0,1,0)*$H$3)/(2*SQRT($J$3))/365) *$P$3</f>
        <v/>
      </c>
      <c r="G72" s="139">
        <f>IF($O$3="buy",1,-1)*( IF($K$3="call",B72*NORMDIST(I72,0,1,1) - $B$3*NORMDIST(J72,0,1,1),$B$3*NORMDIST(-J72,0,1,1) - B72*NORMDIST(-I72,0,1,1) ) - $G$3) * $P$3</f>
        <v/>
      </c>
      <c r="I72" s="142">
        <f>(LN(B72/$B$3)+($H$3^2/2)*($J$3))/($H$3*SQRT($J$3))</f>
        <v/>
      </c>
      <c r="J72" s="143">
        <f>I72 - $H$3*SQRT($J$3)</f>
        <v/>
      </c>
      <c r="L72" s="117" t="n"/>
      <c r="M72" s="141" t="n"/>
      <c r="N72" s="141" t="n"/>
    </row>
    <row r="73" ht="13.5" customHeight="1" s="116">
      <c r="B73" s="138">
        <f>B44</f>
        <v/>
      </c>
      <c r="C73" s="139">
        <f>IF($O$3="sell",-1,1) *  IF($K$3="call",  NORMDIST(I73,0,1,1),  NORMDIST(I73,0,1,1)-1  ) * $P$3</f>
        <v/>
      </c>
      <c r="D73" s="139">
        <f>IF($O$3="sell",-1,1) * NORMDIST(I73,0,1,0)/(B73*$H$3*SQRT($J$3)) * $P$3</f>
        <v/>
      </c>
      <c r="E73" s="139">
        <f>IF($O$3="sell",-1,1) * (B73*NORMDIST(I73,0,1,0)*SQRT($J$3)/365) * $P$3</f>
        <v/>
      </c>
      <c r="F73" s="139">
        <f>IF($O$3="sell",-1,1) * (-(B73*NORMDIST(I73,0,1,0)*$H$3)/(2*SQRT($J$3))/365) *$P$3</f>
        <v/>
      </c>
      <c r="G73" s="139">
        <f>IF($O$3="buy",1,-1)*( IF($K$3="call",B73*NORMDIST(I73,0,1,1) - $B$3*NORMDIST(J73,0,1,1),$B$3*NORMDIST(-J73,0,1,1) - B73*NORMDIST(-I73,0,1,1) ) - $G$3) * $P$3</f>
        <v/>
      </c>
      <c r="I73" s="142">
        <f>(LN(B73/$B$3)+($H$3^2/2)*($J$3))/($H$3*SQRT($J$3))</f>
        <v/>
      </c>
      <c r="J73" s="143">
        <f>I73 - $H$3*SQRT($J$3)</f>
        <v/>
      </c>
      <c r="L73" s="117" t="n"/>
      <c r="M73" s="141" t="n"/>
      <c r="N73" s="141" t="n"/>
    </row>
    <row r="74" ht="13.5" customHeight="1" s="116">
      <c r="B74" s="138">
        <f>B45</f>
        <v/>
      </c>
      <c r="C74" s="139">
        <f>IF($O$3="sell",-1,1) *  IF($K$3="call",  NORMDIST(I74,0,1,1),  NORMDIST(I74,0,1,1)-1  ) * $P$3</f>
        <v/>
      </c>
      <c r="D74" s="139">
        <f>IF($O$3="sell",-1,1) * NORMDIST(I74,0,1,0)/(B74*$H$3*SQRT($J$3)) * $P$3</f>
        <v/>
      </c>
      <c r="E74" s="139">
        <f>IF($O$3="sell",-1,1) * (B74*NORMDIST(I74,0,1,0)*SQRT($J$3)/365) * $P$3</f>
        <v/>
      </c>
      <c r="F74" s="139">
        <f>IF($O$3="sell",-1,1) * (-(B74*NORMDIST(I74,0,1,0)*$H$3)/(2*SQRT($J$3))/365) *$P$3</f>
        <v/>
      </c>
      <c r="G74" s="139">
        <f>IF($O$3="buy",1,-1)*( IF($K$3="call",B74*NORMDIST(I74,0,1,1) - $B$3*NORMDIST(J74,0,1,1),$B$3*NORMDIST(-J74,0,1,1) - B74*NORMDIST(-I74,0,1,1) ) - $G$3) * $P$3</f>
        <v/>
      </c>
      <c r="I74" s="142">
        <f>(LN(B74/$B$3)+($H$3^2/2)*($J$3))/($H$3*SQRT($J$3))</f>
        <v/>
      </c>
      <c r="J74" s="143">
        <f>I74 - $H$3*SQRT($J$3)</f>
        <v/>
      </c>
      <c r="L74" s="117" t="n"/>
      <c r="M74" s="141" t="n"/>
      <c r="N74" s="141" t="n"/>
    </row>
    <row r="75" ht="13.5" customHeight="1" s="116">
      <c r="B75" s="138">
        <f>B46</f>
        <v/>
      </c>
      <c r="C75" s="139">
        <f>IF($O$3="sell",-1,1) *  IF($K$3="call",  NORMDIST(I75,0,1,1),  NORMDIST(I75,0,1,1)-1  ) * $P$3</f>
        <v/>
      </c>
      <c r="D75" s="139">
        <f>IF($O$3="sell",-1,1) * NORMDIST(I75,0,1,0)/(B75*$H$3*SQRT($J$3)) * $P$3</f>
        <v/>
      </c>
      <c r="E75" s="139">
        <f>IF($O$3="sell",-1,1) * (B75*NORMDIST(I75,0,1,0)*SQRT($J$3)/365) * $P$3</f>
        <v/>
      </c>
      <c r="F75" s="139">
        <f>IF($O$3="sell",-1,1) * (-(B75*NORMDIST(I75,0,1,0)*$H$3)/(2*SQRT($J$3))/365) *$P$3</f>
        <v/>
      </c>
      <c r="G75" s="139">
        <f>IF($O$3="buy",1,-1)*( IF($K$3="call",B75*NORMDIST(I75,0,1,1) - $B$3*NORMDIST(J75,0,1,1),$B$3*NORMDIST(-J75,0,1,1) - B75*NORMDIST(-I75,0,1,1) ) - $G$3) * $P$3</f>
        <v/>
      </c>
      <c r="I75" s="142">
        <f>(LN(B75/$B$3)+($H$3^2/2)*($J$3))/($H$3*SQRT($J$3))</f>
        <v/>
      </c>
      <c r="J75" s="143">
        <f>I75 - $H$3*SQRT($J$3)</f>
        <v/>
      </c>
      <c r="L75" s="117" t="n"/>
      <c r="M75" s="141" t="n"/>
      <c r="N75" s="141" t="n"/>
    </row>
    <row r="76" ht="13.5" customHeight="1" s="116">
      <c r="B76" s="138">
        <f>B47</f>
        <v/>
      </c>
      <c r="C76" s="139">
        <f>IF($O$3="sell",-1,1) *  IF($K$3="call",  NORMDIST(I76,0,1,1),  NORMDIST(I76,0,1,1)-1  ) * $P$3</f>
        <v/>
      </c>
      <c r="D76" s="139">
        <f>IF($O$3="sell",-1,1) * NORMDIST(I76,0,1,0)/(B76*$H$3*SQRT($J$3)) * $P$3</f>
        <v/>
      </c>
      <c r="E76" s="139">
        <f>IF($O$3="sell",-1,1) * (B76*NORMDIST(I76,0,1,0)*SQRT($J$3)/365) * $P$3</f>
        <v/>
      </c>
      <c r="F76" s="139">
        <f>IF($O$3="sell",-1,1) * (-(B76*NORMDIST(I76,0,1,0)*$H$3)/(2*SQRT($J$3))/365) *$P$3</f>
        <v/>
      </c>
      <c r="G76" s="139">
        <f>IF($O$3="buy",1,-1)*( IF($K$3="call",B76*NORMDIST(I76,0,1,1) - $B$3*NORMDIST(J76,0,1,1),$B$3*NORMDIST(-J76,0,1,1) - B76*NORMDIST(-I76,0,1,1) ) - $G$3) * $P$3</f>
        <v/>
      </c>
      <c r="I76" s="142">
        <f>(LN(B76/$B$3)+($H$3^2/2)*($J$3))/($H$3*SQRT($J$3))</f>
        <v/>
      </c>
      <c r="J76" s="143">
        <f>I76 - $H$3*SQRT($J$3)</f>
        <v/>
      </c>
      <c r="L76" s="117" t="n"/>
      <c r="M76" s="141" t="n"/>
      <c r="N76" s="141" t="n"/>
    </row>
    <row r="78" ht="17.25" customHeight="1" s="116">
      <c r="B78" s="137" t="n"/>
      <c r="C78" s="133" t="inlineStr">
        <is>
          <t>delta</t>
        </is>
      </c>
      <c r="D78" s="133" t="inlineStr">
        <is>
          <t>gamma</t>
        </is>
      </c>
      <c r="E78" s="133" t="inlineStr">
        <is>
          <t>vega</t>
        </is>
      </c>
      <c r="F78" s="133" t="inlineStr">
        <is>
          <t>theta</t>
        </is>
      </c>
      <c r="G78" s="133" t="inlineStr">
        <is>
          <t>mark_price</t>
        </is>
      </c>
      <c r="I78" s="133" t="inlineStr">
        <is>
          <t>d1</t>
        </is>
      </c>
      <c r="J78" s="133" t="inlineStr">
        <is>
          <t>d2</t>
        </is>
      </c>
    </row>
    <row r="79" ht="13.5" customHeight="1" s="116">
      <c r="A79" s="117">
        <f>A4</f>
        <v/>
      </c>
      <c r="B79" s="144">
        <f>B50</f>
        <v/>
      </c>
      <c r="C79" s="139">
        <f>IF($O$4="sell",-1,1) *  IF($K$4="call",  NORMDIST(I79,0,1,1),  NORMDIST(I79,0,1,1)-1  ) * $P$4</f>
        <v/>
      </c>
      <c r="D79" s="139">
        <f>IF($O$4="sell",-1,1) * NORMDIST(I79,0,1,0)/(B79*$H$4*SQRT($J$4)) * $P$4</f>
        <v/>
      </c>
      <c r="E79" s="139">
        <f>IF($O$4="sell",-1,1) * (B79*NORMDIST(I79,0,1,0)*SQRT($J$4)/365) * $P$4</f>
        <v/>
      </c>
      <c r="F79" s="139">
        <f>IF($O$4="sell",-1,1) * (-(B79*NORMDIST(I79,0,1,0)*$H$4)/(2*SQRT($J$4))/365) *$P$4</f>
        <v/>
      </c>
      <c r="G79" s="139">
        <f>IF($O$4="buy",1,-1)*( IF($K$4="call",B79*NORMDIST(I79,0,1,1) - $B$4*NORMDIST(J79,0,1,1),$B$4*NORMDIST(-J79,0,1,1) - B79*NORMDIST(-I79,0,1,1) ) - $G$4) * $P$4</f>
        <v/>
      </c>
      <c r="I79" s="140">
        <f>(LN(B79/$B$4)+($H$4^2/2)*($J$4))/($H$4*SQRT($J$4))</f>
        <v/>
      </c>
      <c r="J79" s="143">
        <f>I79 - $H$4*SQRT($J$4)</f>
        <v/>
      </c>
    </row>
    <row r="80" ht="13.5" customHeight="1" s="116">
      <c r="B80" s="144">
        <f>B51</f>
        <v/>
      </c>
      <c r="C80" s="139">
        <f>IF($O$4="sell",-1,1) *  IF($K$4="call",  NORMDIST(I80,0,1,1),  NORMDIST(I80,0,1,1)-1  ) * $P$4</f>
        <v/>
      </c>
      <c r="D80" s="139">
        <f>IF($O$4="sell",-1,1) * NORMDIST(I80,0,1,0)/(B80*$H$4*SQRT($J$4)) * $P$4</f>
        <v/>
      </c>
      <c r="E80" s="139">
        <f>IF($O$4="sell",-1,1) * (B80*NORMDIST(I80,0,1,0)*SQRT($J$4)/365) * $P$4</f>
        <v/>
      </c>
      <c r="F80" s="139">
        <f>IF($O$4="sell",-1,1) * (-(B80*NORMDIST(I80,0,1,0)*$H$4)/(2*SQRT($J$4))/365) *$P$4</f>
        <v/>
      </c>
      <c r="G80" s="139">
        <f>IF($O$4="buy",1,-1)*( IF($K$4="call",B80*NORMDIST(I80,0,1,1) - $B$4*NORMDIST(J80,0,1,1),$B$4*NORMDIST(-J80,0,1,1) - B80*NORMDIST(-I80,0,1,1) ) - $G$4) * $P$4</f>
        <v/>
      </c>
      <c r="I80" s="140">
        <f>(LN(B80/$B$4)+($H$4^2/2)*($J$4))/($H$4*SQRT($J$4))</f>
        <v/>
      </c>
      <c r="J80" s="143">
        <f>I80 - $H$4*SQRT($J$4)</f>
        <v/>
      </c>
    </row>
    <row r="81" ht="13.5" customHeight="1" s="116">
      <c r="B81" s="144">
        <f>B52</f>
        <v/>
      </c>
      <c r="C81" s="139">
        <f>IF($O$4="sell",-1,1) *  IF($K$4="call",  NORMDIST(I81,0,1,1),  NORMDIST(I81,0,1,1)-1  ) * $P$4</f>
        <v/>
      </c>
      <c r="D81" s="139">
        <f>IF($O$4="sell",-1,1) * NORMDIST(I81,0,1,0)/(B81*$H$4*SQRT($J$4)) * $P$4</f>
        <v/>
      </c>
      <c r="E81" s="139">
        <f>IF($O$4="sell",-1,1) * (B81*NORMDIST(I81,0,1,0)*SQRT($J$4)/365) * $P$4</f>
        <v/>
      </c>
      <c r="F81" s="139">
        <f>IF($O$4="sell",-1,1) * (-(B81*NORMDIST(I81,0,1,0)*$H$4)/(2*SQRT($J$4))/365) *$P$4</f>
        <v/>
      </c>
      <c r="G81" s="139">
        <f>IF($O$4="buy",1,-1)*( IF($K$4="call",B81*NORMDIST(I81,0,1,1) - $B$4*NORMDIST(J81,0,1,1),$B$4*NORMDIST(-J81,0,1,1) - B81*NORMDIST(-I81,0,1,1) ) - $G$4) * $P$4</f>
        <v/>
      </c>
      <c r="I81" s="140">
        <f>(LN(B81/$B$4)+($H$4^2/2)*($J$4))/($H$4*SQRT($J$4))</f>
        <v/>
      </c>
      <c r="J81" s="143">
        <f>I81 - $H$4*SQRT($J$4)</f>
        <v/>
      </c>
    </row>
    <row r="82" ht="13.5" customHeight="1" s="116">
      <c r="B82" s="144">
        <f>B53</f>
        <v/>
      </c>
      <c r="C82" s="139">
        <f>IF($O$4="sell",-1,1) *  IF($K$4="call",  NORMDIST(I82,0,1,1),  NORMDIST(I82,0,1,1)-1  ) * $P$4</f>
        <v/>
      </c>
      <c r="D82" s="139">
        <f>IF($O$4="sell",-1,1) * NORMDIST(I82,0,1,0)/(B82*$H$4*SQRT($J$4)) * $P$4</f>
        <v/>
      </c>
      <c r="E82" s="139">
        <f>IF($O$4="sell",-1,1) * (B82*NORMDIST(I82,0,1,0)*SQRT($J$4)/365) * $P$4</f>
        <v/>
      </c>
      <c r="F82" s="139">
        <f>IF($O$4="sell",-1,1) * (-(B82*NORMDIST(I82,0,1,0)*$H$4)/(2*SQRT($J$4))/365) *$P$4</f>
        <v/>
      </c>
      <c r="G82" s="139">
        <f>IF($O$4="buy",1,-1)*( IF($K$4="call",B82*NORMDIST(I82,0,1,1) - $B$4*NORMDIST(J82,0,1,1),$B$4*NORMDIST(-J82,0,1,1) - B82*NORMDIST(-I82,0,1,1) ) - $G$4) * $P$4</f>
        <v/>
      </c>
      <c r="I82" s="140">
        <f>(LN(B82/$B$4)+($H$4^2/2)*($J$4))/($H$4*SQRT($J$4))</f>
        <v/>
      </c>
      <c r="J82" s="143">
        <f>I82 - $H$4*SQRT($J$4)</f>
        <v/>
      </c>
    </row>
    <row r="83" ht="13.5" customHeight="1" s="116">
      <c r="B83" s="144">
        <f>B54</f>
        <v/>
      </c>
      <c r="C83" s="139">
        <f>IF($O$4="sell",-1,1) *  IF($K$4="call",  NORMDIST(I83,0,1,1),  NORMDIST(I83,0,1,1)-1  ) * $P$4</f>
        <v/>
      </c>
      <c r="D83" s="139">
        <f>IF($O$4="sell",-1,1) * NORMDIST(I83,0,1,0)/(B83*$H$4*SQRT($J$4)) * $P$4</f>
        <v/>
      </c>
      <c r="E83" s="139">
        <f>IF($O$4="sell",-1,1) * (B83*NORMDIST(I83,0,1,0)*SQRT($J$4)/365) * $P$4</f>
        <v/>
      </c>
      <c r="F83" s="139">
        <f>IF($O$4="sell",-1,1) * (-(B83*NORMDIST(I83,0,1,0)*$H$4)/(2*SQRT($J$4))/365) *$P$4</f>
        <v/>
      </c>
      <c r="G83" s="139">
        <f>IF($O$4="buy",1,-1)*( IF($K$4="call",B83*NORMDIST(I83,0,1,1) - $B$4*NORMDIST(J83,0,1,1),$B$4*NORMDIST(-J83,0,1,1) - B83*NORMDIST(-I83,0,1,1) ) - $G$4) * $P$4</f>
        <v/>
      </c>
      <c r="I83" s="140">
        <f>(LN(B83/$B$4)+($H$4^2/2)*($J$4))/($H$4*SQRT($J$4))</f>
        <v/>
      </c>
      <c r="J83" s="143">
        <f>I83 - $H$4*SQRT($J$4)</f>
        <v/>
      </c>
    </row>
    <row r="84" ht="13.5" customHeight="1" s="116">
      <c r="B84" s="144">
        <f>B55</f>
        <v/>
      </c>
      <c r="C84" s="139">
        <f>IF($O$4="sell",-1,1) *  IF($K$4="call",  NORMDIST(I84,0,1,1),  NORMDIST(I84,0,1,1)-1  ) * $P$4</f>
        <v/>
      </c>
      <c r="D84" s="139">
        <f>IF($O$4="sell",-1,1) * NORMDIST(I84,0,1,0)/(B84*$H$4*SQRT($J$4)) * $P$4</f>
        <v/>
      </c>
      <c r="E84" s="139">
        <f>IF($O$4="sell",-1,1) * (B84*NORMDIST(I84,0,1,0)*SQRT($J$4)/365) * $P$4</f>
        <v/>
      </c>
      <c r="F84" s="139">
        <f>IF($O$4="sell",-1,1) * (-(B84*NORMDIST(I84,0,1,0)*$H$4)/(2*SQRT($J$4))/365) *$P$4</f>
        <v/>
      </c>
      <c r="G84" s="139">
        <f>IF($O$4="buy",1,-1)*( IF($K$4="call",B84*NORMDIST(I84,0,1,1) - $B$4*NORMDIST(J84,0,1,1),$B$4*NORMDIST(-J84,0,1,1) - B84*NORMDIST(-I84,0,1,1) ) - $G$4) * $P$4</f>
        <v/>
      </c>
      <c r="I84" s="140">
        <f>(LN(B84/$B$4)+($H$4^2/2)*($J$4))/($H$4*SQRT($J$4))</f>
        <v/>
      </c>
      <c r="J84" s="143">
        <f>I84 - $H$4*SQRT($J$4)</f>
        <v/>
      </c>
    </row>
    <row r="85" ht="13.5" customHeight="1" s="116">
      <c r="B85" s="144">
        <f>B56</f>
        <v/>
      </c>
      <c r="C85" s="139">
        <f>IF($O$4="sell",-1,1) *  IF($K$4="call",  NORMDIST(I85,0,1,1),  NORMDIST(I85,0,1,1)-1  ) * $P$4</f>
        <v/>
      </c>
      <c r="D85" s="139">
        <f>IF($O$4="sell",-1,1) * NORMDIST(I85,0,1,0)/(B85*$H$4*SQRT($J$4)) * $P$4</f>
        <v/>
      </c>
      <c r="E85" s="139">
        <f>IF($O$4="sell",-1,1) * (B85*NORMDIST(I85,0,1,0)*SQRT($J$4)/365) * $P$4</f>
        <v/>
      </c>
      <c r="F85" s="139">
        <f>IF($O$4="sell",-1,1) * (-(B85*NORMDIST(I85,0,1,0)*$H$4)/(2*SQRT($J$4))/365) *$P$4</f>
        <v/>
      </c>
      <c r="G85" s="139">
        <f>IF($O$4="buy",1,-1)*( IF($K$4="call",B85*NORMDIST(I85,0,1,1) - $B$4*NORMDIST(J85,0,1,1),$B$4*NORMDIST(-J85,0,1,1) - B85*NORMDIST(-I85,0,1,1) ) - $G$4) * $P$4</f>
        <v/>
      </c>
      <c r="I85" s="140">
        <f>(LN(B85/$B$4)+($H$4^2/2)*($J$4))/($H$4*SQRT($J$4))</f>
        <v/>
      </c>
      <c r="J85" s="143">
        <f>I85 - $H$4*SQRT($J$4)</f>
        <v/>
      </c>
    </row>
    <row r="86" ht="13.5" customHeight="1" s="116">
      <c r="B86" s="144">
        <f>B57</f>
        <v/>
      </c>
      <c r="C86" s="139">
        <f>IF($O$4="sell",-1,1) *  IF($K$4="call",  NORMDIST(I86,0,1,1),  NORMDIST(I86,0,1,1)-1  ) * $P$4</f>
        <v/>
      </c>
      <c r="D86" s="139">
        <f>IF($O$4="sell",-1,1) * NORMDIST(I86,0,1,0)/(B86*$H$4*SQRT($J$4)) * $P$4</f>
        <v/>
      </c>
      <c r="E86" s="139">
        <f>IF($O$4="sell",-1,1) * (B86*NORMDIST(I86,0,1,0)*SQRT($J$4)/365) * $P$4</f>
        <v/>
      </c>
      <c r="F86" s="139">
        <f>IF($O$4="sell",-1,1) * (-(B86*NORMDIST(I86,0,1,0)*$H$4)/(2*SQRT($J$4))/365) *$P$4</f>
        <v/>
      </c>
      <c r="G86" s="139">
        <f>IF($O$4="buy",1,-1)*( IF($K$4="call",B86*NORMDIST(I86,0,1,1) - $B$4*NORMDIST(J86,0,1,1),$B$4*NORMDIST(-J86,0,1,1) - B86*NORMDIST(-I86,0,1,1) ) - $G$4) * $P$4</f>
        <v/>
      </c>
      <c r="I86" s="140">
        <f>(LN(B86/$B$4)+($H$4^2/2)*($J$4))/($H$4*SQRT($J$4))</f>
        <v/>
      </c>
      <c r="J86" s="143">
        <f>I86 - $H$4*SQRT($J$4)</f>
        <v/>
      </c>
    </row>
    <row r="87" ht="13.5" customHeight="1" s="116">
      <c r="B87" s="144">
        <f>B58</f>
        <v/>
      </c>
      <c r="C87" s="139">
        <f>IF($O$4="sell",-1,1) *  IF($K$4="call",  NORMDIST(I87,0,1,1),  NORMDIST(I87,0,1,1)-1  ) * $P$4</f>
        <v/>
      </c>
      <c r="D87" s="139">
        <f>IF($O$4="sell",-1,1) * NORMDIST(I87,0,1,0)/(B87*$H$4*SQRT($J$4)) * $P$4</f>
        <v/>
      </c>
      <c r="E87" s="139">
        <f>IF($O$4="sell",-1,1) * (B87*NORMDIST(I87,0,1,0)*SQRT($J$4)/365) * $P$4</f>
        <v/>
      </c>
      <c r="F87" s="139">
        <f>IF($O$4="sell",-1,1) * (-(B87*NORMDIST(I87,0,1,0)*$H$4)/(2*SQRT($J$4))/365) *$P$4</f>
        <v/>
      </c>
      <c r="G87" s="139">
        <f>IF($O$4="buy",1,-1)*( IF($K$4="call",B87*NORMDIST(I87,0,1,1) - $B$4*NORMDIST(J87,0,1,1),$B$4*NORMDIST(-J87,0,1,1) - B87*NORMDIST(-I87,0,1,1) ) - $G$4) * $P$4</f>
        <v/>
      </c>
      <c r="I87" s="140">
        <f>(LN(B87/$B$4)+($H$4^2/2)*($J$4))/($H$4*SQRT($J$4))</f>
        <v/>
      </c>
      <c r="J87" s="143">
        <f>I87 - $H$4*SQRT($J$4)</f>
        <v/>
      </c>
    </row>
    <row r="88" ht="13.5" customHeight="1" s="116">
      <c r="B88" s="144">
        <f>B59</f>
        <v/>
      </c>
      <c r="C88" s="139">
        <f>IF($O$4="sell",-1,1) *  IF($K$4="call",  NORMDIST(I88,0,1,1),  NORMDIST(I88,0,1,1)-1  ) * $P$4</f>
        <v/>
      </c>
      <c r="D88" s="139">
        <f>IF($O$4="sell",-1,1) * NORMDIST(I88,0,1,0)/(B88*$H$4*SQRT($J$4)) * $P$4</f>
        <v/>
      </c>
      <c r="E88" s="139">
        <f>IF($O$4="sell",-1,1) * (B88*NORMDIST(I88,0,1,0)*SQRT($J$4)/365) * $P$4</f>
        <v/>
      </c>
      <c r="F88" s="139">
        <f>IF($O$4="sell",-1,1) * (-(B88*NORMDIST(I88,0,1,0)*$H$4)/(2*SQRT($J$4))/365) *$P$4</f>
        <v/>
      </c>
      <c r="G88" s="139">
        <f>IF($O$4="buy",1,-1)*( IF($K$4="call",B88*NORMDIST(I88,0,1,1) - $B$4*NORMDIST(J88,0,1,1),$B$4*NORMDIST(-J88,0,1,1) - B88*NORMDIST(-I88,0,1,1) ) - $G$4) * $P$4</f>
        <v/>
      </c>
      <c r="I88" s="140">
        <f>(LN(B88/$B$4)+($H$4^2/2)*($J$4))/($H$4*SQRT($J$4))</f>
        <v/>
      </c>
      <c r="J88" s="143">
        <f>I88 - $H$4*SQRT($J$4)</f>
        <v/>
      </c>
    </row>
    <row r="89" ht="13.5" customHeight="1" s="116">
      <c r="B89" s="144">
        <f>B60</f>
        <v/>
      </c>
      <c r="C89" s="139">
        <f>IF($O$4="sell",-1,1) *  IF($K$4="call",  NORMDIST(I89,0,1,1),  NORMDIST(I89,0,1,1)-1  ) * $P$4</f>
        <v/>
      </c>
      <c r="D89" s="139">
        <f>IF($O$4="sell",-1,1) * NORMDIST(I89,0,1,0)/(B89*$H$4*SQRT($J$4)) * $P$4</f>
        <v/>
      </c>
      <c r="E89" s="139">
        <f>IF($O$4="sell",-1,1) * (B89*NORMDIST(I89,0,1,0)*SQRT($J$4)/365) * $P$4</f>
        <v/>
      </c>
      <c r="F89" s="139">
        <f>IF($O$4="sell",-1,1) * (-(B89*NORMDIST(I89,0,1,0)*$H$4)/(2*SQRT($J$4))/365) *$P$4</f>
        <v/>
      </c>
      <c r="G89" s="139">
        <f>IF($O$4="buy",1,-1)*( IF($K$4="call",B89*NORMDIST(I89,0,1,1) - $B$4*NORMDIST(J89,0,1,1),$B$4*NORMDIST(-J89,0,1,1) - B89*NORMDIST(-I89,0,1,1) ) - $G$4) * $P$4</f>
        <v/>
      </c>
      <c r="I89" s="140">
        <f>(LN(B89/$B$4)+($H$4^2/2)*($J$4))/($H$4*SQRT($J$4))</f>
        <v/>
      </c>
      <c r="J89" s="143">
        <f>I89 - $H$4*SQRT($J$4)</f>
        <v/>
      </c>
    </row>
    <row r="90" ht="13.5" customHeight="1" s="116">
      <c r="B90" s="144">
        <f>B61</f>
        <v/>
      </c>
      <c r="C90" s="139">
        <f>IF($O$4="sell",-1,1) *  IF($K$4="call",  NORMDIST(I90,0,1,1),  NORMDIST(I90,0,1,1)-1  ) * $P$4</f>
        <v/>
      </c>
      <c r="D90" s="139">
        <f>IF($O$4="sell",-1,1) * NORMDIST(I90,0,1,0)/(B90*$H$4*SQRT($J$4)) * $P$4</f>
        <v/>
      </c>
      <c r="E90" s="139">
        <f>IF($O$4="sell",-1,1) * (B90*NORMDIST(I90,0,1,0)*SQRT($J$4)/365) * $P$4</f>
        <v/>
      </c>
      <c r="F90" s="139">
        <f>IF($O$4="sell",-1,1) * (-(B90*NORMDIST(I90,0,1,0)*$H$4)/(2*SQRT($J$4))/365) *$P$4</f>
        <v/>
      </c>
      <c r="G90" s="139">
        <f>IF($O$4="buy",1,-1)*( IF($K$4="call",B90*NORMDIST(I90,0,1,1) - $B$4*NORMDIST(J90,0,1,1),$B$4*NORMDIST(-J90,0,1,1) - B90*NORMDIST(-I90,0,1,1) ) - $G$4) * $P$4</f>
        <v/>
      </c>
      <c r="I90" s="140">
        <f>(LN(B90/$B$4)+($H$4^2/2)*($J$4))/($H$4*SQRT($J$4))</f>
        <v/>
      </c>
      <c r="J90" s="143">
        <f>I90 - $H$4*SQRT($J$4)</f>
        <v/>
      </c>
    </row>
    <row r="91" ht="13.5" customHeight="1" s="116">
      <c r="B91" s="144">
        <f>B62</f>
        <v/>
      </c>
      <c r="C91" s="139">
        <f>IF($O$4="sell",-1,1) *  IF($K$4="call",  NORMDIST(I91,0,1,1),  NORMDIST(I91,0,1,1)-1  ) * $P$4</f>
        <v/>
      </c>
      <c r="D91" s="139">
        <f>IF($O$4="sell",-1,1) * NORMDIST(I91,0,1,0)/(B91*$H$4*SQRT($J$4)) * $P$4</f>
        <v/>
      </c>
      <c r="E91" s="139">
        <f>IF($O$4="sell",-1,1) * (B91*NORMDIST(I91,0,1,0)*SQRT($J$4)/365) * $P$4</f>
        <v/>
      </c>
      <c r="F91" s="139">
        <f>IF($O$4="sell",-1,1) * (-(B91*NORMDIST(I91,0,1,0)*$H$4)/(2*SQRT($J$4))/365) *$P$4</f>
        <v/>
      </c>
      <c r="G91" s="139">
        <f>IF($O$4="buy",1,-1)*( IF($K$4="call",B91*NORMDIST(I91,0,1,1) - $B$4*NORMDIST(J91,0,1,1),$B$4*NORMDIST(-J91,0,1,1) - B91*NORMDIST(-I91,0,1,1) ) - $G$4) * $P$4</f>
        <v/>
      </c>
      <c r="I91" s="140">
        <f>(LN(B91/$B$4)+($H$4^2/2)*($J$4))/($H$4*SQRT($J$4))</f>
        <v/>
      </c>
      <c r="J91" s="143">
        <f>I91 - $H$4*SQRT($J$4)</f>
        <v/>
      </c>
    </row>
    <row r="92" ht="13.5" customHeight="1" s="116">
      <c r="B92" s="144">
        <f>B63</f>
        <v/>
      </c>
      <c r="C92" s="139">
        <f>IF($O$4="sell",-1,1) *  IF($K$4="call",  NORMDIST(I92,0,1,1),  NORMDIST(I92,0,1,1)-1  ) * $P$4</f>
        <v/>
      </c>
      <c r="D92" s="139">
        <f>IF($O$4="sell",-1,1) * NORMDIST(I92,0,1,0)/(B92*$H$4*SQRT($J$4)) * $P$4</f>
        <v/>
      </c>
      <c r="E92" s="139">
        <f>IF($O$4="sell",-1,1) * (B92*NORMDIST(I92,0,1,0)*SQRT($J$4)/365) * $P$4</f>
        <v/>
      </c>
      <c r="F92" s="139">
        <f>IF($O$4="sell",-1,1) * (-(B92*NORMDIST(I92,0,1,0)*$H$4)/(2*SQRT($J$4))/365) *$P$4</f>
        <v/>
      </c>
      <c r="G92" s="139">
        <f>IF($O$4="buy",1,-1)*( IF($K$4="call",B92*NORMDIST(I92,0,1,1) - $B$4*NORMDIST(J92,0,1,1),$B$4*NORMDIST(-J92,0,1,1) - B92*NORMDIST(-I92,0,1,1) ) - $G$4) * $P$4</f>
        <v/>
      </c>
      <c r="I92" s="140">
        <f>(LN(B92/$B$4)+($H$4^2/2)*($J$4))/($H$4*SQRT($J$4))</f>
        <v/>
      </c>
      <c r="J92" s="143">
        <f>I92 - $H$4*SQRT($J$4)</f>
        <v/>
      </c>
    </row>
    <row r="93" ht="13.5" customHeight="1" s="116">
      <c r="B93" s="144">
        <f>B64</f>
        <v/>
      </c>
      <c r="C93" s="139">
        <f>IF($O$4="sell",-1,1) *  IF($K$4="call",  NORMDIST(I93,0,1,1),  NORMDIST(I93,0,1,1)-1  ) * $P$4</f>
        <v/>
      </c>
      <c r="D93" s="139">
        <f>IF($O$4="sell",-1,1) * NORMDIST(I93,0,1,0)/(B93*$H$4*SQRT($J$4)) * $P$4</f>
        <v/>
      </c>
      <c r="E93" s="139">
        <f>IF($O$4="sell",-1,1) * (B93*NORMDIST(I93,0,1,0)*SQRT($J$4)/365) * $P$4</f>
        <v/>
      </c>
      <c r="F93" s="139">
        <f>IF($O$4="sell",-1,1) * (-(B93*NORMDIST(I93,0,1,0)*$H$4)/(2*SQRT($J$4))/365) *$P$4</f>
        <v/>
      </c>
      <c r="G93" s="139">
        <f>IF($O$4="buy",1,-1)*( IF($K$4="call",B93*NORMDIST(I93,0,1,1) - $B$4*NORMDIST(J93,0,1,1),$B$4*NORMDIST(-J93,0,1,1) - B93*NORMDIST(-I93,0,1,1) ) - $G$4) * $P$4</f>
        <v/>
      </c>
      <c r="I93" s="140">
        <f>(LN(B93/$B$4)+($H$4^2/2)*($J$4))/($H$4*SQRT($J$4))</f>
        <v/>
      </c>
      <c r="J93" s="143">
        <f>I93 - $H$4*SQRT($J$4)</f>
        <v/>
      </c>
    </row>
    <row r="94" ht="13.5" customHeight="1" s="116">
      <c r="B94" s="144">
        <f>B65</f>
        <v/>
      </c>
      <c r="C94" s="139">
        <f>IF($O$4="sell",-1,1) *  IF($K$4="call",  NORMDIST(I94,0,1,1),  NORMDIST(I94,0,1,1)-1  ) * $P$4</f>
        <v/>
      </c>
      <c r="D94" s="139">
        <f>IF($O$4="sell",-1,1) * NORMDIST(I94,0,1,0)/(B94*$H$4*SQRT($J$4)) * $P$4</f>
        <v/>
      </c>
      <c r="E94" s="139">
        <f>IF($O$4="sell",-1,1) * (B94*NORMDIST(I94,0,1,0)*SQRT($J$4)/365) * $P$4</f>
        <v/>
      </c>
      <c r="F94" s="139">
        <f>IF($O$4="sell",-1,1) * (-(B94*NORMDIST(I94,0,1,0)*$H$4)/(2*SQRT($J$4))/365) *$P$4</f>
        <v/>
      </c>
      <c r="G94" s="139">
        <f>IF($O$4="buy",1,-1)*( IF($K$4="call",B94*NORMDIST(I94,0,1,1) - $B$4*NORMDIST(J94,0,1,1),$B$4*NORMDIST(-J94,0,1,1) - B94*NORMDIST(-I94,0,1,1) ) - $G$4) * $P$4</f>
        <v/>
      </c>
      <c r="I94" s="140">
        <f>(LN(B94/$B$4)+($H$4^2/2)*($J$4))/($H$4*SQRT($J$4))</f>
        <v/>
      </c>
      <c r="J94" s="143">
        <f>I94 - $H$4*SQRT($J$4)</f>
        <v/>
      </c>
    </row>
    <row r="95" ht="13.5" customHeight="1" s="116">
      <c r="B95" s="144">
        <f>B66</f>
        <v/>
      </c>
      <c r="C95" s="139">
        <f>IF($O$4="sell",-1,1) *  IF($K$4="call",  NORMDIST(I95,0,1,1),  NORMDIST(I95,0,1,1)-1  ) * $P$4</f>
        <v/>
      </c>
      <c r="D95" s="139">
        <f>IF($O$4="sell",-1,1) * NORMDIST(I95,0,1,0)/(B95*$H$4*SQRT($J$4)) * $P$4</f>
        <v/>
      </c>
      <c r="E95" s="139">
        <f>IF($O$4="sell",-1,1) * (B95*NORMDIST(I95,0,1,0)*SQRT($J$4)/365) * $P$4</f>
        <v/>
      </c>
      <c r="F95" s="139">
        <f>IF($O$4="sell",-1,1) * (-(B95*NORMDIST(I95,0,1,0)*$H$4)/(2*SQRT($J$4))/365) *$P$4</f>
        <v/>
      </c>
      <c r="G95" s="139">
        <f>IF($O$4="buy",1,-1)*( IF($K$4="call",B95*NORMDIST(I95,0,1,1) - $B$4*NORMDIST(J95,0,1,1),$B$4*NORMDIST(-J95,0,1,1) - B95*NORMDIST(-I95,0,1,1) ) - $G$4) * $P$4</f>
        <v/>
      </c>
      <c r="I95" s="140">
        <f>(LN(B95/$B$4)+($H$4^2/2)*($J$4))/($H$4*SQRT($J$4))</f>
        <v/>
      </c>
      <c r="J95" s="143">
        <f>I95 - $H$4*SQRT($J$4)</f>
        <v/>
      </c>
    </row>
    <row r="96" ht="13.5" customHeight="1" s="116">
      <c r="B96" s="144">
        <f>B67</f>
        <v/>
      </c>
      <c r="C96" s="139">
        <f>IF($O$4="sell",-1,1) *  IF($K$4="call",  NORMDIST(I96,0,1,1),  NORMDIST(I96,0,1,1)-1  ) * $P$4</f>
        <v/>
      </c>
      <c r="D96" s="139">
        <f>IF($O$4="sell",-1,1) * NORMDIST(I96,0,1,0)/(B96*$H$4*SQRT($J$4)) * $P$4</f>
        <v/>
      </c>
      <c r="E96" s="139">
        <f>IF($O$4="sell",-1,1) * (B96*NORMDIST(I96,0,1,0)*SQRT($J$4)/365) * $P$4</f>
        <v/>
      </c>
      <c r="F96" s="139">
        <f>IF($O$4="sell",-1,1) * (-(B96*NORMDIST(I96,0,1,0)*$H$4)/(2*SQRT($J$4))/365) *$P$4</f>
        <v/>
      </c>
      <c r="G96" s="139">
        <f>IF($O$4="buy",1,-1)*( IF($K$4="call",B96*NORMDIST(I96,0,1,1) - $B$4*NORMDIST(J96,0,1,1),$B$4*NORMDIST(-J96,0,1,1) - B96*NORMDIST(-I96,0,1,1) ) - $G$4) * $P$4</f>
        <v/>
      </c>
      <c r="I96" s="140">
        <f>(LN(B96/$B$4)+($H$4^2/2)*($J$4))/($H$4*SQRT($J$4))</f>
        <v/>
      </c>
      <c r="J96" s="143">
        <f>I96 - $H$4*SQRT($J$4)</f>
        <v/>
      </c>
    </row>
    <row r="97" ht="13.5" customHeight="1" s="116">
      <c r="B97" s="144">
        <f>B68</f>
        <v/>
      </c>
      <c r="C97" s="139">
        <f>IF($O$4="sell",-1,1) *  IF($K$4="call",  NORMDIST(I97,0,1,1),  NORMDIST(I97,0,1,1)-1  ) * $P$4</f>
        <v/>
      </c>
      <c r="D97" s="139">
        <f>IF($O$4="sell",-1,1) * NORMDIST(I97,0,1,0)/(B97*$H$4*SQRT($J$4)) * $P$4</f>
        <v/>
      </c>
      <c r="E97" s="139">
        <f>IF($O$4="sell",-1,1) * (B97*NORMDIST(I97,0,1,0)*SQRT($J$4)/365) * $P$4</f>
        <v/>
      </c>
      <c r="F97" s="139">
        <f>IF($O$4="sell",-1,1) * (-(B97*NORMDIST(I97,0,1,0)*$H$4)/(2*SQRT($J$4))/365) *$P$4</f>
        <v/>
      </c>
      <c r="G97" s="139">
        <f>IF($O$4="buy",1,-1)*( IF($K$4="call",B97*NORMDIST(I97,0,1,1) - $B$4*NORMDIST(J97,0,1,1),$B$4*NORMDIST(-J97,0,1,1) - B97*NORMDIST(-I97,0,1,1) ) - $G$4) * $P$4</f>
        <v/>
      </c>
      <c r="I97" s="140">
        <f>(LN(B97/$B$4)+($H$4^2/2)*($J$4))/($H$4*SQRT($J$4))</f>
        <v/>
      </c>
      <c r="J97" s="143">
        <f>I97 - $H$4*SQRT($J$4)</f>
        <v/>
      </c>
    </row>
    <row r="98" ht="13.5" customHeight="1" s="116">
      <c r="B98" s="144">
        <f>B69</f>
        <v/>
      </c>
      <c r="C98" s="139">
        <f>IF($O$4="sell",-1,1) *  IF($K$4="call",  NORMDIST(I98,0,1,1),  NORMDIST(I98,0,1,1)-1  ) * $P$4</f>
        <v/>
      </c>
      <c r="D98" s="139">
        <f>IF($O$4="sell",-1,1) * NORMDIST(I98,0,1,0)/(B98*$H$4*SQRT($J$4)) * $P$4</f>
        <v/>
      </c>
      <c r="E98" s="139">
        <f>IF($O$4="sell",-1,1) * (B98*NORMDIST(I98,0,1,0)*SQRT($J$4)/365) * $P$4</f>
        <v/>
      </c>
      <c r="F98" s="139">
        <f>IF($O$4="sell",-1,1) * (-(B98*NORMDIST(I98,0,1,0)*$H$4)/(2*SQRT($J$4))/365) *$P$4</f>
        <v/>
      </c>
      <c r="G98" s="139">
        <f>IF($O$4="buy",1,-1)*( IF($K$4="call",B98*NORMDIST(I98,0,1,1) - $B$4*NORMDIST(J98,0,1,1),$B$4*NORMDIST(-J98,0,1,1) - B98*NORMDIST(-I98,0,1,1) ) - $G$4) * $P$4</f>
        <v/>
      </c>
      <c r="I98" s="140">
        <f>(LN(B98/$B$4)+($H$4^2/2)*($J$4))/($H$4*SQRT($J$4))</f>
        <v/>
      </c>
      <c r="J98" s="143">
        <f>I98 - $H$4*SQRT($J$4)</f>
        <v/>
      </c>
    </row>
    <row r="99" ht="13.5" customHeight="1" s="116">
      <c r="B99" s="144">
        <f>B70</f>
        <v/>
      </c>
      <c r="C99" s="139">
        <f>IF($O$4="sell",-1,1) *  IF($K$4="call",  NORMDIST(I99,0,1,1),  NORMDIST(I99,0,1,1)-1  ) * $P$4</f>
        <v/>
      </c>
      <c r="D99" s="139">
        <f>IF($O$4="sell",-1,1) * NORMDIST(I99,0,1,0)/(B99*$H$4*SQRT($J$4)) * $P$4</f>
        <v/>
      </c>
      <c r="E99" s="139">
        <f>IF($O$4="sell",-1,1) * (B99*NORMDIST(I99,0,1,0)*SQRT($J$4)/365) * $P$4</f>
        <v/>
      </c>
      <c r="F99" s="139">
        <f>IF($O$4="sell",-1,1) * (-(B99*NORMDIST(I99,0,1,0)*$H$4)/(2*SQRT($J$4))/365) *$P$4</f>
        <v/>
      </c>
      <c r="G99" s="139">
        <f>IF($O$4="buy",1,-1)*( IF($K$4="call",B99*NORMDIST(I99,0,1,1) - $B$4*NORMDIST(J99,0,1,1),$B$4*NORMDIST(-J99,0,1,1) - B99*NORMDIST(-I99,0,1,1) ) - $G$4) * $P$4</f>
        <v/>
      </c>
      <c r="I99" s="140">
        <f>(LN(B99/$B$4)+($H$4^2/2)*($J$4))/($H$4*SQRT($J$4))</f>
        <v/>
      </c>
      <c r="J99" s="143">
        <f>I99 - $H$4*SQRT($J$4)</f>
        <v/>
      </c>
    </row>
    <row r="100" ht="13.5" customHeight="1" s="116">
      <c r="B100" s="144">
        <f>B71</f>
        <v/>
      </c>
      <c r="C100" s="139">
        <f>IF($O$4="sell",-1,1) *  IF($K$4="call",  NORMDIST(I100,0,1,1),  NORMDIST(I100,0,1,1)-1  ) * $P$4</f>
        <v/>
      </c>
      <c r="D100" s="139">
        <f>IF($O$4="sell",-1,1) * NORMDIST(I100,0,1,0)/(B100*$H$4*SQRT($J$4)) * $P$4</f>
        <v/>
      </c>
      <c r="E100" s="139">
        <f>IF($O$4="sell",-1,1) * (B100*NORMDIST(I100,0,1,0)*SQRT($J$4)/365) * $P$4</f>
        <v/>
      </c>
      <c r="F100" s="139">
        <f>IF($O$4="sell",-1,1) * (-(B100*NORMDIST(I100,0,1,0)*$H$4)/(2*SQRT($J$4))/365) *$P$4</f>
        <v/>
      </c>
      <c r="G100" s="139">
        <f>IF($O$4="buy",1,-1)*( IF($K$4="call",B100*NORMDIST(I100,0,1,1) - $B$4*NORMDIST(J100,0,1,1),$B$4*NORMDIST(-J100,0,1,1) - B100*NORMDIST(-I100,0,1,1) ) - $G$4) * $P$4</f>
        <v/>
      </c>
      <c r="I100" s="140">
        <f>(LN(B100/$B$4)+($H$4^2/2)*($J$4))/($H$4*SQRT($J$4))</f>
        <v/>
      </c>
      <c r="J100" s="143">
        <f>I100 - $H$4*SQRT($J$4)</f>
        <v/>
      </c>
    </row>
    <row r="101" ht="13.5" customHeight="1" s="116">
      <c r="B101" s="144">
        <f>B72</f>
        <v/>
      </c>
      <c r="C101" s="139">
        <f>IF($O$4="sell",-1,1) *  IF($K$4="call",  NORMDIST(I101,0,1,1),  NORMDIST(I101,0,1,1)-1  ) * $P$4</f>
        <v/>
      </c>
      <c r="D101" s="139">
        <f>IF($O$4="sell",-1,1) * NORMDIST(I101,0,1,0)/(B101*$H$4*SQRT($J$4)) * $P$4</f>
        <v/>
      </c>
      <c r="E101" s="139">
        <f>IF($O$4="sell",-1,1) * (B101*NORMDIST(I101,0,1,0)*SQRT($J$4)/365) * $P$4</f>
        <v/>
      </c>
      <c r="F101" s="139">
        <f>IF($O$4="sell",-1,1) * (-(B101*NORMDIST(I101,0,1,0)*$H$4)/(2*SQRT($J$4))/365) *$P$4</f>
        <v/>
      </c>
      <c r="G101" s="139">
        <f>IF($O$4="buy",1,-1)*( IF($K$4="call",B101*NORMDIST(I101,0,1,1) - $B$4*NORMDIST(J101,0,1,1),$B$4*NORMDIST(-J101,0,1,1) - B101*NORMDIST(-I101,0,1,1) ) - $G$4) * $P$4</f>
        <v/>
      </c>
      <c r="I101" s="140">
        <f>(LN(B101/$B$4)+($H$4^2/2)*($J$4))/($H$4*SQRT($J$4))</f>
        <v/>
      </c>
      <c r="J101" s="143">
        <f>I101 - $H$4*SQRT($J$4)</f>
        <v/>
      </c>
    </row>
    <row r="102" ht="13.5" customHeight="1" s="116">
      <c r="B102" s="144">
        <f>B73</f>
        <v/>
      </c>
      <c r="C102" s="139">
        <f>IF($O$4="sell",-1,1) *  IF($K$4="call",  NORMDIST(I102,0,1,1),  NORMDIST(I102,0,1,1)-1  ) * $P$4</f>
        <v/>
      </c>
      <c r="D102" s="139">
        <f>IF($O$4="sell",-1,1) * NORMDIST(I102,0,1,0)/(B102*$H$4*SQRT($J$4)) * $P$4</f>
        <v/>
      </c>
      <c r="E102" s="139">
        <f>IF($O$4="sell",-1,1) * (B102*NORMDIST(I102,0,1,0)*SQRT($J$4)/365) * $P$4</f>
        <v/>
      </c>
      <c r="F102" s="139">
        <f>IF($O$4="sell",-1,1) * (-(B102*NORMDIST(I102,0,1,0)*$H$4)/(2*SQRT($J$4))/365) *$P$4</f>
        <v/>
      </c>
      <c r="G102" s="139">
        <f>IF($O$4="buy",1,-1)*( IF($K$4="call",B102*NORMDIST(I102,0,1,1) - $B$4*NORMDIST(J102,0,1,1),$B$4*NORMDIST(-J102,0,1,1) - B102*NORMDIST(-I102,0,1,1) ) - $G$4) * $P$4</f>
        <v/>
      </c>
      <c r="I102" s="140">
        <f>(LN(B102/$B$4)+($H$4^2/2)*($J$4))/($H$4*SQRT($J$4))</f>
        <v/>
      </c>
      <c r="J102" s="143">
        <f>I102 - $H$4*SQRT($J$4)</f>
        <v/>
      </c>
    </row>
    <row r="103" ht="13.5" customHeight="1" s="116">
      <c r="B103" s="144">
        <f>B74</f>
        <v/>
      </c>
      <c r="C103" s="139">
        <f>IF($O$4="sell",-1,1) *  IF($K$4="call",  NORMDIST(I103,0,1,1),  NORMDIST(I103,0,1,1)-1  ) * $P$4</f>
        <v/>
      </c>
      <c r="D103" s="139">
        <f>IF($O$4="sell",-1,1) * NORMDIST(I103,0,1,0)/(B103*$H$4*SQRT($J$4)) * $P$4</f>
        <v/>
      </c>
      <c r="E103" s="139">
        <f>IF($O$4="sell",-1,1) * (B103*NORMDIST(I103,0,1,0)*SQRT($J$4)/365) * $P$4</f>
        <v/>
      </c>
      <c r="F103" s="139">
        <f>IF($O$4="sell",-1,1) * (-(B103*NORMDIST(I103,0,1,0)*$H$4)/(2*SQRT($J$4))/365) *$P$4</f>
        <v/>
      </c>
      <c r="G103" s="139">
        <f>IF($O$4="buy",1,-1)*( IF($K$4="call",B103*NORMDIST(I103,0,1,1) - $B$4*NORMDIST(J103,0,1,1),$B$4*NORMDIST(-J103,0,1,1) - B103*NORMDIST(-I103,0,1,1) ) - $G$4) * $P$4</f>
        <v/>
      </c>
      <c r="I103" s="140">
        <f>(LN(B103/$B$4)+($H$4^2/2)*($J$4))/($H$4*SQRT($J$4))</f>
        <v/>
      </c>
      <c r="J103" s="143">
        <f>I103 - $H$4*SQRT($J$4)</f>
        <v/>
      </c>
    </row>
    <row r="104" ht="13.5" customHeight="1" s="116">
      <c r="B104" s="144">
        <f>B75</f>
        <v/>
      </c>
      <c r="C104" s="139">
        <f>IF($O$4="sell",-1,1) *  IF($K$4="call",  NORMDIST(I104,0,1,1),  NORMDIST(I104,0,1,1)-1  ) * $P$4</f>
        <v/>
      </c>
      <c r="D104" s="139">
        <f>IF($O$4="sell",-1,1) * NORMDIST(I104,0,1,0)/(B104*$H$4*SQRT($J$4)) * $P$4</f>
        <v/>
      </c>
      <c r="E104" s="139">
        <f>IF($O$4="sell",-1,1) * (B104*NORMDIST(I104,0,1,0)*SQRT($J$4)/365) * $P$4</f>
        <v/>
      </c>
      <c r="F104" s="139">
        <f>IF($O$4="sell",-1,1) * (-(B104*NORMDIST(I104,0,1,0)*$H$4)/(2*SQRT($J$4))/365) *$P$4</f>
        <v/>
      </c>
      <c r="G104" s="139">
        <f>IF($O$4="buy",1,-1)*( IF($K$4="call",B104*NORMDIST(I104,0,1,1) - $B$4*NORMDIST(J104,0,1,1),$B$4*NORMDIST(-J104,0,1,1) - B104*NORMDIST(-I104,0,1,1) ) - $G$4) * $P$4</f>
        <v/>
      </c>
      <c r="I104" s="140">
        <f>(LN(B104/$B$4)+($H$4^2/2)*($J$4))/($H$4*SQRT($J$4))</f>
        <v/>
      </c>
      <c r="J104" s="143">
        <f>I104 - $H$4*SQRT($J$4)</f>
        <v/>
      </c>
    </row>
    <row r="105" ht="13.5" customHeight="1" s="116">
      <c r="B105" s="144">
        <f>B76</f>
        <v/>
      </c>
      <c r="C105" s="139">
        <f>IF($O$4="sell",-1,1) *  IF($K$4="call",  NORMDIST(I105,0,1,1),  NORMDIST(I105,0,1,1)-1  ) * $P$4</f>
        <v/>
      </c>
      <c r="D105" s="139">
        <f>IF($O$4="sell",-1,1) * NORMDIST(I105,0,1,0)/(B105*$H$4*SQRT($J$4)) * $P$4</f>
        <v/>
      </c>
      <c r="E105" s="139">
        <f>IF($O$4="sell",-1,1) * (B105*NORMDIST(I105,0,1,0)*SQRT($J$4)/365) * $P$4</f>
        <v/>
      </c>
      <c r="F105" s="139">
        <f>IF($O$4="sell",-1,1) * (-(B105*NORMDIST(I105,0,1,0)*$H$4)/(2*SQRT($J$4))/365) *$P$4</f>
        <v/>
      </c>
      <c r="G105" s="139">
        <f>IF($O$4="buy",1,-1)*( IF($K$4="call",B105*NORMDIST(I105,0,1,1) - $B$4*NORMDIST(J105,0,1,1),$B$4*NORMDIST(-J105,0,1,1) - B105*NORMDIST(-I105,0,1,1) ) - $G$4) * $P$4</f>
        <v/>
      </c>
      <c r="I105" s="140">
        <f>(LN(B105/$B$4)+($H$4^2/2)*($J$4))/($H$4*SQRT($J$4))</f>
        <v/>
      </c>
      <c r="J105" s="143">
        <f>I105 - $H$4*SQRT($J$4)</f>
        <v/>
      </c>
    </row>
    <row r="106" ht="13.5" customHeight="1" s="116">
      <c r="B106" s="145" t="n"/>
      <c r="C106" s="136" t="n"/>
      <c r="D106" s="136" t="n"/>
      <c r="E106" s="136" t="n"/>
      <c r="F106" s="136" t="n"/>
      <c r="G106" s="136" t="n"/>
      <c r="I106" s="146" t="n"/>
      <c r="J106" s="146" t="n"/>
    </row>
    <row r="107" ht="17.25" customHeight="1" s="116">
      <c r="B107" s="137" t="n"/>
      <c r="C107" s="133" t="inlineStr">
        <is>
          <t>delta</t>
        </is>
      </c>
      <c r="D107" s="133" t="inlineStr">
        <is>
          <t>gamma</t>
        </is>
      </c>
      <c r="E107" s="133" t="inlineStr">
        <is>
          <t>vega</t>
        </is>
      </c>
      <c r="F107" s="133" t="inlineStr">
        <is>
          <t>theta</t>
        </is>
      </c>
      <c r="G107" s="133" t="inlineStr">
        <is>
          <t>mark_price</t>
        </is>
      </c>
      <c r="I107" s="133" t="inlineStr">
        <is>
          <t>d1</t>
        </is>
      </c>
      <c r="J107" s="133" t="inlineStr">
        <is>
          <t>d2</t>
        </is>
      </c>
    </row>
    <row r="108" ht="13.5" customHeight="1" s="116">
      <c r="A108" s="117">
        <f>A5</f>
        <v/>
      </c>
      <c r="B108" s="144">
        <f>B79</f>
        <v/>
      </c>
      <c r="C108" s="139">
        <f>IF($O$5="sell",-1,1) *  IF($K$5="call",  NORMDIST(I108,0,1,1),  NORMDIST(I108,0,1,1)-1  ) * $P$5</f>
        <v/>
      </c>
      <c r="D108" s="139">
        <f>IF($O$5="sell",-1,1) * NORMDIST(I108,0,1,0)/(B108*$H$5*SQRT($J$5)) * $P$5</f>
        <v/>
      </c>
      <c r="E108" s="139">
        <f>IF($O$5="sell",-1,1) * (B108*NORMDIST(I108,0,1,0)*SQRT($J$5)/365) * $P$5</f>
        <v/>
      </c>
      <c r="F108" s="139">
        <f>IF($O$5="sell",-1,1) * (-(B108*NORMDIST(I108,0,1,0)*$H$5)/(2*SQRT($J$5))/365) *$P$5</f>
        <v/>
      </c>
      <c r="G108" s="139">
        <f>IF($O$5="buy",1,-1)*( IF($K$5="call",B108*NORMDIST(I108,0,1,1) - $B$5*NORMDIST(J108,0,1,1),$B$5*NORMDIST(-J108,0,1,1) - B108*NORMDIST(-I108,0,1,1) ) - $G$5) * $P$5</f>
        <v/>
      </c>
      <c r="I108" s="140">
        <f>(LN(B108/$B$5)+($H$5^2/2)*($J$5))/($H$5*SQRT($J$5))</f>
        <v/>
      </c>
      <c r="J108" s="143">
        <f>I108 - $H$5*SQRT($J$5)</f>
        <v/>
      </c>
    </row>
    <row r="109" ht="13.5" customHeight="1" s="116">
      <c r="B109" s="144">
        <f>B80</f>
        <v/>
      </c>
      <c r="C109" s="139">
        <f>IF($O$5="sell",-1,1) *  IF($K$5="call",  NORMDIST(I109,0,1,1),  NORMDIST(I109,0,1,1)-1  ) * $P$5</f>
        <v/>
      </c>
      <c r="D109" s="139">
        <f>IF($O$5="sell",-1,1) * NORMDIST(I109,0,1,0)/(B109*$H$5*SQRT($J$5)) * $P$5</f>
        <v/>
      </c>
      <c r="E109" s="139">
        <f>IF($O$5="sell",-1,1) * (B109*NORMDIST(I109,0,1,0)*SQRT($J$5)/365) * $P$5</f>
        <v/>
      </c>
      <c r="F109" s="139">
        <f>IF($O$5="sell",-1,1) * (-(B109*NORMDIST(I109,0,1,0)*$H$5)/(2*SQRT($J$5))/365) *$P$5</f>
        <v/>
      </c>
      <c r="G109" s="139">
        <f>IF($O$5="buy",1,-1)*( IF($K$5="call",B109*NORMDIST(I109,0,1,1) - $B$5*NORMDIST(J109,0,1,1),$B$5*NORMDIST(-J109,0,1,1) - B109*NORMDIST(-I109,0,1,1) ) - $G$5) * $P$5</f>
        <v/>
      </c>
      <c r="I109" s="140">
        <f>(LN(B109/$B$5)+($H$5^2/2)*($J$5))/($H$5*SQRT($J$5))</f>
        <v/>
      </c>
      <c r="J109" s="143">
        <f>I109 - $H$5*SQRT($J$5)</f>
        <v/>
      </c>
    </row>
    <row r="110" ht="13.5" customHeight="1" s="116">
      <c r="B110" s="144">
        <f>B81</f>
        <v/>
      </c>
      <c r="C110" s="139">
        <f>IF($O$5="sell",-1,1) *  IF($K$5="call",  NORMDIST(I110,0,1,1),  NORMDIST(I110,0,1,1)-1  ) * $P$5</f>
        <v/>
      </c>
      <c r="D110" s="139">
        <f>IF($O$5="sell",-1,1) * NORMDIST(I110,0,1,0)/(B110*$H$5*SQRT($J$5)) * $P$5</f>
        <v/>
      </c>
      <c r="E110" s="139">
        <f>IF($O$5="sell",-1,1) * (B110*NORMDIST(I110,0,1,0)*SQRT($J$5)/365) * $P$5</f>
        <v/>
      </c>
      <c r="F110" s="139">
        <f>IF($O$5="sell",-1,1) * (-(B110*NORMDIST(I110,0,1,0)*$H$5)/(2*SQRT($J$5))/365) *$P$5</f>
        <v/>
      </c>
      <c r="G110" s="139">
        <f>IF($O$5="buy",1,-1)*( IF($K$5="call",B110*NORMDIST(I110,0,1,1) - $B$5*NORMDIST(J110,0,1,1),$B$5*NORMDIST(-J110,0,1,1) - B110*NORMDIST(-I110,0,1,1) ) - $G$5) * $P$5</f>
        <v/>
      </c>
      <c r="I110" s="140">
        <f>(LN(B110/$B$5)+($H$5^2/2)*($J$5))/($H$5*SQRT($J$5))</f>
        <v/>
      </c>
      <c r="J110" s="143">
        <f>I110 - $H$5*SQRT($J$5)</f>
        <v/>
      </c>
    </row>
    <row r="111" ht="13.5" customHeight="1" s="116">
      <c r="B111" s="144">
        <f>B82</f>
        <v/>
      </c>
      <c r="C111" s="139">
        <f>IF($O$5="sell",-1,1) *  IF($K$5="call",  NORMDIST(I111,0,1,1),  NORMDIST(I111,0,1,1)-1  ) * $P$5</f>
        <v/>
      </c>
      <c r="D111" s="139">
        <f>IF($O$5="sell",-1,1) * NORMDIST(I111,0,1,0)/(B111*$H$5*SQRT($J$5)) * $P$5</f>
        <v/>
      </c>
      <c r="E111" s="139">
        <f>IF($O$5="sell",-1,1) * (B111*NORMDIST(I111,0,1,0)*SQRT($J$5)/365) * $P$5</f>
        <v/>
      </c>
      <c r="F111" s="139">
        <f>IF($O$5="sell",-1,1) * (-(B111*NORMDIST(I111,0,1,0)*$H$5)/(2*SQRT($J$5))/365) *$P$5</f>
        <v/>
      </c>
      <c r="G111" s="139">
        <f>IF($O$5="buy",1,-1)*( IF($K$5="call",B111*NORMDIST(I111,0,1,1) - $B$5*NORMDIST(J111,0,1,1),$B$5*NORMDIST(-J111,0,1,1) - B111*NORMDIST(-I111,0,1,1) ) - $G$5) * $P$5</f>
        <v/>
      </c>
      <c r="I111" s="140">
        <f>(LN(B111/$B$5)+($H$5^2/2)*($J$5))/($H$5*SQRT($J$5))</f>
        <v/>
      </c>
      <c r="J111" s="143">
        <f>I111 - $H$5*SQRT($J$5)</f>
        <v/>
      </c>
    </row>
    <row r="112" ht="13.5" customHeight="1" s="116">
      <c r="B112" s="144">
        <f>B83</f>
        <v/>
      </c>
      <c r="C112" s="139">
        <f>IF($O$5="sell",-1,1) *  IF($K$5="call",  NORMDIST(I112,0,1,1),  NORMDIST(I112,0,1,1)-1  ) * $P$5</f>
        <v/>
      </c>
      <c r="D112" s="139">
        <f>IF($O$5="sell",-1,1) * NORMDIST(I112,0,1,0)/(B112*$H$5*SQRT($J$5)) * $P$5</f>
        <v/>
      </c>
      <c r="E112" s="139">
        <f>IF($O$5="sell",-1,1) * (B112*NORMDIST(I112,0,1,0)*SQRT($J$5)/365) * $P$5</f>
        <v/>
      </c>
      <c r="F112" s="139">
        <f>IF($O$5="sell",-1,1) * (-(B112*NORMDIST(I112,0,1,0)*$H$5)/(2*SQRT($J$5))/365) *$P$5</f>
        <v/>
      </c>
      <c r="G112" s="139">
        <f>IF($O$5="buy",1,-1)*( IF($K$5="call",B112*NORMDIST(I112,0,1,1) - $B$5*NORMDIST(J112,0,1,1),$B$5*NORMDIST(-J112,0,1,1) - B112*NORMDIST(-I112,0,1,1) ) - $G$5) * $P$5</f>
        <v/>
      </c>
      <c r="I112" s="140">
        <f>(LN(B112/$B$5)+($H$5^2/2)*($J$5))/($H$5*SQRT($J$5))</f>
        <v/>
      </c>
      <c r="J112" s="143">
        <f>I112 - $H$5*SQRT($J$5)</f>
        <v/>
      </c>
    </row>
    <row r="113" ht="13.5" customHeight="1" s="116">
      <c r="B113" s="144">
        <f>B84</f>
        <v/>
      </c>
      <c r="C113" s="139">
        <f>IF($O$5="sell",-1,1) *  IF($K$5="call",  NORMDIST(I113,0,1,1),  NORMDIST(I113,0,1,1)-1  ) * $P$5</f>
        <v/>
      </c>
      <c r="D113" s="139">
        <f>IF($O$5="sell",-1,1) * NORMDIST(I113,0,1,0)/(B113*$H$5*SQRT($J$5)) * $P$5</f>
        <v/>
      </c>
      <c r="E113" s="139">
        <f>IF($O$5="sell",-1,1) * (B113*NORMDIST(I113,0,1,0)*SQRT($J$5)/365) * $P$5</f>
        <v/>
      </c>
      <c r="F113" s="139">
        <f>IF($O$5="sell",-1,1) * (-(B113*NORMDIST(I113,0,1,0)*$H$5)/(2*SQRT($J$5))/365) *$P$5</f>
        <v/>
      </c>
      <c r="G113" s="139">
        <f>IF($O$5="buy",1,-1)*( IF($K$5="call",B113*NORMDIST(I113,0,1,1) - $B$5*NORMDIST(J113,0,1,1),$B$5*NORMDIST(-J113,0,1,1) - B113*NORMDIST(-I113,0,1,1) ) - $G$5) * $P$5</f>
        <v/>
      </c>
      <c r="I113" s="140">
        <f>(LN(B113/$B$5)+($H$5^2/2)*($J$5))/($H$5*SQRT($J$5))</f>
        <v/>
      </c>
      <c r="J113" s="143">
        <f>I113 - $H$5*SQRT($J$5)</f>
        <v/>
      </c>
    </row>
    <row r="114" ht="13.5" customHeight="1" s="116">
      <c r="B114" s="144">
        <f>B85</f>
        <v/>
      </c>
      <c r="C114" s="139">
        <f>IF($O$5="sell",-1,1) *  IF($K$5="call",  NORMDIST(I114,0,1,1),  NORMDIST(I114,0,1,1)-1  ) * $P$5</f>
        <v/>
      </c>
      <c r="D114" s="139">
        <f>IF($O$5="sell",-1,1) * NORMDIST(I114,0,1,0)/(B114*$H$5*SQRT($J$5)) * $P$5</f>
        <v/>
      </c>
      <c r="E114" s="139">
        <f>IF($O$5="sell",-1,1) * (B114*NORMDIST(I114,0,1,0)*SQRT($J$5)/365) * $P$5</f>
        <v/>
      </c>
      <c r="F114" s="139">
        <f>IF($O$5="sell",-1,1) * (-(B114*NORMDIST(I114,0,1,0)*$H$5)/(2*SQRT($J$5))/365) *$P$5</f>
        <v/>
      </c>
      <c r="G114" s="139">
        <f>IF($O$5="buy",1,-1)*( IF($K$5="call",B114*NORMDIST(I114,0,1,1) - $B$5*NORMDIST(J114,0,1,1),$B$5*NORMDIST(-J114,0,1,1) - B114*NORMDIST(-I114,0,1,1) ) - $G$5) * $P$5</f>
        <v/>
      </c>
      <c r="I114" s="140">
        <f>(LN(B114/$B$5)+($H$5^2/2)*($J$5))/($H$5*SQRT($J$5))</f>
        <v/>
      </c>
      <c r="J114" s="143">
        <f>I114 - $H$5*SQRT($J$5)</f>
        <v/>
      </c>
    </row>
    <row r="115" ht="13.5" customHeight="1" s="116">
      <c r="B115" s="144">
        <f>B86</f>
        <v/>
      </c>
      <c r="C115" s="139">
        <f>IF($O$5="sell",-1,1) *  IF($K$5="call",  NORMDIST(I115,0,1,1),  NORMDIST(I115,0,1,1)-1  ) * $P$5</f>
        <v/>
      </c>
      <c r="D115" s="139">
        <f>IF($O$5="sell",-1,1) * NORMDIST(I115,0,1,0)/(B115*$H$5*SQRT($J$5)) * $P$5</f>
        <v/>
      </c>
      <c r="E115" s="139">
        <f>IF($O$5="sell",-1,1) * (B115*NORMDIST(I115,0,1,0)*SQRT($J$5)/365) * $P$5</f>
        <v/>
      </c>
      <c r="F115" s="139">
        <f>IF($O$5="sell",-1,1) * (-(B115*NORMDIST(I115,0,1,0)*$H$5)/(2*SQRT($J$5))/365) *$P$5</f>
        <v/>
      </c>
      <c r="G115" s="139">
        <f>IF($O$5="buy",1,-1)*( IF($K$5="call",B115*NORMDIST(I115,0,1,1) - $B$5*NORMDIST(J115,0,1,1),$B$5*NORMDIST(-J115,0,1,1) - B115*NORMDIST(-I115,0,1,1) ) - $G$5) * $P$5</f>
        <v/>
      </c>
      <c r="I115" s="140">
        <f>(LN(B115/$B$5)+($H$5^2/2)*($J$5))/($H$5*SQRT($J$5))</f>
        <v/>
      </c>
      <c r="J115" s="143">
        <f>I115 - $H$5*SQRT($J$5)</f>
        <v/>
      </c>
    </row>
    <row r="116" ht="13.5" customHeight="1" s="116">
      <c r="B116" s="144">
        <f>B87</f>
        <v/>
      </c>
      <c r="C116" s="139">
        <f>IF($O$5="sell",-1,1) *  IF($K$5="call",  NORMDIST(I116,0,1,1),  NORMDIST(I116,0,1,1)-1  ) * $P$5</f>
        <v/>
      </c>
      <c r="D116" s="139">
        <f>IF($O$5="sell",-1,1) * NORMDIST(I116,0,1,0)/(B116*$H$5*SQRT($J$5)) * $P$5</f>
        <v/>
      </c>
      <c r="E116" s="139">
        <f>IF($O$5="sell",-1,1) * (B116*NORMDIST(I116,0,1,0)*SQRT($J$5)/365) * $P$5</f>
        <v/>
      </c>
      <c r="F116" s="139">
        <f>IF($O$5="sell",-1,1) * (-(B116*NORMDIST(I116,0,1,0)*$H$5)/(2*SQRT($J$5))/365) *$P$5</f>
        <v/>
      </c>
      <c r="G116" s="139">
        <f>IF($O$5="buy",1,-1)*( IF($K$5="call",B116*NORMDIST(I116,0,1,1) - $B$5*NORMDIST(J116,0,1,1),$B$5*NORMDIST(-J116,0,1,1) - B116*NORMDIST(-I116,0,1,1) ) - $G$5) * $P$5</f>
        <v/>
      </c>
      <c r="I116" s="140">
        <f>(LN(B116/$B$5)+($H$5^2/2)*($J$5))/($H$5*SQRT($J$5))</f>
        <v/>
      </c>
      <c r="J116" s="143">
        <f>I116 - $H$5*SQRT($J$5)</f>
        <v/>
      </c>
    </row>
    <row r="117" ht="13.5" customHeight="1" s="116">
      <c r="B117" s="144">
        <f>B88</f>
        <v/>
      </c>
      <c r="C117" s="139">
        <f>IF($O$5="sell",-1,1) *  IF($K$5="call",  NORMDIST(I117,0,1,1),  NORMDIST(I117,0,1,1)-1  ) * $P$5</f>
        <v/>
      </c>
      <c r="D117" s="139">
        <f>IF($O$5="sell",-1,1) * NORMDIST(I117,0,1,0)/(B117*$H$5*SQRT($J$5)) * $P$5</f>
        <v/>
      </c>
      <c r="E117" s="139">
        <f>IF($O$5="sell",-1,1) * (B117*NORMDIST(I117,0,1,0)*SQRT($J$5)/365) * $P$5</f>
        <v/>
      </c>
      <c r="F117" s="139">
        <f>IF($O$5="sell",-1,1) * (-(B117*NORMDIST(I117,0,1,0)*$H$5)/(2*SQRT($J$5))/365) *$P$5</f>
        <v/>
      </c>
      <c r="G117" s="139">
        <f>IF($O$5="buy",1,-1)*( IF($K$5="call",B117*NORMDIST(I117,0,1,1) - $B$5*NORMDIST(J117,0,1,1),$B$5*NORMDIST(-J117,0,1,1) - B117*NORMDIST(-I117,0,1,1) ) - $G$5) * $P$5</f>
        <v/>
      </c>
      <c r="I117" s="140">
        <f>(LN(B117/$B$5)+($H$5^2/2)*($J$5))/($H$5*SQRT($J$5))</f>
        <v/>
      </c>
      <c r="J117" s="143">
        <f>I117 - $H$5*SQRT($J$5)</f>
        <v/>
      </c>
    </row>
    <row r="118" ht="13.5" customHeight="1" s="116">
      <c r="B118" s="144">
        <f>B89</f>
        <v/>
      </c>
      <c r="C118" s="139">
        <f>IF($O$5="sell",-1,1) *  IF($K$5="call",  NORMDIST(I118,0,1,1),  NORMDIST(I118,0,1,1)-1  ) * $P$5</f>
        <v/>
      </c>
      <c r="D118" s="139">
        <f>IF($O$5="sell",-1,1) * NORMDIST(I118,0,1,0)/(B118*$H$5*SQRT($J$5)) * $P$5</f>
        <v/>
      </c>
      <c r="E118" s="139">
        <f>IF($O$5="sell",-1,1) * (B118*NORMDIST(I118,0,1,0)*SQRT($J$5)/365) * $P$5</f>
        <v/>
      </c>
      <c r="F118" s="139">
        <f>IF($O$5="sell",-1,1) * (-(B118*NORMDIST(I118,0,1,0)*$H$5)/(2*SQRT($J$5))/365) *$P$5</f>
        <v/>
      </c>
      <c r="G118" s="139">
        <f>IF($O$5="buy",1,-1)*( IF($K$5="call",B118*NORMDIST(I118,0,1,1) - $B$5*NORMDIST(J118,0,1,1),$B$5*NORMDIST(-J118,0,1,1) - B118*NORMDIST(-I118,0,1,1) ) - $G$5) * $P$5</f>
        <v/>
      </c>
      <c r="I118" s="140">
        <f>(LN(B118/$B$5)+($H$5^2/2)*($J$5))/($H$5*SQRT($J$5))</f>
        <v/>
      </c>
      <c r="J118" s="143">
        <f>I118 - $H$5*SQRT($J$5)</f>
        <v/>
      </c>
    </row>
    <row r="119" ht="13.5" customHeight="1" s="116">
      <c r="B119" s="144">
        <f>B90</f>
        <v/>
      </c>
      <c r="C119" s="139">
        <f>IF($O$5="sell",-1,1) *  IF($K$5="call",  NORMDIST(I119,0,1,1),  NORMDIST(I119,0,1,1)-1  ) * $P$5</f>
        <v/>
      </c>
      <c r="D119" s="139">
        <f>IF($O$5="sell",-1,1) * NORMDIST(I119,0,1,0)/(B119*$H$5*SQRT($J$5)) * $P$5</f>
        <v/>
      </c>
      <c r="E119" s="139">
        <f>IF($O$5="sell",-1,1) * (B119*NORMDIST(I119,0,1,0)*SQRT($J$5)/365) * $P$5</f>
        <v/>
      </c>
      <c r="F119" s="139">
        <f>IF($O$5="sell",-1,1) * (-(B119*NORMDIST(I119,0,1,0)*$H$5)/(2*SQRT($J$5))/365) *$P$5</f>
        <v/>
      </c>
      <c r="G119" s="139">
        <f>IF($O$5="buy",1,-1)*( IF($K$5="call",B119*NORMDIST(I119,0,1,1) - $B$5*NORMDIST(J119,0,1,1),$B$5*NORMDIST(-J119,0,1,1) - B119*NORMDIST(-I119,0,1,1) ) - $G$5) * $P$5</f>
        <v/>
      </c>
      <c r="I119" s="140">
        <f>(LN(B119/$B$5)+($H$5^2/2)*($J$5))/($H$5*SQRT($J$5))</f>
        <v/>
      </c>
      <c r="J119" s="143">
        <f>I119 - $H$5*SQRT($J$5)</f>
        <v/>
      </c>
    </row>
    <row r="120" ht="13.5" customHeight="1" s="116">
      <c r="B120" s="144">
        <f>B91</f>
        <v/>
      </c>
      <c r="C120" s="139">
        <f>IF($O$5="sell",-1,1) *  IF($K$5="call",  NORMDIST(I120,0,1,1),  NORMDIST(I120,0,1,1)-1  ) * $P$5</f>
        <v/>
      </c>
      <c r="D120" s="139">
        <f>IF($O$5="sell",-1,1) * NORMDIST(I120,0,1,0)/(B120*$H$5*SQRT($J$5)) * $P$5</f>
        <v/>
      </c>
      <c r="E120" s="139">
        <f>IF($O$5="sell",-1,1) * (B120*NORMDIST(I120,0,1,0)*SQRT($J$5)/365) * $P$5</f>
        <v/>
      </c>
      <c r="F120" s="139">
        <f>IF($O$5="sell",-1,1) * (-(B120*NORMDIST(I120,0,1,0)*$H$5)/(2*SQRT($J$5))/365) *$P$5</f>
        <v/>
      </c>
      <c r="G120" s="139">
        <f>IF($O$5="buy",1,-1)*( IF($K$5="call",B120*NORMDIST(I120,0,1,1) - $B$5*NORMDIST(J120,0,1,1),$B$5*NORMDIST(-J120,0,1,1) - B120*NORMDIST(-I120,0,1,1) ) - $G$5) * $P$5</f>
        <v/>
      </c>
      <c r="I120" s="140">
        <f>(LN(B120/$B$5)+($H$5^2/2)*($J$5))/($H$5*SQRT($J$5))</f>
        <v/>
      </c>
      <c r="J120" s="143">
        <f>I120 - $H$5*SQRT($J$5)</f>
        <v/>
      </c>
    </row>
    <row r="121" ht="13.5" customHeight="1" s="116">
      <c r="B121" s="144">
        <f>B92</f>
        <v/>
      </c>
      <c r="C121" s="139">
        <f>IF($O$5="sell",-1,1) *  IF($K$5="call",  NORMDIST(I121,0,1,1),  NORMDIST(I121,0,1,1)-1  ) * $P$5</f>
        <v/>
      </c>
      <c r="D121" s="139">
        <f>IF($O$5="sell",-1,1) * NORMDIST(I121,0,1,0)/(B121*$H$5*SQRT($J$5)) * $P$5</f>
        <v/>
      </c>
      <c r="E121" s="139">
        <f>IF($O$5="sell",-1,1) * (B121*NORMDIST(I121,0,1,0)*SQRT($J$5)/365) * $P$5</f>
        <v/>
      </c>
      <c r="F121" s="139">
        <f>IF($O$5="sell",-1,1) * (-(B121*NORMDIST(I121,0,1,0)*$H$5)/(2*SQRT($J$5))/365) *$P$5</f>
        <v/>
      </c>
      <c r="G121" s="139">
        <f>IF($O$5="buy",1,-1)*( IF($K$5="call",B121*NORMDIST(I121,0,1,1) - $B$5*NORMDIST(J121,0,1,1),$B$5*NORMDIST(-J121,0,1,1) - B121*NORMDIST(-I121,0,1,1) ) - $G$5) * $P$5</f>
        <v/>
      </c>
      <c r="I121" s="140">
        <f>(LN(B121/$B$5)+($H$5^2/2)*($J$5))/($H$5*SQRT($J$5))</f>
        <v/>
      </c>
      <c r="J121" s="143">
        <f>I121 - $H$5*SQRT($J$5)</f>
        <v/>
      </c>
    </row>
    <row r="122" ht="13.5" customHeight="1" s="116">
      <c r="B122" s="144">
        <f>B93</f>
        <v/>
      </c>
      <c r="C122" s="139">
        <f>IF($O$5="sell",-1,1) *  IF($K$5="call",  NORMDIST(I122,0,1,1),  NORMDIST(I122,0,1,1)-1  ) * $P$5</f>
        <v/>
      </c>
      <c r="D122" s="139">
        <f>IF($O$5="sell",-1,1) * NORMDIST(I122,0,1,0)/(B122*$H$5*SQRT($J$5)) * $P$5</f>
        <v/>
      </c>
      <c r="E122" s="139">
        <f>IF($O$5="sell",-1,1) * (B122*NORMDIST(I122,0,1,0)*SQRT($J$5)/365) * $P$5</f>
        <v/>
      </c>
      <c r="F122" s="139">
        <f>IF($O$5="sell",-1,1) * (-(B122*NORMDIST(I122,0,1,0)*$H$5)/(2*SQRT($J$5))/365) *$P$5</f>
        <v/>
      </c>
      <c r="G122" s="139">
        <f>IF($O$5="buy",1,-1)*( IF($K$5="call",B122*NORMDIST(I122,0,1,1) - $B$5*NORMDIST(J122,0,1,1),$B$5*NORMDIST(-J122,0,1,1) - B122*NORMDIST(-I122,0,1,1) ) - $G$5) * $P$5</f>
        <v/>
      </c>
      <c r="I122" s="140">
        <f>(LN(B122/$B$5)+($H$5^2/2)*($J$5))/($H$5*SQRT($J$5))</f>
        <v/>
      </c>
      <c r="J122" s="143">
        <f>I122 - $H$5*SQRT($J$5)</f>
        <v/>
      </c>
    </row>
    <row r="123" ht="13.5" customHeight="1" s="116">
      <c r="B123" s="144">
        <f>B94</f>
        <v/>
      </c>
      <c r="C123" s="139">
        <f>IF($O$5="sell",-1,1) *  IF($K$5="call",  NORMDIST(I123,0,1,1),  NORMDIST(I123,0,1,1)-1  ) * $P$5</f>
        <v/>
      </c>
      <c r="D123" s="139">
        <f>IF($O$5="sell",-1,1) * NORMDIST(I123,0,1,0)/(B123*$H$5*SQRT($J$5)) * $P$5</f>
        <v/>
      </c>
      <c r="E123" s="139">
        <f>IF($O$5="sell",-1,1) * (B123*NORMDIST(I123,0,1,0)*SQRT($J$5)/365) * $P$5</f>
        <v/>
      </c>
      <c r="F123" s="139">
        <f>IF($O$5="sell",-1,1) * (-(B123*NORMDIST(I123,0,1,0)*$H$5)/(2*SQRT($J$5))/365) *$P$5</f>
        <v/>
      </c>
      <c r="G123" s="139">
        <f>IF($O$5="buy",1,-1)*( IF($K$5="call",B123*NORMDIST(I123,0,1,1) - $B$5*NORMDIST(J123,0,1,1),$B$5*NORMDIST(-J123,0,1,1) - B123*NORMDIST(-I123,0,1,1) ) - $G$5) * $P$5</f>
        <v/>
      </c>
      <c r="I123" s="140">
        <f>(LN(B123/$B$5)+($H$5^2/2)*($J$5))/($H$5*SQRT($J$5))</f>
        <v/>
      </c>
      <c r="J123" s="143">
        <f>I123 - $H$5*SQRT($J$5)</f>
        <v/>
      </c>
    </row>
    <row r="124" ht="13.5" customHeight="1" s="116">
      <c r="B124" s="144">
        <f>B95</f>
        <v/>
      </c>
      <c r="C124" s="139">
        <f>IF($O$5="sell",-1,1) *  IF($K$5="call",  NORMDIST(I124,0,1,1),  NORMDIST(I124,0,1,1)-1  ) * $P$5</f>
        <v/>
      </c>
      <c r="D124" s="139">
        <f>IF($O$5="sell",-1,1) * NORMDIST(I124,0,1,0)/(B124*$H$5*SQRT($J$5)) * $P$5</f>
        <v/>
      </c>
      <c r="E124" s="139">
        <f>IF($O$5="sell",-1,1) * (B124*NORMDIST(I124,0,1,0)*SQRT($J$5)/365) * $P$5</f>
        <v/>
      </c>
      <c r="F124" s="139">
        <f>IF($O$5="sell",-1,1) * (-(B124*NORMDIST(I124,0,1,0)*$H$5)/(2*SQRT($J$5))/365) *$P$5</f>
        <v/>
      </c>
      <c r="G124" s="139">
        <f>IF($O$5="buy",1,-1)*( IF($K$5="call",B124*NORMDIST(I124,0,1,1) - $B$5*NORMDIST(J124,0,1,1),$B$5*NORMDIST(-J124,0,1,1) - B124*NORMDIST(-I124,0,1,1) ) - $G$5) * $P$5</f>
        <v/>
      </c>
      <c r="I124" s="140">
        <f>(LN(B124/$B$5)+($H$5^2/2)*($J$5))/($H$5*SQRT($J$5))</f>
        <v/>
      </c>
      <c r="J124" s="143">
        <f>I124 - $H$5*SQRT($J$5)</f>
        <v/>
      </c>
    </row>
    <row r="125" ht="13.5" customHeight="1" s="116">
      <c r="B125" s="144">
        <f>B96</f>
        <v/>
      </c>
      <c r="C125" s="139">
        <f>IF($O$5="sell",-1,1) *  IF($K$5="call",  NORMDIST(I125,0,1,1),  NORMDIST(I125,0,1,1)-1  ) * $P$5</f>
        <v/>
      </c>
      <c r="D125" s="139">
        <f>IF($O$5="sell",-1,1) * NORMDIST(I125,0,1,0)/(B125*$H$5*SQRT($J$5)) * $P$5</f>
        <v/>
      </c>
      <c r="E125" s="139">
        <f>IF($O$5="sell",-1,1) * (B125*NORMDIST(I125,0,1,0)*SQRT($J$5)/365) * $P$5</f>
        <v/>
      </c>
      <c r="F125" s="139">
        <f>IF($O$5="sell",-1,1) * (-(B125*NORMDIST(I125,0,1,0)*$H$5)/(2*SQRT($J$5))/365) *$P$5</f>
        <v/>
      </c>
      <c r="G125" s="139">
        <f>IF($O$5="buy",1,-1)*( IF($K$5="call",B125*NORMDIST(I125,0,1,1) - $B$5*NORMDIST(J125,0,1,1),$B$5*NORMDIST(-J125,0,1,1) - B125*NORMDIST(-I125,0,1,1) ) - $G$5) * $P$5</f>
        <v/>
      </c>
      <c r="I125" s="140">
        <f>(LN(B125/$B$5)+($H$5^2/2)*($J$5))/($H$5*SQRT($J$5))</f>
        <v/>
      </c>
      <c r="J125" s="143">
        <f>I125 - $H$5*SQRT($J$5)</f>
        <v/>
      </c>
    </row>
    <row r="126" ht="13.5" customHeight="1" s="116">
      <c r="B126" s="144">
        <f>B97</f>
        <v/>
      </c>
      <c r="C126" s="139">
        <f>IF($O$5="sell",-1,1) *  IF($K$5="call",  NORMDIST(I126,0,1,1),  NORMDIST(I126,0,1,1)-1  ) * $P$5</f>
        <v/>
      </c>
      <c r="D126" s="139">
        <f>IF($O$5="sell",-1,1) * NORMDIST(I126,0,1,0)/(B126*$H$5*SQRT($J$5)) * $P$5</f>
        <v/>
      </c>
      <c r="E126" s="139">
        <f>IF($O$5="sell",-1,1) * (B126*NORMDIST(I126,0,1,0)*SQRT($J$5)/365) * $P$5</f>
        <v/>
      </c>
      <c r="F126" s="139">
        <f>IF($O$5="sell",-1,1) * (-(B126*NORMDIST(I126,0,1,0)*$H$5)/(2*SQRT($J$5))/365) *$P$5</f>
        <v/>
      </c>
      <c r="G126" s="139">
        <f>IF($O$5="buy",1,-1)*( IF($K$5="call",B126*NORMDIST(I126,0,1,1) - $B$5*NORMDIST(J126,0,1,1),$B$5*NORMDIST(-J126,0,1,1) - B126*NORMDIST(-I126,0,1,1) ) - $G$5) * $P$5</f>
        <v/>
      </c>
      <c r="I126" s="140">
        <f>(LN(B126/$B$5)+($H$5^2/2)*($J$5))/($H$5*SQRT($J$5))</f>
        <v/>
      </c>
      <c r="J126" s="143">
        <f>I126 - $H$5*SQRT($J$5)</f>
        <v/>
      </c>
    </row>
    <row r="127" ht="13.5" customHeight="1" s="116">
      <c r="B127" s="144">
        <f>B98</f>
        <v/>
      </c>
      <c r="C127" s="139">
        <f>IF($O$5="sell",-1,1) *  IF($K$5="call",  NORMDIST(I127,0,1,1),  NORMDIST(I127,0,1,1)-1  ) * $P$5</f>
        <v/>
      </c>
      <c r="D127" s="139">
        <f>IF($O$5="sell",-1,1) * NORMDIST(I127,0,1,0)/(B127*$H$5*SQRT($J$5)) * $P$5</f>
        <v/>
      </c>
      <c r="E127" s="139">
        <f>IF($O$5="sell",-1,1) * (B127*NORMDIST(I127,0,1,0)*SQRT($J$5)/365) * $P$5</f>
        <v/>
      </c>
      <c r="F127" s="139">
        <f>IF($O$5="sell",-1,1) * (-(B127*NORMDIST(I127,0,1,0)*$H$5)/(2*SQRT($J$5))/365) *$P$5</f>
        <v/>
      </c>
      <c r="G127" s="139">
        <f>IF($O$5="buy",1,-1)*( IF($K$5="call",B127*NORMDIST(I127,0,1,1) - $B$5*NORMDIST(J127,0,1,1),$B$5*NORMDIST(-J127,0,1,1) - B127*NORMDIST(-I127,0,1,1) ) - $G$5) * $P$5</f>
        <v/>
      </c>
      <c r="I127" s="140">
        <f>(LN(B127/$B$5)+($H$5^2/2)*($J$5))/($H$5*SQRT($J$5))</f>
        <v/>
      </c>
      <c r="J127" s="143">
        <f>I127 - $H$5*SQRT($J$5)</f>
        <v/>
      </c>
    </row>
    <row r="128" ht="13.5" customHeight="1" s="116">
      <c r="B128" s="144">
        <f>B99</f>
        <v/>
      </c>
      <c r="C128" s="139">
        <f>IF($O$5="sell",-1,1) *  IF($K$5="call",  NORMDIST(I128,0,1,1),  NORMDIST(I128,0,1,1)-1  ) * $P$5</f>
        <v/>
      </c>
      <c r="D128" s="139">
        <f>IF($O$5="sell",-1,1) * NORMDIST(I128,0,1,0)/(B128*$H$5*SQRT($J$5)) * $P$5</f>
        <v/>
      </c>
      <c r="E128" s="139">
        <f>IF($O$5="sell",-1,1) * (B128*NORMDIST(I128,0,1,0)*SQRT($J$5)/365) * $P$5</f>
        <v/>
      </c>
      <c r="F128" s="139">
        <f>IF($O$5="sell",-1,1) * (-(B128*NORMDIST(I128,0,1,0)*$H$5)/(2*SQRT($J$5))/365) *$P$5</f>
        <v/>
      </c>
      <c r="G128" s="139">
        <f>IF($O$5="buy",1,-1)*( IF($K$5="call",B128*NORMDIST(I128,0,1,1) - $B$5*NORMDIST(J128,0,1,1),$B$5*NORMDIST(-J128,0,1,1) - B128*NORMDIST(-I128,0,1,1) ) - $G$5) * $P$5</f>
        <v/>
      </c>
      <c r="I128" s="140">
        <f>(LN(B128/$B$5)+($H$5^2/2)*($J$5))/($H$5*SQRT($J$5))</f>
        <v/>
      </c>
      <c r="J128" s="143">
        <f>I128 - $H$5*SQRT($J$5)</f>
        <v/>
      </c>
    </row>
    <row r="129" ht="13.5" customHeight="1" s="116">
      <c r="B129" s="144">
        <f>B100</f>
        <v/>
      </c>
      <c r="C129" s="139">
        <f>IF($O$5="sell",-1,1) *  IF($K$5="call",  NORMDIST(I129,0,1,1),  NORMDIST(I129,0,1,1)-1  ) * $P$5</f>
        <v/>
      </c>
      <c r="D129" s="139">
        <f>IF($O$5="sell",-1,1) * NORMDIST(I129,0,1,0)/(B129*$H$5*SQRT($J$5)) * $P$5</f>
        <v/>
      </c>
      <c r="E129" s="139">
        <f>IF($O$5="sell",-1,1) * (B129*NORMDIST(I129,0,1,0)*SQRT($J$5)/365) * $P$5</f>
        <v/>
      </c>
      <c r="F129" s="139">
        <f>IF($O$5="sell",-1,1) * (-(B129*NORMDIST(I129,0,1,0)*$H$5)/(2*SQRT($J$5))/365) *$P$5</f>
        <v/>
      </c>
      <c r="G129" s="139">
        <f>IF($O$5="buy",1,-1)*( IF($K$5="call",B129*NORMDIST(I129,0,1,1) - $B$5*NORMDIST(J129,0,1,1),$B$5*NORMDIST(-J129,0,1,1) - B129*NORMDIST(-I129,0,1,1) ) - $G$5) * $P$5</f>
        <v/>
      </c>
      <c r="I129" s="140">
        <f>(LN(B129/$B$5)+($H$5^2/2)*($J$5))/($H$5*SQRT($J$5))</f>
        <v/>
      </c>
      <c r="J129" s="143">
        <f>I129 - $H$5*SQRT($J$5)</f>
        <v/>
      </c>
    </row>
    <row r="130" ht="13.5" customHeight="1" s="116">
      <c r="B130" s="144">
        <f>B101</f>
        <v/>
      </c>
      <c r="C130" s="139">
        <f>IF($O$5="sell",-1,1) *  IF($K$5="call",  NORMDIST(I130,0,1,1),  NORMDIST(I130,0,1,1)-1  ) * $P$5</f>
        <v/>
      </c>
      <c r="D130" s="139">
        <f>IF($O$5="sell",-1,1) * NORMDIST(I130,0,1,0)/(B130*$H$5*SQRT($J$5)) * $P$5</f>
        <v/>
      </c>
      <c r="E130" s="139">
        <f>IF($O$5="sell",-1,1) * (B130*NORMDIST(I130,0,1,0)*SQRT($J$5)/365) * $P$5</f>
        <v/>
      </c>
      <c r="F130" s="139">
        <f>IF($O$5="sell",-1,1) * (-(B130*NORMDIST(I130,0,1,0)*$H$5)/(2*SQRT($J$5))/365) *$P$5</f>
        <v/>
      </c>
      <c r="G130" s="139">
        <f>IF($O$5="buy",1,-1)*( IF($K$5="call",B130*NORMDIST(I130,0,1,1) - $B$5*NORMDIST(J130,0,1,1),$B$5*NORMDIST(-J130,0,1,1) - B130*NORMDIST(-I130,0,1,1) ) - $G$5) * $P$5</f>
        <v/>
      </c>
      <c r="I130" s="140">
        <f>(LN(B130/$B$5)+($H$5^2/2)*($J$5))/($H$5*SQRT($J$5))</f>
        <v/>
      </c>
      <c r="J130" s="143">
        <f>I130 - $H$5*SQRT($J$5)</f>
        <v/>
      </c>
    </row>
    <row r="131" ht="13.5" customHeight="1" s="116">
      <c r="B131" s="144">
        <f>B102</f>
        <v/>
      </c>
      <c r="C131" s="139">
        <f>IF($O$5="sell",-1,1) *  IF($K$5="call",  NORMDIST(I131,0,1,1),  NORMDIST(I131,0,1,1)-1  ) * $P$5</f>
        <v/>
      </c>
      <c r="D131" s="139">
        <f>IF($O$5="sell",-1,1) * NORMDIST(I131,0,1,0)/(B131*$H$5*SQRT($J$5)) * $P$5</f>
        <v/>
      </c>
      <c r="E131" s="139">
        <f>IF($O$5="sell",-1,1) * (B131*NORMDIST(I131,0,1,0)*SQRT($J$5)/365) * $P$5</f>
        <v/>
      </c>
      <c r="F131" s="139">
        <f>IF($O$5="sell",-1,1) * (-(B131*NORMDIST(I131,0,1,0)*$H$5)/(2*SQRT($J$5))/365) *$P$5</f>
        <v/>
      </c>
      <c r="G131" s="139">
        <f>IF($O$5="buy",1,-1)*( IF($K$5="call",B131*NORMDIST(I131,0,1,1) - $B$5*NORMDIST(J131,0,1,1),$B$5*NORMDIST(-J131,0,1,1) - B131*NORMDIST(-I131,0,1,1) ) - $G$5) * $P$5</f>
        <v/>
      </c>
      <c r="I131" s="140">
        <f>(LN(B131/$B$5)+($H$5^2/2)*($J$5))/($H$5*SQRT($J$5))</f>
        <v/>
      </c>
      <c r="J131" s="143">
        <f>I131 - $H$5*SQRT($J$5)</f>
        <v/>
      </c>
    </row>
    <row r="132" ht="13.5" customHeight="1" s="116">
      <c r="B132" s="144">
        <f>B103</f>
        <v/>
      </c>
      <c r="C132" s="139">
        <f>IF($O$5="sell",-1,1) *  IF($K$5="call",  NORMDIST(I132,0,1,1),  NORMDIST(I132,0,1,1)-1  ) * $P$5</f>
        <v/>
      </c>
      <c r="D132" s="139">
        <f>IF($O$5="sell",-1,1) * NORMDIST(I132,0,1,0)/(B132*$H$5*SQRT($J$5)) * $P$5</f>
        <v/>
      </c>
      <c r="E132" s="139">
        <f>IF($O$5="sell",-1,1) * (B132*NORMDIST(I132,0,1,0)*SQRT($J$5)/365) * $P$5</f>
        <v/>
      </c>
      <c r="F132" s="139">
        <f>IF($O$5="sell",-1,1) * (-(B132*NORMDIST(I132,0,1,0)*$H$5)/(2*SQRT($J$5))/365) *$P$5</f>
        <v/>
      </c>
      <c r="G132" s="139">
        <f>IF($O$5="buy",1,-1)*( IF($K$5="call",B132*NORMDIST(I132,0,1,1) - $B$5*NORMDIST(J132,0,1,1),$B$5*NORMDIST(-J132,0,1,1) - B132*NORMDIST(-I132,0,1,1) ) - $G$5) * $P$5</f>
        <v/>
      </c>
      <c r="I132" s="140">
        <f>(LN(B132/$B$5)+($H$5^2/2)*($J$5))/($H$5*SQRT($J$5))</f>
        <v/>
      </c>
      <c r="J132" s="143">
        <f>I132 - $H$5*SQRT($J$5)</f>
        <v/>
      </c>
    </row>
    <row r="133" ht="13.5" customHeight="1" s="116">
      <c r="B133" s="144">
        <f>B104</f>
        <v/>
      </c>
      <c r="C133" s="139">
        <f>IF($O$5="sell",-1,1) *  IF($K$5="call",  NORMDIST(I133,0,1,1),  NORMDIST(I133,0,1,1)-1  ) * $P$5</f>
        <v/>
      </c>
      <c r="D133" s="139">
        <f>IF($O$5="sell",-1,1) * NORMDIST(I133,0,1,0)/(B133*$H$5*SQRT($J$5)) * $P$5</f>
        <v/>
      </c>
      <c r="E133" s="139">
        <f>IF($O$5="sell",-1,1) * (B133*NORMDIST(I133,0,1,0)*SQRT($J$5)/365) * $P$5</f>
        <v/>
      </c>
      <c r="F133" s="139">
        <f>IF($O$5="sell",-1,1) * (-(B133*NORMDIST(I133,0,1,0)*$H$5)/(2*SQRT($J$5))/365) *$P$5</f>
        <v/>
      </c>
      <c r="G133" s="139">
        <f>IF($O$5="buy",1,-1)*( IF($K$5="call",B133*NORMDIST(I133,0,1,1) - $B$5*NORMDIST(J133,0,1,1),$B$5*NORMDIST(-J133,0,1,1) - B133*NORMDIST(-I133,0,1,1) ) - $G$5) * $P$5</f>
        <v/>
      </c>
      <c r="I133" s="140">
        <f>(LN(B133/$B$5)+($H$5^2/2)*($J$5))/($H$5*SQRT($J$5))</f>
        <v/>
      </c>
      <c r="J133" s="143">
        <f>I133 - $H$5*SQRT($J$5)</f>
        <v/>
      </c>
    </row>
    <row r="134" ht="13.5" customHeight="1" s="116">
      <c r="B134" s="144">
        <f>B105</f>
        <v/>
      </c>
      <c r="C134" s="139">
        <f>IF($O$5="sell",-1,1) *  IF($K$5="call",  NORMDIST(I134,0,1,1),  NORMDIST(I134,0,1,1)-1  ) * $P$5</f>
        <v/>
      </c>
      <c r="D134" s="139">
        <f>IF($O$5="sell",-1,1) * NORMDIST(I134,0,1,0)/(B134*$H$5*SQRT($J$5)) * $P$5</f>
        <v/>
      </c>
      <c r="E134" s="139">
        <f>IF($O$5="sell",-1,1) * (B134*NORMDIST(I134,0,1,0)*SQRT($J$5)/365) * $P$5</f>
        <v/>
      </c>
      <c r="F134" s="139">
        <f>IF($O$5="sell",-1,1) * (-(B134*NORMDIST(I134,0,1,0)*$H$5)/(2*SQRT($J$5))/365) *$P$5</f>
        <v/>
      </c>
      <c r="G134" s="139">
        <f>IF($O$5="buy",1,-1)*( IF($K$5="call",B134*NORMDIST(I134,0,1,1) - $B$5*NORMDIST(J134,0,1,1),$B$5*NORMDIST(-J134,0,1,1) - B134*NORMDIST(-I134,0,1,1) ) - $G$5) * $P$5</f>
        <v/>
      </c>
      <c r="I134" s="140">
        <f>(LN(B134/$B$5)+($H$5^2/2)*($J$5))/($H$5*SQRT($J$5))</f>
        <v/>
      </c>
      <c r="J134" s="143">
        <f>I134 - $H$5*SQRT($J$5)</f>
        <v/>
      </c>
    </row>
    <row r="135" ht="13.5" customHeight="1" s="116">
      <c r="B135" s="145" t="n"/>
      <c r="C135" s="136" t="n"/>
      <c r="D135" s="136" t="n"/>
      <c r="E135" s="136" t="n"/>
      <c r="F135" s="136" t="n"/>
      <c r="G135" s="136" t="n"/>
      <c r="I135" s="146" t="n"/>
      <c r="J135" s="146" t="n"/>
    </row>
    <row r="136" ht="13.5" customHeight="1" s="116">
      <c r="B136" s="145" t="n"/>
      <c r="C136" s="136" t="n"/>
      <c r="D136" s="136" t="n"/>
      <c r="E136" s="136" t="n"/>
      <c r="F136" s="136" t="n"/>
      <c r="G136" s="136" t="n"/>
      <c r="I136" s="146" t="n"/>
      <c r="J136" s="146" t="n"/>
    </row>
    <row r="137" ht="13.5" customHeight="1" s="116">
      <c r="B137" s="137" t="n"/>
      <c r="C137" s="133" t="inlineStr">
        <is>
          <t>delta</t>
        </is>
      </c>
      <c r="D137" s="133" t="inlineStr">
        <is>
          <t>gamma</t>
        </is>
      </c>
      <c r="E137" s="133" t="inlineStr">
        <is>
          <t>vega</t>
        </is>
      </c>
      <c r="F137" s="133" t="inlineStr">
        <is>
          <t>theta</t>
        </is>
      </c>
      <c r="G137" s="133" t="inlineStr">
        <is>
          <t>mark_price</t>
        </is>
      </c>
      <c r="I137" s="133" t="inlineStr">
        <is>
          <t>d1</t>
        </is>
      </c>
      <c r="J137" s="133" t="inlineStr">
        <is>
          <t>d2</t>
        </is>
      </c>
    </row>
    <row r="138" ht="13.5" customHeight="1" s="116">
      <c r="A138" s="117">
        <f>A6</f>
        <v/>
      </c>
      <c r="B138" s="144">
        <f>B108</f>
        <v/>
      </c>
      <c r="C138" s="139">
        <f>IF($O$6="sell",-1,1) *  IF($K$6="call",  NORMDIST(I138,0,1,1),  NORMDIST(I138,0,1,1)-1  ) * $P$6</f>
        <v/>
      </c>
      <c r="D138" s="139">
        <f>IF($O$6="sell",-1,1) * NORMDIST(I138,0,1,0)/(B138*$H$6*SQRT($J$6)) * $P$6</f>
        <v/>
      </c>
      <c r="E138" s="139">
        <f>IF($O$6="sell",-1,1) * (B138*NORMDIST(I138,0,1,0)*SQRT($J$6)/365) * $P$6</f>
        <v/>
      </c>
      <c r="F138" s="139">
        <f>IF($O$6="sell",-1,1) * (-(B138*NORMDIST(I138,0,1,0)*$H$6)/(2*SQRT($J$6))/365) *$P$6</f>
        <v/>
      </c>
      <c r="G138" s="139">
        <f>IF($O$6="buy",1,-1)*( IF($K$6="call",B138*NORMDIST(I138,0,1,1) - $B$6*NORMDIST(J138,0,1,1),$B$6*NORMDIST(-J138,0,1,1) - B138*NORMDIST(-I138,0,1,1) ) - $G$6) * $P$6</f>
        <v/>
      </c>
      <c r="I138" s="140">
        <f>(LN(B138/$B$6)+($H$6^2/2)*($J$6))/($H$6*SQRT($J$6))</f>
        <v/>
      </c>
      <c r="J138" s="143">
        <f>I138 - $H$6*SQRT($J$6)</f>
        <v/>
      </c>
    </row>
    <row r="139" ht="13.5" customHeight="1" s="116">
      <c r="B139" s="144">
        <f>B109</f>
        <v/>
      </c>
      <c r="C139" s="139">
        <f>IF($O$6="sell",-1,1) *  IF($K$6="call",  NORMDIST(I139,0,1,1),  NORMDIST(I139,0,1,1)-1  ) * $P$6</f>
        <v/>
      </c>
      <c r="D139" s="139">
        <f>IF($O$6="sell",-1,1) * NORMDIST(I139,0,1,0)/(B139*$H$6*SQRT($J$6)) * $P$6</f>
        <v/>
      </c>
      <c r="E139" s="139">
        <f>IF($O$6="sell",-1,1) * (B139*NORMDIST(I139,0,1,0)*SQRT($J$6)/365) * $P$6</f>
        <v/>
      </c>
      <c r="F139" s="139">
        <f>IF($O$6="sell",-1,1) * (-(B139*NORMDIST(I139,0,1,0)*$H$6)/(2*SQRT($J$6))/365) *$P$6</f>
        <v/>
      </c>
      <c r="G139" s="139">
        <f>IF($O$6="buy",1,-1)*( IF($K$6="call",B139*NORMDIST(I139,0,1,1) - $B$6*NORMDIST(J139,0,1,1),$B$6*NORMDIST(-J139,0,1,1) - B139*NORMDIST(-I139,0,1,1) ) - $G$6) * $P$6</f>
        <v/>
      </c>
      <c r="I139" s="140">
        <f>(LN(B139/$B$6)+($H$6^2/2)*($J$6))/($H$6*SQRT($J$6))</f>
        <v/>
      </c>
      <c r="J139" s="143">
        <f>I139 - $H$6*SQRT($J$6)</f>
        <v/>
      </c>
    </row>
    <row r="140" ht="13.5" customHeight="1" s="116">
      <c r="B140" s="144">
        <f>B110</f>
        <v/>
      </c>
      <c r="C140" s="139">
        <f>IF($O$6="sell",-1,1) *  IF($K$6="call",  NORMDIST(I140,0,1,1),  NORMDIST(I140,0,1,1)-1  ) * $P$6</f>
        <v/>
      </c>
      <c r="D140" s="139">
        <f>IF($O$6="sell",-1,1) * NORMDIST(I140,0,1,0)/(B140*$H$6*SQRT($J$6)) * $P$6</f>
        <v/>
      </c>
      <c r="E140" s="139">
        <f>IF($O$6="sell",-1,1) * (B140*NORMDIST(I140,0,1,0)*SQRT($J$6)/365) * $P$6</f>
        <v/>
      </c>
      <c r="F140" s="139">
        <f>IF($O$6="sell",-1,1) * (-(B140*NORMDIST(I140,0,1,0)*$H$6)/(2*SQRT($J$6))/365) *$P$6</f>
        <v/>
      </c>
      <c r="G140" s="139">
        <f>IF($O$6="buy",1,-1)*( IF($K$6="call",B140*NORMDIST(I140,0,1,1) - $B$6*NORMDIST(J140,0,1,1),$B$6*NORMDIST(-J140,0,1,1) - B140*NORMDIST(-I140,0,1,1) ) - $G$6) * $P$6</f>
        <v/>
      </c>
      <c r="I140" s="140">
        <f>(LN(B140/$B$6)+($H$6^2/2)*($J$6))/($H$6*SQRT($J$6))</f>
        <v/>
      </c>
      <c r="J140" s="143">
        <f>I140 - $H$6*SQRT($J$6)</f>
        <v/>
      </c>
    </row>
    <row r="141" ht="13.5" customHeight="1" s="116">
      <c r="B141" s="144">
        <f>B111</f>
        <v/>
      </c>
      <c r="C141" s="139">
        <f>IF($O$6="sell",-1,1) *  IF($K$6="call",  NORMDIST(I141,0,1,1),  NORMDIST(I141,0,1,1)-1  ) * $P$6</f>
        <v/>
      </c>
      <c r="D141" s="139">
        <f>IF($O$6="sell",-1,1) * NORMDIST(I141,0,1,0)/(B141*$H$6*SQRT($J$6)) * $P$6</f>
        <v/>
      </c>
      <c r="E141" s="139">
        <f>IF($O$6="sell",-1,1) * (B141*NORMDIST(I141,0,1,0)*SQRT($J$6)/365) * $P$6</f>
        <v/>
      </c>
      <c r="F141" s="139">
        <f>IF($O$6="sell",-1,1) * (-(B141*NORMDIST(I141,0,1,0)*$H$6)/(2*SQRT($J$6))/365) *$P$6</f>
        <v/>
      </c>
      <c r="G141" s="139">
        <f>IF($O$6="buy",1,-1)*( IF($K$6="call",B141*NORMDIST(I141,0,1,1) - $B$6*NORMDIST(J141,0,1,1),$B$6*NORMDIST(-J141,0,1,1) - B141*NORMDIST(-I141,0,1,1) ) - $G$6) * $P$6</f>
        <v/>
      </c>
      <c r="I141" s="140">
        <f>(LN(B141/$B$6)+($H$6^2/2)*($J$6))/($H$6*SQRT($J$6))</f>
        <v/>
      </c>
      <c r="J141" s="143">
        <f>I141 - $H$6*SQRT($J$6)</f>
        <v/>
      </c>
    </row>
    <row r="142" ht="13.5" customHeight="1" s="116">
      <c r="B142" s="144">
        <f>B112</f>
        <v/>
      </c>
      <c r="C142" s="139">
        <f>IF($O$6="sell",-1,1) *  IF($K$6="call",  NORMDIST(I142,0,1,1),  NORMDIST(I142,0,1,1)-1  ) * $P$6</f>
        <v/>
      </c>
      <c r="D142" s="139">
        <f>IF($O$6="sell",-1,1) * NORMDIST(I142,0,1,0)/(B142*$H$6*SQRT($J$6)) * $P$6</f>
        <v/>
      </c>
      <c r="E142" s="139">
        <f>IF($O$6="sell",-1,1) * (B142*NORMDIST(I142,0,1,0)*SQRT($J$6)/365) * $P$6</f>
        <v/>
      </c>
      <c r="F142" s="139">
        <f>IF($O$6="sell",-1,1) * (-(B142*NORMDIST(I142,0,1,0)*$H$6)/(2*SQRT($J$6))/365) *$P$6</f>
        <v/>
      </c>
      <c r="G142" s="139">
        <f>IF($O$6="buy",1,-1)*( IF($K$6="call",B142*NORMDIST(I142,0,1,1) - $B$6*NORMDIST(J142,0,1,1),$B$6*NORMDIST(-J142,0,1,1) - B142*NORMDIST(-I142,0,1,1) ) - $G$6) * $P$6</f>
        <v/>
      </c>
      <c r="I142" s="140">
        <f>(LN(B142/$B$6)+($H$6^2/2)*($J$6))/($H$6*SQRT($J$6))</f>
        <v/>
      </c>
      <c r="J142" s="143">
        <f>I142 - $H$6*SQRT($J$6)</f>
        <v/>
      </c>
    </row>
    <row r="143" ht="13.5" customHeight="1" s="116">
      <c r="B143" s="144">
        <f>B113</f>
        <v/>
      </c>
      <c r="C143" s="139">
        <f>IF($O$6="sell",-1,1) *  IF($K$6="call",  NORMDIST(I143,0,1,1),  NORMDIST(I143,0,1,1)-1  ) * $P$6</f>
        <v/>
      </c>
      <c r="D143" s="139">
        <f>IF($O$6="sell",-1,1) * NORMDIST(I143,0,1,0)/(B143*$H$6*SQRT($J$6)) * $P$6</f>
        <v/>
      </c>
      <c r="E143" s="139">
        <f>IF($O$6="sell",-1,1) * (B143*NORMDIST(I143,0,1,0)*SQRT($J$6)/365) * $P$6</f>
        <v/>
      </c>
      <c r="F143" s="139">
        <f>IF($O$6="sell",-1,1) * (-(B143*NORMDIST(I143,0,1,0)*$H$6)/(2*SQRT($J$6))/365) *$P$6</f>
        <v/>
      </c>
      <c r="G143" s="139">
        <f>IF($O$6="buy",1,-1)*( IF($K$6="call",B143*NORMDIST(I143,0,1,1) - $B$6*NORMDIST(J143,0,1,1),$B$6*NORMDIST(-J143,0,1,1) - B143*NORMDIST(-I143,0,1,1) ) - $G$6) * $P$6</f>
        <v/>
      </c>
      <c r="I143" s="140">
        <f>(LN(B143/$B$6)+($H$6^2/2)*($J$6))/($H$6*SQRT($J$6))</f>
        <v/>
      </c>
      <c r="J143" s="143">
        <f>I143 - $H$6*SQRT($J$6)</f>
        <v/>
      </c>
    </row>
    <row r="144" ht="13.5" customHeight="1" s="116">
      <c r="B144" s="144">
        <f>B114</f>
        <v/>
      </c>
      <c r="C144" s="139">
        <f>IF($O$6="sell",-1,1) *  IF($K$6="call",  NORMDIST(I144,0,1,1),  NORMDIST(I144,0,1,1)-1  ) * $P$6</f>
        <v/>
      </c>
      <c r="D144" s="139">
        <f>IF($O$6="sell",-1,1) * NORMDIST(I144,0,1,0)/(B144*$H$6*SQRT($J$6)) * $P$6</f>
        <v/>
      </c>
      <c r="E144" s="139">
        <f>IF($O$6="sell",-1,1) * (B144*NORMDIST(I144,0,1,0)*SQRT($J$6)/365) * $P$6</f>
        <v/>
      </c>
      <c r="F144" s="139">
        <f>IF($O$6="sell",-1,1) * (-(B144*NORMDIST(I144,0,1,0)*$H$6)/(2*SQRT($J$6))/365) *$P$6</f>
        <v/>
      </c>
      <c r="G144" s="139">
        <f>IF($O$6="buy",1,-1)*( IF($K$6="call",B144*NORMDIST(I144,0,1,1) - $B$6*NORMDIST(J144,0,1,1),$B$6*NORMDIST(-J144,0,1,1) - B144*NORMDIST(-I144,0,1,1) ) - $G$6) * $P$6</f>
        <v/>
      </c>
      <c r="I144" s="140">
        <f>(LN(B144/$B$6)+($H$6^2/2)*($J$6))/($H$6*SQRT($J$6))</f>
        <v/>
      </c>
      <c r="J144" s="143">
        <f>I144 - $H$6*SQRT($J$6)</f>
        <v/>
      </c>
    </row>
    <row r="145" ht="13.5" customHeight="1" s="116">
      <c r="B145" s="144">
        <f>B115</f>
        <v/>
      </c>
      <c r="C145" s="139">
        <f>IF($O$6="sell",-1,1) *  IF($K$6="call",  NORMDIST(I145,0,1,1),  NORMDIST(I145,0,1,1)-1  ) * $P$6</f>
        <v/>
      </c>
      <c r="D145" s="139">
        <f>IF($O$6="sell",-1,1) * NORMDIST(I145,0,1,0)/(B145*$H$6*SQRT($J$6)) * $P$6</f>
        <v/>
      </c>
      <c r="E145" s="139">
        <f>IF($O$6="sell",-1,1) * (B145*NORMDIST(I145,0,1,0)*SQRT($J$6)/365) * $P$6</f>
        <v/>
      </c>
      <c r="F145" s="139">
        <f>IF($O$6="sell",-1,1) * (-(B145*NORMDIST(I145,0,1,0)*$H$6)/(2*SQRT($J$6))/365) *$P$6</f>
        <v/>
      </c>
      <c r="G145" s="139">
        <f>IF($O$6="buy",1,-1)*( IF($K$6="call",B145*NORMDIST(I145,0,1,1) - $B$6*NORMDIST(J145,0,1,1),$B$6*NORMDIST(-J145,0,1,1) - B145*NORMDIST(-I145,0,1,1) ) - $G$6) * $P$6</f>
        <v/>
      </c>
      <c r="I145" s="140">
        <f>(LN(B145/$B$6)+($H$6^2/2)*($J$6))/($H$6*SQRT($J$6))</f>
        <v/>
      </c>
      <c r="J145" s="143">
        <f>I145 - $H$6*SQRT($J$6)</f>
        <v/>
      </c>
    </row>
    <row r="146" ht="13.5" customHeight="1" s="116">
      <c r="B146" s="144">
        <f>B116</f>
        <v/>
      </c>
      <c r="C146" s="139">
        <f>IF($O$6="sell",-1,1) *  IF($K$6="call",  NORMDIST(I146,0,1,1),  NORMDIST(I146,0,1,1)-1  ) * $P$6</f>
        <v/>
      </c>
      <c r="D146" s="139">
        <f>IF($O$6="sell",-1,1) * NORMDIST(I146,0,1,0)/(B146*$H$6*SQRT($J$6)) * $P$6</f>
        <v/>
      </c>
      <c r="E146" s="139">
        <f>IF($O$6="sell",-1,1) * (B146*NORMDIST(I146,0,1,0)*SQRT($J$6)/365) * $P$6</f>
        <v/>
      </c>
      <c r="F146" s="139">
        <f>IF($O$6="sell",-1,1) * (-(B146*NORMDIST(I146,0,1,0)*$H$6)/(2*SQRT($J$6))/365) *$P$6</f>
        <v/>
      </c>
      <c r="G146" s="139">
        <f>IF($O$6="buy",1,-1)*( IF($K$6="call",B146*NORMDIST(I146,0,1,1) - $B$6*NORMDIST(J146,0,1,1),$B$6*NORMDIST(-J146,0,1,1) - B146*NORMDIST(-I146,0,1,1) ) - $G$6) * $P$6</f>
        <v/>
      </c>
      <c r="I146" s="140">
        <f>(LN(B146/$B$6)+($H$6^2/2)*($J$6))/($H$6*SQRT($J$6))</f>
        <v/>
      </c>
      <c r="J146" s="143">
        <f>I146 - $H$6*SQRT($J$6)</f>
        <v/>
      </c>
    </row>
    <row r="147" ht="13.5" customHeight="1" s="116">
      <c r="B147" s="144">
        <f>B117</f>
        <v/>
      </c>
      <c r="C147" s="139">
        <f>IF($O$6="sell",-1,1) *  IF($K$6="call",  NORMDIST(I147,0,1,1),  NORMDIST(I147,0,1,1)-1  ) * $P$6</f>
        <v/>
      </c>
      <c r="D147" s="139">
        <f>IF($O$6="sell",-1,1) * NORMDIST(I147,0,1,0)/(B147*$H$6*SQRT($J$6)) * $P$6</f>
        <v/>
      </c>
      <c r="E147" s="139">
        <f>IF($O$6="sell",-1,1) * (B147*NORMDIST(I147,0,1,0)*SQRT($J$6)/365) * $P$6</f>
        <v/>
      </c>
      <c r="F147" s="139">
        <f>IF($O$6="sell",-1,1) * (-(B147*NORMDIST(I147,0,1,0)*$H$6)/(2*SQRT($J$6))/365) *$P$6</f>
        <v/>
      </c>
      <c r="G147" s="139">
        <f>IF($O$6="buy",1,-1)*( IF($K$6="call",B147*NORMDIST(I147,0,1,1) - $B$6*NORMDIST(J147,0,1,1),$B$6*NORMDIST(-J147,0,1,1) - B147*NORMDIST(-I147,0,1,1) ) - $G$6) * $P$6</f>
        <v/>
      </c>
      <c r="I147" s="140">
        <f>(LN(B147/$B$6)+($H$6^2/2)*($J$6))/($H$6*SQRT($J$6))</f>
        <v/>
      </c>
      <c r="J147" s="143">
        <f>I147 - $H$6*SQRT($J$6)</f>
        <v/>
      </c>
    </row>
    <row r="148" ht="13.5" customHeight="1" s="116">
      <c r="B148" s="144">
        <f>B118</f>
        <v/>
      </c>
      <c r="C148" s="139">
        <f>IF($O$6="sell",-1,1) *  IF($K$6="call",  NORMDIST(I148,0,1,1),  NORMDIST(I148,0,1,1)-1  ) * $P$6</f>
        <v/>
      </c>
      <c r="D148" s="139">
        <f>IF($O$6="sell",-1,1) * NORMDIST(I148,0,1,0)/(B148*$H$6*SQRT($J$6)) * $P$6</f>
        <v/>
      </c>
      <c r="E148" s="139">
        <f>IF($O$6="sell",-1,1) * (B148*NORMDIST(I148,0,1,0)*SQRT($J$6)/365) * $P$6</f>
        <v/>
      </c>
      <c r="F148" s="139">
        <f>IF($O$6="sell",-1,1) * (-(B148*NORMDIST(I148,0,1,0)*$H$6)/(2*SQRT($J$6))/365) *$P$6</f>
        <v/>
      </c>
      <c r="G148" s="139">
        <f>IF($O$6="buy",1,-1)*( IF($K$6="call",B148*NORMDIST(I148,0,1,1) - $B$6*NORMDIST(J148,0,1,1),$B$6*NORMDIST(-J148,0,1,1) - B148*NORMDIST(-I148,0,1,1) ) - $G$6) * $P$6</f>
        <v/>
      </c>
      <c r="I148" s="140">
        <f>(LN(B148/$B$6)+($H$6^2/2)*($J$6))/($H$6*SQRT($J$6))</f>
        <v/>
      </c>
      <c r="J148" s="143">
        <f>I148 - $H$6*SQRT($J$6)</f>
        <v/>
      </c>
    </row>
    <row r="149" ht="13.5" customHeight="1" s="116">
      <c r="B149" s="144">
        <f>B119</f>
        <v/>
      </c>
      <c r="C149" s="139">
        <f>IF($O$6="sell",-1,1) *  IF($K$6="call",  NORMDIST(I149,0,1,1),  NORMDIST(I149,0,1,1)-1  ) * $P$6</f>
        <v/>
      </c>
      <c r="D149" s="139">
        <f>IF($O$6="sell",-1,1) * NORMDIST(I149,0,1,0)/(B149*$H$6*SQRT($J$6)) * $P$6</f>
        <v/>
      </c>
      <c r="E149" s="139">
        <f>IF($O$6="sell",-1,1) * (B149*NORMDIST(I149,0,1,0)*SQRT($J$6)/365) * $P$6</f>
        <v/>
      </c>
      <c r="F149" s="139">
        <f>IF($O$6="sell",-1,1) * (-(B149*NORMDIST(I149,0,1,0)*$H$6)/(2*SQRT($J$6))/365) *$P$6</f>
        <v/>
      </c>
      <c r="G149" s="139">
        <f>IF($O$6="buy",1,-1)*( IF($K$6="call",B149*NORMDIST(I149,0,1,1) - $B$6*NORMDIST(J149,0,1,1),$B$6*NORMDIST(-J149,0,1,1) - B149*NORMDIST(-I149,0,1,1) ) - $G$6) * $P$6</f>
        <v/>
      </c>
      <c r="I149" s="140">
        <f>(LN(B149/$B$6)+($H$6^2/2)*($J$6))/($H$6*SQRT($J$6))</f>
        <v/>
      </c>
      <c r="J149" s="143">
        <f>I149 - $H$6*SQRT($J$6)</f>
        <v/>
      </c>
    </row>
    <row r="150" ht="13.5" customHeight="1" s="116">
      <c r="B150" s="144">
        <f>B120</f>
        <v/>
      </c>
      <c r="C150" s="139">
        <f>IF($O$6="sell",-1,1) *  IF($K$6="call",  NORMDIST(I150,0,1,1),  NORMDIST(I150,0,1,1)-1  ) * $P$6</f>
        <v/>
      </c>
      <c r="D150" s="139">
        <f>IF($O$6="sell",-1,1) * NORMDIST(I150,0,1,0)/(B150*$H$6*SQRT($J$6)) * $P$6</f>
        <v/>
      </c>
      <c r="E150" s="139">
        <f>IF($O$6="sell",-1,1) * (B150*NORMDIST(I150,0,1,0)*SQRT($J$6)/365) * $P$6</f>
        <v/>
      </c>
      <c r="F150" s="139">
        <f>IF($O$6="sell",-1,1) * (-(B150*NORMDIST(I150,0,1,0)*$H$6)/(2*SQRT($J$6))/365) *$P$6</f>
        <v/>
      </c>
      <c r="G150" s="139">
        <f>IF($O$6="buy",1,-1)*( IF($K$6="call",B150*NORMDIST(I150,0,1,1) - $B$6*NORMDIST(J150,0,1,1),$B$6*NORMDIST(-J150,0,1,1) - B150*NORMDIST(-I150,0,1,1) ) - $G$6) * $P$6</f>
        <v/>
      </c>
      <c r="I150" s="140">
        <f>(LN(B150/$B$6)+($H$6^2/2)*($J$6))/($H$6*SQRT($J$6))</f>
        <v/>
      </c>
      <c r="J150" s="143">
        <f>I150 - $H$6*SQRT($J$6)</f>
        <v/>
      </c>
    </row>
    <row r="151" ht="13.5" customHeight="1" s="116">
      <c r="B151" s="144">
        <f>B121</f>
        <v/>
      </c>
      <c r="C151" s="139">
        <f>IF($O$6="sell",-1,1) *  IF($K$6="call",  NORMDIST(I151,0,1,1),  NORMDIST(I151,0,1,1)-1  ) * $P$6</f>
        <v/>
      </c>
      <c r="D151" s="139">
        <f>IF($O$6="sell",-1,1) * NORMDIST(I151,0,1,0)/(B151*$H$6*SQRT($J$6)) * $P$6</f>
        <v/>
      </c>
      <c r="E151" s="139">
        <f>IF($O$6="sell",-1,1) * (B151*NORMDIST(I151,0,1,0)*SQRT($J$6)/365) * $P$6</f>
        <v/>
      </c>
      <c r="F151" s="139">
        <f>IF($O$6="sell",-1,1) * (-(B151*NORMDIST(I151,0,1,0)*$H$6)/(2*SQRT($J$6))/365) *$P$6</f>
        <v/>
      </c>
      <c r="G151" s="139">
        <f>IF($O$6="buy",1,-1)*( IF($K$6="call",B151*NORMDIST(I151,0,1,1) - $B$6*NORMDIST(J151,0,1,1),$B$6*NORMDIST(-J151,0,1,1) - B151*NORMDIST(-I151,0,1,1) ) - $G$6) * $P$6</f>
        <v/>
      </c>
      <c r="I151" s="140">
        <f>(LN(B151/$B$6)+($H$6^2/2)*($J$6))/($H$6*SQRT($J$6))</f>
        <v/>
      </c>
      <c r="J151" s="143">
        <f>I151 - $H$6*SQRT($J$6)</f>
        <v/>
      </c>
    </row>
    <row r="152" ht="13.5" customHeight="1" s="116">
      <c r="B152" s="144">
        <f>B122</f>
        <v/>
      </c>
      <c r="C152" s="139">
        <f>IF($O$6="sell",-1,1) *  IF($K$6="call",  NORMDIST(I152,0,1,1),  NORMDIST(I152,0,1,1)-1  ) * $P$6</f>
        <v/>
      </c>
      <c r="D152" s="139">
        <f>IF($O$6="sell",-1,1) * NORMDIST(I152,0,1,0)/(B152*$H$6*SQRT($J$6)) * $P$6</f>
        <v/>
      </c>
      <c r="E152" s="139">
        <f>IF($O$6="sell",-1,1) * (B152*NORMDIST(I152,0,1,0)*SQRT($J$6)/365) * $P$6</f>
        <v/>
      </c>
      <c r="F152" s="139">
        <f>IF($O$6="sell",-1,1) * (-(B152*NORMDIST(I152,0,1,0)*$H$6)/(2*SQRT($J$6))/365) *$P$6</f>
        <v/>
      </c>
      <c r="G152" s="139">
        <f>IF($O$6="buy",1,-1)*( IF($K$6="call",B152*NORMDIST(I152,0,1,1) - $B$6*NORMDIST(J152,0,1,1),$B$6*NORMDIST(-J152,0,1,1) - B152*NORMDIST(-I152,0,1,1) ) - $G$6) * $P$6</f>
        <v/>
      </c>
      <c r="I152" s="140">
        <f>(LN(B152/$B$6)+($H$6^2/2)*($J$6))/($H$6*SQRT($J$6))</f>
        <v/>
      </c>
      <c r="J152" s="143">
        <f>I152 - $H$6*SQRT($J$6)</f>
        <v/>
      </c>
    </row>
    <row r="153" ht="13.5" customHeight="1" s="116">
      <c r="B153" s="144">
        <f>B123</f>
        <v/>
      </c>
      <c r="C153" s="139">
        <f>IF($O$6="sell",-1,1) *  IF($K$6="call",  NORMDIST(I153,0,1,1),  NORMDIST(I153,0,1,1)-1  ) * $P$6</f>
        <v/>
      </c>
      <c r="D153" s="139">
        <f>IF($O$6="sell",-1,1) * NORMDIST(I153,0,1,0)/(B153*$H$6*SQRT($J$6)) * $P$6</f>
        <v/>
      </c>
      <c r="E153" s="139">
        <f>IF($O$6="sell",-1,1) * (B153*NORMDIST(I153,0,1,0)*SQRT($J$6)/365) * $P$6</f>
        <v/>
      </c>
      <c r="F153" s="139">
        <f>IF($O$6="sell",-1,1) * (-(B153*NORMDIST(I153,0,1,0)*$H$6)/(2*SQRT($J$6))/365) *$P$6</f>
        <v/>
      </c>
      <c r="G153" s="139">
        <f>IF($O$6="buy",1,-1)*( IF($K$6="call",B153*NORMDIST(I153,0,1,1) - $B$6*NORMDIST(J153,0,1,1),$B$6*NORMDIST(-J153,0,1,1) - B153*NORMDIST(-I153,0,1,1) ) - $G$6) * $P$6</f>
        <v/>
      </c>
      <c r="I153" s="140">
        <f>(LN(B153/$B$6)+($H$6^2/2)*($J$6))/($H$6*SQRT($J$6))</f>
        <v/>
      </c>
      <c r="J153" s="143">
        <f>I153 - $H$6*SQRT($J$6)</f>
        <v/>
      </c>
    </row>
    <row r="154" ht="13.5" customHeight="1" s="116">
      <c r="B154" s="144">
        <f>B124</f>
        <v/>
      </c>
      <c r="C154" s="139">
        <f>IF($O$6="sell",-1,1) *  IF($K$6="call",  NORMDIST(I154,0,1,1),  NORMDIST(I154,0,1,1)-1  ) * $P$6</f>
        <v/>
      </c>
      <c r="D154" s="139">
        <f>IF($O$6="sell",-1,1) * NORMDIST(I154,0,1,0)/(B154*$H$6*SQRT($J$6)) * $P$6</f>
        <v/>
      </c>
      <c r="E154" s="139">
        <f>IF($O$6="sell",-1,1) * (B154*NORMDIST(I154,0,1,0)*SQRT($J$6)/365) * $P$6</f>
        <v/>
      </c>
      <c r="F154" s="139">
        <f>IF($O$6="sell",-1,1) * (-(B154*NORMDIST(I154,0,1,0)*$H$6)/(2*SQRT($J$6))/365) *$P$6</f>
        <v/>
      </c>
      <c r="G154" s="139">
        <f>IF($O$6="buy",1,-1)*( IF($K$6="call",B154*NORMDIST(I154,0,1,1) - $B$6*NORMDIST(J154,0,1,1),$B$6*NORMDIST(-J154,0,1,1) - B154*NORMDIST(-I154,0,1,1) ) - $G$6) * $P$6</f>
        <v/>
      </c>
      <c r="I154" s="140">
        <f>(LN(B154/$B$6)+($H$6^2/2)*($J$6))/($H$6*SQRT($J$6))</f>
        <v/>
      </c>
      <c r="J154" s="143">
        <f>I154 - $H$6*SQRT($J$6)</f>
        <v/>
      </c>
    </row>
    <row r="155" ht="13.5" customHeight="1" s="116">
      <c r="B155" s="144">
        <f>B125</f>
        <v/>
      </c>
      <c r="C155" s="139">
        <f>IF($O$6="sell",-1,1) *  IF($K$6="call",  NORMDIST(I155,0,1,1),  NORMDIST(I155,0,1,1)-1  ) * $P$6</f>
        <v/>
      </c>
      <c r="D155" s="139">
        <f>IF($O$6="sell",-1,1) * NORMDIST(I155,0,1,0)/(B155*$H$6*SQRT($J$6)) * $P$6</f>
        <v/>
      </c>
      <c r="E155" s="139">
        <f>IF($O$6="sell",-1,1) * (B155*NORMDIST(I155,0,1,0)*SQRT($J$6)/365) * $P$6</f>
        <v/>
      </c>
      <c r="F155" s="139">
        <f>IF($O$6="sell",-1,1) * (-(B155*NORMDIST(I155,0,1,0)*$H$6)/(2*SQRT($J$6))/365) *$P$6</f>
        <v/>
      </c>
      <c r="G155" s="139">
        <f>IF($O$6="buy",1,-1)*( IF($K$6="call",B155*NORMDIST(I155,0,1,1) - $B$6*NORMDIST(J155,0,1,1),$B$6*NORMDIST(-J155,0,1,1) - B155*NORMDIST(-I155,0,1,1) ) - $G$6) * $P$6</f>
        <v/>
      </c>
      <c r="I155" s="140">
        <f>(LN(B155/$B$6)+($H$6^2/2)*($J$6))/($H$6*SQRT($J$6))</f>
        <v/>
      </c>
      <c r="J155" s="143">
        <f>I155 - $H$6*SQRT($J$6)</f>
        <v/>
      </c>
    </row>
    <row r="156" ht="13.5" customHeight="1" s="116">
      <c r="B156" s="144">
        <f>B126</f>
        <v/>
      </c>
      <c r="C156" s="139">
        <f>IF($O$6="sell",-1,1) *  IF($K$6="call",  NORMDIST(I156,0,1,1),  NORMDIST(I156,0,1,1)-1  ) * $P$6</f>
        <v/>
      </c>
      <c r="D156" s="139">
        <f>IF($O$6="sell",-1,1) * NORMDIST(I156,0,1,0)/(B156*$H$6*SQRT($J$6)) * $P$6</f>
        <v/>
      </c>
      <c r="E156" s="139">
        <f>IF($O$6="sell",-1,1) * (B156*NORMDIST(I156,0,1,0)*SQRT($J$6)/365) * $P$6</f>
        <v/>
      </c>
      <c r="F156" s="139">
        <f>IF($O$6="sell",-1,1) * (-(B156*NORMDIST(I156,0,1,0)*$H$6)/(2*SQRT($J$6))/365) *$P$6</f>
        <v/>
      </c>
      <c r="G156" s="139">
        <f>IF($O$6="buy",1,-1)*( IF($K$6="call",B156*NORMDIST(I156,0,1,1) - $B$6*NORMDIST(J156,0,1,1),$B$6*NORMDIST(-J156,0,1,1) - B156*NORMDIST(-I156,0,1,1) ) - $G$6) * $P$6</f>
        <v/>
      </c>
      <c r="I156" s="140">
        <f>(LN(B156/$B$6)+($H$6^2/2)*($J$6))/($H$6*SQRT($J$6))</f>
        <v/>
      </c>
      <c r="J156" s="143">
        <f>I156 - $H$6*SQRT($J$6)</f>
        <v/>
      </c>
    </row>
    <row r="157" ht="13.5" customHeight="1" s="116">
      <c r="B157" s="144">
        <f>B127</f>
        <v/>
      </c>
      <c r="C157" s="139">
        <f>IF($O$6="sell",-1,1) *  IF($K$6="call",  NORMDIST(I157,0,1,1),  NORMDIST(I157,0,1,1)-1  ) * $P$6</f>
        <v/>
      </c>
      <c r="D157" s="139">
        <f>IF($O$6="sell",-1,1) * NORMDIST(I157,0,1,0)/(B157*$H$6*SQRT($J$6)) * $P$6</f>
        <v/>
      </c>
      <c r="E157" s="139">
        <f>IF($O$6="sell",-1,1) * (B157*NORMDIST(I157,0,1,0)*SQRT($J$6)/365) * $P$6</f>
        <v/>
      </c>
      <c r="F157" s="139">
        <f>IF($O$6="sell",-1,1) * (-(B157*NORMDIST(I157,0,1,0)*$H$6)/(2*SQRT($J$6))/365) *$P$6</f>
        <v/>
      </c>
      <c r="G157" s="139">
        <f>IF($O$6="buy",1,-1)*( IF($K$6="call",B157*NORMDIST(I157,0,1,1) - $B$6*NORMDIST(J157,0,1,1),$B$6*NORMDIST(-J157,0,1,1) - B157*NORMDIST(-I157,0,1,1) ) - $G$6) * $P$6</f>
        <v/>
      </c>
      <c r="I157" s="140">
        <f>(LN(B157/$B$6)+($H$6^2/2)*($J$6))/($H$6*SQRT($J$6))</f>
        <v/>
      </c>
      <c r="J157" s="143">
        <f>I157 - $H$6*SQRT($J$6)</f>
        <v/>
      </c>
    </row>
    <row r="158" ht="13.5" customHeight="1" s="116">
      <c r="B158" s="144">
        <f>B128</f>
        <v/>
      </c>
      <c r="C158" s="139">
        <f>IF($O$6="sell",-1,1) *  IF($K$6="call",  NORMDIST(I158,0,1,1),  NORMDIST(I158,0,1,1)-1  ) * $P$6</f>
        <v/>
      </c>
      <c r="D158" s="139">
        <f>IF($O$6="sell",-1,1) * NORMDIST(I158,0,1,0)/(B158*$H$6*SQRT($J$6)) * $P$6</f>
        <v/>
      </c>
      <c r="E158" s="139">
        <f>IF($O$6="sell",-1,1) * (B158*NORMDIST(I158,0,1,0)*SQRT($J$6)/365) * $P$6</f>
        <v/>
      </c>
      <c r="F158" s="139">
        <f>IF($O$6="sell",-1,1) * (-(B158*NORMDIST(I158,0,1,0)*$H$6)/(2*SQRT($J$6))/365) *$P$6</f>
        <v/>
      </c>
      <c r="G158" s="139">
        <f>IF($O$6="buy",1,-1)*( IF($K$6="call",B158*NORMDIST(I158,0,1,1) - $B$6*NORMDIST(J158,0,1,1),$B$6*NORMDIST(-J158,0,1,1) - B158*NORMDIST(-I158,0,1,1) ) - $G$6) * $P$6</f>
        <v/>
      </c>
      <c r="I158" s="140">
        <f>(LN(B158/$B$6)+($H$6^2/2)*($J$6))/($H$6*SQRT($J$6))</f>
        <v/>
      </c>
      <c r="J158" s="143">
        <f>I158 - $H$6*SQRT($J$6)</f>
        <v/>
      </c>
    </row>
    <row r="159" ht="13.5" customHeight="1" s="116">
      <c r="B159" s="144">
        <f>B129</f>
        <v/>
      </c>
      <c r="C159" s="139">
        <f>IF($O$6="sell",-1,1) *  IF($K$6="call",  NORMDIST(I159,0,1,1),  NORMDIST(I159,0,1,1)-1  ) * $P$6</f>
        <v/>
      </c>
      <c r="D159" s="139">
        <f>IF($O$6="sell",-1,1) * NORMDIST(I159,0,1,0)/(B159*$H$6*SQRT($J$6)) * $P$6</f>
        <v/>
      </c>
      <c r="E159" s="139">
        <f>IF($O$6="sell",-1,1) * (B159*NORMDIST(I159,0,1,0)*SQRT($J$6)/365) * $P$6</f>
        <v/>
      </c>
      <c r="F159" s="139">
        <f>IF($O$6="sell",-1,1) * (-(B159*NORMDIST(I159,0,1,0)*$H$6)/(2*SQRT($J$6))/365) *$P$6</f>
        <v/>
      </c>
      <c r="G159" s="139">
        <f>IF($O$6="buy",1,-1)*( IF($K$6="call",B159*NORMDIST(I159,0,1,1) - $B$6*NORMDIST(J159,0,1,1),$B$6*NORMDIST(-J159,0,1,1) - B159*NORMDIST(-I159,0,1,1) ) - $G$6) * $P$6</f>
        <v/>
      </c>
      <c r="I159" s="140">
        <f>(LN(B159/$B$6)+($H$6^2/2)*($J$6))/($H$6*SQRT($J$6))</f>
        <v/>
      </c>
      <c r="J159" s="143">
        <f>I159 - $H$6*SQRT($J$6)</f>
        <v/>
      </c>
    </row>
    <row r="160" ht="13.5" customHeight="1" s="116">
      <c r="B160" s="144">
        <f>B130</f>
        <v/>
      </c>
      <c r="C160" s="139">
        <f>IF($O$6="sell",-1,1) *  IF($K$6="call",  NORMDIST(I160,0,1,1),  NORMDIST(I160,0,1,1)-1  ) * $P$6</f>
        <v/>
      </c>
      <c r="D160" s="139">
        <f>IF($O$6="sell",-1,1) * NORMDIST(I160,0,1,0)/(B160*$H$6*SQRT($J$6)) * $P$6</f>
        <v/>
      </c>
      <c r="E160" s="139">
        <f>IF($O$6="sell",-1,1) * (B160*NORMDIST(I160,0,1,0)*SQRT($J$6)/365) * $P$6</f>
        <v/>
      </c>
      <c r="F160" s="139">
        <f>IF($O$6="sell",-1,1) * (-(B160*NORMDIST(I160,0,1,0)*$H$6)/(2*SQRT($J$6))/365) *$P$6</f>
        <v/>
      </c>
      <c r="G160" s="139">
        <f>IF($O$6="buy",1,-1)*( IF($K$6="call",B160*NORMDIST(I160,0,1,1) - $B$6*NORMDIST(J160,0,1,1),$B$6*NORMDIST(-J160,0,1,1) - B160*NORMDIST(-I160,0,1,1) ) - $G$6) * $P$6</f>
        <v/>
      </c>
      <c r="I160" s="140">
        <f>(LN(B160/$B$6)+($H$6^2/2)*($J$6))/($H$6*SQRT($J$6))</f>
        <v/>
      </c>
      <c r="J160" s="143">
        <f>I160 - $H$6*SQRT($J$6)</f>
        <v/>
      </c>
    </row>
    <row r="161" ht="13.5" customHeight="1" s="116">
      <c r="B161" s="144">
        <f>B131</f>
        <v/>
      </c>
      <c r="C161" s="139">
        <f>IF($O$6="sell",-1,1) *  IF($K$6="call",  NORMDIST(I161,0,1,1),  NORMDIST(I161,0,1,1)-1  ) * $P$6</f>
        <v/>
      </c>
      <c r="D161" s="139">
        <f>IF($O$6="sell",-1,1) * NORMDIST(I161,0,1,0)/(B161*$H$6*SQRT($J$6)) * $P$6</f>
        <v/>
      </c>
      <c r="E161" s="139">
        <f>IF($O$6="sell",-1,1) * (B161*NORMDIST(I161,0,1,0)*SQRT($J$6)/365) * $P$6</f>
        <v/>
      </c>
      <c r="F161" s="139">
        <f>IF($O$6="sell",-1,1) * (-(B161*NORMDIST(I161,0,1,0)*$H$6)/(2*SQRT($J$6))/365) *$P$6</f>
        <v/>
      </c>
      <c r="G161" s="139">
        <f>IF($O$6="buy",1,-1)*( IF($K$6="call",B161*NORMDIST(I161,0,1,1) - $B$6*NORMDIST(J161,0,1,1),$B$6*NORMDIST(-J161,0,1,1) - B161*NORMDIST(-I161,0,1,1) ) - $G$6) * $P$6</f>
        <v/>
      </c>
      <c r="I161" s="140">
        <f>(LN(B161/$B$6)+($H$6^2/2)*($J$6))/($H$6*SQRT($J$6))</f>
        <v/>
      </c>
      <c r="J161" s="143">
        <f>I161 - $H$6*SQRT($J$6)</f>
        <v/>
      </c>
    </row>
    <row r="162" ht="13.5" customHeight="1" s="116">
      <c r="B162" s="144">
        <f>B132</f>
        <v/>
      </c>
      <c r="C162" s="139">
        <f>IF($O$6="sell",-1,1) *  IF($K$6="call",  NORMDIST(I162,0,1,1),  NORMDIST(I162,0,1,1)-1  ) * $P$6</f>
        <v/>
      </c>
      <c r="D162" s="139">
        <f>IF($O$6="sell",-1,1) * NORMDIST(I162,0,1,0)/(B162*$H$6*SQRT($J$6)) * $P$6</f>
        <v/>
      </c>
      <c r="E162" s="139">
        <f>IF($O$6="sell",-1,1) * (B162*NORMDIST(I162,0,1,0)*SQRT($J$6)/365) * $P$6</f>
        <v/>
      </c>
      <c r="F162" s="139">
        <f>IF($O$6="sell",-1,1) * (-(B162*NORMDIST(I162,0,1,0)*$H$6)/(2*SQRT($J$6))/365) *$P$6</f>
        <v/>
      </c>
      <c r="G162" s="139">
        <f>IF($O$6="buy",1,-1)*( IF($K$6="call",B162*NORMDIST(I162,0,1,1) - $B$6*NORMDIST(J162,0,1,1),$B$6*NORMDIST(-J162,0,1,1) - B162*NORMDIST(-I162,0,1,1) ) - $G$6) * $P$6</f>
        <v/>
      </c>
      <c r="I162" s="140">
        <f>(LN(B162/$B$6)+($H$6^2/2)*($J$6))/($H$6*SQRT($J$6))</f>
        <v/>
      </c>
      <c r="J162" s="143">
        <f>I162 - $H$6*SQRT($J$6)</f>
        <v/>
      </c>
    </row>
    <row r="163" ht="13.5" customHeight="1" s="116">
      <c r="B163" s="144">
        <f>B133</f>
        <v/>
      </c>
      <c r="C163" s="139">
        <f>IF($O$6="sell",-1,1) *  IF($K$6="call",  NORMDIST(I163,0,1,1),  NORMDIST(I163,0,1,1)-1  ) * $P$6</f>
        <v/>
      </c>
      <c r="D163" s="139">
        <f>IF($O$6="sell",-1,1) * NORMDIST(I163,0,1,0)/(B163*$H$6*SQRT($J$6)) * $P$6</f>
        <v/>
      </c>
      <c r="E163" s="139">
        <f>IF($O$6="sell",-1,1) * (B163*NORMDIST(I163,0,1,0)*SQRT($J$6)/365) * $P$6</f>
        <v/>
      </c>
      <c r="F163" s="139">
        <f>IF($O$6="sell",-1,1) * (-(B163*NORMDIST(I163,0,1,0)*$H$6)/(2*SQRT($J$6))/365) *$P$6</f>
        <v/>
      </c>
      <c r="G163" s="139">
        <f>IF($O$6="buy",1,-1)*( IF($K$6="call",B163*NORMDIST(I163,0,1,1) - $B$6*NORMDIST(J163,0,1,1),$B$6*NORMDIST(-J163,0,1,1) - B163*NORMDIST(-I163,0,1,1) ) - $G$6) * $P$6</f>
        <v/>
      </c>
      <c r="I163" s="140">
        <f>(LN(B163/$B$6)+($H$6^2/2)*($J$6))/($H$6*SQRT($J$6))</f>
        <v/>
      </c>
      <c r="J163" s="143">
        <f>I163 - $H$6*SQRT($J$6)</f>
        <v/>
      </c>
    </row>
    <row r="164" ht="13.5" customHeight="1" s="116">
      <c r="B164" s="144">
        <f>B134</f>
        <v/>
      </c>
      <c r="C164" s="139">
        <f>IF($O$6="sell",-1,1) *  IF($K$6="call",  NORMDIST(I164,0,1,1),  NORMDIST(I164,0,1,1)-1  ) * $P$6</f>
        <v/>
      </c>
      <c r="D164" s="139">
        <f>IF($O$6="sell",-1,1) * NORMDIST(I164,0,1,0)/(B164*$H$6*SQRT($J$6)) * $P$6</f>
        <v/>
      </c>
      <c r="E164" s="139">
        <f>IF($O$6="sell",-1,1) * (B164*NORMDIST(I164,0,1,0)*SQRT($J$6)/365) * $P$6</f>
        <v/>
      </c>
      <c r="F164" s="139">
        <f>IF($O$6="sell",-1,1) * (-(B164*NORMDIST(I164,0,1,0)*$H$6)/(2*SQRT($J$6))/365) *$P$6</f>
        <v/>
      </c>
      <c r="G164" s="139">
        <f>IF($O$6="buy",1,-1)*( IF($K$6="call",B164*NORMDIST(I164,0,1,1) - $B$6*NORMDIST(J164,0,1,1),$B$6*NORMDIST(-J164,0,1,1) - B164*NORMDIST(-I164,0,1,1) ) - $G$6) * $P$6</f>
        <v/>
      </c>
      <c r="I164" s="140">
        <f>(LN(B164/$B$6)+($H$6^2/2)*($J$6))/($H$6*SQRT($J$6))</f>
        <v/>
      </c>
      <c r="J164" s="143">
        <f>I164 - $H$6*SQRT($J$6)</f>
        <v/>
      </c>
    </row>
    <row r="165" ht="13.5" customHeight="1" s="116">
      <c r="B165" s="145" t="n"/>
      <c r="C165" s="136" t="n"/>
      <c r="D165" s="136" t="n"/>
      <c r="E165" s="136" t="n"/>
      <c r="F165" s="136" t="n"/>
      <c r="G165" s="136" t="n"/>
      <c r="I165" s="146" t="n"/>
      <c r="J165" s="146" t="n"/>
    </row>
    <row r="166" ht="13.5" customHeight="1" s="116">
      <c r="B166" s="145" t="n"/>
      <c r="C166" s="136" t="n"/>
      <c r="D166" s="136" t="n"/>
      <c r="E166" s="136" t="n"/>
      <c r="F166" s="136" t="n"/>
      <c r="G166" s="136" t="n"/>
      <c r="I166" s="146" t="n"/>
      <c r="J166" s="146" t="n"/>
    </row>
    <row r="167" ht="13.5" customHeight="1" s="116">
      <c r="B167" s="137" t="n"/>
      <c r="C167" s="133" t="inlineStr">
        <is>
          <t>delta</t>
        </is>
      </c>
      <c r="D167" s="133" t="inlineStr">
        <is>
          <t>gamma</t>
        </is>
      </c>
      <c r="E167" s="133" t="inlineStr">
        <is>
          <t>vega</t>
        </is>
      </c>
      <c r="F167" s="133" t="inlineStr">
        <is>
          <t>theta</t>
        </is>
      </c>
      <c r="G167" s="133" t="inlineStr">
        <is>
          <t>mark_price</t>
        </is>
      </c>
      <c r="I167" s="133" t="inlineStr">
        <is>
          <t>d1</t>
        </is>
      </c>
      <c r="J167" s="133" t="inlineStr">
        <is>
          <t>d2</t>
        </is>
      </c>
    </row>
    <row r="168" ht="13.5" customHeight="1" s="116">
      <c r="A168" s="117">
        <f>A7</f>
        <v/>
      </c>
      <c r="B168" s="144">
        <f>B138</f>
        <v/>
      </c>
      <c r="C168" s="139">
        <f>IF($O$7="sell",-1,1) *  IF($K$7="call",  NORMDIST(I168,0,1,1),  NORMDIST(I168,0,1,1)-1  ) * $P$7</f>
        <v/>
      </c>
      <c r="D168" s="139">
        <f>IF($O$7="sell",-1,1) * NORMDIST(I168,0,1,0)/(B168*$H$7*SQRT($J$7)) * $P$7</f>
        <v/>
      </c>
      <c r="E168" s="139">
        <f>IF($O$7="sell",-1,1) * (B168*NORMDIST(I168,0,1,0)*SQRT($J$7)/365) * $P$7</f>
        <v/>
      </c>
      <c r="F168" s="139">
        <f>IF($O$7="sell",-1,1) * (-(B168*NORMDIST(I168,0,1,0)*$H$7)/(2*SQRT($J$7))/365) *$P$7</f>
        <v/>
      </c>
      <c r="G168" s="139">
        <f>IF($O$7="buy",1,-1)*( IF($K$7="call",B168*NORMDIST(I168,0,1,1) - $B$7*NORMDIST(J168,0,1,1),$B$7*NORMDIST(-J168,0,1,1) - B168*NORMDIST(-I168,0,1,1) ) - $G$7) * $P$7</f>
        <v/>
      </c>
      <c r="I168" s="140">
        <f>(LN(B168/$B$7)+($H$7^2/2)*($J$7))/($H$7*SQRT($J$7))</f>
        <v/>
      </c>
      <c r="J168" s="140">
        <f>I168 - $H$7*SQRT($J$7)</f>
        <v/>
      </c>
    </row>
    <row r="169" ht="13.5" customHeight="1" s="116">
      <c r="B169" s="144">
        <f>B139</f>
        <v/>
      </c>
      <c r="C169" s="139">
        <f>IF($O$7="sell",-1,1) *  IF($K$7="call",  NORMDIST(I169,0,1,1),  NORMDIST(I169,0,1,1)-1  ) * $P$7</f>
        <v/>
      </c>
      <c r="D169" s="139">
        <f>IF($O$7="sell",-1,1) * NORMDIST(I169,0,1,0)/(B169*$H$7*SQRT($J$7)) * $P$7</f>
        <v/>
      </c>
      <c r="E169" s="139">
        <f>IF($O$7="sell",-1,1) * (B169*NORMDIST(I169,0,1,0)*SQRT($J$7)/365) * $P$7</f>
        <v/>
      </c>
      <c r="F169" s="139">
        <f>IF($O$7="sell",-1,1) * (-(B169*NORMDIST(I169,0,1,0)*$H$7)/(2*SQRT($J$7))/365) *$P$7</f>
        <v/>
      </c>
      <c r="G169" s="139">
        <f>IF($O$7="buy",1,-1)*( IF($K$7="call",B169*NORMDIST(I169,0,1,1) - $B$7*NORMDIST(J169,0,1,1),$B$7*NORMDIST(-J169,0,1,1) - B169*NORMDIST(-I169,0,1,1) ) - $G$7) * $P$7</f>
        <v/>
      </c>
      <c r="I169" s="140">
        <f>(LN(B169/$B$7)+($H$7^2/2)*($J$7))/($H$7*SQRT($J$7))</f>
        <v/>
      </c>
      <c r="J169" s="140">
        <f>I169 - $H$7*SQRT($J$7)</f>
        <v/>
      </c>
    </row>
    <row r="170" ht="13.5" customHeight="1" s="116">
      <c r="B170" s="144">
        <f>B140</f>
        <v/>
      </c>
      <c r="C170" s="139">
        <f>IF($O$7="sell",-1,1) *  IF($K$7="call",  NORMDIST(I170,0,1,1),  NORMDIST(I170,0,1,1)-1  ) * $P$7</f>
        <v/>
      </c>
      <c r="D170" s="139">
        <f>IF($O$7="sell",-1,1) * NORMDIST(I170,0,1,0)/(B170*$H$7*SQRT($J$7)) * $P$7</f>
        <v/>
      </c>
      <c r="E170" s="139">
        <f>IF($O$7="sell",-1,1) * (B170*NORMDIST(I170,0,1,0)*SQRT($J$7)/365) * $P$7</f>
        <v/>
      </c>
      <c r="F170" s="139">
        <f>IF($O$7="sell",-1,1) * (-(B170*NORMDIST(I170,0,1,0)*$H$7)/(2*SQRT($J$7))/365) *$P$7</f>
        <v/>
      </c>
      <c r="G170" s="139">
        <f>IF($O$7="buy",1,-1)*( IF($K$7="call",B170*NORMDIST(I170,0,1,1) - $B$7*NORMDIST(J170,0,1,1),$B$7*NORMDIST(-J170,0,1,1) - B170*NORMDIST(-I170,0,1,1) ) - $G$7) * $P$7</f>
        <v/>
      </c>
      <c r="I170" s="140">
        <f>(LN(B170/$B$7)+($H$7^2/2)*($J$7))/($H$7*SQRT($J$7))</f>
        <v/>
      </c>
      <c r="J170" s="140">
        <f>I170 - $H$7*SQRT($J$7)</f>
        <v/>
      </c>
    </row>
    <row r="171" ht="13.5" customHeight="1" s="116">
      <c r="B171" s="144">
        <f>B141</f>
        <v/>
      </c>
      <c r="C171" s="139">
        <f>IF($O$7="sell",-1,1) *  IF($K$7="call",  NORMDIST(I171,0,1,1),  NORMDIST(I171,0,1,1)-1  ) * $P$7</f>
        <v/>
      </c>
      <c r="D171" s="139">
        <f>IF($O$7="sell",-1,1) * NORMDIST(I171,0,1,0)/(B171*$H$7*SQRT($J$7)) * $P$7</f>
        <v/>
      </c>
      <c r="E171" s="139">
        <f>IF($O$7="sell",-1,1) * (B171*NORMDIST(I171,0,1,0)*SQRT($J$7)/365) * $P$7</f>
        <v/>
      </c>
      <c r="F171" s="139">
        <f>IF($O$7="sell",-1,1) * (-(B171*NORMDIST(I171,0,1,0)*$H$7)/(2*SQRT($J$7))/365) *$P$7</f>
        <v/>
      </c>
      <c r="G171" s="139">
        <f>IF($O$7="buy",1,-1)*( IF($K$7="call",B171*NORMDIST(I171,0,1,1) - $B$7*NORMDIST(J171,0,1,1),$B$7*NORMDIST(-J171,0,1,1) - B171*NORMDIST(-I171,0,1,1) ) - $G$7) * $P$7</f>
        <v/>
      </c>
      <c r="I171" s="140">
        <f>(LN(B171/$B$7)+($H$7^2/2)*($J$7))/($H$7*SQRT($J$7))</f>
        <v/>
      </c>
      <c r="J171" s="140">
        <f>I171 - $H$7*SQRT($J$7)</f>
        <v/>
      </c>
    </row>
    <row r="172" ht="13.5" customHeight="1" s="116">
      <c r="B172" s="144">
        <f>B142</f>
        <v/>
      </c>
      <c r="C172" s="139">
        <f>IF($O$7="sell",-1,1) *  IF($K$7="call",  NORMDIST(I172,0,1,1),  NORMDIST(I172,0,1,1)-1  ) * $P$7</f>
        <v/>
      </c>
      <c r="D172" s="139">
        <f>IF($O$7="sell",-1,1) * NORMDIST(I172,0,1,0)/(B172*$H$7*SQRT($J$7)) * $P$7</f>
        <v/>
      </c>
      <c r="E172" s="139">
        <f>IF($O$7="sell",-1,1) * (B172*NORMDIST(I172,0,1,0)*SQRT($J$7)/365) * $P$7</f>
        <v/>
      </c>
      <c r="F172" s="139">
        <f>IF($O$7="sell",-1,1) * (-(B172*NORMDIST(I172,0,1,0)*$H$7)/(2*SQRT($J$7))/365) *$P$7</f>
        <v/>
      </c>
      <c r="G172" s="139">
        <f>IF($O$7="buy",1,-1)*( IF($K$7="call",B172*NORMDIST(I172,0,1,1) - $B$7*NORMDIST(J172,0,1,1),$B$7*NORMDIST(-J172,0,1,1) - B172*NORMDIST(-I172,0,1,1) ) - $G$7) * $P$7</f>
        <v/>
      </c>
      <c r="I172" s="140">
        <f>(LN(B172/$B$7)+($H$7^2/2)*($J$7))/($H$7*SQRT($J$7))</f>
        <v/>
      </c>
      <c r="J172" s="140">
        <f>I172 - $H$7*SQRT($J$7)</f>
        <v/>
      </c>
    </row>
    <row r="173" ht="13.5" customHeight="1" s="116">
      <c r="B173" s="144">
        <f>B143</f>
        <v/>
      </c>
      <c r="C173" s="139">
        <f>IF($O$7="sell",-1,1) *  IF($K$7="call",  NORMDIST(I173,0,1,1),  NORMDIST(I173,0,1,1)-1  ) * $P$7</f>
        <v/>
      </c>
      <c r="D173" s="139">
        <f>IF($O$7="sell",-1,1) * NORMDIST(I173,0,1,0)/(B173*$H$7*SQRT($J$7)) * $P$7</f>
        <v/>
      </c>
      <c r="E173" s="139">
        <f>IF($O$7="sell",-1,1) * (B173*NORMDIST(I173,0,1,0)*SQRT($J$7)/365) * $P$7</f>
        <v/>
      </c>
      <c r="F173" s="139">
        <f>IF($O$7="sell",-1,1) * (-(B173*NORMDIST(I173,0,1,0)*$H$7)/(2*SQRT($J$7))/365) *$P$7</f>
        <v/>
      </c>
      <c r="G173" s="139">
        <f>IF($O$7="buy",1,-1)*( IF($K$7="call",B173*NORMDIST(I173,0,1,1) - $B$7*NORMDIST(J173,0,1,1),$B$7*NORMDIST(-J173,0,1,1) - B173*NORMDIST(-I173,0,1,1) ) - $G$7) * $P$7</f>
        <v/>
      </c>
      <c r="I173" s="140">
        <f>(LN(B173/$B$7)+($H$7^2/2)*($J$7))/($H$7*SQRT($J$7))</f>
        <v/>
      </c>
      <c r="J173" s="140">
        <f>I173 - $H$7*SQRT($J$7)</f>
        <v/>
      </c>
    </row>
    <row r="174" ht="13.5" customHeight="1" s="116">
      <c r="B174" s="144">
        <f>B144</f>
        <v/>
      </c>
      <c r="C174" s="139">
        <f>IF($O$7="sell",-1,1) *  IF($K$7="call",  NORMDIST(I174,0,1,1),  NORMDIST(I174,0,1,1)-1  ) * $P$7</f>
        <v/>
      </c>
      <c r="D174" s="139">
        <f>IF($O$7="sell",-1,1) * NORMDIST(I174,0,1,0)/(B174*$H$7*SQRT($J$7)) * $P$7</f>
        <v/>
      </c>
      <c r="E174" s="139">
        <f>IF($O$7="sell",-1,1) * (B174*NORMDIST(I174,0,1,0)*SQRT($J$7)/365) * $P$7</f>
        <v/>
      </c>
      <c r="F174" s="139">
        <f>IF($O$7="sell",-1,1) * (-(B174*NORMDIST(I174,0,1,0)*$H$7)/(2*SQRT($J$7))/365) *$P$7</f>
        <v/>
      </c>
      <c r="G174" s="139">
        <f>IF($O$7="buy",1,-1)*( IF($K$7="call",B174*NORMDIST(I174,0,1,1) - $B$7*NORMDIST(J174,0,1,1),$B$7*NORMDIST(-J174,0,1,1) - B174*NORMDIST(-I174,0,1,1) ) - $G$7) * $P$7</f>
        <v/>
      </c>
      <c r="I174" s="140">
        <f>(LN(B174/$B$7)+($H$7^2/2)*($J$7))/($H$7*SQRT($J$7))</f>
        <v/>
      </c>
      <c r="J174" s="140">
        <f>I174 - $H$7*SQRT($J$7)</f>
        <v/>
      </c>
    </row>
    <row r="175" ht="13.5" customHeight="1" s="116">
      <c r="B175" s="144">
        <f>B145</f>
        <v/>
      </c>
      <c r="C175" s="139">
        <f>IF($O$7="sell",-1,1) *  IF($K$7="call",  NORMDIST(I175,0,1,1),  NORMDIST(I175,0,1,1)-1  ) * $P$7</f>
        <v/>
      </c>
      <c r="D175" s="139">
        <f>IF($O$7="sell",-1,1) * NORMDIST(I175,0,1,0)/(B175*$H$7*SQRT($J$7)) * $P$7</f>
        <v/>
      </c>
      <c r="E175" s="139">
        <f>IF($O$7="sell",-1,1) * (B175*NORMDIST(I175,0,1,0)*SQRT($J$7)/365) * $P$7</f>
        <v/>
      </c>
      <c r="F175" s="139">
        <f>IF($O$7="sell",-1,1) * (-(B175*NORMDIST(I175,0,1,0)*$H$7)/(2*SQRT($J$7))/365) *$P$7</f>
        <v/>
      </c>
      <c r="G175" s="139">
        <f>IF($O$7="buy",1,-1)*( IF($K$7="call",B175*NORMDIST(I175,0,1,1) - $B$7*NORMDIST(J175,0,1,1),$B$7*NORMDIST(-J175,0,1,1) - B175*NORMDIST(-I175,0,1,1) ) - $G$7) * $P$7</f>
        <v/>
      </c>
      <c r="I175" s="140">
        <f>(LN(B175/$B$7)+($H$7^2/2)*($J$7))/($H$7*SQRT($J$7))</f>
        <v/>
      </c>
      <c r="J175" s="140">
        <f>I175 - $H$7*SQRT($J$7)</f>
        <v/>
      </c>
    </row>
    <row r="176" ht="13.5" customHeight="1" s="116">
      <c r="B176" s="144">
        <f>B146</f>
        <v/>
      </c>
      <c r="C176" s="139">
        <f>IF($O$7="sell",-1,1) *  IF($K$7="call",  NORMDIST(I176,0,1,1),  NORMDIST(I176,0,1,1)-1  ) * $P$7</f>
        <v/>
      </c>
      <c r="D176" s="139">
        <f>IF($O$7="sell",-1,1) * NORMDIST(I176,0,1,0)/(B176*$H$7*SQRT($J$7)) * $P$7</f>
        <v/>
      </c>
      <c r="E176" s="139">
        <f>IF($O$7="sell",-1,1) * (B176*NORMDIST(I176,0,1,0)*SQRT($J$7)/365) * $P$7</f>
        <v/>
      </c>
      <c r="F176" s="139">
        <f>IF($O$7="sell",-1,1) * (-(B176*NORMDIST(I176,0,1,0)*$H$7)/(2*SQRT($J$7))/365) *$P$7</f>
        <v/>
      </c>
      <c r="G176" s="139">
        <f>IF($O$7="buy",1,-1)*( IF($K$7="call",B176*NORMDIST(I176,0,1,1) - $B$7*NORMDIST(J176,0,1,1),$B$7*NORMDIST(-J176,0,1,1) - B176*NORMDIST(-I176,0,1,1) ) - $G$7) * $P$7</f>
        <v/>
      </c>
      <c r="I176" s="140">
        <f>(LN(B176/$B$7)+($H$7^2/2)*($J$7))/($H$7*SQRT($J$7))</f>
        <v/>
      </c>
      <c r="J176" s="140">
        <f>I176 - $H$7*SQRT($J$7)</f>
        <v/>
      </c>
    </row>
    <row r="177" ht="13.5" customHeight="1" s="116">
      <c r="B177" s="144">
        <f>B147</f>
        <v/>
      </c>
      <c r="C177" s="139">
        <f>IF($O$7="sell",-1,1) *  IF($K$7="call",  NORMDIST(I177,0,1,1),  NORMDIST(I177,0,1,1)-1  ) * $P$7</f>
        <v/>
      </c>
      <c r="D177" s="139">
        <f>IF($O$7="sell",-1,1) * NORMDIST(I177,0,1,0)/(B177*$H$7*SQRT($J$7)) * $P$7</f>
        <v/>
      </c>
      <c r="E177" s="139">
        <f>IF($O$7="sell",-1,1) * (B177*NORMDIST(I177,0,1,0)*SQRT($J$7)/365) * $P$7</f>
        <v/>
      </c>
      <c r="F177" s="139">
        <f>IF($O$7="sell",-1,1) * (-(B177*NORMDIST(I177,0,1,0)*$H$7)/(2*SQRT($J$7))/365) *$P$7</f>
        <v/>
      </c>
      <c r="G177" s="139">
        <f>IF($O$7="buy",1,-1)*( IF($K$7="call",B177*NORMDIST(I177,0,1,1) - $B$7*NORMDIST(J177,0,1,1),$B$7*NORMDIST(-J177,0,1,1) - B177*NORMDIST(-I177,0,1,1) ) - $G$7) * $P$7</f>
        <v/>
      </c>
      <c r="I177" s="140">
        <f>(LN(B177/$B$7)+($H$7^2/2)*($J$7))/($H$7*SQRT($J$7))</f>
        <v/>
      </c>
      <c r="J177" s="140">
        <f>I177 - $H$7*SQRT($J$7)</f>
        <v/>
      </c>
    </row>
    <row r="178" ht="13.5" customHeight="1" s="116">
      <c r="B178" s="144">
        <f>B148</f>
        <v/>
      </c>
      <c r="C178" s="139">
        <f>IF($O$7="sell",-1,1) *  IF($K$7="call",  NORMDIST(I178,0,1,1),  NORMDIST(I178,0,1,1)-1  ) * $P$7</f>
        <v/>
      </c>
      <c r="D178" s="139">
        <f>IF($O$7="sell",-1,1) * NORMDIST(I178,0,1,0)/(B178*$H$7*SQRT($J$7)) * $P$7</f>
        <v/>
      </c>
      <c r="E178" s="139">
        <f>IF($O$7="sell",-1,1) * (B178*NORMDIST(I178,0,1,0)*SQRT($J$7)/365) * $P$7</f>
        <v/>
      </c>
      <c r="F178" s="139">
        <f>IF($O$7="sell",-1,1) * (-(B178*NORMDIST(I178,0,1,0)*$H$7)/(2*SQRT($J$7))/365) *$P$7</f>
        <v/>
      </c>
      <c r="G178" s="139">
        <f>IF($O$7="buy",1,-1)*( IF($K$7="call",B178*NORMDIST(I178,0,1,1) - $B$7*NORMDIST(J178,0,1,1),$B$7*NORMDIST(-J178,0,1,1) - B178*NORMDIST(-I178,0,1,1) ) - $G$7) * $P$7</f>
        <v/>
      </c>
      <c r="I178" s="140">
        <f>(LN(B178/$B$7)+($H$7^2/2)*($J$7))/($H$7*SQRT($J$7))</f>
        <v/>
      </c>
      <c r="J178" s="140">
        <f>I178 - $H$7*SQRT($J$7)</f>
        <v/>
      </c>
    </row>
    <row r="179" ht="13.5" customHeight="1" s="116">
      <c r="B179" s="144">
        <f>B149</f>
        <v/>
      </c>
      <c r="C179" s="139">
        <f>IF($O$7="sell",-1,1) *  IF($K$7="call",  NORMDIST(I179,0,1,1),  NORMDIST(I179,0,1,1)-1  ) * $P$7</f>
        <v/>
      </c>
      <c r="D179" s="139">
        <f>IF($O$7="sell",-1,1) * NORMDIST(I179,0,1,0)/(B179*$H$7*SQRT($J$7)) * $P$7</f>
        <v/>
      </c>
      <c r="E179" s="139">
        <f>IF($O$7="sell",-1,1) * (B179*NORMDIST(I179,0,1,0)*SQRT($J$7)/365) * $P$7</f>
        <v/>
      </c>
      <c r="F179" s="139">
        <f>IF($O$7="sell",-1,1) * (-(B179*NORMDIST(I179,0,1,0)*$H$7)/(2*SQRT($J$7))/365) *$P$7</f>
        <v/>
      </c>
      <c r="G179" s="139">
        <f>IF($O$7="buy",1,-1)*( IF($K$7="call",B179*NORMDIST(I179,0,1,1) - $B$7*NORMDIST(J179,0,1,1),$B$7*NORMDIST(-J179,0,1,1) - B179*NORMDIST(-I179,0,1,1) ) - $G$7) * $P$7</f>
        <v/>
      </c>
      <c r="I179" s="140">
        <f>(LN(B179/$B$7)+($H$7^2/2)*($J$7))/($H$7*SQRT($J$7))</f>
        <v/>
      </c>
      <c r="J179" s="140">
        <f>I179 - $H$7*SQRT($J$7)</f>
        <v/>
      </c>
    </row>
    <row r="180" ht="13.5" customHeight="1" s="116">
      <c r="B180" s="144">
        <f>B150</f>
        <v/>
      </c>
      <c r="C180" s="139">
        <f>IF($O$7="sell",-1,1) *  IF($K$7="call",  NORMDIST(I180,0,1,1),  NORMDIST(I180,0,1,1)-1  ) * $P$7</f>
        <v/>
      </c>
      <c r="D180" s="139">
        <f>IF($O$7="sell",-1,1) * NORMDIST(I180,0,1,0)/(B180*$H$7*SQRT($J$7)) * $P$7</f>
        <v/>
      </c>
      <c r="E180" s="139">
        <f>IF($O$7="sell",-1,1) * (B180*NORMDIST(I180,0,1,0)*SQRT($J$7)/365) * $P$7</f>
        <v/>
      </c>
      <c r="F180" s="139">
        <f>IF($O$7="sell",-1,1) * (-(B180*NORMDIST(I180,0,1,0)*$H$7)/(2*SQRT($J$7))/365) *$P$7</f>
        <v/>
      </c>
      <c r="G180" s="139">
        <f>IF($O$7="buy",1,-1)*( IF($K$7="call",B180*NORMDIST(I180,0,1,1) - $B$7*NORMDIST(J180,0,1,1),$B$7*NORMDIST(-J180,0,1,1) - B180*NORMDIST(-I180,0,1,1) ) - $G$7) * $P$7</f>
        <v/>
      </c>
      <c r="I180" s="140">
        <f>(LN(B180/$B$7)+($H$7^2/2)*($J$7))/($H$7*SQRT($J$7))</f>
        <v/>
      </c>
      <c r="J180" s="140">
        <f>I180 - $H$7*SQRT($J$7)</f>
        <v/>
      </c>
    </row>
    <row r="181" ht="13.5" customHeight="1" s="116">
      <c r="B181" s="144">
        <f>B151</f>
        <v/>
      </c>
      <c r="C181" s="139">
        <f>IF($O$7="sell",-1,1) *  IF($K$7="call",  NORMDIST(I181,0,1,1),  NORMDIST(I181,0,1,1)-1  ) * $P$7</f>
        <v/>
      </c>
      <c r="D181" s="139">
        <f>IF($O$7="sell",-1,1) * NORMDIST(I181,0,1,0)/(B181*$H$7*SQRT($J$7)) * $P$7</f>
        <v/>
      </c>
      <c r="E181" s="139">
        <f>IF($O$7="sell",-1,1) * (B181*NORMDIST(I181,0,1,0)*SQRT($J$7)/365) * $P$7</f>
        <v/>
      </c>
      <c r="F181" s="139">
        <f>IF($O$7="sell",-1,1) * (-(B181*NORMDIST(I181,0,1,0)*$H$7)/(2*SQRT($J$7))/365) *$P$7</f>
        <v/>
      </c>
      <c r="G181" s="139">
        <f>IF($O$7="buy",1,-1)*( IF($K$7="call",B181*NORMDIST(I181,0,1,1) - $B$7*NORMDIST(J181,0,1,1),$B$7*NORMDIST(-J181,0,1,1) - B181*NORMDIST(-I181,0,1,1) ) - $G$7) * $P$7</f>
        <v/>
      </c>
      <c r="I181" s="140">
        <f>(LN(B181/$B$7)+($H$7^2/2)*($J$7))/($H$7*SQRT($J$7))</f>
        <v/>
      </c>
      <c r="J181" s="140">
        <f>I181 - $H$7*SQRT($J$7)</f>
        <v/>
      </c>
    </row>
    <row r="182" ht="13.5" customHeight="1" s="116">
      <c r="B182" s="144">
        <f>B152</f>
        <v/>
      </c>
      <c r="C182" s="139">
        <f>IF($O$7="sell",-1,1) *  IF($K$7="call",  NORMDIST(I182,0,1,1),  NORMDIST(I182,0,1,1)-1  ) * $P$7</f>
        <v/>
      </c>
      <c r="D182" s="139">
        <f>IF($O$7="sell",-1,1) * NORMDIST(I182,0,1,0)/(B182*$H$7*SQRT($J$7)) * $P$7</f>
        <v/>
      </c>
      <c r="E182" s="139">
        <f>IF($O$7="sell",-1,1) * (B182*NORMDIST(I182,0,1,0)*SQRT($J$7)/365) * $P$7</f>
        <v/>
      </c>
      <c r="F182" s="139">
        <f>IF($O$7="sell",-1,1) * (-(B182*NORMDIST(I182,0,1,0)*$H$7)/(2*SQRT($J$7))/365) *$P$7</f>
        <v/>
      </c>
      <c r="G182" s="139">
        <f>IF($O$7="buy",1,-1)*( IF($K$7="call",B182*NORMDIST(I182,0,1,1) - $B$7*NORMDIST(J182,0,1,1),$B$7*NORMDIST(-J182,0,1,1) - B182*NORMDIST(-I182,0,1,1) ) - $G$7) * $P$7</f>
        <v/>
      </c>
      <c r="I182" s="140">
        <f>(LN(B182/$B$7)+($H$7^2/2)*($J$7))/($H$7*SQRT($J$7))</f>
        <v/>
      </c>
      <c r="J182" s="140">
        <f>I182 - $H$7*SQRT($J$7)</f>
        <v/>
      </c>
    </row>
    <row r="183" ht="13.5" customHeight="1" s="116">
      <c r="B183" s="144">
        <f>B153</f>
        <v/>
      </c>
      <c r="C183" s="139">
        <f>IF($O$7="sell",-1,1) *  IF($K$7="call",  NORMDIST(I183,0,1,1),  NORMDIST(I183,0,1,1)-1  ) * $P$7</f>
        <v/>
      </c>
      <c r="D183" s="139">
        <f>IF($O$7="sell",-1,1) * NORMDIST(I183,0,1,0)/(B183*$H$7*SQRT($J$7)) * $P$7</f>
        <v/>
      </c>
      <c r="E183" s="139">
        <f>IF($O$7="sell",-1,1) * (B183*NORMDIST(I183,0,1,0)*SQRT($J$7)/365) * $P$7</f>
        <v/>
      </c>
      <c r="F183" s="139">
        <f>IF($O$7="sell",-1,1) * (-(B183*NORMDIST(I183,0,1,0)*$H$7)/(2*SQRT($J$7))/365) *$P$7</f>
        <v/>
      </c>
      <c r="G183" s="139">
        <f>IF($O$7="buy",1,-1)*( IF($K$7="call",B183*NORMDIST(I183,0,1,1) - $B$7*NORMDIST(J183,0,1,1),$B$7*NORMDIST(-J183,0,1,1) - B183*NORMDIST(-I183,0,1,1) ) - $G$7) * $P$7</f>
        <v/>
      </c>
      <c r="I183" s="140">
        <f>(LN(B183/$B$7)+($H$7^2/2)*($J$7))/($H$7*SQRT($J$7))</f>
        <v/>
      </c>
      <c r="J183" s="140">
        <f>I183 - $H$7*SQRT($J$7)</f>
        <v/>
      </c>
    </row>
    <row r="184" ht="13.5" customHeight="1" s="116">
      <c r="B184" s="144">
        <f>B154</f>
        <v/>
      </c>
      <c r="C184" s="139">
        <f>IF($O$7="sell",-1,1) *  IF($K$7="call",  NORMDIST(I184,0,1,1),  NORMDIST(I184,0,1,1)-1  ) * $P$7</f>
        <v/>
      </c>
      <c r="D184" s="139">
        <f>IF($O$7="sell",-1,1) * NORMDIST(I184,0,1,0)/(B184*$H$7*SQRT($J$7)) * $P$7</f>
        <v/>
      </c>
      <c r="E184" s="139">
        <f>IF($O$7="sell",-1,1) * (B184*NORMDIST(I184,0,1,0)*SQRT($J$7)/365) * $P$7</f>
        <v/>
      </c>
      <c r="F184" s="139">
        <f>IF($O$7="sell",-1,1) * (-(B184*NORMDIST(I184,0,1,0)*$H$7)/(2*SQRT($J$7))/365) *$P$7</f>
        <v/>
      </c>
      <c r="G184" s="139">
        <f>IF($O$7="buy",1,-1)*( IF($K$7="call",B184*NORMDIST(I184,0,1,1) - $B$7*NORMDIST(J184,0,1,1),$B$7*NORMDIST(-J184,0,1,1) - B184*NORMDIST(-I184,0,1,1) ) - $G$7) * $P$7</f>
        <v/>
      </c>
      <c r="I184" s="140">
        <f>(LN(B184/$B$7)+($H$7^2/2)*($J$7))/($H$7*SQRT($J$7))</f>
        <v/>
      </c>
      <c r="J184" s="140">
        <f>I184 - $H$7*SQRT($J$7)</f>
        <v/>
      </c>
    </row>
    <row r="185" ht="13.5" customHeight="1" s="116">
      <c r="B185" s="144">
        <f>B155</f>
        <v/>
      </c>
      <c r="C185" s="139">
        <f>IF($O$7="sell",-1,1) *  IF($K$7="call",  NORMDIST(I185,0,1,1),  NORMDIST(I185,0,1,1)-1  ) * $P$7</f>
        <v/>
      </c>
      <c r="D185" s="139">
        <f>IF($O$7="sell",-1,1) * NORMDIST(I185,0,1,0)/(B185*$H$7*SQRT($J$7)) * $P$7</f>
        <v/>
      </c>
      <c r="E185" s="139">
        <f>IF($O$7="sell",-1,1) * (B185*NORMDIST(I185,0,1,0)*SQRT($J$7)/365) * $P$7</f>
        <v/>
      </c>
      <c r="F185" s="139">
        <f>IF($O$7="sell",-1,1) * (-(B185*NORMDIST(I185,0,1,0)*$H$7)/(2*SQRT($J$7))/365) *$P$7</f>
        <v/>
      </c>
      <c r="G185" s="139">
        <f>IF($O$7="buy",1,-1)*( IF($K$7="call",B185*NORMDIST(I185,0,1,1) - $B$7*NORMDIST(J185,0,1,1),$B$7*NORMDIST(-J185,0,1,1) - B185*NORMDIST(-I185,0,1,1) ) - $G$7) * $P$7</f>
        <v/>
      </c>
      <c r="I185" s="140">
        <f>(LN(B185/$B$7)+($H$7^2/2)*($J$7))/($H$7*SQRT($J$7))</f>
        <v/>
      </c>
      <c r="J185" s="140">
        <f>I185 - $H$7*SQRT($J$7)</f>
        <v/>
      </c>
    </row>
    <row r="186" ht="13.5" customHeight="1" s="116">
      <c r="B186" s="144">
        <f>B156</f>
        <v/>
      </c>
      <c r="C186" s="139">
        <f>IF($O$7="sell",-1,1) *  IF($K$7="call",  NORMDIST(I186,0,1,1),  NORMDIST(I186,0,1,1)-1  ) * $P$7</f>
        <v/>
      </c>
      <c r="D186" s="139">
        <f>IF($O$7="sell",-1,1) * NORMDIST(I186,0,1,0)/(B186*$H$7*SQRT($J$7)) * $P$7</f>
        <v/>
      </c>
      <c r="E186" s="139">
        <f>IF($O$7="sell",-1,1) * (B186*NORMDIST(I186,0,1,0)*SQRT($J$7)/365) * $P$7</f>
        <v/>
      </c>
      <c r="F186" s="139">
        <f>IF($O$7="sell",-1,1) * (-(B186*NORMDIST(I186,0,1,0)*$H$7)/(2*SQRT($J$7))/365) *$P$7</f>
        <v/>
      </c>
      <c r="G186" s="139">
        <f>IF($O$7="buy",1,-1)*( IF($K$7="call",B186*NORMDIST(I186,0,1,1) - $B$7*NORMDIST(J186,0,1,1),$B$7*NORMDIST(-J186,0,1,1) - B186*NORMDIST(-I186,0,1,1) ) - $G$7) * $P$7</f>
        <v/>
      </c>
      <c r="I186" s="140">
        <f>(LN(B186/$B$7)+($H$7^2/2)*($J$7))/($H$7*SQRT($J$7))</f>
        <v/>
      </c>
      <c r="J186" s="140">
        <f>I186 - $H$7*SQRT($J$7)</f>
        <v/>
      </c>
    </row>
    <row r="187" ht="13.5" customHeight="1" s="116">
      <c r="B187" s="144">
        <f>B157</f>
        <v/>
      </c>
      <c r="C187" s="139">
        <f>IF($O$7="sell",-1,1) *  IF($K$7="call",  NORMDIST(I187,0,1,1),  NORMDIST(I187,0,1,1)-1  ) * $P$7</f>
        <v/>
      </c>
      <c r="D187" s="139">
        <f>IF($O$7="sell",-1,1) * NORMDIST(I187,0,1,0)/(B187*$H$7*SQRT($J$7)) * $P$7</f>
        <v/>
      </c>
      <c r="E187" s="139">
        <f>IF($O$7="sell",-1,1) * (B187*NORMDIST(I187,0,1,0)*SQRT($J$7)/365) * $P$7</f>
        <v/>
      </c>
      <c r="F187" s="139">
        <f>IF($O$7="sell",-1,1) * (-(B187*NORMDIST(I187,0,1,0)*$H$7)/(2*SQRT($J$7))/365) *$P$7</f>
        <v/>
      </c>
      <c r="G187" s="139">
        <f>IF($O$7="buy",1,-1)*( IF($K$7="call",B187*NORMDIST(I187,0,1,1) - $B$7*NORMDIST(J187,0,1,1),$B$7*NORMDIST(-J187,0,1,1) - B187*NORMDIST(-I187,0,1,1) ) - $G$7) * $P$7</f>
        <v/>
      </c>
      <c r="I187" s="140">
        <f>(LN(B187/$B$7)+($H$7^2/2)*($J$7))/($H$7*SQRT($J$7))</f>
        <v/>
      </c>
      <c r="J187" s="140">
        <f>I187 - $H$7*SQRT($J$7)</f>
        <v/>
      </c>
    </row>
    <row r="188" ht="13.5" customHeight="1" s="116">
      <c r="B188" s="144">
        <f>B158</f>
        <v/>
      </c>
      <c r="C188" s="139">
        <f>IF($O$7="sell",-1,1) *  IF($K$7="call",  NORMDIST(I188,0,1,1),  NORMDIST(I188,0,1,1)-1  ) * $P$7</f>
        <v/>
      </c>
      <c r="D188" s="139">
        <f>IF($O$7="sell",-1,1) * NORMDIST(I188,0,1,0)/(B188*$H$7*SQRT($J$7)) * $P$7</f>
        <v/>
      </c>
      <c r="E188" s="139">
        <f>IF($O$7="sell",-1,1) * (B188*NORMDIST(I188,0,1,0)*SQRT($J$7)/365) * $P$7</f>
        <v/>
      </c>
      <c r="F188" s="139">
        <f>IF($O$7="sell",-1,1) * (-(B188*NORMDIST(I188,0,1,0)*$H$7)/(2*SQRT($J$7))/365) *$P$7</f>
        <v/>
      </c>
      <c r="G188" s="139">
        <f>IF($O$7="buy",1,-1)*( IF($K$7="call",B188*NORMDIST(I188,0,1,1) - $B$7*NORMDIST(J188,0,1,1),$B$7*NORMDIST(-J188,0,1,1) - B188*NORMDIST(-I188,0,1,1) ) - $G$7) * $P$7</f>
        <v/>
      </c>
      <c r="I188" s="140">
        <f>(LN(B188/$B$7)+($H$7^2/2)*($J$7))/($H$7*SQRT($J$7))</f>
        <v/>
      </c>
      <c r="J188" s="140">
        <f>I188 - $H$7*SQRT($J$7)</f>
        <v/>
      </c>
    </row>
    <row r="189" ht="13.5" customHeight="1" s="116">
      <c r="B189" s="144">
        <f>B159</f>
        <v/>
      </c>
      <c r="C189" s="139">
        <f>IF($O$7="sell",-1,1) *  IF($K$7="call",  NORMDIST(I189,0,1,1),  NORMDIST(I189,0,1,1)-1  ) * $P$7</f>
        <v/>
      </c>
      <c r="D189" s="139">
        <f>IF($O$7="sell",-1,1) * NORMDIST(I189,0,1,0)/(B189*$H$7*SQRT($J$7)) * $P$7</f>
        <v/>
      </c>
      <c r="E189" s="139">
        <f>IF($O$7="sell",-1,1) * (B189*NORMDIST(I189,0,1,0)*SQRT($J$7)/365) * $P$7</f>
        <v/>
      </c>
      <c r="F189" s="139">
        <f>IF($O$7="sell",-1,1) * (-(B189*NORMDIST(I189,0,1,0)*$H$7)/(2*SQRT($J$7))/365) *$P$7</f>
        <v/>
      </c>
      <c r="G189" s="139">
        <f>IF($O$7="buy",1,-1)*( IF($K$7="call",B189*NORMDIST(I189,0,1,1) - $B$7*NORMDIST(J189,0,1,1),$B$7*NORMDIST(-J189,0,1,1) - B189*NORMDIST(-I189,0,1,1) ) - $G$7) * $P$7</f>
        <v/>
      </c>
      <c r="I189" s="140">
        <f>(LN(B189/$B$7)+($H$7^2/2)*($J$7))/($H$7*SQRT($J$7))</f>
        <v/>
      </c>
      <c r="J189" s="140">
        <f>I189 - $H$7*SQRT($J$7)</f>
        <v/>
      </c>
    </row>
    <row r="190" ht="13.5" customHeight="1" s="116">
      <c r="B190" s="144">
        <f>B160</f>
        <v/>
      </c>
      <c r="C190" s="139">
        <f>IF($O$7="sell",-1,1) *  IF($K$7="call",  NORMDIST(I190,0,1,1),  NORMDIST(I190,0,1,1)-1  ) * $P$7</f>
        <v/>
      </c>
      <c r="D190" s="139">
        <f>IF($O$7="sell",-1,1) * NORMDIST(I190,0,1,0)/(B190*$H$7*SQRT($J$7)) * $P$7</f>
        <v/>
      </c>
      <c r="E190" s="139">
        <f>IF($O$7="sell",-1,1) * (B190*NORMDIST(I190,0,1,0)*SQRT($J$7)/365) * $P$7</f>
        <v/>
      </c>
      <c r="F190" s="139">
        <f>IF($O$7="sell",-1,1) * (-(B190*NORMDIST(I190,0,1,0)*$H$7)/(2*SQRT($J$7))/365) *$P$7</f>
        <v/>
      </c>
      <c r="G190" s="139">
        <f>IF($O$7="buy",1,-1)*( IF($K$7="call",B190*NORMDIST(I190,0,1,1) - $B$7*NORMDIST(J190,0,1,1),$B$7*NORMDIST(-J190,0,1,1) - B190*NORMDIST(-I190,0,1,1) ) - $G$7) * $P$7</f>
        <v/>
      </c>
      <c r="I190" s="140">
        <f>(LN(B190/$B$7)+($H$7^2/2)*($J$7))/($H$7*SQRT($J$7))</f>
        <v/>
      </c>
      <c r="J190" s="140">
        <f>I190 - $H$7*SQRT($J$7)</f>
        <v/>
      </c>
    </row>
    <row r="191" ht="13.5" customHeight="1" s="116">
      <c r="B191" s="144">
        <f>B161</f>
        <v/>
      </c>
      <c r="C191" s="139">
        <f>IF($O$7="sell",-1,1) *  IF($K$7="call",  NORMDIST(I191,0,1,1),  NORMDIST(I191,0,1,1)-1  ) * $P$7</f>
        <v/>
      </c>
      <c r="D191" s="139">
        <f>IF($O$7="sell",-1,1) * NORMDIST(I191,0,1,0)/(B191*$H$7*SQRT($J$7)) * $P$7</f>
        <v/>
      </c>
      <c r="E191" s="139">
        <f>IF($O$7="sell",-1,1) * (B191*NORMDIST(I191,0,1,0)*SQRT($J$7)/365) * $P$7</f>
        <v/>
      </c>
      <c r="F191" s="139">
        <f>IF($O$7="sell",-1,1) * (-(B191*NORMDIST(I191,0,1,0)*$H$7)/(2*SQRT($J$7))/365) *$P$7</f>
        <v/>
      </c>
      <c r="G191" s="139">
        <f>IF($O$7="buy",1,-1)*( IF($K$7="call",B191*NORMDIST(I191,0,1,1) - $B$7*NORMDIST(J191,0,1,1),$B$7*NORMDIST(-J191,0,1,1) - B191*NORMDIST(-I191,0,1,1) ) - $G$7) * $P$7</f>
        <v/>
      </c>
      <c r="I191" s="140">
        <f>(LN(B191/$B$7)+($H$7^2/2)*($J$7))/($H$7*SQRT($J$7))</f>
        <v/>
      </c>
      <c r="J191" s="140">
        <f>I191 - $H$7*SQRT($J$7)</f>
        <v/>
      </c>
    </row>
    <row r="192" ht="13.5" customHeight="1" s="116">
      <c r="B192" s="144">
        <f>B162</f>
        <v/>
      </c>
      <c r="C192" s="139">
        <f>IF($O$7="sell",-1,1) *  IF($K$7="call",  NORMDIST(I192,0,1,1),  NORMDIST(I192,0,1,1)-1  ) * $P$7</f>
        <v/>
      </c>
      <c r="D192" s="139">
        <f>IF($O$7="sell",-1,1) * NORMDIST(I192,0,1,0)/(B192*$H$7*SQRT($J$7)) * $P$7</f>
        <v/>
      </c>
      <c r="E192" s="139">
        <f>IF($O$7="sell",-1,1) * (B192*NORMDIST(I192,0,1,0)*SQRT($J$7)/365) * $P$7</f>
        <v/>
      </c>
      <c r="F192" s="139">
        <f>IF($O$7="sell",-1,1) * (-(B192*NORMDIST(I192,0,1,0)*$H$7)/(2*SQRT($J$7))/365) *$P$7</f>
        <v/>
      </c>
      <c r="G192" s="139">
        <f>IF($O$7="buy",1,-1)*( IF($K$7="call",B192*NORMDIST(I192,0,1,1) - $B$7*NORMDIST(J192,0,1,1),$B$7*NORMDIST(-J192,0,1,1) - B192*NORMDIST(-I192,0,1,1) ) - $G$7) * $P$7</f>
        <v/>
      </c>
      <c r="I192" s="140">
        <f>(LN(B192/$B$7)+($H$7^2/2)*($J$7))/($H$7*SQRT($J$7))</f>
        <v/>
      </c>
      <c r="J192" s="140">
        <f>I192 - $H$7*SQRT($J$7)</f>
        <v/>
      </c>
    </row>
    <row r="193" ht="13.5" customHeight="1" s="116">
      <c r="B193" s="144">
        <f>B163</f>
        <v/>
      </c>
      <c r="C193" s="139">
        <f>IF($O$7="sell",-1,1) *  IF($K$7="call",  NORMDIST(I193,0,1,1),  NORMDIST(I193,0,1,1)-1  ) * $P$7</f>
        <v/>
      </c>
      <c r="D193" s="139">
        <f>IF($O$7="sell",-1,1) * NORMDIST(I193,0,1,0)/(B193*$H$7*SQRT($J$7)) * $P$7</f>
        <v/>
      </c>
      <c r="E193" s="139">
        <f>IF($O$7="sell",-1,1) * (B193*NORMDIST(I193,0,1,0)*SQRT($J$7)/365) * $P$7</f>
        <v/>
      </c>
      <c r="F193" s="139">
        <f>IF($O$7="sell",-1,1) * (-(B193*NORMDIST(I193,0,1,0)*$H$7)/(2*SQRT($J$7))/365) *$P$7</f>
        <v/>
      </c>
      <c r="G193" s="139">
        <f>IF($O$7="buy",1,-1)*( IF($K$7="call",B193*NORMDIST(I193,0,1,1) - $B$7*NORMDIST(J193,0,1,1),$B$7*NORMDIST(-J193,0,1,1) - B193*NORMDIST(-I193,0,1,1) ) - $G$7) * $P$7</f>
        <v/>
      </c>
      <c r="I193" s="140">
        <f>(LN(B193/$B$7)+($H$7^2/2)*($J$7))/($H$7*SQRT($J$7))</f>
        <v/>
      </c>
      <c r="J193" s="140">
        <f>I193 - $H$7*SQRT($J$7)</f>
        <v/>
      </c>
    </row>
    <row r="194" ht="13.5" customHeight="1" s="116">
      <c r="B194" s="144">
        <f>B164</f>
        <v/>
      </c>
      <c r="C194" s="139">
        <f>IF($O$7="sell",-1,1) *  IF($K$7="call",  NORMDIST(I194,0,1,1),  NORMDIST(I194,0,1,1)-1  ) * $P$7</f>
        <v/>
      </c>
      <c r="D194" s="139">
        <f>IF($O$7="sell",-1,1) * NORMDIST(I194,0,1,0)/(B194*$H$7*SQRT($J$7)) * $P$7</f>
        <v/>
      </c>
      <c r="E194" s="139">
        <f>IF($O$7="sell",-1,1) * (B194*NORMDIST(I194,0,1,0)*SQRT($J$7)/365) * $P$7</f>
        <v/>
      </c>
      <c r="F194" s="139">
        <f>IF($O$7="sell",-1,1) * (-(B194*NORMDIST(I194,0,1,0)*$H$7)/(2*SQRT($J$7))/365) *$P$7</f>
        <v/>
      </c>
      <c r="G194" s="139">
        <f>IF($O$7="buy",1,-1)*( IF($K$7="call",B194*NORMDIST(I194,0,1,1) - $B$7*NORMDIST(J194,0,1,1),$B$7*NORMDIST(-J194,0,1,1) - B194*NORMDIST(-I194,0,1,1) ) - $G$7) * $P$7</f>
        <v/>
      </c>
      <c r="I194" s="140">
        <f>(LN(B194/$B$7)+($H$7^2/2)*($J$7))/($H$7*SQRT($J$7))</f>
        <v/>
      </c>
      <c r="J194" s="140">
        <f>I194 - $H$7*SQRT($J$7)</f>
        <v/>
      </c>
    </row>
    <row r="195" ht="13.5" customHeight="1" s="116">
      <c r="B195" s="145" t="n"/>
      <c r="C195" s="136" t="n"/>
      <c r="D195" s="136" t="n"/>
      <c r="E195" s="136" t="n"/>
      <c r="F195" s="136" t="n"/>
      <c r="G195" s="136" t="n"/>
      <c r="I195" s="146" t="n"/>
      <c r="J195" s="146" t="n"/>
    </row>
    <row r="196" ht="13.5" customHeight="1" s="116">
      <c r="B196" s="145" t="n"/>
      <c r="C196" s="136" t="n"/>
      <c r="D196" s="136" t="n"/>
      <c r="E196" s="136" t="n"/>
      <c r="F196" s="136" t="n"/>
      <c r="G196" s="136" t="n"/>
      <c r="I196" s="146" t="n"/>
      <c r="J196" s="146" t="n"/>
    </row>
    <row r="197" ht="13.5" customHeight="1" s="116">
      <c r="B197" s="137" t="n"/>
      <c r="C197" s="133" t="inlineStr">
        <is>
          <t>delta</t>
        </is>
      </c>
      <c r="D197" s="133" t="inlineStr">
        <is>
          <t>gamma</t>
        </is>
      </c>
      <c r="E197" s="133" t="inlineStr">
        <is>
          <t>vega</t>
        </is>
      </c>
      <c r="F197" s="133" t="inlineStr">
        <is>
          <t>theta</t>
        </is>
      </c>
      <c r="G197" s="133" t="inlineStr">
        <is>
          <t>mark_price</t>
        </is>
      </c>
      <c r="I197" s="133" t="inlineStr">
        <is>
          <t>d1</t>
        </is>
      </c>
      <c r="J197" s="133" t="inlineStr">
        <is>
          <t>d2</t>
        </is>
      </c>
    </row>
    <row r="198" ht="13.5" customHeight="1" s="116">
      <c r="A198" s="117">
        <f>A8</f>
        <v/>
      </c>
      <c r="B198" s="144">
        <f>B168</f>
        <v/>
      </c>
      <c r="C198" s="139">
        <f>IF($O$8="sell",-1,1) *  IF($K$8="call",  NORMDIST(I198,0,1,1),  NORMDIST(I198,0,1,1)-1  ) * $P$8</f>
        <v/>
      </c>
      <c r="D198" s="139">
        <f>IF($O$8="sell",-1,1) * NORMDIST(I198,0,1,0)/(B198*$H$8*SQRT($J$8)) * $P$8</f>
        <v/>
      </c>
      <c r="E198" s="139">
        <f>IF($O$8="sell",-1,1) * (B198*NORMDIST(I198,0,1,0)*SQRT($J$8)/365) * $P$8</f>
        <v/>
      </c>
      <c r="F198" s="139">
        <f>IF($O$8="sell",-1,1) * (-(B198*NORMDIST(I198,0,1,0)*$H$8)/(2*SQRT($J$8))/365) *$P$8</f>
        <v/>
      </c>
      <c r="G198" s="139">
        <f>IF($O$8="buy",1,-1)*( IF($K$8="call",B198*NORMDIST(I198,0,1,1) - $B$8*NORMDIST(J198,0,1,1),$B$8*NORMDIST(-J198,0,1,1) - B198*NORMDIST(-I198,0,1,1) ) - $G$8) * $P$8</f>
        <v/>
      </c>
      <c r="I198" s="140">
        <f>(LN(B198/$B$8)+($H$8^2/2)*($J$8))/($H$8*SQRT($J$8))</f>
        <v/>
      </c>
      <c r="J198" s="143">
        <f>I198 - $H$8*SQRT($J$8)</f>
        <v/>
      </c>
    </row>
    <row r="199" ht="13.5" customHeight="1" s="116">
      <c r="B199" s="144">
        <f>B169</f>
        <v/>
      </c>
      <c r="C199" s="139">
        <f>IF($O$8="sell",-1,1) *  IF($K$8="call",  NORMDIST(I199,0,1,1),  NORMDIST(I199,0,1,1)-1  ) * $P$8</f>
        <v/>
      </c>
      <c r="D199" s="139">
        <f>IF($O$8="sell",-1,1) * NORMDIST(I199,0,1,0)/(B199*$H$8*SQRT($J$8)) * $P$8</f>
        <v/>
      </c>
      <c r="E199" s="139">
        <f>IF($O$8="sell",-1,1) * (B199*NORMDIST(I199,0,1,0)*SQRT($J$8)/365) * $P$8</f>
        <v/>
      </c>
      <c r="F199" s="139">
        <f>IF($O$8="sell",-1,1) * (-(B199*NORMDIST(I199,0,1,0)*$H$8)/(2*SQRT($J$8))/365) *$P$8</f>
        <v/>
      </c>
      <c r="G199" s="139">
        <f>IF($O$8="buy",1,-1)*( IF($K$8="call",B199*NORMDIST(I199,0,1,1) - $B$8*NORMDIST(J199,0,1,1),$B$8*NORMDIST(-J199,0,1,1) - B199*NORMDIST(-I199,0,1,1) ) - $G$8) * $P$8</f>
        <v/>
      </c>
      <c r="I199" s="140">
        <f>(LN(B199/$B$8)+($H$8^2/2)*($J$8))/($H$8*SQRT($J$8))</f>
        <v/>
      </c>
      <c r="J199" s="143">
        <f>I199 - $H$8*SQRT($J$8)</f>
        <v/>
      </c>
    </row>
    <row r="200" ht="13.5" customHeight="1" s="116">
      <c r="B200" s="144">
        <f>B170</f>
        <v/>
      </c>
      <c r="C200" s="139">
        <f>IF($O$8="sell",-1,1) *  IF($K$8="call",  NORMDIST(I200,0,1,1),  NORMDIST(I200,0,1,1)-1  ) * $P$8</f>
        <v/>
      </c>
      <c r="D200" s="139">
        <f>IF($O$8="sell",-1,1) * NORMDIST(I200,0,1,0)/(B200*$H$8*SQRT($J$8)) * $P$8</f>
        <v/>
      </c>
      <c r="E200" s="139">
        <f>IF($O$8="sell",-1,1) * (B200*NORMDIST(I200,0,1,0)*SQRT($J$8)/365) * $P$8</f>
        <v/>
      </c>
      <c r="F200" s="139">
        <f>IF($O$8="sell",-1,1) * (-(B200*NORMDIST(I200,0,1,0)*$H$8)/(2*SQRT($J$8))/365) *$P$8</f>
        <v/>
      </c>
      <c r="G200" s="139">
        <f>IF($O$8="buy",1,-1)*( IF($K$8="call",B200*NORMDIST(I200,0,1,1) - $B$8*NORMDIST(J200,0,1,1),$B$8*NORMDIST(-J200,0,1,1) - B200*NORMDIST(-I200,0,1,1) ) - $G$8) * $P$8</f>
        <v/>
      </c>
      <c r="I200" s="140">
        <f>(LN(B200/$B$8)+($H$8^2/2)*($J$8))/($H$8*SQRT($J$8))</f>
        <v/>
      </c>
      <c r="J200" s="143">
        <f>I200 - $H$8*SQRT($J$8)</f>
        <v/>
      </c>
    </row>
    <row r="201" ht="13.5" customHeight="1" s="116">
      <c r="B201" s="144">
        <f>B171</f>
        <v/>
      </c>
      <c r="C201" s="139">
        <f>IF($O$8="sell",-1,1) *  IF($K$8="call",  NORMDIST(I201,0,1,1),  NORMDIST(I201,0,1,1)-1  ) * $P$8</f>
        <v/>
      </c>
      <c r="D201" s="139">
        <f>IF($O$8="sell",-1,1) * NORMDIST(I201,0,1,0)/(B201*$H$8*SQRT($J$8)) * $P$8</f>
        <v/>
      </c>
      <c r="E201" s="139">
        <f>IF($O$8="sell",-1,1) * (B201*NORMDIST(I201,0,1,0)*SQRT($J$8)/365) * $P$8</f>
        <v/>
      </c>
      <c r="F201" s="139">
        <f>IF($O$8="sell",-1,1) * (-(B201*NORMDIST(I201,0,1,0)*$H$8)/(2*SQRT($J$8))/365) *$P$8</f>
        <v/>
      </c>
      <c r="G201" s="139">
        <f>IF($O$8="buy",1,-1)*( IF($K$8="call",B201*NORMDIST(I201,0,1,1) - $B$8*NORMDIST(J201,0,1,1),$B$8*NORMDIST(-J201,0,1,1) - B201*NORMDIST(-I201,0,1,1) ) - $G$8) * $P$8</f>
        <v/>
      </c>
      <c r="I201" s="140">
        <f>(LN(B201/$B$8)+($H$8^2/2)*($J$8))/($H$8*SQRT($J$8))</f>
        <v/>
      </c>
      <c r="J201" s="143">
        <f>I201 - $H$8*SQRT($J$8)</f>
        <v/>
      </c>
    </row>
    <row r="202" ht="13.5" customHeight="1" s="116">
      <c r="B202" s="144">
        <f>B172</f>
        <v/>
      </c>
      <c r="C202" s="139">
        <f>IF($O$8="sell",-1,1) *  IF($K$8="call",  NORMDIST(I202,0,1,1),  NORMDIST(I202,0,1,1)-1  ) * $P$8</f>
        <v/>
      </c>
      <c r="D202" s="139">
        <f>IF($O$8="sell",-1,1) * NORMDIST(I202,0,1,0)/(B202*$H$8*SQRT($J$8)) * $P$8</f>
        <v/>
      </c>
      <c r="E202" s="139">
        <f>IF($O$8="sell",-1,1) * (B202*NORMDIST(I202,0,1,0)*SQRT($J$8)/365) * $P$8</f>
        <v/>
      </c>
      <c r="F202" s="139">
        <f>IF($O$8="sell",-1,1) * (-(B202*NORMDIST(I202,0,1,0)*$H$8)/(2*SQRT($J$8))/365) *$P$8</f>
        <v/>
      </c>
      <c r="G202" s="139">
        <f>IF($O$8="buy",1,-1)*( IF($K$8="call",B202*NORMDIST(I202,0,1,1) - $B$8*NORMDIST(J202,0,1,1),$B$8*NORMDIST(-J202,0,1,1) - B202*NORMDIST(-I202,0,1,1) ) - $G$8) * $P$8</f>
        <v/>
      </c>
      <c r="I202" s="140">
        <f>(LN(B202/$B$8)+($H$8^2/2)*($J$8))/($H$8*SQRT($J$8))</f>
        <v/>
      </c>
      <c r="J202" s="143">
        <f>I202 - $H$8*SQRT($J$8)</f>
        <v/>
      </c>
    </row>
    <row r="203" ht="13.5" customHeight="1" s="116">
      <c r="B203" s="144">
        <f>B173</f>
        <v/>
      </c>
      <c r="C203" s="139">
        <f>IF($O$8="sell",-1,1) *  IF($K$8="call",  NORMDIST(I203,0,1,1),  NORMDIST(I203,0,1,1)-1  ) * $P$8</f>
        <v/>
      </c>
      <c r="D203" s="139">
        <f>IF($O$8="sell",-1,1) * NORMDIST(I203,0,1,0)/(B203*$H$8*SQRT($J$8)) * $P$8</f>
        <v/>
      </c>
      <c r="E203" s="139">
        <f>IF($O$8="sell",-1,1) * (B203*NORMDIST(I203,0,1,0)*SQRT($J$8)/365) * $P$8</f>
        <v/>
      </c>
      <c r="F203" s="139">
        <f>IF($O$8="sell",-1,1) * (-(B203*NORMDIST(I203,0,1,0)*$H$8)/(2*SQRT($J$8))/365) *$P$8</f>
        <v/>
      </c>
      <c r="G203" s="139">
        <f>IF($O$8="buy",1,-1)*( IF($K$8="call",B203*NORMDIST(I203,0,1,1) - $B$8*NORMDIST(J203,0,1,1),$B$8*NORMDIST(-J203,0,1,1) - B203*NORMDIST(-I203,0,1,1) ) - $G$8) * $P$8</f>
        <v/>
      </c>
      <c r="I203" s="140">
        <f>(LN(B203/$B$8)+($H$8^2/2)*($J$8))/($H$8*SQRT($J$8))</f>
        <v/>
      </c>
      <c r="J203" s="143">
        <f>I203 - $H$8*SQRT($J$8)</f>
        <v/>
      </c>
    </row>
    <row r="204" ht="13.5" customHeight="1" s="116">
      <c r="B204" s="144">
        <f>B174</f>
        <v/>
      </c>
      <c r="C204" s="139">
        <f>IF($O$8="sell",-1,1) *  IF($K$8="call",  NORMDIST(I204,0,1,1),  NORMDIST(I204,0,1,1)-1  ) * $P$8</f>
        <v/>
      </c>
      <c r="D204" s="139">
        <f>IF($O$8="sell",-1,1) * NORMDIST(I204,0,1,0)/(B204*$H$8*SQRT($J$8)) * $P$8</f>
        <v/>
      </c>
      <c r="E204" s="139">
        <f>IF($O$8="sell",-1,1) * (B204*NORMDIST(I204,0,1,0)*SQRT($J$8)/365) * $P$8</f>
        <v/>
      </c>
      <c r="F204" s="139">
        <f>IF($O$8="sell",-1,1) * (-(B204*NORMDIST(I204,0,1,0)*$H$8)/(2*SQRT($J$8))/365) *$P$8</f>
        <v/>
      </c>
      <c r="G204" s="139">
        <f>IF($O$8="buy",1,-1)*( IF($K$8="call",B204*NORMDIST(I204,0,1,1) - $B$8*NORMDIST(J204,0,1,1),$B$8*NORMDIST(-J204,0,1,1) - B204*NORMDIST(-I204,0,1,1) ) - $G$8) * $P$8</f>
        <v/>
      </c>
      <c r="I204" s="140">
        <f>(LN(B204/$B$8)+($H$8^2/2)*($J$8))/($H$8*SQRT($J$8))</f>
        <v/>
      </c>
      <c r="J204" s="143">
        <f>I204 - $H$8*SQRT($J$8)</f>
        <v/>
      </c>
    </row>
    <row r="205" ht="13.5" customHeight="1" s="116">
      <c r="B205" s="144">
        <f>B175</f>
        <v/>
      </c>
      <c r="C205" s="139">
        <f>IF($O$8="sell",-1,1) *  IF($K$8="call",  NORMDIST(I205,0,1,1),  NORMDIST(I205,0,1,1)-1  ) * $P$8</f>
        <v/>
      </c>
      <c r="D205" s="139">
        <f>IF($O$8="sell",-1,1) * NORMDIST(I205,0,1,0)/(B205*$H$8*SQRT($J$8)) * $P$8</f>
        <v/>
      </c>
      <c r="E205" s="139">
        <f>IF($O$8="sell",-1,1) * (B205*NORMDIST(I205,0,1,0)*SQRT($J$8)/365) * $P$8</f>
        <v/>
      </c>
      <c r="F205" s="139">
        <f>IF($O$8="sell",-1,1) * (-(B205*NORMDIST(I205,0,1,0)*$H$8)/(2*SQRT($J$8))/365) *$P$8</f>
        <v/>
      </c>
      <c r="G205" s="139">
        <f>IF($O$8="buy",1,-1)*( IF($K$8="call",B205*NORMDIST(I205,0,1,1) - $B$8*NORMDIST(J205,0,1,1),$B$8*NORMDIST(-J205,0,1,1) - B205*NORMDIST(-I205,0,1,1) ) - $G$8) * $P$8</f>
        <v/>
      </c>
      <c r="I205" s="140">
        <f>(LN(B205/$B$8)+($H$8^2/2)*($J$8))/($H$8*SQRT($J$8))</f>
        <v/>
      </c>
      <c r="J205" s="143">
        <f>I205 - $H$8*SQRT($J$8)</f>
        <v/>
      </c>
    </row>
    <row r="206" ht="13.5" customHeight="1" s="116">
      <c r="B206" s="144">
        <f>B176</f>
        <v/>
      </c>
      <c r="C206" s="139">
        <f>IF($O$8="sell",-1,1) *  IF($K$8="call",  NORMDIST(I206,0,1,1),  NORMDIST(I206,0,1,1)-1  ) * $P$8</f>
        <v/>
      </c>
      <c r="D206" s="139">
        <f>IF($O$8="sell",-1,1) * NORMDIST(I206,0,1,0)/(B206*$H$8*SQRT($J$8)) * $P$8</f>
        <v/>
      </c>
      <c r="E206" s="139">
        <f>IF($O$8="sell",-1,1) * (B206*NORMDIST(I206,0,1,0)*SQRT($J$8)/365) * $P$8</f>
        <v/>
      </c>
      <c r="F206" s="139">
        <f>IF($O$8="sell",-1,1) * (-(B206*NORMDIST(I206,0,1,0)*$H$8)/(2*SQRT($J$8))/365) *$P$8</f>
        <v/>
      </c>
      <c r="G206" s="139">
        <f>IF($O$8="buy",1,-1)*( IF($K$8="call",B206*NORMDIST(I206,0,1,1) - $B$8*NORMDIST(J206,0,1,1),$B$8*NORMDIST(-J206,0,1,1) - B206*NORMDIST(-I206,0,1,1) ) - $G$8) * $P$8</f>
        <v/>
      </c>
      <c r="I206" s="140">
        <f>(LN(B206/$B$8)+($H$8^2/2)*($J$8))/($H$8*SQRT($J$8))</f>
        <v/>
      </c>
      <c r="J206" s="143">
        <f>I206 - $H$8*SQRT($J$8)</f>
        <v/>
      </c>
    </row>
    <row r="207" ht="13.5" customHeight="1" s="116">
      <c r="B207" s="144">
        <f>B177</f>
        <v/>
      </c>
      <c r="C207" s="139">
        <f>IF($O$8="sell",-1,1) *  IF($K$8="call",  NORMDIST(I207,0,1,1),  NORMDIST(I207,0,1,1)-1  ) * $P$8</f>
        <v/>
      </c>
      <c r="D207" s="139">
        <f>IF($O$8="sell",-1,1) * NORMDIST(I207,0,1,0)/(B207*$H$8*SQRT($J$8)) * $P$8</f>
        <v/>
      </c>
      <c r="E207" s="139">
        <f>IF($O$8="sell",-1,1) * (B207*NORMDIST(I207,0,1,0)*SQRT($J$8)/365) * $P$8</f>
        <v/>
      </c>
      <c r="F207" s="139">
        <f>IF($O$8="sell",-1,1) * (-(B207*NORMDIST(I207,0,1,0)*$H$8)/(2*SQRT($J$8))/365) *$P$8</f>
        <v/>
      </c>
      <c r="G207" s="139">
        <f>IF($O$8="buy",1,-1)*( IF($K$8="call",B207*NORMDIST(I207,0,1,1) - $B$8*NORMDIST(J207,0,1,1),$B$8*NORMDIST(-J207,0,1,1) - B207*NORMDIST(-I207,0,1,1) ) - $G$8) * $P$8</f>
        <v/>
      </c>
      <c r="I207" s="140">
        <f>(LN(B207/$B$8)+($H$8^2/2)*($J$8))/($H$8*SQRT($J$8))</f>
        <v/>
      </c>
      <c r="J207" s="143">
        <f>I207 - $H$8*SQRT($J$8)</f>
        <v/>
      </c>
    </row>
    <row r="208" ht="13.5" customHeight="1" s="116">
      <c r="B208" s="144">
        <f>B178</f>
        <v/>
      </c>
      <c r="C208" s="139">
        <f>IF($O$8="sell",-1,1) *  IF($K$8="call",  NORMDIST(I208,0,1,1),  NORMDIST(I208,0,1,1)-1  ) * $P$8</f>
        <v/>
      </c>
      <c r="D208" s="139">
        <f>IF($O$8="sell",-1,1) * NORMDIST(I208,0,1,0)/(B208*$H$8*SQRT($J$8)) * $P$8</f>
        <v/>
      </c>
      <c r="E208" s="139">
        <f>IF($O$8="sell",-1,1) * (B208*NORMDIST(I208,0,1,0)*SQRT($J$8)/365) * $P$8</f>
        <v/>
      </c>
      <c r="F208" s="139">
        <f>IF($O$8="sell",-1,1) * (-(B208*NORMDIST(I208,0,1,0)*$H$8)/(2*SQRT($J$8))/365) *$P$8</f>
        <v/>
      </c>
      <c r="G208" s="139">
        <f>IF($O$8="buy",1,-1)*( IF($K$8="call",B208*NORMDIST(I208,0,1,1) - $B$8*NORMDIST(J208,0,1,1),$B$8*NORMDIST(-J208,0,1,1) - B208*NORMDIST(-I208,0,1,1) ) - $G$8) * $P$8</f>
        <v/>
      </c>
      <c r="I208" s="140">
        <f>(LN(B208/$B$8)+($H$8^2/2)*($J$8))/($H$8*SQRT($J$8))</f>
        <v/>
      </c>
      <c r="J208" s="143">
        <f>I208 - $H$8*SQRT($J$8)</f>
        <v/>
      </c>
    </row>
    <row r="209" ht="13.5" customHeight="1" s="116">
      <c r="B209" s="144">
        <f>B179</f>
        <v/>
      </c>
      <c r="C209" s="139">
        <f>IF($O$8="sell",-1,1) *  IF($K$8="call",  NORMDIST(I209,0,1,1),  NORMDIST(I209,0,1,1)-1  ) * $P$8</f>
        <v/>
      </c>
      <c r="D209" s="139">
        <f>IF($O$8="sell",-1,1) * NORMDIST(I209,0,1,0)/(B209*$H$8*SQRT($J$8)) * $P$8</f>
        <v/>
      </c>
      <c r="E209" s="139">
        <f>IF($O$8="sell",-1,1) * (B209*NORMDIST(I209,0,1,0)*SQRT($J$8)/365) * $P$8</f>
        <v/>
      </c>
      <c r="F209" s="139">
        <f>IF($O$8="sell",-1,1) * (-(B209*NORMDIST(I209,0,1,0)*$H$8)/(2*SQRT($J$8))/365) *$P$8</f>
        <v/>
      </c>
      <c r="G209" s="139">
        <f>IF($O$8="buy",1,-1)*( IF($K$8="call",B209*NORMDIST(I209,0,1,1) - $B$8*NORMDIST(J209,0,1,1),$B$8*NORMDIST(-J209,0,1,1) - B209*NORMDIST(-I209,0,1,1) ) - $G$8) * $P$8</f>
        <v/>
      </c>
      <c r="I209" s="140">
        <f>(LN(B209/$B$8)+($H$8^2/2)*($J$8))/($H$8*SQRT($J$8))</f>
        <v/>
      </c>
      <c r="J209" s="143">
        <f>I209 - $H$8*SQRT($J$8)</f>
        <v/>
      </c>
    </row>
    <row r="210" ht="13.5" customHeight="1" s="116">
      <c r="B210" s="144">
        <f>B180</f>
        <v/>
      </c>
      <c r="C210" s="139">
        <f>IF($O$8="sell",-1,1) *  IF($K$8="call",  NORMDIST(I210,0,1,1),  NORMDIST(I210,0,1,1)-1  ) * $P$8</f>
        <v/>
      </c>
      <c r="D210" s="139">
        <f>IF($O$8="sell",-1,1) * NORMDIST(I210,0,1,0)/(B210*$H$8*SQRT($J$8)) * $P$8</f>
        <v/>
      </c>
      <c r="E210" s="139">
        <f>IF($O$8="sell",-1,1) * (B210*NORMDIST(I210,0,1,0)*SQRT($J$8)/365) * $P$8</f>
        <v/>
      </c>
      <c r="F210" s="139">
        <f>IF($O$8="sell",-1,1) * (-(B210*NORMDIST(I210,0,1,0)*$H$8)/(2*SQRT($J$8))/365) *$P$8</f>
        <v/>
      </c>
      <c r="G210" s="139">
        <f>IF($O$8="buy",1,-1)*( IF($K$8="call",B210*NORMDIST(I210,0,1,1) - $B$8*NORMDIST(J210,0,1,1),$B$8*NORMDIST(-J210,0,1,1) - B210*NORMDIST(-I210,0,1,1) ) - $G$8) * $P$8</f>
        <v/>
      </c>
      <c r="I210" s="140">
        <f>(LN(B210/$B$8)+($H$8^2/2)*($J$8))/($H$8*SQRT($J$8))</f>
        <v/>
      </c>
      <c r="J210" s="143">
        <f>I210 - $H$8*SQRT($J$8)</f>
        <v/>
      </c>
    </row>
    <row r="211" ht="13.5" customHeight="1" s="116">
      <c r="B211" s="144">
        <f>B181</f>
        <v/>
      </c>
      <c r="C211" s="139">
        <f>IF($O$8="sell",-1,1) *  IF($K$8="call",  NORMDIST(I211,0,1,1),  NORMDIST(I211,0,1,1)-1  ) * $P$8</f>
        <v/>
      </c>
      <c r="D211" s="139">
        <f>IF($O$8="sell",-1,1) * NORMDIST(I211,0,1,0)/(B211*$H$8*SQRT($J$8)) * $P$8</f>
        <v/>
      </c>
      <c r="E211" s="139">
        <f>IF($O$8="sell",-1,1) * (B211*NORMDIST(I211,0,1,0)*SQRT($J$8)/365) * $P$8</f>
        <v/>
      </c>
      <c r="F211" s="139">
        <f>IF($O$8="sell",-1,1) * (-(B211*NORMDIST(I211,0,1,0)*$H$8)/(2*SQRT($J$8))/365) *$P$8</f>
        <v/>
      </c>
      <c r="G211" s="139">
        <f>IF($O$8="buy",1,-1)*( IF($K$8="call",B211*NORMDIST(I211,0,1,1) - $B$8*NORMDIST(J211,0,1,1),$B$8*NORMDIST(-J211,0,1,1) - B211*NORMDIST(-I211,0,1,1) ) - $G$8) * $P$8</f>
        <v/>
      </c>
      <c r="I211" s="140">
        <f>(LN(B211/$B$8)+($H$8^2/2)*($J$8))/($H$8*SQRT($J$8))</f>
        <v/>
      </c>
      <c r="J211" s="143">
        <f>I211 - $H$8*SQRT($J$8)</f>
        <v/>
      </c>
    </row>
    <row r="212" ht="13.5" customHeight="1" s="116">
      <c r="B212" s="144">
        <f>B182</f>
        <v/>
      </c>
      <c r="C212" s="139">
        <f>IF($O$8="sell",-1,1) *  IF($K$8="call",  NORMDIST(I212,0,1,1),  NORMDIST(I212,0,1,1)-1  ) * $P$8</f>
        <v/>
      </c>
      <c r="D212" s="139">
        <f>IF($O$8="sell",-1,1) * NORMDIST(I212,0,1,0)/(B212*$H$8*SQRT($J$8)) * $P$8</f>
        <v/>
      </c>
      <c r="E212" s="139">
        <f>IF($O$8="sell",-1,1) * (B212*NORMDIST(I212,0,1,0)*SQRT($J$8)/365) * $P$8</f>
        <v/>
      </c>
      <c r="F212" s="139">
        <f>IF($O$8="sell",-1,1) * (-(B212*NORMDIST(I212,0,1,0)*$H$8)/(2*SQRT($J$8))/365) *$P$8</f>
        <v/>
      </c>
      <c r="G212" s="139">
        <f>IF($O$8="buy",1,-1)*( IF($K$8="call",B212*NORMDIST(I212,0,1,1) - $B$8*NORMDIST(J212,0,1,1),$B$8*NORMDIST(-J212,0,1,1) - B212*NORMDIST(-I212,0,1,1) ) - $G$8) * $P$8</f>
        <v/>
      </c>
      <c r="I212" s="140">
        <f>(LN(B212/$B$8)+($H$8^2/2)*($J$8))/($H$8*SQRT($J$8))</f>
        <v/>
      </c>
      <c r="J212" s="143">
        <f>I212 - $H$8*SQRT($J$8)</f>
        <v/>
      </c>
    </row>
    <row r="213" ht="13.5" customHeight="1" s="116">
      <c r="B213" s="144">
        <f>B183</f>
        <v/>
      </c>
      <c r="C213" s="139">
        <f>IF($O$8="sell",-1,1) *  IF($K$8="call",  NORMDIST(I213,0,1,1),  NORMDIST(I213,0,1,1)-1  ) * $P$8</f>
        <v/>
      </c>
      <c r="D213" s="139">
        <f>IF($O$8="sell",-1,1) * NORMDIST(I213,0,1,0)/(B213*$H$8*SQRT($J$8)) * $P$8</f>
        <v/>
      </c>
      <c r="E213" s="139">
        <f>IF($O$8="sell",-1,1) * (B213*NORMDIST(I213,0,1,0)*SQRT($J$8)/365) * $P$8</f>
        <v/>
      </c>
      <c r="F213" s="139">
        <f>IF($O$8="sell",-1,1) * (-(B213*NORMDIST(I213,0,1,0)*$H$8)/(2*SQRT($J$8))/365) *$P$8</f>
        <v/>
      </c>
      <c r="G213" s="139">
        <f>IF($O$8="buy",1,-1)*( IF($K$8="call",B213*NORMDIST(I213,0,1,1) - $B$8*NORMDIST(J213,0,1,1),$B$8*NORMDIST(-J213,0,1,1) - B213*NORMDIST(-I213,0,1,1) ) - $G$8) * $P$8</f>
        <v/>
      </c>
      <c r="I213" s="140">
        <f>(LN(B213/$B$8)+($H$8^2/2)*($J$8))/($H$8*SQRT($J$8))</f>
        <v/>
      </c>
      <c r="J213" s="143">
        <f>I213 - $H$8*SQRT($J$8)</f>
        <v/>
      </c>
    </row>
    <row r="214" ht="13.5" customHeight="1" s="116">
      <c r="B214" s="144">
        <f>B184</f>
        <v/>
      </c>
      <c r="C214" s="139">
        <f>IF($O$8="sell",-1,1) *  IF($K$8="call",  NORMDIST(I214,0,1,1),  NORMDIST(I214,0,1,1)-1  ) * $P$8</f>
        <v/>
      </c>
      <c r="D214" s="139">
        <f>IF($O$8="sell",-1,1) * NORMDIST(I214,0,1,0)/(B214*$H$8*SQRT($J$8)) * $P$8</f>
        <v/>
      </c>
      <c r="E214" s="139">
        <f>IF($O$8="sell",-1,1) * (B214*NORMDIST(I214,0,1,0)*SQRT($J$8)/365) * $P$8</f>
        <v/>
      </c>
      <c r="F214" s="139">
        <f>IF($O$8="sell",-1,1) * (-(B214*NORMDIST(I214,0,1,0)*$H$8)/(2*SQRT($J$8))/365) *$P$8</f>
        <v/>
      </c>
      <c r="G214" s="139">
        <f>IF($O$8="buy",1,-1)*( IF($K$8="call",B214*NORMDIST(I214,0,1,1) - $B$8*NORMDIST(J214,0,1,1),$B$8*NORMDIST(-J214,0,1,1) - B214*NORMDIST(-I214,0,1,1) ) - $G$8) * $P$8</f>
        <v/>
      </c>
      <c r="I214" s="140">
        <f>(LN(B214/$B$8)+($H$8^2/2)*($J$8))/($H$8*SQRT($J$8))</f>
        <v/>
      </c>
      <c r="J214" s="143">
        <f>I214 - $H$8*SQRT($J$8)</f>
        <v/>
      </c>
    </row>
    <row r="215" ht="13.5" customHeight="1" s="116">
      <c r="B215" s="144">
        <f>B185</f>
        <v/>
      </c>
      <c r="C215" s="139">
        <f>IF($O$8="sell",-1,1) *  IF($K$8="call",  NORMDIST(I215,0,1,1),  NORMDIST(I215,0,1,1)-1  ) * $P$8</f>
        <v/>
      </c>
      <c r="D215" s="139">
        <f>IF($O$8="sell",-1,1) * NORMDIST(I215,0,1,0)/(B215*$H$8*SQRT($J$8)) * $P$8</f>
        <v/>
      </c>
      <c r="E215" s="139">
        <f>IF($O$8="sell",-1,1) * (B215*NORMDIST(I215,0,1,0)*SQRT($J$8)/365) * $P$8</f>
        <v/>
      </c>
      <c r="F215" s="139">
        <f>IF($O$8="sell",-1,1) * (-(B215*NORMDIST(I215,0,1,0)*$H$8)/(2*SQRT($J$8))/365) *$P$8</f>
        <v/>
      </c>
      <c r="G215" s="139">
        <f>IF($O$8="buy",1,-1)*( IF($K$8="call",B215*NORMDIST(I215,0,1,1) - $B$8*NORMDIST(J215,0,1,1),$B$8*NORMDIST(-J215,0,1,1) - B215*NORMDIST(-I215,0,1,1) ) - $G$8) * $P$8</f>
        <v/>
      </c>
      <c r="I215" s="140">
        <f>(LN(B215/$B$8)+($H$8^2/2)*($J$8))/($H$8*SQRT($J$8))</f>
        <v/>
      </c>
      <c r="J215" s="143">
        <f>I215 - $H$8*SQRT($J$8)</f>
        <v/>
      </c>
    </row>
    <row r="216" ht="13.5" customHeight="1" s="116">
      <c r="B216" s="144">
        <f>B186</f>
        <v/>
      </c>
      <c r="C216" s="139">
        <f>IF($O$8="sell",-1,1) *  IF($K$8="call",  NORMDIST(I216,0,1,1),  NORMDIST(I216,0,1,1)-1  ) * $P$8</f>
        <v/>
      </c>
      <c r="D216" s="139">
        <f>IF($O$8="sell",-1,1) * NORMDIST(I216,0,1,0)/(B216*$H$8*SQRT($J$8)) * $P$8</f>
        <v/>
      </c>
      <c r="E216" s="139">
        <f>IF($O$8="sell",-1,1) * (B216*NORMDIST(I216,0,1,0)*SQRT($J$8)/365) * $P$8</f>
        <v/>
      </c>
      <c r="F216" s="139">
        <f>IF($O$8="sell",-1,1) * (-(B216*NORMDIST(I216,0,1,0)*$H$8)/(2*SQRT($J$8))/365) *$P$8</f>
        <v/>
      </c>
      <c r="G216" s="139">
        <f>IF($O$8="buy",1,-1)*( IF($K$8="call",B216*NORMDIST(I216,0,1,1) - $B$8*NORMDIST(J216,0,1,1),$B$8*NORMDIST(-J216,0,1,1) - B216*NORMDIST(-I216,0,1,1) ) - $G$8) * $P$8</f>
        <v/>
      </c>
      <c r="I216" s="140">
        <f>(LN(B216/$B$8)+($H$8^2/2)*($J$8))/($H$8*SQRT($J$8))</f>
        <v/>
      </c>
      <c r="J216" s="143">
        <f>I216 - $H$8*SQRT($J$8)</f>
        <v/>
      </c>
    </row>
    <row r="217" ht="13.5" customHeight="1" s="116">
      <c r="B217" s="144">
        <f>B187</f>
        <v/>
      </c>
      <c r="C217" s="139">
        <f>IF($O$8="sell",-1,1) *  IF($K$8="call",  NORMDIST(I217,0,1,1),  NORMDIST(I217,0,1,1)-1  ) * $P$8</f>
        <v/>
      </c>
      <c r="D217" s="139">
        <f>IF($O$8="sell",-1,1) * NORMDIST(I217,0,1,0)/(B217*$H$8*SQRT($J$8)) * $P$8</f>
        <v/>
      </c>
      <c r="E217" s="139">
        <f>IF($O$8="sell",-1,1) * (B217*NORMDIST(I217,0,1,0)*SQRT($J$8)/365) * $P$8</f>
        <v/>
      </c>
      <c r="F217" s="139">
        <f>IF($O$8="sell",-1,1) * (-(B217*NORMDIST(I217,0,1,0)*$H$8)/(2*SQRT($J$8))/365) *$P$8</f>
        <v/>
      </c>
      <c r="G217" s="139">
        <f>IF($O$8="buy",1,-1)*( IF($K$8="call",B217*NORMDIST(I217,0,1,1) - $B$8*NORMDIST(J217,0,1,1),$B$8*NORMDIST(-J217,0,1,1) - B217*NORMDIST(-I217,0,1,1) ) - $G$8) * $P$8</f>
        <v/>
      </c>
      <c r="I217" s="140">
        <f>(LN(B217/$B$8)+($H$8^2/2)*($J$8))/($H$8*SQRT($J$8))</f>
        <v/>
      </c>
      <c r="J217" s="143">
        <f>I217 - $H$8*SQRT($J$8)</f>
        <v/>
      </c>
    </row>
    <row r="218" ht="13.5" customHeight="1" s="116">
      <c r="B218" s="144">
        <f>B188</f>
        <v/>
      </c>
      <c r="C218" s="139">
        <f>IF($O$8="sell",-1,1) *  IF($K$8="call",  NORMDIST(I218,0,1,1),  NORMDIST(I218,0,1,1)-1  ) * $P$8</f>
        <v/>
      </c>
      <c r="D218" s="139">
        <f>IF($O$8="sell",-1,1) * NORMDIST(I218,0,1,0)/(B218*$H$8*SQRT($J$8)) * $P$8</f>
        <v/>
      </c>
      <c r="E218" s="139">
        <f>IF($O$8="sell",-1,1) * (B218*NORMDIST(I218,0,1,0)*SQRT($J$8)/365) * $P$8</f>
        <v/>
      </c>
      <c r="F218" s="139">
        <f>IF($O$8="sell",-1,1) * (-(B218*NORMDIST(I218,0,1,0)*$H$8)/(2*SQRT($J$8))/365) *$P$8</f>
        <v/>
      </c>
      <c r="G218" s="139">
        <f>IF($O$8="buy",1,-1)*( IF($K$8="call",B218*NORMDIST(I218,0,1,1) - $B$8*NORMDIST(J218,0,1,1),$B$8*NORMDIST(-J218,0,1,1) - B218*NORMDIST(-I218,0,1,1) ) - $G$8) * $P$8</f>
        <v/>
      </c>
      <c r="I218" s="140">
        <f>(LN(B218/$B$8)+($H$8^2/2)*($J$8))/($H$8*SQRT($J$8))</f>
        <v/>
      </c>
      <c r="J218" s="143">
        <f>I218 - $H$8*SQRT($J$8)</f>
        <v/>
      </c>
    </row>
    <row r="219" ht="13.5" customHeight="1" s="116">
      <c r="B219" s="144">
        <f>B189</f>
        <v/>
      </c>
      <c r="C219" s="139">
        <f>IF($O$8="sell",-1,1) *  IF($K$8="call",  NORMDIST(I219,0,1,1),  NORMDIST(I219,0,1,1)-1  ) * $P$8</f>
        <v/>
      </c>
      <c r="D219" s="139">
        <f>IF($O$8="sell",-1,1) * NORMDIST(I219,0,1,0)/(B219*$H$8*SQRT($J$8)) * $P$8</f>
        <v/>
      </c>
      <c r="E219" s="139">
        <f>IF($O$8="sell",-1,1) * (B219*NORMDIST(I219,0,1,0)*SQRT($J$8)/365) * $P$8</f>
        <v/>
      </c>
      <c r="F219" s="139">
        <f>IF($O$8="sell",-1,1) * (-(B219*NORMDIST(I219,0,1,0)*$H$8)/(2*SQRT($J$8))/365) *$P$8</f>
        <v/>
      </c>
      <c r="G219" s="139">
        <f>IF($O$8="buy",1,-1)*( IF($K$8="call",B219*NORMDIST(I219,0,1,1) - $B$8*NORMDIST(J219,0,1,1),$B$8*NORMDIST(-J219,0,1,1) - B219*NORMDIST(-I219,0,1,1) ) - $G$8) * $P$8</f>
        <v/>
      </c>
      <c r="I219" s="140">
        <f>(LN(B219/$B$8)+($H$8^2/2)*($J$8))/($H$8*SQRT($J$8))</f>
        <v/>
      </c>
      <c r="J219" s="143">
        <f>I219 - $H$8*SQRT($J$8)</f>
        <v/>
      </c>
    </row>
    <row r="220" ht="13.5" customHeight="1" s="116">
      <c r="B220" s="144">
        <f>B190</f>
        <v/>
      </c>
      <c r="C220" s="139">
        <f>IF($O$8="sell",-1,1) *  IF($K$8="call",  NORMDIST(I220,0,1,1),  NORMDIST(I220,0,1,1)-1  ) * $P$8</f>
        <v/>
      </c>
      <c r="D220" s="139">
        <f>IF($O$8="sell",-1,1) * NORMDIST(I220,0,1,0)/(B220*$H$8*SQRT($J$8)) * $P$8</f>
        <v/>
      </c>
      <c r="E220" s="139">
        <f>IF($O$8="sell",-1,1) * (B220*NORMDIST(I220,0,1,0)*SQRT($J$8)/365) * $P$8</f>
        <v/>
      </c>
      <c r="F220" s="139">
        <f>IF($O$8="sell",-1,1) * (-(B220*NORMDIST(I220,0,1,0)*$H$8)/(2*SQRT($J$8))/365) *$P$8</f>
        <v/>
      </c>
      <c r="G220" s="139">
        <f>IF($O$8="buy",1,-1)*( IF($K$8="call",B220*NORMDIST(I220,0,1,1) - $B$8*NORMDIST(J220,0,1,1),$B$8*NORMDIST(-J220,0,1,1) - B220*NORMDIST(-I220,0,1,1) ) - $G$8) * $P$8</f>
        <v/>
      </c>
      <c r="I220" s="140">
        <f>(LN(B220/$B$8)+($H$8^2/2)*($J$8))/($H$8*SQRT($J$8))</f>
        <v/>
      </c>
      <c r="J220" s="143">
        <f>I220 - $H$8*SQRT($J$8)</f>
        <v/>
      </c>
    </row>
    <row r="221" ht="13.5" customHeight="1" s="116">
      <c r="B221" s="144">
        <f>B191</f>
        <v/>
      </c>
      <c r="C221" s="139">
        <f>IF($O$8="sell",-1,1) *  IF($K$8="call",  NORMDIST(I221,0,1,1),  NORMDIST(I221,0,1,1)-1  ) * $P$8</f>
        <v/>
      </c>
      <c r="D221" s="139">
        <f>IF($O$8="sell",-1,1) * NORMDIST(I221,0,1,0)/(B221*$H$8*SQRT($J$8)) * $P$8</f>
        <v/>
      </c>
      <c r="E221" s="139">
        <f>IF($O$8="sell",-1,1) * (B221*NORMDIST(I221,0,1,0)*SQRT($J$8)/365) * $P$8</f>
        <v/>
      </c>
      <c r="F221" s="139">
        <f>IF($O$8="sell",-1,1) * (-(B221*NORMDIST(I221,0,1,0)*$H$8)/(2*SQRT($J$8))/365) *$P$8</f>
        <v/>
      </c>
      <c r="G221" s="139">
        <f>IF($O$8="buy",1,-1)*( IF($K$8="call",B221*NORMDIST(I221,0,1,1) - $B$8*NORMDIST(J221,0,1,1),$B$8*NORMDIST(-J221,0,1,1) - B221*NORMDIST(-I221,0,1,1) ) - $G$8) * $P$8</f>
        <v/>
      </c>
      <c r="I221" s="140">
        <f>(LN(B221/$B$8)+($H$8^2/2)*($J$8))/($H$8*SQRT($J$8))</f>
        <v/>
      </c>
      <c r="J221" s="143">
        <f>I221 - $H$8*SQRT($J$8)</f>
        <v/>
      </c>
    </row>
    <row r="222" ht="13.5" customHeight="1" s="116">
      <c r="B222" s="144">
        <f>B192</f>
        <v/>
      </c>
      <c r="C222" s="139">
        <f>IF($O$8="sell",-1,1) *  IF($K$8="call",  NORMDIST(I222,0,1,1),  NORMDIST(I222,0,1,1)-1  ) * $P$8</f>
        <v/>
      </c>
      <c r="D222" s="139">
        <f>IF($O$8="sell",-1,1) * NORMDIST(I222,0,1,0)/(B222*$H$8*SQRT($J$8)) * $P$8</f>
        <v/>
      </c>
      <c r="E222" s="139">
        <f>IF($O$8="sell",-1,1) * (B222*NORMDIST(I222,0,1,0)*SQRT($J$8)/365) * $P$8</f>
        <v/>
      </c>
      <c r="F222" s="139">
        <f>IF($O$8="sell",-1,1) * (-(B222*NORMDIST(I222,0,1,0)*$H$8)/(2*SQRT($J$8))/365) *$P$8</f>
        <v/>
      </c>
      <c r="G222" s="139">
        <f>IF($O$8="buy",1,-1)*( IF($K$8="call",B222*NORMDIST(I222,0,1,1) - $B$8*NORMDIST(J222,0,1,1),$B$8*NORMDIST(-J222,0,1,1) - B222*NORMDIST(-I222,0,1,1) ) - $G$8) * $P$8</f>
        <v/>
      </c>
      <c r="I222" s="140">
        <f>(LN(B222/$B$8)+($H$8^2/2)*($J$8))/($H$8*SQRT($J$8))</f>
        <v/>
      </c>
      <c r="J222" s="143">
        <f>I222 - $H$8*SQRT($J$8)</f>
        <v/>
      </c>
    </row>
    <row r="223" ht="13.5" customHeight="1" s="116">
      <c r="B223" s="144">
        <f>B193</f>
        <v/>
      </c>
      <c r="C223" s="139">
        <f>IF($O$8="sell",-1,1) *  IF($K$8="call",  NORMDIST(I223,0,1,1),  NORMDIST(I223,0,1,1)-1  ) * $P$8</f>
        <v/>
      </c>
      <c r="D223" s="139">
        <f>IF($O$8="sell",-1,1) * NORMDIST(I223,0,1,0)/(B223*$H$8*SQRT($J$8)) * $P$8</f>
        <v/>
      </c>
      <c r="E223" s="139">
        <f>IF($O$8="sell",-1,1) * (B223*NORMDIST(I223,0,1,0)*SQRT($J$8)/365) * $P$8</f>
        <v/>
      </c>
      <c r="F223" s="139">
        <f>IF($O$8="sell",-1,1) * (-(B223*NORMDIST(I223,0,1,0)*$H$8)/(2*SQRT($J$8))/365) *$P$8</f>
        <v/>
      </c>
      <c r="G223" s="139">
        <f>IF($O$8="buy",1,-1)*( IF($K$8="call",B223*NORMDIST(I223,0,1,1) - $B$8*NORMDIST(J223,0,1,1),$B$8*NORMDIST(-J223,0,1,1) - B223*NORMDIST(-I223,0,1,1) ) - $G$8) * $P$8</f>
        <v/>
      </c>
      <c r="I223" s="140">
        <f>(LN(B223/$B$8)+($H$8^2/2)*($J$8))/($H$8*SQRT($J$8))</f>
        <v/>
      </c>
      <c r="J223" s="143">
        <f>I223 - $H$8*SQRT($J$8)</f>
        <v/>
      </c>
    </row>
    <row r="224" ht="13.5" customHeight="1" s="116">
      <c r="B224" s="144">
        <f>B194</f>
        <v/>
      </c>
      <c r="C224" s="139">
        <f>IF($O$8="sell",-1,1) *  IF($K$8="call",  NORMDIST(I224,0,1,1),  NORMDIST(I224,0,1,1)-1  ) * $P$8</f>
        <v/>
      </c>
      <c r="D224" s="139">
        <f>IF($O$8="sell",-1,1) * NORMDIST(I224,0,1,0)/(B224*$H$8*SQRT($J$8)) * $P$8</f>
        <v/>
      </c>
      <c r="E224" s="139">
        <f>IF($O$8="sell",-1,1) * (B224*NORMDIST(I224,0,1,0)*SQRT($J$8)/365) * $P$8</f>
        <v/>
      </c>
      <c r="F224" s="139">
        <f>IF($O$8="sell",-1,1) * (-(B224*NORMDIST(I224,0,1,0)*$H$8)/(2*SQRT($J$8))/365) *$P$8</f>
        <v/>
      </c>
      <c r="G224" s="139">
        <f>IF($O$8="buy",1,-1)*( IF($K$8="call",B224*NORMDIST(I224,0,1,1) - $B$8*NORMDIST(J224,0,1,1),$B$8*NORMDIST(-J224,0,1,1) - B224*NORMDIST(-I224,0,1,1) ) - $G$8) * $P$8</f>
        <v/>
      </c>
      <c r="I224" s="140">
        <f>(LN(B224/$B$8)+($H$8^2/2)*($J$8))/($H$8*SQRT($J$8))</f>
        <v/>
      </c>
      <c r="J224" s="143">
        <f>I224 - $H$8*SQRT($J$8)</f>
        <v/>
      </c>
    </row>
    <row r="225" ht="13.5" customHeight="1" s="116">
      <c r="B225" s="145" t="n"/>
      <c r="C225" s="136" t="n"/>
      <c r="D225" s="136" t="n"/>
      <c r="E225" s="136" t="n"/>
      <c r="F225" s="136" t="n"/>
      <c r="G225" s="136" t="n"/>
      <c r="I225" s="146" t="n"/>
      <c r="J225" s="146" t="n"/>
    </row>
    <row r="226" ht="13.5" customHeight="1" s="116">
      <c r="B226" s="145" t="n"/>
      <c r="C226" s="136" t="n"/>
      <c r="D226" s="136" t="n"/>
      <c r="E226" s="136" t="n"/>
      <c r="F226" s="136" t="n"/>
      <c r="G226" s="136" t="n"/>
      <c r="I226" s="146" t="n"/>
      <c r="J226" s="146" t="n"/>
    </row>
    <row r="227" ht="13.5" customHeight="1" s="116">
      <c r="B227" s="137" t="n"/>
      <c r="C227" s="133" t="inlineStr">
        <is>
          <t>delta</t>
        </is>
      </c>
      <c r="D227" s="133" t="inlineStr">
        <is>
          <t>gamma</t>
        </is>
      </c>
      <c r="E227" s="133" t="inlineStr">
        <is>
          <t>vega</t>
        </is>
      </c>
      <c r="F227" s="133" t="inlineStr">
        <is>
          <t>theta</t>
        </is>
      </c>
      <c r="G227" s="133" t="inlineStr">
        <is>
          <t>mark_price</t>
        </is>
      </c>
      <c r="I227" s="133" t="inlineStr">
        <is>
          <t>d1</t>
        </is>
      </c>
      <c r="J227" s="133" t="inlineStr">
        <is>
          <t>d2</t>
        </is>
      </c>
    </row>
    <row r="228" ht="13.5" customHeight="1" s="116">
      <c r="A228" s="117">
        <f>A9</f>
        <v/>
      </c>
      <c r="B228" s="144">
        <f>B198</f>
        <v/>
      </c>
      <c r="C228" s="139">
        <f>IF($O$9="sell",-1,1) *  IF($K$9="call",  NORMDIST(I228,0,1,1),  NORMDIST(I228,0,1,1)-1  ) * $P$9</f>
        <v/>
      </c>
      <c r="D228" s="139">
        <f>IF($O$9="sell",-1,1) * NORMDIST(I228,0,1,0)/(B228*$H$9*SQRT($J$9)) * $P$9</f>
        <v/>
      </c>
      <c r="E228" s="139">
        <f>IF($O$9="sell",-1,1) * (B228*NORMDIST(I228,0,1,0)*SQRT($J$9)/365) * $P$9</f>
        <v/>
      </c>
      <c r="F228" s="139">
        <f>IF($O$9="sell",-1,1) * (-(B228*NORMDIST(I228,0,1,0)*$H$9)/(2*SQRT($J$9))/365) *$P$9</f>
        <v/>
      </c>
      <c r="G228" s="139">
        <f>IF($O$9="buy",1,-1)*( IF($K$9="call",B228*NORMDIST(I228,0,1,1) - $B$9*NORMDIST(J228,0,1,1),$B$9*NORMDIST(-J228,0,1,1) - B228*NORMDIST(-I228,0,1,1) ) - $G$9) * $P$9</f>
        <v/>
      </c>
      <c r="I228" s="140">
        <f>(LN(B228/$B$9)+($H$9^2/2)*($J$9))/($H$9*SQRT($J$9))</f>
        <v/>
      </c>
      <c r="J228" s="143">
        <f>I228 - $H$9*SQRT($J$9)</f>
        <v/>
      </c>
    </row>
    <row r="229" ht="13.5" customHeight="1" s="116">
      <c r="B229" s="144">
        <f>B199</f>
        <v/>
      </c>
      <c r="C229" s="139">
        <f>IF($O$9="sell",-1,1) *  IF($K$9="call",  NORMDIST(I229,0,1,1),  NORMDIST(I229,0,1,1)-1  ) * $P$9</f>
        <v/>
      </c>
      <c r="D229" s="139">
        <f>IF($O$9="sell",-1,1) * NORMDIST(I229,0,1,0)/(B229*$H$9*SQRT($J$9)) * $P$9</f>
        <v/>
      </c>
      <c r="E229" s="139">
        <f>IF($O$9="sell",-1,1) * (B229*NORMDIST(I229,0,1,0)*SQRT($J$9)/365) * $P$9</f>
        <v/>
      </c>
      <c r="F229" s="139">
        <f>IF($O$9="sell",-1,1) * (-(B229*NORMDIST(I229,0,1,0)*$H$9)/(2*SQRT($J$9))/365) *$P$9</f>
        <v/>
      </c>
      <c r="G229" s="139">
        <f>IF($O$9="buy",1,-1)*( IF($K$9="call",B229*NORMDIST(I229,0,1,1) - $B$9*NORMDIST(J229,0,1,1),$B$9*NORMDIST(-J229,0,1,1) - B229*NORMDIST(-I229,0,1,1) ) - $G$9) * $P$9</f>
        <v/>
      </c>
      <c r="I229" s="140">
        <f>(LN(B229/$B$9)+($H$9^2/2)*($J$9))/($H$9*SQRT($J$9))</f>
        <v/>
      </c>
      <c r="J229" s="143">
        <f>I229 - $H$9*SQRT($J$9)</f>
        <v/>
      </c>
    </row>
    <row r="230" ht="13.5" customHeight="1" s="116">
      <c r="B230" s="144">
        <f>B200</f>
        <v/>
      </c>
      <c r="C230" s="139">
        <f>IF($O$9="sell",-1,1) *  IF($K$9="call",  NORMDIST(I230,0,1,1),  NORMDIST(I230,0,1,1)-1  ) * $P$9</f>
        <v/>
      </c>
      <c r="D230" s="139">
        <f>IF($O$9="sell",-1,1) * NORMDIST(I230,0,1,0)/(B230*$H$9*SQRT($J$9)) * $P$9</f>
        <v/>
      </c>
      <c r="E230" s="139">
        <f>IF($O$9="sell",-1,1) * (B230*NORMDIST(I230,0,1,0)*SQRT($J$9)/365) * $P$9</f>
        <v/>
      </c>
      <c r="F230" s="139">
        <f>IF($O$9="sell",-1,1) * (-(B230*NORMDIST(I230,0,1,0)*$H$9)/(2*SQRT($J$9))/365) *$P$9</f>
        <v/>
      </c>
      <c r="G230" s="139">
        <f>IF($O$9="buy",1,-1)*( IF($K$9="call",B230*NORMDIST(I230,0,1,1) - $B$9*NORMDIST(J230,0,1,1),$B$9*NORMDIST(-J230,0,1,1) - B230*NORMDIST(-I230,0,1,1) ) - $G$9) * $P$9</f>
        <v/>
      </c>
      <c r="I230" s="140">
        <f>(LN(B230/$B$9)+($H$9^2/2)*($J$9))/($H$9*SQRT($J$9))</f>
        <v/>
      </c>
      <c r="J230" s="143">
        <f>I230 - $H$9*SQRT($J$9)</f>
        <v/>
      </c>
    </row>
    <row r="231" ht="13.5" customHeight="1" s="116">
      <c r="B231" s="144">
        <f>B201</f>
        <v/>
      </c>
      <c r="C231" s="139">
        <f>IF($O$9="sell",-1,1) *  IF($K$9="call",  NORMDIST(I231,0,1,1),  NORMDIST(I231,0,1,1)-1  ) * $P$9</f>
        <v/>
      </c>
      <c r="D231" s="139">
        <f>IF($O$9="sell",-1,1) * NORMDIST(I231,0,1,0)/(B231*$H$9*SQRT($J$9)) * $P$9</f>
        <v/>
      </c>
      <c r="E231" s="139">
        <f>IF($O$9="sell",-1,1) * (B231*NORMDIST(I231,0,1,0)*SQRT($J$9)/365) * $P$9</f>
        <v/>
      </c>
      <c r="F231" s="139">
        <f>IF($O$9="sell",-1,1) * (-(B231*NORMDIST(I231,0,1,0)*$H$9)/(2*SQRT($J$9))/365) *$P$9</f>
        <v/>
      </c>
      <c r="G231" s="139">
        <f>IF($O$9="buy",1,-1)*( IF($K$9="call",B231*NORMDIST(I231,0,1,1) - $B$9*NORMDIST(J231,0,1,1),$B$9*NORMDIST(-J231,0,1,1) - B231*NORMDIST(-I231,0,1,1) ) - $G$9) * $P$9</f>
        <v/>
      </c>
      <c r="I231" s="140">
        <f>(LN(B231/$B$9)+($H$9^2/2)*($J$9))/($H$9*SQRT($J$9))</f>
        <v/>
      </c>
      <c r="J231" s="143">
        <f>I231 - $H$9*SQRT($J$9)</f>
        <v/>
      </c>
    </row>
    <row r="232" ht="13.5" customHeight="1" s="116">
      <c r="B232" s="144">
        <f>B202</f>
        <v/>
      </c>
      <c r="C232" s="139">
        <f>IF($O$9="sell",-1,1) *  IF($K$9="call",  NORMDIST(I232,0,1,1),  NORMDIST(I232,0,1,1)-1  ) * $P$9</f>
        <v/>
      </c>
      <c r="D232" s="139">
        <f>IF($O$9="sell",-1,1) * NORMDIST(I232,0,1,0)/(B232*$H$9*SQRT($J$9)) * $P$9</f>
        <v/>
      </c>
      <c r="E232" s="139">
        <f>IF($O$9="sell",-1,1) * (B232*NORMDIST(I232,0,1,0)*SQRT($J$9)/365) * $P$9</f>
        <v/>
      </c>
      <c r="F232" s="139">
        <f>IF($O$9="sell",-1,1) * (-(B232*NORMDIST(I232,0,1,0)*$H$9)/(2*SQRT($J$9))/365) *$P$9</f>
        <v/>
      </c>
      <c r="G232" s="139">
        <f>IF($O$9="buy",1,-1)*( IF($K$9="call",B232*NORMDIST(I232,0,1,1) - $B$9*NORMDIST(J232,0,1,1),$B$9*NORMDIST(-J232,0,1,1) - B232*NORMDIST(-I232,0,1,1) ) - $G$9) * $P$9</f>
        <v/>
      </c>
      <c r="I232" s="140">
        <f>(LN(B232/$B$9)+($H$9^2/2)*($J$9))/($H$9*SQRT($J$9))</f>
        <v/>
      </c>
      <c r="J232" s="143">
        <f>I232 - $H$9*SQRT($J$9)</f>
        <v/>
      </c>
    </row>
    <row r="233" ht="13.5" customHeight="1" s="116">
      <c r="B233" s="144">
        <f>B203</f>
        <v/>
      </c>
      <c r="C233" s="139">
        <f>IF($O$9="sell",-1,1) *  IF($K$9="call",  NORMDIST(I233,0,1,1),  NORMDIST(I233,0,1,1)-1  ) * $P$9</f>
        <v/>
      </c>
      <c r="D233" s="139">
        <f>IF($O$9="sell",-1,1) * NORMDIST(I233,0,1,0)/(B233*$H$9*SQRT($J$9)) * $P$9</f>
        <v/>
      </c>
      <c r="E233" s="139">
        <f>IF($O$9="sell",-1,1) * (B233*NORMDIST(I233,0,1,0)*SQRT($J$9)/365) * $P$9</f>
        <v/>
      </c>
      <c r="F233" s="139">
        <f>IF($O$9="sell",-1,1) * (-(B233*NORMDIST(I233,0,1,0)*$H$9)/(2*SQRT($J$9))/365) *$P$9</f>
        <v/>
      </c>
      <c r="G233" s="139">
        <f>IF($O$9="buy",1,-1)*( IF($K$9="call",B233*NORMDIST(I233,0,1,1) - $B$9*NORMDIST(J233,0,1,1),$B$9*NORMDIST(-J233,0,1,1) - B233*NORMDIST(-I233,0,1,1) ) - $G$9) * $P$9</f>
        <v/>
      </c>
      <c r="I233" s="140">
        <f>(LN(B233/$B$9)+($H$9^2/2)*($J$9))/($H$9*SQRT($J$9))</f>
        <v/>
      </c>
      <c r="J233" s="143">
        <f>I233 - $H$9*SQRT($J$9)</f>
        <v/>
      </c>
    </row>
    <row r="234" ht="13.5" customHeight="1" s="116">
      <c r="B234" s="144">
        <f>B204</f>
        <v/>
      </c>
      <c r="C234" s="139">
        <f>IF($O$9="sell",-1,1) *  IF($K$9="call",  NORMDIST(I234,0,1,1),  NORMDIST(I234,0,1,1)-1  ) * $P$9</f>
        <v/>
      </c>
      <c r="D234" s="139">
        <f>IF($O$9="sell",-1,1) * NORMDIST(I234,0,1,0)/(B234*$H$9*SQRT($J$9)) * $P$9</f>
        <v/>
      </c>
      <c r="E234" s="139">
        <f>IF($O$9="sell",-1,1) * (B234*NORMDIST(I234,0,1,0)*SQRT($J$9)/365) * $P$9</f>
        <v/>
      </c>
      <c r="F234" s="139">
        <f>IF($O$9="sell",-1,1) * (-(B234*NORMDIST(I234,0,1,0)*$H$9)/(2*SQRT($J$9))/365) *$P$9</f>
        <v/>
      </c>
      <c r="G234" s="139">
        <f>IF($O$9="buy",1,-1)*( IF($K$9="call",B234*NORMDIST(I234,0,1,1) - $B$9*NORMDIST(J234,0,1,1),$B$9*NORMDIST(-J234,0,1,1) - B234*NORMDIST(-I234,0,1,1) ) - $G$9) * $P$9</f>
        <v/>
      </c>
      <c r="I234" s="140">
        <f>(LN(B234/$B$9)+($H$9^2/2)*($J$9))/($H$9*SQRT($J$9))</f>
        <v/>
      </c>
      <c r="J234" s="143">
        <f>I234 - $H$9*SQRT($J$9)</f>
        <v/>
      </c>
    </row>
    <row r="235" ht="13.5" customHeight="1" s="116">
      <c r="B235" s="144">
        <f>B205</f>
        <v/>
      </c>
      <c r="C235" s="139">
        <f>IF($O$9="sell",-1,1) *  IF($K$9="call",  NORMDIST(I235,0,1,1),  NORMDIST(I235,0,1,1)-1  ) * $P$9</f>
        <v/>
      </c>
      <c r="D235" s="139">
        <f>IF($O$9="sell",-1,1) * NORMDIST(I235,0,1,0)/(B235*$H$9*SQRT($J$9)) * $P$9</f>
        <v/>
      </c>
      <c r="E235" s="139">
        <f>IF($O$9="sell",-1,1) * (B235*NORMDIST(I235,0,1,0)*SQRT($J$9)/365) * $P$9</f>
        <v/>
      </c>
      <c r="F235" s="139">
        <f>IF($O$9="sell",-1,1) * (-(B235*NORMDIST(I235,0,1,0)*$H$9)/(2*SQRT($J$9))/365) *$P$9</f>
        <v/>
      </c>
      <c r="G235" s="139">
        <f>IF($O$9="buy",1,-1)*( IF($K$9="call",B235*NORMDIST(I235,0,1,1) - $B$9*NORMDIST(J235,0,1,1),$B$9*NORMDIST(-J235,0,1,1) - B235*NORMDIST(-I235,0,1,1) ) - $G$9) * $P$9</f>
        <v/>
      </c>
      <c r="I235" s="140">
        <f>(LN(B235/$B$9)+($H$9^2/2)*($J$9))/($H$9*SQRT($J$9))</f>
        <v/>
      </c>
      <c r="J235" s="143">
        <f>I235 - $H$9*SQRT($J$9)</f>
        <v/>
      </c>
    </row>
    <row r="236" ht="13.5" customHeight="1" s="116">
      <c r="B236" s="144">
        <f>B206</f>
        <v/>
      </c>
      <c r="C236" s="139">
        <f>IF($O$9="sell",-1,1) *  IF($K$9="call",  NORMDIST(I236,0,1,1),  NORMDIST(I236,0,1,1)-1  ) * $P$9</f>
        <v/>
      </c>
      <c r="D236" s="139">
        <f>IF($O$9="sell",-1,1) * NORMDIST(I236,0,1,0)/(B236*$H$9*SQRT($J$9)) * $P$9</f>
        <v/>
      </c>
      <c r="E236" s="139">
        <f>IF($O$9="sell",-1,1) * (B236*NORMDIST(I236,0,1,0)*SQRT($J$9)/365) * $P$9</f>
        <v/>
      </c>
      <c r="F236" s="139">
        <f>IF($O$9="sell",-1,1) * (-(B236*NORMDIST(I236,0,1,0)*$H$9)/(2*SQRT($J$9))/365) *$P$9</f>
        <v/>
      </c>
      <c r="G236" s="139">
        <f>IF($O$9="buy",1,-1)*( IF($K$9="call",B236*NORMDIST(I236,0,1,1) - $B$9*NORMDIST(J236,0,1,1),$B$9*NORMDIST(-J236,0,1,1) - B236*NORMDIST(-I236,0,1,1) ) - $G$9) * $P$9</f>
        <v/>
      </c>
      <c r="I236" s="140">
        <f>(LN(B236/$B$9)+($H$9^2/2)*($J$9))/($H$9*SQRT($J$9))</f>
        <v/>
      </c>
      <c r="J236" s="143">
        <f>I236 - $H$9*SQRT($J$9)</f>
        <v/>
      </c>
    </row>
    <row r="237" ht="13.5" customHeight="1" s="116">
      <c r="B237" s="144">
        <f>B207</f>
        <v/>
      </c>
      <c r="C237" s="139">
        <f>IF($O$9="sell",-1,1) *  IF($K$9="call",  NORMDIST(I237,0,1,1),  NORMDIST(I237,0,1,1)-1  ) * $P$9</f>
        <v/>
      </c>
      <c r="D237" s="139">
        <f>IF($O$9="sell",-1,1) * NORMDIST(I237,0,1,0)/(B237*$H$9*SQRT($J$9)) * $P$9</f>
        <v/>
      </c>
      <c r="E237" s="139">
        <f>IF($O$9="sell",-1,1) * (B237*NORMDIST(I237,0,1,0)*SQRT($J$9)/365) * $P$9</f>
        <v/>
      </c>
      <c r="F237" s="139">
        <f>IF($O$9="sell",-1,1) * (-(B237*NORMDIST(I237,0,1,0)*$H$9)/(2*SQRT($J$9))/365) *$P$9</f>
        <v/>
      </c>
      <c r="G237" s="139">
        <f>IF($O$9="buy",1,-1)*( IF($K$9="call",B237*NORMDIST(I237,0,1,1) - $B$9*NORMDIST(J237,0,1,1),$B$9*NORMDIST(-J237,0,1,1) - B237*NORMDIST(-I237,0,1,1) ) - $G$9) * $P$9</f>
        <v/>
      </c>
      <c r="I237" s="140">
        <f>(LN(B237/$B$9)+($H$9^2/2)*($J$9))/($H$9*SQRT($J$9))</f>
        <v/>
      </c>
      <c r="J237" s="143">
        <f>I237 - $H$9*SQRT($J$9)</f>
        <v/>
      </c>
    </row>
    <row r="238" ht="13.5" customHeight="1" s="116">
      <c r="B238" s="144">
        <f>B208</f>
        <v/>
      </c>
      <c r="C238" s="139">
        <f>IF($O$9="sell",-1,1) *  IF($K$9="call",  NORMDIST(I238,0,1,1),  NORMDIST(I238,0,1,1)-1  ) * $P$9</f>
        <v/>
      </c>
      <c r="D238" s="139">
        <f>IF($O$9="sell",-1,1) * NORMDIST(I238,0,1,0)/(B238*$H$9*SQRT($J$9)) * $P$9</f>
        <v/>
      </c>
      <c r="E238" s="139">
        <f>IF($O$9="sell",-1,1) * (B238*NORMDIST(I238,0,1,0)*SQRT($J$9)/365) * $P$9</f>
        <v/>
      </c>
      <c r="F238" s="139">
        <f>IF($O$9="sell",-1,1) * (-(B238*NORMDIST(I238,0,1,0)*$H$9)/(2*SQRT($J$9))/365) *$P$9</f>
        <v/>
      </c>
      <c r="G238" s="139">
        <f>IF($O$9="buy",1,-1)*( IF($K$9="call",B238*NORMDIST(I238,0,1,1) - $B$9*NORMDIST(J238,0,1,1),$B$9*NORMDIST(-J238,0,1,1) - B238*NORMDIST(-I238,0,1,1) ) - $G$9) * $P$9</f>
        <v/>
      </c>
      <c r="I238" s="140">
        <f>(LN(B238/$B$9)+($H$9^2/2)*($J$9))/($H$9*SQRT($J$9))</f>
        <v/>
      </c>
      <c r="J238" s="143">
        <f>I238 - $H$9*SQRT($J$9)</f>
        <v/>
      </c>
    </row>
    <row r="239" ht="13.5" customHeight="1" s="116">
      <c r="B239" s="144">
        <f>B209</f>
        <v/>
      </c>
      <c r="C239" s="139">
        <f>IF($O$9="sell",-1,1) *  IF($K$9="call",  NORMDIST(I239,0,1,1),  NORMDIST(I239,0,1,1)-1  ) * $P$9</f>
        <v/>
      </c>
      <c r="D239" s="139">
        <f>IF($O$9="sell",-1,1) * NORMDIST(I239,0,1,0)/(B239*$H$9*SQRT($J$9)) * $P$9</f>
        <v/>
      </c>
      <c r="E239" s="139">
        <f>IF($O$9="sell",-1,1) * (B239*NORMDIST(I239,0,1,0)*SQRT($J$9)/365) * $P$9</f>
        <v/>
      </c>
      <c r="F239" s="139">
        <f>IF($O$9="sell",-1,1) * (-(B239*NORMDIST(I239,0,1,0)*$H$9)/(2*SQRT($J$9))/365) *$P$9</f>
        <v/>
      </c>
      <c r="G239" s="139">
        <f>IF($O$9="buy",1,-1)*( IF($K$9="call",B239*NORMDIST(I239,0,1,1) - $B$9*NORMDIST(J239,0,1,1),$B$9*NORMDIST(-J239,0,1,1) - B239*NORMDIST(-I239,0,1,1) ) - $G$9) * $P$9</f>
        <v/>
      </c>
      <c r="I239" s="140">
        <f>(LN(B239/$B$9)+($H$9^2/2)*($J$9))/($H$9*SQRT($J$9))</f>
        <v/>
      </c>
      <c r="J239" s="143">
        <f>I239 - $H$9*SQRT($J$9)</f>
        <v/>
      </c>
    </row>
    <row r="240" ht="13.5" customHeight="1" s="116">
      <c r="B240" s="144">
        <f>B210</f>
        <v/>
      </c>
      <c r="C240" s="139">
        <f>IF($O$9="sell",-1,1) *  IF($K$9="call",  NORMDIST(I240,0,1,1),  NORMDIST(I240,0,1,1)-1  ) * $P$9</f>
        <v/>
      </c>
      <c r="D240" s="139">
        <f>IF($O$9="sell",-1,1) * NORMDIST(I240,0,1,0)/(B240*$H$9*SQRT($J$9)) * $P$9</f>
        <v/>
      </c>
      <c r="E240" s="139">
        <f>IF($O$9="sell",-1,1) * (B240*NORMDIST(I240,0,1,0)*SQRT($J$9)/365) * $P$9</f>
        <v/>
      </c>
      <c r="F240" s="139">
        <f>IF($O$9="sell",-1,1) * (-(B240*NORMDIST(I240,0,1,0)*$H$9)/(2*SQRT($J$9))/365) *$P$9</f>
        <v/>
      </c>
      <c r="G240" s="139">
        <f>IF($O$9="buy",1,-1)*( IF($K$9="call",B240*NORMDIST(I240,0,1,1) - $B$9*NORMDIST(J240,0,1,1),$B$9*NORMDIST(-J240,0,1,1) - B240*NORMDIST(-I240,0,1,1) ) - $G$9) * $P$9</f>
        <v/>
      </c>
      <c r="I240" s="140">
        <f>(LN(B240/$B$9)+($H$9^2/2)*($J$9))/($H$9*SQRT($J$9))</f>
        <v/>
      </c>
      <c r="J240" s="143">
        <f>I240 - $H$9*SQRT($J$9)</f>
        <v/>
      </c>
    </row>
    <row r="241" ht="13.5" customHeight="1" s="116">
      <c r="B241" s="144">
        <f>B211</f>
        <v/>
      </c>
      <c r="C241" s="139">
        <f>IF($O$9="sell",-1,1) *  IF($K$9="call",  NORMDIST(I241,0,1,1),  NORMDIST(I241,0,1,1)-1  ) * $P$9</f>
        <v/>
      </c>
      <c r="D241" s="139">
        <f>IF($O$9="sell",-1,1) * NORMDIST(I241,0,1,0)/(B241*$H$9*SQRT($J$9)) * $P$9</f>
        <v/>
      </c>
      <c r="E241" s="139">
        <f>IF($O$9="sell",-1,1) * (B241*NORMDIST(I241,0,1,0)*SQRT($J$9)/365) * $P$9</f>
        <v/>
      </c>
      <c r="F241" s="139">
        <f>IF($O$9="sell",-1,1) * (-(B241*NORMDIST(I241,0,1,0)*$H$9)/(2*SQRT($J$9))/365) *$P$9</f>
        <v/>
      </c>
      <c r="G241" s="139">
        <f>IF($O$9="buy",1,-1)*( IF($K$9="call",B241*NORMDIST(I241,0,1,1) - $B$9*NORMDIST(J241,0,1,1),$B$9*NORMDIST(-J241,0,1,1) - B241*NORMDIST(-I241,0,1,1) ) - $G$9) * $P$9</f>
        <v/>
      </c>
      <c r="I241" s="140">
        <f>(LN(B241/$B$9)+($H$9^2/2)*($J$9))/($H$9*SQRT($J$9))</f>
        <v/>
      </c>
      <c r="J241" s="143">
        <f>I241 - $H$9*SQRT($J$9)</f>
        <v/>
      </c>
    </row>
    <row r="242" ht="13.5" customHeight="1" s="116">
      <c r="B242" s="144">
        <f>B212</f>
        <v/>
      </c>
      <c r="C242" s="139">
        <f>IF($O$9="sell",-1,1) *  IF($K$9="call",  NORMDIST(I242,0,1,1),  NORMDIST(I242,0,1,1)-1  ) * $P$9</f>
        <v/>
      </c>
      <c r="D242" s="139">
        <f>IF($O$9="sell",-1,1) * NORMDIST(I242,0,1,0)/(B242*$H$9*SQRT($J$9)) * $P$9</f>
        <v/>
      </c>
      <c r="E242" s="139">
        <f>IF($O$9="sell",-1,1) * (B242*NORMDIST(I242,0,1,0)*SQRT($J$9)/365) * $P$9</f>
        <v/>
      </c>
      <c r="F242" s="139">
        <f>IF($O$9="sell",-1,1) * (-(B242*NORMDIST(I242,0,1,0)*$H$9)/(2*SQRT($J$9))/365) *$P$9</f>
        <v/>
      </c>
      <c r="G242" s="139">
        <f>IF($O$9="buy",1,-1)*( IF($K$9="call",B242*NORMDIST(I242,0,1,1) - $B$9*NORMDIST(J242,0,1,1),$B$9*NORMDIST(-J242,0,1,1) - B242*NORMDIST(-I242,0,1,1) ) - $G$9) * $P$9</f>
        <v/>
      </c>
      <c r="I242" s="140">
        <f>(LN(B242/$B$9)+($H$9^2/2)*($J$9))/($H$9*SQRT($J$9))</f>
        <v/>
      </c>
      <c r="J242" s="143">
        <f>I242 - $H$9*SQRT($J$9)</f>
        <v/>
      </c>
    </row>
    <row r="243" ht="13.5" customHeight="1" s="116">
      <c r="B243" s="144">
        <f>B213</f>
        <v/>
      </c>
      <c r="C243" s="139">
        <f>IF($O$9="sell",-1,1) *  IF($K$9="call",  NORMDIST(I243,0,1,1),  NORMDIST(I243,0,1,1)-1  ) * $P$9</f>
        <v/>
      </c>
      <c r="D243" s="139">
        <f>IF($O$9="sell",-1,1) * NORMDIST(I243,0,1,0)/(B243*$H$9*SQRT($J$9)) * $P$9</f>
        <v/>
      </c>
      <c r="E243" s="139">
        <f>IF($O$9="sell",-1,1) * (B243*NORMDIST(I243,0,1,0)*SQRT($J$9)/365) * $P$9</f>
        <v/>
      </c>
      <c r="F243" s="139">
        <f>IF($O$9="sell",-1,1) * (-(B243*NORMDIST(I243,0,1,0)*$H$9)/(2*SQRT($J$9))/365) *$P$9</f>
        <v/>
      </c>
      <c r="G243" s="139">
        <f>IF($O$9="buy",1,-1)*( IF($K$9="call",B243*NORMDIST(I243,0,1,1) - $B$9*NORMDIST(J243,0,1,1),$B$9*NORMDIST(-J243,0,1,1) - B243*NORMDIST(-I243,0,1,1) ) - $G$9) * $P$9</f>
        <v/>
      </c>
      <c r="I243" s="140">
        <f>(LN(B243/$B$9)+($H$9^2/2)*($J$9))/($H$9*SQRT($J$9))</f>
        <v/>
      </c>
      <c r="J243" s="143">
        <f>I243 - $H$9*SQRT($J$9)</f>
        <v/>
      </c>
    </row>
    <row r="244" ht="13.5" customHeight="1" s="116">
      <c r="B244" s="144">
        <f>B214</f>
        <v/>
      </c>
      <c r="C244" s="139">
        <f>IF($O$9="sell",-1,1) *  IF($K$9="call",  NORMDIST(I244,0,1,1),  NORMDIST(I244,0,1,1)-1  ) * $P$9</f>
        <v/>
      </c>
      <c r="D244" s="139">
        <f>IF($O$9="sell",-1,1) * NORMDIST(I244,0,1,0)/(B244*$H$9*SQRT($J$9)) * $P$9</f>
        <v/>
      </c>
      <c r="E244" s="139">
        <f>IF($O$9="sell",-1,1) * (B244*NORMDIST(I244,0,1,0)*SQRT($J$9)/365) * $P$9</f>
        <v/>
      </c>
      <c r="F244" s="139">
        <f>IF($O$9="sell",-1,1) * (-(B244*NORMDIST(I244,0,1,0)*$H$9)/(2*SQRT($J$9))/365) *$P$9</f>
        <v/>
      </c>
      <c r="G244" s="139">
        <f>IF($O$9="buy",1,-1)*( IF($K$9="call",B244*NORMDIST(I244,0,1,1) - $B$9*NORMDIST(J244,0,1,1),$B$9*NORMDIST(-J244,0,1,1) - B244*NORMDIST(-I244,0,1,1) ) - $G$9) * $P$9</f>
        <v/>
      </c>
      <c r="I244" s="140">
        <f>(LN(B244/$B$9)+($H$9^2/2)*($J$9))/($H$9*SQRT($J$9))</f>
        <v/>
      </c>
      <c r="J244" s="143">
        <f>I244 - $H$9*SQRT($J$9)</f>
        <v/>
      </c>
    </row>
    <row r="245" ht="13.5" customHeight="1" s="116">
      <c r="B245" s="144">
        <f>B215</f>
        <v/>
      </c>
      <c r="C245" s="139">
        <f>IF($O$9="sell",-1,1) *  IF($K$9="call",  NORMDIST(I245,0,1,1),  NORMDIST(I245,0,1,1)-1  ) * $P$9</f>
        <v/>
      </c>
      <c r="D245" s="139">
        <f>IF($O$9="sell",-1,1) * NORMDIST(I245,0,1,0)/(B245*$H$9*SQRT($J$9)) * $P$9</f>
        <v/>
      </c>
      <c r="E245" s="139">
        <f>IF($O$9="sell",-1,1) * (B245*NORMDIST(I245,0,1,0)*SQRT($J$9)/365) * $P$9</f>
        <v/>
      </c>
      <c r="F245" s="139">
        <f>IF($O$9="sell",-1,1) * (-(B245*NORMDIST(I245,0,1,0)*$H$9)/(2*SQRT($J$9))/365) *$P$9</f>
        <v/>
      </c>
      <c r="G245" s="139">
        <f>IF($O$9="buy",1,-1)*( IF($K$9="call",B245*NORMDIST(I245,0,1,1) - $B$9*NORMDIST(J245,0,1,1),$B$9*NORMDIST(-J245,0,1,1) - B245*NORMDIST(-I245,0,1,1) ) - $G$9) * $P$9</f>
        <v/>
      </c>
      <c r="I245" s="140">
        <f>(LN(B245/$B$9)+($H$9^2/2)*($J$9))/($H$9*SQRT($J$9))</f>
        <v/>
      </c>
      <c r="J245" s="143">
        <f>I245 - $H$9*SQRT($J$9)</f>
        <v/>
      </c>
    </row>
    <row r="246" ht="13.5" customHeight="1" s="116">
      <c r="B246" s="144">
        <f>B216</f>
        <v/>
      </c>
      <c r="C246" s="139">
        <f>IF($O$9="sell",-1,1) *  IF($K$9="call",  NORMDIST(I246,0,1,1),  NORMDIST(I246,0,1,1)-1  ) * $P$9</f>
        <v/>
      </c>
      <c r="D246" s="139">
        <f>IF($O$9="sell",-1,1) * NORMDIST(I246,0,1,0)/(B246*$H$9*SQRT($J$9)) * $P$9</f>
        <v/>
      </c>
      <c r="E246" s="139">
        <f>IF($O$9="sell",-1,1) * (B246*NORMDIST(I246,0,1,0)*SQRT($J$9)/365) * $P$9</f>
        <v/>
      </c>
      <c r="F246" s="139">
        <f>IF($O$9="sell",-1,1) * (-(B246*NORMDIST(I246,0,1,0)*$H$9)/(2*SQRT($J$9))/365) *$P$9</f>
        <v/>
      </c>
      <c r="G246" s="139">
        <f>IF($O$9="buy",1,-1)*( IF($K$9="call",B246*NORMDIST(I246,0,1,1) - $B$9*NORMDIST(J246,0,1,1),$B$9*NORMDIST(-J246,0,1,1) - B246*NORMDIST(-I246,0,1,1) ) - $G$9) * $P$9</f>
        <v/>
      </c>
      <c r="I246" s="140">
        <f>(LN(B246/$B$9)+($H$9^2/2)*($J$9))/($H$9*SQRT($J$9))</f>
        <v/>
      </c>
      <c r="J246" s="143">
        <f>I246 - $H$9*SQRT($J$9)</f>
        <v/>
      </c>
    </row>
    <row r="247" ht="13.5" customHeight="1" s="116">
      <c r="B247" s="144">
        <f>B217</f>
        <v/>
      </c>
      <c r="C247" s="139">
        <f>IF($O$9="sell",-1,1) *  IF($K$9="call",  NORMDIST(I247,0,1,1),  NORMDIST(I247,0,1,1)-1  ) * $P$9</f>
        <v/>
      </c>
      <c r="D247" s="139">
        <f>IF($O$9="sell",-1,1) * NORMDIST(I247,0,1,0)/(B247*$H$9*SQRT($J$9)) * $P$9</f>
        <v/>
      </c>
      <c r="E247" s="139">
        <f>IF($O$9="sell",-1,1) * (B247*NORMDIST(I247,0,1,0)*SQRT($J$9)/365) * $P$9</f>
        <v/>
      </c>
      <c r="F247" s="139">
        <f>IF($O$9="sell",-1,1) * (-(B247*NORMDIST(I247,0,1,0)*$H$9)/(2*SQRT($J$9))/365) *$P$9</f>
        <v/>
      </c>
      <c r="G247" s="139">
        <f>IF($O$9="buy",1,-1)*( IF($K$9="call",B247*NORMDIST(I247,0,1,1) - $B$9*NORMDIST(J247,0,1,1),$B$9*NORMDIST(-J247,0,1,1) - B247*NORMDIST(-I247,0,1,1) ) - $G$9) * $P$9</f>
        <v/>
      </c>
      <c r="I247" s="140">
        <f>(LN(B247/$B$9)+($H$9^2/2)*($J$9))/($H$9*SQRT($J$9))</f>
        <v/>
      </c>
      <c r="J247" s="143">
        <f>I247 - $H$9*SQRT($J$9)</f>
        <v/>
      </c>
    </row>
    <row r="248" ht="13.5" customHeight="1" s="116">
      <c r="B248" s="144">
        <f>B218</f>
        <v/>
      </c>
      <c r="C248" s="139">
        <f>IF($O$9="sell",-1,1) *  IF($K$9="call",  NORMDIST(I248,0,1,1),  NORMDIST(I248,0,1,1)-1  ) * $P$9</f>
        <v/>
      </c>
      <c r="D248" s="139">
        <f>IF($O$9="sell",-1,1) * NORMDIST(I248,0,1,0)/(B248*$H$9*SQRT($J$9)) * $P$9</f>
        <v/>
      </c>
      <c r="E248" s="139">
        <f>IF($O$9="sell",-1,1) * (B248*NORMDIST(I248,0,1,0)*SQRT($J$9)/365) * $P$9</f>
        <v/>
      </c>
      <c r="F248" s="139">
        <f>IF($O$9="sell",-1,1) * (-(B248*NORMDIST(I248,0,1,0)*$H$9)/(2*SQRT($J$9))/365) *$P$9</f>
        <v/>
      </c>
      <c r="G248" s="139">
        <f>IF($O$9="buy",1,-1)*( IF($K$9="call",B248*NORMDIST(I248,0,1,1) - $B$9*NORMDIST(J248,0,1,1),$B$9*NORMDIST(-J248,0,1,1) - B248*NORMDIST(-I248,0,1,1) ) - $G$9) * $P$9</f>
        <v/>
      </c>
      <c r="I248" s="140">
        <f>(LN(B248/$B$9)+($H$9^2/2)*($J$9))/($H$9*SQRT($J$9))</f>
        <v/>
      </c>
      <c r="J248" s="143">
        <f>I248 - $H$9*SQRT($J$9)</f>
        <v/>
      </c>
    </row>
    <row r="249" ht="13.5" customHeight="1" s="116">
      <c r="B249" s="144">
        <f>B219</f>
        <v/>
      </c>
      <c r="C249" s="139">
        <f>IF($O$9="sell",-1,1) *  IF($K$9="call",  NORMDIST(I249,0,1,1),  NORMDIST(I249,0,1,1)-1  ) * $P$9</f>
        <v/>
      </c>
      <c r="D249" s="139">
        <f>IF($O$9="sell",-1,1) * NORMDIST(I249,0,1,0)/(B249*$H$9*SQRT($J$9)) * $P$9</f>
        <v/>
      </c>
      <c r="E249" s="139">
        <f>IF($O$9="sell",-1,1) * (B249*NORMDIST(I249,0,1,0)*SQRT($J$9)/365) * $P$9</f>
        <v/>
      </c>
      <c r="F249" s="139">
        <f>IF($O$9="sell",-1,1) * (-(B249*NORMDIST(I249,0,1,0)*$H$9)/(2*SQRT($J$9))/365) *$P$9</f>
        <v/>
      </c>
      <c r="G249" s="139">
        <f>IF($O$9="buy",1,-1)*( IF($K$9="call",B249*NORMDIST(I249,0,1,1) - $B$9*NORMDIST(J249,0,1,1),$B$9*NORMDIST(-J249,0,1,1) - B249*NORMDIST(-I249,0,1,1) ) - $G$9) * $P$9</f>
        <v/>
      </c>
      <c r="I249" s="140">
        <f>(LN(B249/$B$9)+($H$9^2/2)*($J$9))/($H$9*SQRT($J$9))</f>
        <v/>
      </c>
      <c r="J249" s="143">
        <f>I249 - $H$9*SQRT($J$9)</f>
        <v/>
      </c>
    </row>
    <row r="250" ht="13.5" customHeight="1" s="116">
      <c r="B250" s="144">
        <f>B220</f>
        <v/>
      </c>
      <c r="C250" s="139">
        <f>IF($O$9="sell",-1,1) *  IF($K$9="call",  NORMDIST(I250,0,1,1),  NORMDIST(I250,0,1,1)-1  ) * $P$9</f>
        <v/>
      </c>
      <c r="D250" s="139">
        <f>IF($O$9="sell",-1,1) * NORMDIST(I250,0,1,0)/(B250*$H$9*SQRT($J$9)) * $P$9</f>
        <v/>
      </c>
      <c r="E250" s="139">
        <f>IF($O$9="sell",-1,1) * (B250*NORMDIST(I250,0,1,0)*SQRT($J$9)/365) * $P$9</f>
        <v/>
      </c>
      <c r="F250" s="139">
        <f>IF($O$9="sell",-1,1) * (-(B250*NORMDIST(I250,0,1,0)*$H$9)/(2*SQRT($J$9))/365) *$P$9</f>
        <v/>
      </c>
      <c r="G250" s="139">
        <f>IF($O$9="buy",1,-1)*( IF($K$9="call",B250*NORMDIST(I250,0,1,1) - $B$9*NORMDIST(J250,0,1,1),$B$9*NORMDIST(-J250,0,1,1) - B250*NORMDIST(-I250,0,1,1) ) - $G$9) * $P$9</f>
        <v/>
      </c>
      <c r="I250" s="140">
        <f>(LN(B250/$B$9)+($H$9^2/2)*($J$9))/($H$9*SQRT($J$9))</f>
        <v/>
      </c>
      <c r="J250" s="143">
        <f>I250 - $H$9*SQRT($J$9)</f>
        <v/>
      </c>
    </row>
    <row r="251" ht="13.5" customHeight="1" s="116">
      <c r="B251" s="144">
        <f>B221</f>
        <v/>
      </c>
      <c r="C251" s="139">
        <f>IF($O$9="sell",-1,1) *  IF($K$9="call",  NORMDIST(I251,0,1,1),  NORMDIST(I251,0,1,1)-1  ) * $P$9</f>
        <v/>
      </c>
      <c r="D251" s="139">
        <f>IF($O$9="sell",-1,1) * NORMDIST(I251,0,1,0)/(B251*$H$9*SQRT($J$9)) * $P$9</f>
        <v/>
      </c>
      <c r="E251" s="139">
        <f>IF($O$9="sell",-1,1) * (B251*NORMDIST(I251,0,1,0)*SQRT($J$9)/365) * $P$9</f>
        <v/>
      </c>
      <c r="F251" s="139">
        <f>IF($O$9="sell",-1,1) * (-(B251*NORMDIST(I251,0,1,0)*$H$9)/(2*SQRT($J$9))/365) *$P$9</f>
        <v/>
      </c>
      <c r="G251" s="139">
        <f>IF($O$9="buy",1,-1)*( IF($K$9="call",B251*NORMDIST(I251,0,1,1) - $B$9*NORMDIST(J251,0,1,1),$B$9*NORMDIST(-J251,0,1,1) - B251*NORMDIST(-I251,0,1,1) ) - $G$9) * $P$9</f>
        <v/>
      </c>
      <c r="I251" s="140">
        <f>(LN(B251/$B$9)+($H$9^2/2)*($J$9))/($H$9*SQRT($J$9))</f>
        <v/>
      </c>
      <c r="J251" s="143">
        <f>I251 - $H$9*SQRT($J$9)</f>
        <v/>
      </c>
    </row>
    <row r="252" ht="13.5" customHeight="1" s="116">
      <c r="B252" s="144">
        <f>B222</f>
        <v/>
      </c>
      <c r="C252" s="139">
        <f>IF($O$9="sell",-1,1) *  IF($K$9="call",  NORMDIST(I252,0,1,1),  NORMDIST(I252,0,1,1)-1  ) * $P$9</f>
        <v/>
      </c>
      <c r="D252" s="139">
        <f>IF($O$9="sell",-1,1) * NORMDIST(I252,0,1,0)/(B252*$H$9*SQRT($J$9)) * $P$9</f>
        <v/>
      </c>
      <c r="E252" s="139">
        <f>IF($O$9="sell",-1,1) * (B252*NORMDIST(I252,0,1,0)*SQRT($J$9)/365) * $P$9</f>
        <v/>
      </c>
      <c r="F252" s="139">
        <f>IF($O$9="sell",-1,1) * (-(B252*NORMDIST(I252,0,1,0)*$H$9)/(2*SQRT($J$9))/365) *$P$9</f>
        <v/>
      </c>
      <c r="G252" s="139">
        <f>IF($O$9="buy",1,-1)*( IF($K$9="call",B252*NORMDIST(I252,0,1,1) - $B$9*NORMDIST(J252,0,1,1),$B$9*NORMDIST(-J252,0,1,1) - B252*NORMDIST(-I252,0,1,1) ) - $G$9) * $P$9</f>
        <v/>
      </c>
      <c r="I252" s="140">
        <f>(LN(B252/$B$9)+($H$9^2/2)*($J$9))/($H$9*SQRT($J$9))</f>
        <v/>
      </c>
      <c r="J252" s="143">
        <f>I252 - $H$9*SQRT($J$9)</f>
        <v/>
      </c>
    </row>
    <row r="253" ht="13.5" customHeight="1" s="116">
      <c r="B253" s="144">
        <f>B223</f>
        <v/>
      </c>
      <c r="C253" s="139">
        <f>IF($O$9="sell",-1,1) *  IF($K$9="call",  NORMDIST(I253,0,1,1),  NORMDIST(I253,0,1,1)-1  ) * $P$9</f>
        <v/>
      </c>
      <c r="D253" s="139">
        <f>IF($O$9="sell",-1,1) * NORMDIST(I253,0,1,0)/(B253*$H$9*SQRT($J$9)) * $P$9</f>
        <v/>
      </c>
      <c r="E253" s="139">
        <f>IF($O$9="sell",-1,1) * (B253*NORMDIST(I253,0,1,0)*SQRT($J$9)/365) * $P$9</f>
        <v/>
      </c>
      <c r="F253" s="139">
        <f>IF($O$9="sell",-1,1) * (-(B253*NORMDIST(I253,0,1,0)*$H$9)/(2*SQRT($J$9))/365) *$P$9</f>
        <v/>
      </c>
      <c r="G253" s="139">
        <f>IF($O$9="buy",1,-1)*( IF($K$9="call",B253*NORMDIST(I253,0,1,1) - $B$9*NORMDIST(J253,0,1,1),$B$9*NORMDIST(-J253,0,1,1) - B253*NORMDIST(-I253,0,1,1) ) - $G$9) * $P$9</f>
        <v/>
      </c>
      <c r="I253" s="140">
        <f>(LN(B253/$B$9)+($H$9^2/2)*($J$9))/($H$9*SQRT($J$9))</f>
        <v/>
      </c>
      <c r="J253" s="143">
        <f>I253 - $H$9*SQRT($J$9)</f>
        <v/>
      </c>
    </row>
    <row r="254" ht="13.5" customHeight="1" s="116">
      <c r="B254" s="144">
        <f>B224</f>
        <v/>
      </c>
      <c r="C254" s="139">
        <f>IF($O$9="sell",-1,1) *  IF($K$9="call",  NORMDIST(I254,0,1,1),  NORMDIST(I254,0,1,1)-1  ) * $P$9</f>
        <v/>
      </c>
      <c r="D254" s="139">
        <f>IF($O$9="sell",-1,1) * NORMDIST(I254,0,1,0)/(B254*$H$9*SQRT($J$9)) * $P$9</f>
        <v/>
      </c>
      <c r="E254" s="139">
        <f>IF($O$9="sell",-1,1) * (B254*NORMDIST(I254,0,1,0)*SQRT($J$9)/365) * $P$9</f>
        <v/>
      </c>
      <c r="F254" s="139">
        <f>IF($O$9="sell",-1,1) * (-(B254*NORMDIST(I254,0,1,0)*$H$9)/(2*SQRT($J$9))/365) *$P$9</f>
        <v/>
      </c>
      <c r="G254" s="139">
        <f>IF($O$9="buy",1,-1)*( IF($K$9="call",B254*NORMDIST(I254,0,1,1) - $B$9*NORMDIST(J254,0,1,1),$B$9*NORMDIST(-J254,0,1,1) - B254*NORMDIST(-I254,0,1,1) ) - $G$9) * $P$9</f>
        <v/>
      </c>
      <c r="I254" s="140">
        <f>(LN(B254/$B$9)+($H$9^2/2)*($J$9))/($H$9*SQRT($J$9))</f>
        <v/>
      </c>
      <c r="J254" s="143">
        <f>I254 - $H$9*SQRT($J$9)</f>
        <v/>
      </c>
    </row>
    <row r="255" ht="13.5" customHeight="1" s="116">
      <c r="B255" s="145" t="n"/>
      <c r="C255" s="136" t="n"/>
      <c r="D255" s="136" t="n"/>
      <c r="E255" s="136" t="n"/>
      <c r="F255" s="136" t="n"/>
      <c r="G255" s="136" t="n"/>
      <c r="I255" s="146" t="n"/>
      <c r="J255" s="146" t="n"/>
    </row>
    <row r="256" ht="13.5" customHeight="1" s="116">
      <c r="B256" s="145" t="n"/>
      <c r="C256" s="136" t="n"/>
      <c r="D256" s="136" t="n"/>
      <c r="E256" s="136" t="n"/>
      <c r="F256" s="136" t="n"/>
      <c r="G256" s="136" t="n"/>
      <c r="I256" s="146" t="n"/>
      <c r="J256" s="146" t="n"/>
    </row>
    <row r="257" ht="13.5" customHeight="1" s="116">
      <c r="B257" s="137" t="n"/>
      <c r="C257" s="133" t="inlineStr">
        <is>
          <t>delta</t>
        </is>
      </c>
      <c r="D257" s="133" t="inlineStr">
        <is>
          <t>gamma</t>
        </is>
      </c>
      <c r="E257" s="133" t="inlineStr">
        <is>
          <t>vega</t>
        </is>
      </c>
      <c r="F257" s="133" t="inlineStr">
        <is>
          <t>theta</t>
        </is>
      </c>
      <c r="G257" s="133" t="inlineStr">
        <is>
          <t>mark_price</t>
        </is>
      </c>
      <c r="I257" s="133" t="inlineStr">
        <is>
          <t>d1</t>
        </is>
      </c>
      <c r="J257" s="133" t="inlineStr">
        <is>
          <t>d2</t>
        </is>
      </c>
    </row>
    <row r="258" ht="13.5" customHeight="1" s="116">
      <c r="A258" s="117">
        <f>A10</f>
        <v/>
      </c>
      <c r="B258" s="144">
        <f>B228</f>
        <v/>
      </c>
      <c r="C258" s="139">
        <f>IF($O$10="sell",-1,1) *  IF($K$10="call",  NORMDIST(I258,0,1,1),  NORMDIST(I258,0,1,1)-1  ) * $P$10</f>
        <v/>
      </c>
      <c r="D258" s="139">
        <f>IF($O$10="sell",-1,1) * NORMDIST(I258,0,1,0)/(B258*$H$10*SQRT($J$10)) * $P$10</f>
        <v/>
      </c>
      <c r="E258" s="139">
        <f>IF($O$10="sell",-1,1) * (B258*NORMDIST(I258,0,1,0)*SQRT($J$10)/365) * $P$10</f>
        <v/>
      </c>
      <c r="F258" s="139">
        <f>IF($O$10="sell",-1,1) * (-(B258*NORMDIST(I258,0,1,0)*$H$10)/(2*SQRT($J$10))/365) *$P$10</f>
        <v/>
      </c>
      <c r="G258" s="139">
        <f>IF($O$10="buy",1,-1)*( IF($K$10="call",B258*NORMDIST(I258,0,1,1) - $B$10*NORMDIST(J258,0,1,1),$B$10*NORMDIST(-J258,0,1,1) - B258*NORMDIST(-I258,0,1,1) ) - $G$10) * $P$10</f>
        <v/>
      </c>
      <c r="I258" s="140">
        <f>(LN(B258/$B$10)+($H$10^2/2)*($J$10))/($H$10*SQRT($J$10))</f>
        <v/>
      </c>
      <c r="J258" s="140">
        <f>I258 - $H$10*SQRT($J$10)</f>
        <v/>
      </c>
    </row>
    <row r="259" ht="13.5" customHeight="1" s="116">
      <c r="B259" s="144">
        <f>B229</f>
        <v/>
      </c>
      <c r="C259" s="139">
        <f>IF($O$10="sell",-1,1) *  IF($K$10="call",  NORMDIST(I259,0,1,1),  NORMDIST(I259,0,1,1)-1  ) * $P$10</f>
        <v/>
      </c>
      <c r="D259" s="139">
        <f>IF($O$10="sell",-1,1) * NORMDIST(I259,0,1,0)/(B259*$H$10*SQRT($J$10)) * $P$10</f>
        <v/>
      </c>
      <c r="E259" s="139">
        <f>IF($O$10="sell",-1,1) * (B259*NORMDIST(I259,0,1,0)*SQRT($J$10)/365) * $P$10</f>
        <v/>
      </c>
      <c r="F259" s="139">
        <f>IF($O$10="sell",-1,1) * (-(B259*NORMDIST(I259,0,1,0)*$H$10)/(2*SQRT($J$10))/365) *$P$10</f>
        <v/>
      </c>
      <c r="G259" s="139">
        <f>IF($O$10="buy",1,-1)*( IF($K$10="call",B259*NORMDIST(I259,0,1,1) - $B$10*NORMDIST(J259,0,1,1),$B$10*NORMDIST(-J259,0,1,1) - B259*NORMDIST(-I259,0,1,1) ) - $G$10) * $P$10</f>
        <v/>
      </c>
      <c r="I259" s="140">
        <f>(LN(B259/$B$10)+($H$10^2/2)*($J$10))/($H$10*SQRT($J$10))</f>
        <v/>
      </c>
      <c r="J259" s="140">
        <f>I259 - $H$10*SQRT($J$10)</f>
        <v/>
      </c>
    </row>
    <row r="260" ht="13.5" customHeight="1" s="116">
      <c r="B260" s="144">
        <f>B230</f>
        <v/>
      </c>
      <c r="C260" s="139">
        <f>IF($O$10="sell",-1,1) *  IF($K$10="call",  NORMDIST(I260,0,1,1),  NORMDIST(I260,0,1,1)-1  ) * $P$10</f>
        <v/>
      </c>
      <c r="D260" s="139">
        <f>IF($O$10="sell",-1,1) * NORMDIST(I260,0,1,0)/(B260*$H$10*SQRT($J$10)) * $P$10</f>
        <v/>
      </c>
      <c r="E260" s="139">
        <f>IF($O$10="sell",-1,1) * (B260*NORMDIST(I260,0,1,0)*SQRT($J$10)/365) * $P$10</f>
        <v/>
      </c>
      <c r="F260" s="139">
        <f>IF($O$10="sell",-1,1) * (-(B260*NORMDIST(I260,0,1,0)*$H$10)/(2*SQRT($J$10))/365) *$P$10</f>
        <v/>
      </c>
      <c r="G260" s="139">
        <f>IF($O$10="buy",1,-1)*( IF($K$10="call",B260*NORMDIST(I260,0,1,1) - $B$10*NORMDIST(J260,0,1,1),$B$10*NORMDIST(-J260,0,1,1) - B260*NORMDIST(-I260,0,1,1) ) - $G$10) * $P$10</f>
        <v/>
      </c>
      <c r="I260" s="140">
        <f>(LN(B260/$B$10)+($H$10^2/2)*($J$10))/($H$10*SQRT($J$10))</f>
        <v/>
      </c>
      <c r="J260" s="140">
        <f>I260 - $H$10*SQRT($J$10)</f>
        <v/>
      </c>
    </row>
    <row r="261" ht="13.5" customHeight="1" s="116">
      <c r="B261" s="144">
        <f>B231</f>
        <v/>
      </c>
      <c r="C261" s="139">
        <f>IF($O$10="sell",-1,1) *  IF($K$10="call",  NORMDIST(I261,0,1,1),  NORMDIST(I261,0,1,1)-1  ) * $P$10</f>
        <v/>
      </c>
      <c r="D261" s="139">
        <f>IF($O$10="sell",-1,1) * NORMDIST(I261,0,1,0)/(B261*$H$10*SQRT($J$10)) * $P$10</f>
        <v/>
      </c>
      <c r="E261" s="139">
        <f>IF($O$10="sell",-1,1) * (B261*NORMDIST(I261,0,1,0)*SQRT($J$10)/365) * $P$10</f>
        <v/>
      </c>
      <c r="F261" s="139">
        <f>IF($O$10="sell",-1,1) * (-(B261*NORMDIST(I261,0,1,0)*$H$10)/(2*SQRT($J$10))/365) *$P$10</f>
        <v/>
      </c>
      <c r="G261" s="139">
        <f>IF($O$10="buy",1,-1)*( IF($K$10="call",B261*NORMDIST(I261,0,1,1) - $B$10*NORMDIST(J261,0,1,1),$B$10*NORMDIST(-J261,0,1,1) - B261*NORMDIST(-I261,0,1,1) ) - $G$10) * $P$10</f>
        <v/>
      </c>
      <c r="I261" s="140">
        <f>(LN(B261/$B$10)+($H$10^2/2)*($J$10))/($H$10*SQRT($J$10))</f>
        <v/>
      </c>
      <c r="J261" s="140">
        <f>I261 - $H$10*SQRT($J$10)</f>
        <v/>
      </c>
    </row>
    <row r="262" ht="13.5" customHeight="1" s="116">
      <c r="B262" s="144">
        <f>B232</f>
        <v/>
      </c>
      <c r="C262" s="139">
        <f>IF($O$10="sell",-1,1) *  IF($K$10="call",  NORMDIST(I262,0,1,1),  NORMDIST(I262,0,1,1)-1  ) * $P$10</f>
        <v/>
      </c>
      <c r="D262" s="139">
        <f>IF($O$10="sell",-1,1) * NORMDIST(I262,0,1,0)/(B262*$H$10*SQRT($J$10)) * $P$10</f>
        <v/>
      </c>
      <c r="E262" s="139">
        <f>IF($O$10="sell",-1,1) * (B262*NORMDIST(I262,0,1,0)*SQRT($J$10)/365) * $P$10</f>
        <v/>
      </c>
      <c r="F262" s="139">
        <f>IF($O$10="sell",-1,1) * (-(B262*NORMDIST(I262,0,1,0)*$H$10)/(2*SQRT($J$10))/365) *$P$10</f>
        <v/>
      </c>
      <c r="G262" s="139">
        <f>IF($O$10="buy",1,-1)*( IF($K$10="call",B262*NORMDIST(I262,0,1,1) - $B$10*NORMDIST(J262,0,1,1),$B$10*NORMDIST(-J262,0,1,1) - B262*NORMDIST(-I262,0,1,1) ) - $G$10) * $P$10</f>
        <v/>
      </c>
      <c r="I262" s="140">
        <f>(LN(B262/$B$10)+($H$10^2/2)*($J$10))/($H$10*SQRT($J$10))</f>
        <v/>
      </c>
      <c r="J262" s="140">
        <f>I262 - $H$10*SQRT($J$10)</f>
        <v/>
      </c>
    </row>
    <row r="263" ht="13.5" customHeight="1" s="116">
      <c r="B263" s="144">
        <f>B233</f>
        <v/>
      </c>
      <c r="C263" s="139">
        <f>IF($O$10="sell",-1,1) *  IF($K$10="call",  NORMDIST(I263,0,1,1),  NORMDIST(I263,0,1,1)-1  ) * $P$10</f>
        <v/>
      </c>
      <c r="D263" s="139">
        <f>IF($O$10="sell",-1,1) * NORMDIST(I263,0,1,0)/(B263*$H$10*SQRT($J$10)) * $P$10</f>
        <v/>
      </c>
      <c r="E263" s="139">
        <f>IF($O$10="sell",-1,1) * (B263*NORMDIST(I263,0,1,0)*SQRT($J$10)/365) * $P$10</f>
        <v/>
      </c>
      <c r="F263" s="139">
        <f>IF($O$10="sell",-1,1) * (-(B263*NORMDIST(I263,0,1,0)*$H$10)/(2*SQRT($J$10))/365) *$P$10</f>
        <v/>
      </c>
      <c r="G263" s="139">
        <f>IF($O$10="buy",1,-1)*( IF($K$10="call",B263*NORMDIST(I263,0,1,1) - $B$10*NORMDIST(J263,0,1,1),$B$10*NORMDIST(-J263,0,1,1) - B263*NORMDIST(-I263,0,1,1) ) - $G$10) * $P$10</f>
        <v/>
      </c>
      <c r="I263" s="140">
        <f>(LN(B263/$B$10)+($H$10^2/2)*($J$10))/($H$10*SQRT($J$10))</f>
        <v/>
      </c>
      <c r="J263" s="140">
        <f>I263 - $H$10*SQRT($J$10)</f>
        <v/>
      </c>
    </row>
    <row r="264" ht="13.5" customHeight="1" s="116">
      <c r="B264" s="144">
        <f>B234</f>
        <v/>
      </c>
      <c r="C264" s="139">
        <f>IF($O$10="sell",-1,1) *  IF($K$10="call",  NORMDIST(I264,0,1,1),  NORMDIST(I264,0,1,1)-1  ) * $P$10</f>
        <v/>
      </c>
      <c r="D264" s="139">
        <f>IF($O$10="sell",-1,1) * NORMDIST(I264,0,1,0)/(B264*$H$10*SQRT($J$10)) * $P$10</f>
        <v/>
      </c>
      <c r="E264" s="139">
        <f>IF($O$10="sell",-1,1) * (B264*NORMDIST(I264,0,1,0)*SQRT($J$10)/365) * $P$10</f>
        <v/>
      </c>
      <c r="F264" s="139">
        <f>IF($O$10="sell",-1,1) * (-(B264*NORMDIST(I264,0,1,0)*$H$10)/(2*SQRT($J$10))/365) *$P$10</f>
        <v/>
      </c>
      <c r="G264" s="139">
        <f>IF($O$10="buy",1,-1)*( IF($K$10="call",B264*NORMDIST(I264,0,1,1) - $B$10*NORMDIST(J264,0,1,1),$B$10*NORMDIST(-J264,0,1,1) - B264*NORMDIST(-I264,0,1,1) ) - $G$10) * $P$10</f>
        <v/>
      </c>
      <c r="I264" s="140">
        <f>(LN(B264/$B$10)+($H$10^2/2)*($J$10))/($H$10*SQRT($J$10))</f>
        <v/>
      </c>
      <c r="J264" s="140">
        <f>I264 - $H$10*SQRT($J$10)</f>
        <v/>
      </c>
    </row>
    <row r="265" ht="13.5" customHeight="1" s="116">
      <c r="B265" s="144">
        <f>B235</f>
        <v/>
      </c>
      <c r="C265" s="139">
        <f>IF($O$10="sell",-1,1) *  IF($K$10="call",  NORMDIST(I265,0,1,1),  NORMDIST(I265,0,1,1)-1  ) * $P$10</f>
        <v/>
      </c>
      <c r="D265" s="139">
        <f>IF($O$10="sell",-1,1) * NORMDIST(I265,0,1,0)/(B265*$H$10*SQRT($J$10)) * $P$10</f>
        <v/>
      </c>
      <c r="E265" s="139">
        <f>IF($O$10="sell",-1,1) * (B265*NORMDIST(I265,0,1,0)*SQRT($J$10)/365) * $P$10</f>
        <v/>
      </c>
      <c r="F265" s="139">
        <f>IF($O$10="sell",-1,1) * (-(B265*NORMDIST(I265,0,1,0)*$H$10)/(2*SQRT($J$10))/365) *$P$10</f>
        <v/>
      </c>
      <c r="G265" s="139">
        <f>IF($O$10="buy",1,-1)*( IF($K$10="call",B265*NORMDIST(I265,0,1,1) - $B$10*NORMDIST(J265,0,1,1),$B$10*NORMDIST(-J265,0,1,1) - B265*NORMDIST(-I265,0,1,1) ) - $G$10) * $P$10</f>
        <v/>
      </c>
      <c r="I265" s="140">
        <f>(LN(B265/$B$10)+($H$10^2/2)*($J$10))/($H$10*SQRT($J$10))</f>
        <v/>
      </c>
      <c r="J265" s="140">
        <f>I265 - $H$10*SQRT($J$10)</f>
        <v/>
      </c>
    </row>
    <row r="266" ht="13.5" customHeight="1" s="116">
      <c r="B266" s="144">
        <f>B236</f>
        <v/>
      </c>
      <c r="C266" s="139">
        <f>IF($O$10="sell",-1,1) *  IF($K$10="call",  NORMDIST(I266,0,1,1),  NORMDIST(I266,0,1,1)-1  ) * $P$10</f>
        <v/>
      </c>
      <c r="D266" s="139">
        <f>IF($O$10="sell",-1,1) * NORMDIST(I266,0,1,0)/(B266*$H$10*SQRT($J$10)) * $P$10</f>
        <v/>
      </c>
      <c r="E266" s="139">
        <f>IF($O$10="sell",-1,1) * (B266*NORMDIST(I266,0,1,0)*SQRT($J$10)/365) * $P$10</f>
        <v/>
      </c>
      <c r="F266" s="139">
        <f>IF($O$10="sell",-1,1) * (-(B266*NORMDIST(I266,0,1,0)*$H$10)/(2*SQRT($J$10))/365) *$P$10</f>
        <v/>
      </c>
      <c r="G266" s="139">
        <f>IF($O$10="buy",1,-1)*( IF($K$10="call",B266*NORMDIST(I266,0,1,1) - $B$10*NORMDIST(J266,0,1,1),$B$10*NORMDIST(-J266,0,1,1) - B266*NORMDIST(-I266,0,1,1) ) - $G$10) * $P$10</f>
        <v/>
      </c>
      <c r="I266" s="140">
        <f>(LN(B266/$B$10)+($H$10^2/2)*($J$10))/($H$10*SQRT($J$10))</f>
        <v/>
      </c>
      <c r="J266" s="140">
        <f>I266 - $H$10*SQRT($J$10)</f>
        <v/>
      </c>
    </row>
    <row r="267" ht="13.5" customHeight="1" s="116">
      <c r="B267" s="144">
        <f>B237</f>
        <v/>
      </c>
      <c r="C267" s="139">
        <f>IF($O$10="sell",-1,1) *  IF($K$10="call",  NORMDIST(I267,0,1,1),  NORMDIST(I267,0,1,1)-1  ) * $P$10</f>
        <v/>
      </c>
      <c r="D267" s="139">
        <f>IF($O$10="sell",-1,1) * NORMDIST(I267,0,1,0)/(B267*$H$10*SQRT($J$10)) * $P$10</f>
        <v/>
      </c>
      <c r="E267" s="139">
        <f>IF($O$10="sell",-1,1) * (B267*NORMDIST(I267,0,1,0)*SQRT($J$10)/365) * $P$10</f>
        <v/>
      </c>
      <c r="F267" s="139">
        <f>IF($O$10="sell",-1,1) * (-(B267*NORMDIST(I267,0,1,0)*$H$10)/(2*SQRT($J$10))/365) *$P$10</f>
        <v/>
      </c>
      <c r="G267" s="139">
        <f>IF($O$10="buy",1,-1)*( IF($K$10="call",B267*NORMDIST(I267,0,1,1) - $B$10*NORMDIST(J267,0,1,1),$B$10*NORMDIST(-J267,0,1,1) - B267*NORMDIST(-I267,0,1,1) ) - $G$10) * $P$10</f>
        <v/>
      </c>
      <c r="I267" s="140">
        <f>(LN(B267/$B$10)+($H$10^2/2)*($J$10))/($H$10*SQRT($J$10))</f>
        <v/>
      </c>
      <c r="J267" s="140">
        <f>I267 - $H$10*SQRT($J$10)</f>
        <v/>
      </c>
    </row>
    <row r="268" ht="13.5" customHeight="1" s="116">
      <c r="B268" s="144">
        <f>B238</f>
        <v/>
      </c>
      <c r="C268" s="139">
        <f>IF($O$10="sell",-1,1) *  IF($K$10="call",  NORMDIST(I268,0,1,1),  NORMDIST(I268,0,1,1)-1  ) * $P$10</f>
        <v/>
      </c>
      <c r="D268" s="139">
        <f>IF($O$10="sell",-1,1) * NORMDIST(I268,0,1,0)/(B268*$H$10*SQRT($J$10)) * $P$10</f>
        <v/>
      </c>
      <c r="E268" s="139">
        <f>IF($O$10="sell",-1,1) * (B268*NORMDIST(I268,0,1,0)*SQRT($J$10)/365) * $P$10</f>
        <v/>
      </c>
      <c r="F268" s="139">
        <f>IF($O$10="sell",-1,1) * (-(B268*NORMDIST(I268,0,1,0)*$H$10)/(2*SQRT($J$10))/365) *$P$10</f>
        <v/>
      </c>
      <c r="G268" s="139">
        <f>IF($O$10="buy",1,-1)*( IF($K$10="call",B268*NORMDIST(I268,0,1,1) - $B$10*NORMDIST(J268,0,1,1),$B$10*NORMDIST(-J268,0,1,1) - B268*NORMDIST(-I268,0,1,1) ) - $G$10) * $P$10</f>
        <v/>
      </c>
      <c r="I268" s="140">
        <f>(LN(B268/$B$10)+($H$10^2/2)*($J$10))/($H$10*SQRT($J$10))</f>
        <v/>
      </c>
      <c r="J268" s="140">
        <f>I268 - $H$10*SQRT($J$10)</f>
        <v/>
      </c>
    </row>
    <row r="269" ht="13.5" customHeight="1" s="116">
      <c r="B269" s="144">
        <f>B239</f>
        <v/>
      </c>
      <c r="C269" s="139">
        <f>IF($O$10="sell",-1,1) *  IF($K$10="call",  NORMDIST(I269,0,1,1),  NORMDIST(I269,0,1,1)-1  ) * $P$10</f>
        <v/>
      </c>
      <c r="D269" s="139">
        <f>IF($O$10="sell",-1,1) * NORMDIST(I269,0,1,0)/(B269*$H$10*SQRT($J$10)) * $P$10</f>
        <v/>
      </c>
      <c r="E269" s="139">
        <f>IF($O$10="sell",-1,1) * (B269*NORMDIST(I269,0,1,0)*SQRT($J$10)/365) * $P$10</f>
        <v/>
      </c>
      <c r="F269" s="139">
        <f>IF($O$10="sell",-1,1) * (-(B269*NORMDIST(I269,0,1,0)*$H$10)/(2*SQRT($J$10))/365) *$P$10</f>
        <v/>
      </c>
      <c r="G269" s="139">
        <f>IF($O$10="buy",1,-1)*( IF($K$10="call",B269*NORMDIST(I269,0,1,1) - $B$10*NORMDIST(J269,0,1,1),$B$10*NORMDIST(-J269,0,1,1) - B269*NORMDIST(-I269,0,1,1) ) - $G$10) * $P$10</f>
        <v/>
      </c>
      <c r="I269" s="140">
        <f>(LN(B269/$B$10)+($H$10^2/2)*($J$10))/($H$10*SQRT($J$10))</f>
        <v/>
      </c>
      <c r="J269" s="140">
        <f>I269 - $H$10*SQRT($J$10)</f>
        <v/>
      </c>
    </row>
    <row r="270" ht="13.5" customHeight="1" s="116">
      <c r="B270" s="144">
        <f>B240</f>
        <v/>
      </c>
      <c r="C270" s="139">
        <f>IF($O$10="sell",-1,1) *  IF($K$10="call",  NORMDIST(I270,0,1,1),  NORMDIST(I270,0,1,1)-1  ) * $P$10</f>
        <v/>
      </c>
      <c r="D270" s="139">
        <f>IF($O$10="sell",-1,1) * NORMDIST(I270,0,1,0)/(B270*$H$10*SQRT($J$10)) * $P$10</f>
        <v/>
      </c>
      <c r="E270" s="139">
        <f>IF($O$10="sell",-1,1) * (B270*NORMDIST(I270,0,1,0)*SQRT($J$10)/365) * $P$10</f>
        <v/>
      </c>
      <c r="F270" s="139">
        <f>IF($O$10="sell",-1,1) * (-(B270*NORMDIST(I270,0,1,0)*$H$10)/(2*SQRT($J$10))/365) *$P$10</f>
        <v/>
      </c>
      <c r="G270" s="139">
        <f>IF($O$10="buy",1,-1)*( IF($K$10="call",B270*NORMDIST(I270,0,1,1) - $B$10*NORMDIST(J270,0,1,1),$B$10*NORMDIST(-J270,0,1,1) - B270*NORMDIST(-I270,0,1,1) ) - $G$10) * $P$10</f>
        <v/>
      </c>
      <c r="I270" s="140">
        <f>(LN(B270/$B$10)+($H$10^2/2)*($J$10))/($H$10*SQRT($J$10))</f>
        <v/>
      </c>
      <c r="J270" s="140">
        <f>I270 - $H$10*SQRT($J$10)</f>
        <v/>
      </c>
    </row>
    <row r="271" ht="13.5" customHeight="1" s="116">
      <c r="B271" s="144">
        <f>B241</f>
        <v/>
      </c>
      <c r="C271" s="139">
        <f>IF($O$10="sell",-1,1) *  IF($K$10="call",  NORMDIST(I271,0,1,1),  NORMDIST(I271,0,1,1)-1  ) * $P$10</f>
        <v/>
      </c>
      <c r="D271" s="139">
        <f>IF($O$10="sell",-1,1) * NORMDIST(I271,0,1,0)/(B271*$H$10*SQRT($J$10)) * $P$10</f>
        <v/>
      </c>
      <c r="E271" s="139">
        <f>IF($O$10="sell",-1,1) * (B271*NORMDIST(I271,0,1,0)*SQRT($J$10)/365) * $P$10</f>
        <v/>
      </c>
      <c r="F271" s="139">
        <f>IF($O$10="sell",-1,1) * (-(B271*NORMDIST(I271,0,1,0)*$H$10)/(2*SQRT($J$10))/365) *$P$10</f>
        <v/>
      </c>
      <c r="G271" s="139">
        <f>IF($O$10="buy",1,-1)*( IF($K$10="call",B271*NORMDIST(I271,0,1,1) - $B$10*NORMDIST(J271,0,1,1),$B$10*NORMDIST(-J271,0,1,1) - B271*NORMDIST(-I271,0,1,1) ) - $G$10) * $P$10</f>
        <v/>
      </c>
      <c r="I271" s="140">
        <f>(LN(B271/$B$10)+($H$10^2/2)*($J$10))/($H$10*SQRT($J$10))</f>
        <v/>
      </c>
      <c r="J271" s="140">
        <f>I271 - $H$10*SQRT($J$10)</f>
        <v/>
      </c>
    </row>
    <row r="272" ht="13.5" customHeight="1" s="116">
      <c r="B272" s="144">
        <f>B242</f>
        <v/>
      </c>
      <c r="C272" s="139">
        <f>IF($O$10="sell",-1,1) *  IF($K$10="call",  NORMDIST(I272,0,1,1),  NORMDIST(I272,0,1,1)-1  ) * $P$10</f>
        <v/>
      </c>
      <c r="D272" s="139">
        <f>IF($O$10="sell",-1,1) * NORMDIST(I272,0,1,0)/(B272*$H$10*SQRT($J$10)) * $P$10</f>
        <v/>
      </c>
      <c r="E272" s="139">
        <f>IF($O$10="sell",-1,1) * (B272*NORMDIST(I272,0,1,0)*SQRT($J$10)/365) * $P$10</f>
        <v/>
      </c>
      <c r="F272" s="139">
        <f>IF($O$10="sell",-1,1) * (-(B272*NORMDIST(I272,0,1,0)*$H$10)/(2*SQRT($J$10))/365) *$P$10</f>
        <v/>
      </c>
      <c r="G272" s="139">
        <f>IF($O$10="buy",1,-1)*( IF($K$10="call",B272*NORMDIST(I272,0,1,1) - $B$10*NORMDIST(J272,0,1,1),$B$10*NORMDIST(-J272,0,1,1) - B272*NORMDIST(-I272,0,1,1) ) - $G$10) * $P$10</f>
        <v/>
      </c>
      <c r="I272" s="140">
        <f>(LN(B272/$B$10)+($H$10^2/2)*($J$10))/($H$10*SQRT($J$10))</f>
        <v/>
      </c>
      <c r="J272" s="140">
        <f>I272 - $H$10*SQRT($J$10)</f>
        <v/>
      </c>
    </row>
    <row r="273" ht="13.5" customHeight="1" s="116">
      <c r="B273" s="144">
        <f>B243</f>
        <v/>
      </c>
      <c r="C273" s="139">
        <f>IF($O$10="sell",-1,1) *  IF($K$10="call",  NORMDIST(I273,0,1,1),  NORMDIST(I273,0,1,1)-1  ) * $P$10</f>
        <v/>
      </c>
      <c r="D273" s="139">
        <f>IF($O$10="sell",-1,1) * NORMDIST(I273,0,1,0)/(B273*$H$10*SQRT($J$10)) * $P$10</f>
        <v/>
      </c>
      <c r="E273" s="139">
        <f>IF($O$10="sell",-1,1) * (B273*NORMDIST(I273,0,1,0)*SQRT($J$10)/365) * $P$10</f>
        <v/>
      </c>
      <c r="F273" s="139">
        <f>IF($O$10="sell",-1,1) * (-(B273*NORMDIST(I273,0,1,0)*$H$10)/(2*SQRT($J$10))/365) *$P$10</f>
        <v/>
      </c>
      <c r="G273" s="139">
        <f>IF($O$10="buy",1,-1)*( IF($K$10="call",B273*NORMDIST(I273,0,1,1) - $B$10*NORMDIST(J273,0,1,1),$B$10*NORMDIST(-J273,0,1,1) - B273*NORMDIST(-I273,0,1,1) ) - $G$10) * $P$10</f>
        <v/>
      </c>
      <c r="I273" s="140">
        <f>(LN(B273/$B$10)+($H$10^2/2)*($J$10))/($H$10*SQRT($J$10))</f>
        <v/>
      </c>
      <c r="J273" s="140">
        <f>I273 - $H$10*SQRT($J$10)</f>
        <v/>
      </c>
    </row>
    <row r="274" ht="13.5" customHeight="1" s="116">
      <c r="B274" s="144">
        <f>B244</f>
        <v/>
      </c>
      <c r="C274" s="139">
        <f>IF($O$10="sell",-1,1) *  IF($K$10="call",  NORMDIST(I274,0,1,1),  NORMDIST(I274,0,1,1)-1  ) * $P$10</f>
        <v/>
      </c>
      <c r="D274" s="139">
        <f>IF($O$10="sell",-1,1) * NORMDIST(I274,0,1,0)/(B274*$H$10*SQRT($J$10)) * $P$10</f>
        <v/>
      </c>
      <c r="E274" s="139">
        <f>IF($O$10="sell",-1,1) * (B274*NORMDIST(I274,0,1,0)*SQRT($J$10)/365) * $P$10</f>
        <v/>
      </c>
      <c r="F274" s="139">
        <f>IF($O$10="sell",-1,1) * (-(B274*NORMDIST(I274,0,1,0)*$H$10)/(2*SQRT($J$10))/365) *$P$10</f>
        <v/>
      </c>
      <c r="G274" s="139">
        <f>IF($O$10="buy",1,-1)*( IF($K$10="call",B274*NORMDIST(I274,0,1,1) - $B$10*NORMDIST(J274,0,1,1),$B$10*NORMDIST(-J274,0,1,1) - B274*NORMDIST(-I274,0,1,1) ) - $G$10) * $P$10</f>
        <v/>
      </c>
      <c r="I274" s="140">
        <f>(LN(B274/$B$10)+($H$10^2/2)*($J$10))/($H$10*SQRT($J$10))</f>
        <v/>
      </c>
      <c r="J274" s="140">
        <f>I274 - $H$10*SQRT($J$10)</f>
        <v/>
      </c>
    </row>
    <row r="275" ht="13.5" customHeight="1" s="116">
      <c r="B275" s="144">
        <f>B245</f>
        <v/>
      </c>
      <c r="C275" s="139">
        <f>IF($O$10="sell",-1,1) *  IF($K$10="call",  NORMDIST(I275,0,1,1),  NORMDIST(I275,0,1,1)-1  ) * $P$10</f>
        <v/>
      </c>
      <c r="D275" s="139">
        <f>IF($O$10="sell",-1,1) * NORMDIST(I275,0,1,0)/(B275*$H$10*SQRT($J$10)) * $P$10</f>
        <v/>
      </c>
      <c r="E275" s="139">
        <f>IF($O$10="sell",-1,1) * (B275*NORMDIST(I275,0,1,0)*SQRT($J$10)/365) * $P$10</f>
        <v/>
      </c>
      <c r="F275" s="139">
        <f>IF($O$10="sell",-1,1) * (-(B275*NORMDIST(I275,0,1,0)*$H$10)/(2*SQRT($J$10))/365) *$P$10</f>
        <v/>
      </c>
      <c r="G275" s="139">
        <f>IF($O$10="buy",1,-1)*( IF($K$10="call",B275*NORMDIST(I275,0,1,1) - $B$10*NORMDIST(J275,0,1,1),$B$10*NORMDIST(-J275,0,1,1) - B275*NORMDIST(-I275,0,1,1) ) - $G$10) * $P$10</f>
        <v/>
      </c>
      <c r="I275" s="140">
        <f>(LN(B275/$B$10)+($H$10^2/2)*($J$10))/($H$10*SQRT($J$10))</f>
        <v/>
      </c>
      <c r="J275" s="140">
        <f>I275 - $H$10*SQRT($J$10)</f>
        <v/>
      </c>
    </row>
    <row r="276" ht="13.5" customHeight="1" s="116">
      <c r="B276" s="144">
        <f>B246</f>
        <v/>
      </c>
      <c r="C276" s="139">
        <f>IF($O$10="sell",-1,1) *  IF($K$10="call",  NORMDIST(I276,0,1,1),  NORMDIST(I276,0,1,1)-1  ) * $P$10</f>
        <v/>
      </c>
      <c r="D276" s="139">
        <f>IF($O$10="sell",-1,1) * NORMDIST(I276,0,1,0)/(B276*$H$10*SQRT($J$10)) * $P$10</f>
        <v/>
      </c>
      <c r="E276" s="139">
        <f>IF($O$10="sell",-1,1) * (B276*NORMDIST(I276,0,1,0)*SQRT($J$10)/365) * $P$10</f>
        <v/>
      </c>
      <c r="F276" s="139">
        <f>IF($O$10="sell",-1,1) * (-(B276*NORMDIST(I276,0,1,0)*$H$10)/(2*SQRT($J$10))/365) *$P$10</f>
        <v/>
      </c>
      <c r="G276" s="139">
        <f>IF($O$10="buy",1,-1)*( IF($K$10="call",B276*NORMDIST(I276,0,1,1) - $B$10*NORMDIST(J276,0,1,1),$B$10*NORMDIST(-J276,0,1,1) - B276*NORMDIST(-I276,0,1,1) ) - $G$10) * $P$10</f>
        <v/>
      </c>
      <c r="I276" s="140">
        <f>(LN(B276/$B$10)+($H$10^2/2)*($J$10))/($H$10*SQRT($J$10))</f>
        <v/>
      </c>
      <c r="J276" s="140">
        <f>I276 - $H$10*SQRT($J$10)</f>
        <v/>
      </c>
    </row>
    <row r="277" ht="13.5" customHeight="1" s="116">
      <c r="B277" s="144">
        <f>B247</f>
        <v/>
      </c>
      <c r="C277" s="139">
        <f>IF($O$10="sell",-1,1) *  IF($K$10="call",  NORMDIST(I277,0,1,1),  NORMDIST(I277,0,1,1)-1  ) * $P$10</f>
        <v/>
      </c>
      <c r="D277" s="139">
        <f>IF($O$10="sell",-1,1) * NORMDIST(I277,0,1,0)/(B277*$H$10*SQRT($J$10)) * $P$10</f>
        <v/>
      </c>
      <c r="E277" s="139">
        <f>IF($O$10="sell",-1,1) * (B277*NORMDIST(I277,0,1,0)*SQRT($J$10)/365) * $P$10</f>
        <v/>
      </c>
      <c r="F277" s="139">
        <f>IF($O$10="sell",-1,1) * (-(B277*NORMDIST(I277,0,1,0)*$H$10)/(2*SQRT($J$10))/365) *$P$10</f>
        <v/>
      </c>
      <c r="G277" s="139">
        <f>IF($O$10="buy",1,-1)*( IF($K$10="call",B277*NORMDIST(I277,0,1,1) - $B$10*NORMDIST(J277,0,1,1),$B$10*NORMDIST(-J277,0,1,1) - B277*NORMDIST(-I277,0,1,1) ) - $G$10) * $P$10</f>
        <v/>
      </c>
      <c r="I277" s="140">
        <f>(LN(B277/$B$10)+($H$10^2/2)*($J$10))/($H$10*SQRT($J$10))</f>
        <v/>
      </c>
      <c r="J277" s="140">
        <f>I277 - $H$10*SQRT($J$10)</f>
        <v/>
      </c>
    </row>
    <row r="278" ht="13.5" customHeight="1" s="116">
      <c r="B278" s="144">
        <f>B248</f>
        <v/>
      </c>
      <c r="C278" s="139">
        <f>IF($O$10="sell",-1,1) *  IF($K$10="call",  NORMDIST(I278,0,1,1),  NORMDIST(I278,0,1,1)-1  ) * $P$10</f>
        <v/>
      </c>
      <c r="D278" s="139">
        <f>IF($O$10="sell",-1,1) * NORMDIST(I278,0,1,0)/(B278*$H$10*SQRT($J$10)) * $P$10</f>
        <v/>
      </c>
      <c r="E278" s="139">
        <f>IF($O$10="sell",-1,1) * (B278*NORMDIST(I278,0,1,0)*SQRT($J$10)/365) * $P$10</f>
        <v/>
      </c>
      <c r="F278" s="139">
        <f>IF($O$10="sell",-1,1) * (-(B278*NORMDIST(I278,0,1,0)*$H$10)/(2*SQRT($J$10))/365) *$P$10</f>
        <v/>
      </c>
      <c r="G278" s="139">
        <f>IF($O$10="buy",1,-1)*( IF($K$10="call",B278*NORMDIST(I278,0,1,1) - $B$10*NORMDIST(J278,0,1,1),$B$10*NORMDIST(-J278,0,1,1) - B278*NORMDIST(-I278,0,1,1) ) - $G$10) * $P$10</f>
        <v/>
      </c>
      <c r="I278" s="140">
        <f>(LN(B278/$B$10)+($H$10^2/2)*($J$10))/($H$10*SQRT($J$10))</f>
        <v/>
      </c>
      <c r="J278" s="140">
        <f>I278 - $H$10*SQRT($J$10)</f>
        <v/>
      </c>
    </row>
    <row r="279" ht="13.5" customHeight="1" s="116">
      <c r="B279" s="144">
        <f>B249</f>
        <v/>
      </c>
      <c r="C279" s="139">
        <f>IF($O$10="sell",-1,1) *  IF($K$10="call",  NORMDIST(I279,0,1,1),  NORMDIST(I279,0,1,1)-1  ) * $P$10</f>
        <v/>
      </c>
      <c r="D279" s="139">
        <f>IF($O$10="sell",-1,1) * NORMDIST(I279,0,1,0)/(B279*$H$10*SQRT($J$10)) * $P$10</f>
        <v/>
      </c>
      <c r="E279" s="139">
        <f>IF($O$10="sell",-1,1) * (B279*NORMDIST(I279,0,1,0)*SQRT($J$10)/365) * $P$10</f>
        <v/>
      </c>
      <c r="F279" s="139">
        <f>IF($O$10="sell",-1,1) * (-(B279*NORMDIST(I279,0,1,0)*$H$10)/(2*SQRT($J$10))/365) *$P$10</f>
        <v/>
      </c>
      <c r="G279" s="139">
        <f>IF($O$10="buy",1,-1)*( IF($K$10="call",B279*NORMDIST(I279,0,1,1) - $B$10*NORMDIST(J279,0,1,1),$B$10*NORMDIST(-J279,0,1,1) - B279*NORMDIST(-I279,0,1,1) ) - $G$10) * $P$10</f>
        <v/>
      </c>
      <c r="I279" s="140">
        <f>(LN(B279/$B$10)+($H$10^2/2)*($J$10))/($H$10*SQRT($J$10))</f>
        <v/>
      </c>
      <c r="J279" s="140">
        <f>I279 - $H$10*SQRT($J$10)</f>
        <v/>
      </c>
    </row>
    <row r="280" ht="13.5" customHeight="1" s="116">
      <c r="B280" s="144">
        <f>B250</f>
        <v/>
      </c>
      <c r="C280" s="139">
        <f>IF($O$10="sell",-1,1) *  IF($K$10="call",  NORMDIST(I280,0,1,1),  NORMDIST(I280,0,1,1)-1  ) * $P$10</f>
        <v/>
      </c>
      <c r="D280" s="139">
        <f>IF($O$10="sell",-1,1) * NORMDIST(I280,0,1,0)/(B280*$H$10*SQRT($J$10)) * $P$10</f>
        <v/>
      </c>
      <c r="E280" s="139">
        <f>IF($O$10="sell",-1,1) * (B280*NORMDIST(I280,0,1,0)*SQRT($J$10)/365) * $P$10</f>
        <v/>
      </c>
      <c r="F280" s="139">
        <f>IF($O$10="sell",-1,1) * (-(B280*NORMDIST(I280,0,1,0)*$H$10)/(2*SQRT($J$10))/365) *$P$10</f>
        <v/>
      </c>
      <c r="G280" s="139">
        <f>IF($O$10="buy",1,-1)*( IF($K$10="call",B280*NORMDIST(I280,0,1,1) - $B$10*NORMDIST(J280,0,1,1),$B$10*NORMDIST(-J280,0,1,1) - B280*NORMDIST(-I280,0,1,1) ) - $G$10) * $P$10</f>
        <v/>
      </c>
      <c r="I280" s="140">
        <f>(LN(B280/$B$10)+($H$10^2/2)*($J$10))/($H$10*SQRT($J$10))</f>
        <v/>
      </c>
      <c r="J280" s="140">
        <f>I280 - $H$10*SQRT($J$10)</f>
        <v/>
      </c>
    </row>
    <row r="281" ht="13.5" customHeight="1" s="116">
      <c r="B281" s="144">
        <f>B251</f>
        <v/>
      </c>
      <c r="C281" s="139">
        <f>IF($O$10="sell",-1,1) *  IF($K$10="call",  NORMDIST(I281,0,1,1),  NORMDIST(I281,0,1,1)-1  ) * $P$10</f>
        <v/>
      </c>
      <c r="D281" s="139">
        <f>IF($O$10="sell",-1,1) * NORMDIST(I281,0,1,0)/(B281*$H$10*SQRT($J$10)) * $P$10</f>
        <v/>
      </c>
      <c r="E281" s="139">
        <f>IF($O$10="sell",-1,1) * (B281*NORMDIST(I281,0,1,0)*SQRT($J$10)/365) * $P$10</f>
        <v/>
      </c>
      <c r="F281" s="139">
        <f>IF($O$10="sell",-1,1) * (-(B281*NORMDIST(I281,0,1,0)*$H$10)/(2*SQRT($J$10))/365) *$P$10</f>
        <v/>
      </c>
      <c r="G281" s="139">
        <f>IF($O$10="buy",1,-1)*( IF($K$10="call",B281*NORMDIST(I281,0,1,1) - $B$10*NORMDIST(J281,0,1,1),$B$10*NORMDIST(-J281,0,1,1) - B281*NORMDIST(-I281,0,1,1) ) - $G$10) * $P$10</f>
        <v/>
      </c>
      <c r="I281" s="140">
        <f>(LN(B281/$B$10)+($H$10^2/2)*($J$10))/($H$10*SQRT($J$10))</f>
        <v/>
      </c>
      <c r="J281" s="140">
        <f>I281 - $H$10*SQRT($J$10)</f>
        <v/>
      </c>
    </row>
    <row r="282" ht="13.5" customHeight="1" s="116">
      <c r="B282" s="144">
        <f>B252</f>
        <v/>
      </c>
      <c r="C282" s="139">
        <f>IF($O$10="sell",-1,1) *  IF($K$10="call",  NORMDIST(I282,0,1,1),  NORMDIST(I282,0,1,1)-1  ) * $P$10</f>
        <v/>
      </c>
      <c r="D282" s="139">
        <f>IF($O$10="sell",-1,1) * NORMDIST(I282,0,1,0)/(B282*$H$10*SQRT($J$10)) * $P$10</f>
        <v/>
      </c>
      <c r="E282" s="139">
        <f>IF($O$10="sell",-1,1) * (B282*NORMDIST(I282,0,1,0)*SQRT($J$10)/365) * $P$10</f>
        <v/>
      </c>
      <c r="F282" s="139">
        <f>IF($O$10="sell",-1,1) * (-(B282*NORMDIST(I282,0,1,0)*$H$10)/(2*SQRT($J$10))/365) *$P$10</f>
        <v/>
      </c>
      <c r="G282" s="139">
        <f>IF($O$10="buy",1,-1)*( IF($K$10="call",B282*NORMDIST(I282,0,1,1) - $B$10*NORMDIST(J282,0,1,1),$B$10*NORMDIST(-J282,0,1,1) - B282*NORMDIST(-I282,0,1,1) ) - $G$10) * $P$10</f>
        <v/>
      </c>
      <c r="I282" s="140">
        <f>(LN(B282/$B$10)+($H$10^2/2)*($J$10))/($H$10*SQRT($J$10))</f>
        <v/>
      </c>
      <c r="J282" s="140">
        <f>I282 - $H$10*SQRT($J$10)</f>
        <v/>
      </c>
    </row>
    <row r="283" ht="13.5" customHeight="1" s="116">
      <c r="B283" s="144">
        <f>B253</f>
        <v/>
      </c>
      <c r="C283" s="139">
        <f>IF($O$10="sell",-1,1) *  IF($K$10="call",  NORMDIST(I283,0,1,1),  NORMDIST(I283,0,1,1)-1  ) * $P$10</f>
        <v/>
      </c>
      <c r="D283" s="139">
        <f>IF($O$10="sell",-1,1) * NORMDIST(I283,0,1,0)/(B283*$H$10*SQRT($J$10)) * $P$10</f>
        <v/>
      </c>
      <c r="E283" s="139">
        <f>IF($O$10="sell",-1,1) * (B283*NORMDIST(I283,0,1,0)*SQRT($J$10)/365) * $P$10</f>
        <v/>
      </c>
      <c r="F283" s="139">
        <f>IF($O$10="sell",-1,1) * (-(B283*NORMDIST(I283,0,1,0)*$H$10)/(2*SQRT($J$10))/365) *$P$10</f>
        <v/>
      </c>
      <c r="G283" s="139">
        <f>IF($O$10="buy",1,-1)*( IF($K$10="call",B283*NORMDIST(I283,0,1,1) - $B$10*NORMDIST(J283,0,1,1),$B$10*NORMDIST(-J283,0,1,1) - B283*NORMDIST(-I283,0,1,1) ) - $G$10) * $P$10</f>
        <v/>
      </c>
      <c r="I283" s="140">
        <f>(LN(B283/$B$10)+($H$10^2/2)*($J$10))/($H$10*SQRT($J$10))</f>
        <v/>
      </c>
      <c r="J283" s="140">
        <f>I283 - $H$10*SQRT($J$10)</f>
        <v/>
      </c>
    </row>
    <row r="284" ht="13.5" customHeight="1" s="116">
      <c r="B284" s="144">
        <f>B254</f>
        <v/>
      </c>
      <c r="C284" s="139">
        <f>IF($O$10="sell",-1,1) *  IF($K$10="call",  NORMDIST(I284,0,1,1),  NORMDIST(I284,0,1,1)-1  ) * $P$10</f>
        <v/>
      </c>
      <c r="D284" s="139">
        <f>IF($O$10="sell",-1,1) * NORMDIST(I284,0,1,0)/(B284*$H$10*SQRT($J$10)) * $P$10</f>
        <v/>
      </c>
      <c r="E284" s="139">
        <f>IF($O$10="sell",-1,1) * (B284*NORMDIST(I284,0,1,0)*SQRT($J$10)/365) * $P$10</f>
        <v/>
      </c>
      <c r="F284" s="139">
        <f>IF($O$10="sell",-1,1) * (-(B284*NORMDIST(I284,0,1,0)*$H$10)/(2*SQRT($J$10))/365) *$P$10</f>
        <v/>
      </c>
      <c r="G284" s="139">
        <f>IF($O$10="buy",1,-1)*( IF($K$10="call",B284*NORMDIST(I284,0,1,1) - $B$10*NORMDIST(J284,0,1,1),$B$10*NORMDIST(-J284,0,1,1) - B284*NORMDIST(-I284,0,1,1) ) - $G$10) * $P$10</f>
        <v/>
      </c>
      <c r="I284" s="140">
        <f>(LN(B284/$B$10)+($H$10^2/2)*($J$10))/($H$10*SQRT($J$10))</f>
        <v/>
      </c>
      <c r="J284" s="140">
        <f>I284 - $H$10*SQRT($J$10)</f>
        <v/>
      </c>
    </row>
    <row r="285" ht="13.5" customHeight="1" s="116">
      <c r="B285" s="145" t="n"/>
      <c r="C285" s="136" t="n"/>
      <c r="D285" s="136" t="n"/>
      <c r="E285" s="136" t="n"/>
      <c r="F285" s="136" t="n"/>
      <c r="G285" s="136" t="n"/>
      <c r="I285" s="146" t="n"/>
      <c r="J285" s="146" t="n"/>
    </row>
    <row r="286" ht="13.5" customHeight="1" s="116">
      <c r="B286" s="145" t="n"/>
      <c r="C286" s="136" t="n"/>
      <c r="D286" s="136" t="n"/>
      <c r="E286" s="136" t="n"/>
      <c r="F286" s="136" t="n"/>
      <c r="G286" s="136" t="n"/>
      <c r="I286" s="146" t="n"/>
      <c r="J286" s="146" t="n"/>
    </row>
    <row r="287" ht="13.5" customHeight="1" s="116">
      <c r="B287" s="137" t="n"/>
      <c r="C287" s="133" t="inlineStr">
        <is>
          <t>delta</t>
        </is>
      </c>
      <c r="D287" s="133" t="inlineStr">
        <is>
          <t>gamma</t>
        </is>
      </c>
      <c r="E287" s="133" t="inlineStr">
        <is>
          <t>vega</t>
        </is>
      </c>
      <c r="F287" s="133" t="inlineStr">
        <is>
          <t>theta</t>
        </is>
      </c>
      <c r="G287" s="133" t="inlineStr">
        <is>
          <t>mark_price</t>
        </is>
      </c>
      <c r="I287" s="133" t="inlineStr">
        <is>
          <t>d1</t>
        </is>
      </c>
      <c r="J287" s="133" t="inlineStr">
        <is>
          <t>d2</t>
        </is>
      </c>
    </row>
    <row r="288" ht="13.5" customHeight="1" s="116">
      <c r="A288" s="117">
        <f>A11</f>
        <v/>
      </c>
      <c r="B288" s="144">
        <f>B258</f>
        <v/>
      </c>
      <c r="C288" s="139">
        <f>IF($O$11="sell",-1,1) *  IF($K$11="call",  NORMDIST(I288,0,1,1),  NORMDIST(I288,0,1,1)-1  ) * $P$11</f>
        <v/>
      </c>
      <c r="D288" s="139">
        <f>IF($O$11="sell",-1,1) * NORMDIST(I288,0,1,0)/(B288*$H$11*SQRT($J$11)) * $P$11</f>
        <v/>
      </c>
      <c r="E288" s="139">
        <f>IF($O$11="sell",-1,1) * (B288*NORMDIST(I288,0,1,0)*SQRT($J$11)/365) * $P$11</f>
        <v/>
      </c>
      <c r="F288" s="139">
        <f>IF($O$11="sell",-1,1) * (-(B288*NORMDIST(I288,0,1,0)*$H$11)/(2*SQRT($J$11))/365) *$P$11</f>
        <v/>
      </c>
      <c r="G288" s="139">
        <f>IF($O$11="buy",1,-1)*( IF($K$11="call",B288*NORMDIST(I288,0,1,1) - $B$11*NORMDIST(J288,0,1,1),$B$11*NORMDIST(-J288,0,1,1) - B288*NORMDIST(-I288,0,1,1) ) - $G$11) * $P$11</f>
        <v/>
      </c>
      <c r="I288" s="140">
        <f>(LN(B288/$B$11)+($H$11^2/2)*($J$11))/($H$11*SQRT($J$11))</f>
        <v/>
      </c>
      <c r="J288" s="143">
        <f>I288 - $H$11*SQRT($J$11)</f>
        <v/>
      </c>
    </row>
    <row r="289" ht="13.5" customHeight="1" s="116">
      <c r="B289" s="144">
        <f>B259</f>
        <v/>
      </c>
      <c r="C289" s="139">
        <f>IF($O$11="sell",-1,1) *  IF($K$11="call",  NORMDIST(I289,0,1,1),  NORMDIST(I289,0,1,1)-1  ) * $P$11</f>
        <v/>
      </c>
      <c r="D289" s="139">
        <f>IF($O$11="sell",-1,1) * NORMDIST(I289,0,1,0)/(B289*$H$11*SQRT($J$11)) * $P$11</f>
        <v/>
      </c>
      <c r="E289" s="139">
        <f>IF($O$11="sell",-1,1) * (B289*NORMDIST(I289,0,1,0)*SQRT($J$11)/365) * $P$11</f>
        <v/>
      </c>
      <c r="F289" s="139">
        <f>IF($O$11="sell",-1,1) * (-(B289*NORMDIST(I289,0,1,0)*$H$11)/(2*SQRT($J$11))/365) *$P$11</f>
        <v/>
      </c>
      <c r="G289" s="139">
        <f>IF($O$11="buy",1,-1)*( IF($K$11="call",B289*NORMDIST(I289,0,1,1) - $B$11*NORMDIST(J289,0,1,1),$B$11*NORMDIST(-J289,0,1,1) - B289*NORMDIST(-I289,0,1,1) ) - $G$11) * $P$11</f>
        <v/>
      </c>
      <c r="I289" s="140">
        <f>(LN(B289/$B$11)+($H$11^2/2)*($J$11))/($H$11*SQRT($J$11))</f>
        <v/>
      </c>
      <c r="J289" s="143">
        <f>I289 - $H$11*SQRT($J$11)</f>
        <v/>
      </c>
    </row>
    <row r="290" ht="13.5" customHeight="1" s="116">
      <c r="B290" s="144">
        <f>B260</f>
        <v/>
      </c>
      <c r="C290" s="139">
        <f>IF($O$11="sell",-1,1) *  IF($K$11="call",  NORMDIST(I290,0,1,1),  NORMDIST(I290,0,1,1)-1  ) * $P$11</f>
        <v/>
      </c>
      <c r="D290" s="139">
        <f>IF($O$11="sell",-1,1) * NORMDIST(I290,0,1,0)/(B290*$H$11*SQRT($J$11)) * $P$11</f>
        <v/>
      </c>
      <c r="E290" s="139">
        <f>IF($O$11="sell",-1,1) * (B290*NORMDIST(I290,0,1,0)*SQRT($J$11)/365) * $P$11</f>
        <v/>
      </c>
      <c r="F290" s="139">
        <f>IF($O$11="sell",-1,1) * (-(B290*NORMDIST(I290,0,1,0)*$H$11)/(2*SQRT($J$11))/365) *$P$11</f>
        <v/>
      </c>
      <c r="G290" s="139">
        <f>IF($O$11="buy",1,-1)*( IF($K$11="call",B290*NORMDIST(I290,0,1,1) - $B$11*NORMDIST(J290,0,1,1),$B$11*NORMDIST(-J290,0,1,1) - B290*NORMDIST(-I290,0,1,1) ) - $G$11) * $P$11</f>
        <v/>
      </c>
      <c r="I290" s="140">
        <f>(LN(B290/$B$11)+($H$11^2/2)*($J$11))/($H$11*SQRT($J$11))</f>
        <v/>
      </c>
      <c r="J290" s="143">
        <f>I290 - $H$11*SQRT($J$11)</f>
        <v/>
      </c>
    </row>
    <row r="291" ht="13.5" customHeight="1" s="116">
      <c r="B291" s="144">
        <f>B261</f>
        <v/>
      </c>
      <c r="C291" s="139">
        <f>IF($O$11="sell",-1,1) *  IF($K$11="call",  NORMDIST(I291,0,1,1),  NORMDIST(I291,0,1,1)-1  ) * $P$11</f>
        <v/>
      </c>
      <c r="D291" s="139">
        <f>IF($O$11="sell",-1,1) * NORMDIST(I291,0,1,0)/(B291*$H$11*SQRT($J$11)) * $P$11</f>
        <v/>
      </c>
      <c r="E291" s="139">
        <f>IF($O$11="sell",-1,1) * (B291*NORMDIST(I291,0,1,0)*SQRT($J$11)/365) * $P$11</f>
        <v/>
      </c>
      <c r="F291" s="139">
        <f>IF($O$11="sell",-1,1) * (-(B291*NORMDIST(I291,0,1,0)*$H$11)/(2*SQRT($J$11))/365) *$P$11</f>
        <v/>
      </c>
      <c r="G291" s="139">
        <f>IF($O$11="buy",1,-1)*( IF($K$11="call",B291*NORMDIST(I291,0,1,1) - $B$11*NORMDIST(J291,0,1,1),$B$11*NORMDIST(-J291,0,1,1) - B291*NORMDIST(-I291,0,1,1) ) - $G$11) * $P$11</f>
        <v/>
      </c>
      <c r="I291" s="140">
        <f>(LN(B291/$B$11)+($H$11^2/2)*($J$11))/($H$11*SQRT($J$11))</f>
        <v/>
      </c>
      <c r="J291" s="143">
        <f>I291 - $H$11*SQRT($J$11)</f>
        <v/>
      </c>
    </row>
    <row r="292" ht="13.5" customHeight="1" s="116">
      <c r="B292" s="144">
        <f>B262</f>
        <v/>
      </c>
      <c r="C292" s="139">
        <f>IF($O$11="sell",-1,1) *  IF($K$11="call",  NORMDIST(I292,0,1,1),  NORMDIST(I292,0,1,1)-1  ) * $P$11</f>
        <v/>
      </c>
      <c r="D292" s="139">
        <f>IF($O$11="sell",-1,1) * NORMDIST(I292,0,1,0)/(B292*$H$11*SQRT($J$11)) * $P$11</f>
        <v/>
      </c>
      <c r="E292" s="139">
        <f>IF($O$11="sell",-1,1) * (B292*NORMDIST(I292,0,1,0)*SQRT($J$11)/365) * $P$11</f>
        <v/>
      </c>
      <c r="F292" s="139">
        <f>IF($O$11="sell",-1,1) * (-(B292*NORMDIST(I292,0,1,0)*$H$11)/(2*SQRT($J$11))/365) *$P$11</f>
        <v/>
      </c>
      <c r="G292" s="139">
        <f>IF($O$11="buy",1,-1)*( IF($K$11="call",B292*NORMDIST(I292,0,1,1) - $B$11*NORMDIST(J292,0,1,1),$B$11*NORMDIST(-J292,0,1,1) - B292*NORMDIST(-I292,0,1,1) ) - $G$11) * $P$11</f>
        <v/>
      </c>
      <c r="I292" s="140">
        <f>(LN(B292/$B$11)+($H$11^2/2)*($J$11))/($H$11*SQRT($J$11))</f>
        <v/>
      </c>
      <c r="J292" s="143">
        <f>I292 - $H$11*SQRT($J$11)</f>
        <v/>
      </c>
    </row>
    <row r="293" ht="13.5" customHeight="1" s="116">
      <c r="B293" s="144">
        <f>B263</f>
        <v/>
      </c>
      <c r="C293" s="139">
        <f>IF($O$11="sell",-1,1) *  IF($K$11="call",  NORMDIST(I293,0,1,1),  NORMDIST(I293,0,1,1)-1  ) * $P$11</f>
        <v/>
      </c>
      <c r="D293" s="139">
        <f>IF($O$11="sell",-1,1) * NORMDIST(I293,0,1,0)/(B293*$H$11*SQRT($J$11)) * $P$11</f>
        <v/>
      </c>
      <c r="E293" s="139">
        <f>IF($O$11="sell",-1,1) * (B293*NORMDIST(I293,0,1,0)*SQRT($J$11)/365) * $P$11</f>
        <v/>
      </c>
      <c r="F293" s="139">
        <f>IF($O$11="sell",-1,1) * (-(B293*NORMDIST(I293,0,1,0)*$H$11)/(2*SQRT($J$11))/365) *$P$11</f>
        <v/>
      </c>
      <c r="G293" s="139">
        <f>IF($O$11="buy",1,-1)*( IF($K$11="call",B293*NORMDIST(I293,0,1,1) - $B$11*NORMDIST(J293,0,1,1),$B$11*NORMDIST(-J293,0,1,1) - B293*NORMDIST(-I293,0,1,1) ) - $G$11) * $P$11</f>
        <v/>
      </c>
      <c r="I293" s="140">
        <f>(LN(B293/$B$11)+($H$11^2/2)*($J$11))/($H$11*SQRT($J$11))</f>
        <v/>
      </c>
      <c r="J293" s="143">
        <f>I293 - $H$11*SQRT($J$11)</f>
        <v/>
      </c>
    </row>
    <row r="294" ht="13.5" customHeight="1" s="116">
      <c r="B294" s="144">
        <f>B264</f>
        <v/>
      </c>
      <c r="C294" s="139">
        <f>IF($O$11="sell",-1,1) *  IF($K$11="call",  NORMDIST(I294,0,1,1),  NORMDIST(I294,0,1,1)-1  ) * $P$11</f>
        <v/>
      </c>
      <c r="D294" s="139">
        <f>IF($O$11="sell",-1,1) * NORMDIST(I294,0,1,0)/(B294*$H$11*SQRT($J$11)) * $P$11</f>
        <v/>
      </c>
      <c r="E294" s="139">
        <f>IF($O$11="sell",-1,1) * (B294*NORMDIST(I294,0,1,0)*SQRT($J$11)/365) * $P$11</f>
        <v/>
      </c>
      <c r="F294" s="139">
        <f>IF($O$11="sell",-1,1) * (-(B294*NORMDIST(I294,0,1,0)*$H$11)/(2*SQRT($J$11))/365) *$P$11</f>
        <v/>
      </c>
      <c r="G294" s="139">
        <f>IF($O$11="buy",1,-1)*( IF($K$11="call",B294*NORMDIST(I294,0,1,1) - $B$11*NORMDIST(J294,0,1,1),$B$11*NORMDIST(-J294,0,1,1) - B294*NORMDIST(-I294,0,1,1) ) - $G$11) * $P$11</f>
        <v/>
      </c>
      <c r="I294" s="140">
        <f>(LN(B294/$B$11)+($H$11^2/2)*($J$11))/($H$11*SQRT($J$11))</f>
        <v/>
      </c>
      <c r="J294" s="143">
        <f>I294 - $H$11*SQRT($J$11)</f>
        <v/>
      </c>
    </row>
    <row r="295" ht="13.5" customHeight="1" s="116">
      <c r="B295" s="144">
        <f>B265</f>
        <v/>
      </c>
      <c r="C295" s="139">
        <f>IF($O$11="sell",-1,1) *  IF($K$11="call",  NORMDIST(I295,0,1,1),  NORMDIST(I295,0,1,1)-1  ) * $P$11</f>
        <v/>
      </c>
      <c r="D295" s="139">
        <f>IF($O$11="sell",-1,1) * NORMDIST(I295,0,1,0)/(B295*$H$11*SQRT($J$11)) * $P$11</f>
        <v/>
      </c>
      <c r="E295" s="139">
        <f>IF($O$11="sell",-1,1) * (B295*NORMDIST(I295,0,1,0)*SQRT($J$11)/365) * $P$11</f>
        <v/>
      </c>
      <c r="F295" s="139">
        <f>IF($O$11="sell",-1,1) * (-(B295*NORMDIST(I295,0,1,0)*$H$11)/(2*SQRT($J$11))/365) *$P$11</f>
        <v/>
      </c>
      <c r="G295" s="139">
        <f>IF($O$11="buy",1,-1)*( IF($K$11="call",B295*NORMDIST(I295,0,1,1) - $B$11*NORMDIST(J295,0,1,1),$B$11*NORMDIST(-J295,0,1,1) - B295*NORMDIST(-I295,0,1,1) ) - $G$11) * $P$11</f>
        <v/>
      </c>
      <c r="I295" s="140">
        <f>(LN(B295/$B$11)+($H$11^2/2)*($J$11))/($H$11*SQRT($J$11))</f>
        <v/>
      </c>
      <c r="J295" s="143">
        <f>I295 - $H$11*SQRT($J$11)</f>
        <v/>
      </c>
    </row>
    <row r="296" ht="13.5" customHeight="1" s="116">
      <c r="B296" s="144">
        <f>B266</f>
        <v/>
      </c>
      <c r="C296" s="139">
        <f>IF($O$11="sell",-1,1) *  IF($K$11="call",  NORMDIST(I296,0,1,1),  NORMDIST(I296,0,1,1)-1  ) * $P$11</f>
        <v/>
      </c>
      <c r="D296" s="139">
        <f>IF($O$11="sell",-1,1) * NORMDIST(I296,0,1,0)/(B296*$H$11*SQRT($J$11)) * $P$11</f>
        <v/>
      </c>
      <c r="E296" s="139">
        <f>IF($O$11="sell",-1,1) * (B296*NORMDIST(I296,0,1,0)*SQRT($J$11)/365) * $P$11</f>
        <v/>
      </c>
      <c r="F296" s="139">
        <f>IF($O$11="sell",-1,1) * (-(B296*NORMDIST(I296,0,1,0)*$H$11)/(2*SQRT($J$11))/365) *$P$11</f>
        <v/>
      </c>
      <c r="G296" s="139">
        <f>IF($O$11="buy",1,-1)*( IF($K$11="call",B296*NORMDIST(I296,0,1,1) - $B$11*NORMDIST(J296,0,1,1),$B$11*NORMDIST(-J296,0,1,1) - B296*NORMDIST(-I296,0,1,1) ) - $G$11) * $P$11</f>
        <v/>
      </c>
      <c r="I296" s="140">
        <f>(LN(B296/$B$11)+($H$11^2/2)*($J$11))/($H$11*SQRT($J$11))</f>
        <v/>
      </c>
      <c r="J296" s="143">
        <f>I296 - $H$11*SQRT($J$11)</f>
        <v/>
      </c>
    </row>
    <row r="297" ht="13.5" customHeight="1" s="116">
      <c r="B297" s="144">
        <f>B267</f>
        <v/>
      </c>
      <c r="C297" s="139">
        <f>IF($O$11="sell",-1,1) *  IF($K$11="call",  NORMDIST(I297,0,1,1),  NORMDIST(I297,0,1,1)-1  ) * $P$11</f>
        <v/>
      </c>
      <c r="D297" s="139">
        <f>IF($O$11="sell",-1,1) * NORMDIST(I297,0,1,0)/(B297*$H$11*SQRT($J$11)) * $P$11</f>
        <v/>
      </c>
      <c r="E297" s="139">
        <f>IF($O$11="sell",-1,1) * (B297*NORMDIST(I297,0,1,0)*SQRT($J$11)/365) * $P$11</f>
        <v/>
      </c>
      <c r="F297" s="139">
        <f>IF($O$11="sell",-1,1) * (-(B297*NORMDIST(I297,0,1,0)*$H$11)/(2*SQRT($J$11))/365) *$P$11</f>
        <v/>
      </c>
      <c r="G297" s="139">
        <f>IF($O$11="buy",1,-1)*( IF($K$11="call",B297*NORMDIST(I297,0,1,1) - $B$11*NORMDIST(J297,0,1,1),$B$11*NORMDIST(-J297,0,1,1) - B297*NORMDIST(-I297,0,1,1) ) - $G$11) * $P$11</f>
        <v/>
      </c>
      <c r="I297" s="140">
        <f>(LN(B297/$B$11)+($H$11^2/2)*($J$11))/($H$11*SQRT($J$11))</f>
        <v/>
      </c>
      <c r="J297" s="143">
        <f>I297 - $H$11*SQRT($J$11)</f>
        <v/>
      </c>
    </row>
    <row r="298" ht="13.5" customHeight="1" s="116">
      <c r="B298" s="144">
        <f>B268</f>
        <v/>
      </c>
      <c r="C298" s="139">
        <f>IF($O$11="sell",-1,1) *  IF($K$11="call",  NORMDIST(I298,0,1,1),  NORMDIST(I298,0,1,1)-1  ) * $P$11</f>
        <v/>
      </c>
      <c r="D298" s="139">
        <f>IF($O$11="sell",-1,1) * NORMDIST(I298,0,1,0)/(B298*$H$11*SQRT($J$11)) * $P$11</f>
        <v/>
      </c>
      <c r="E298" s="139">
        <f>IF($O$11="sell",-1,1) * (B298*NORMDIST(I298,0,1,0)*SQRT($J$11)/365) * $P$11</f>
        <v/>
      </c>
      <c r="F298" s="139">
        <f>IF($O$11="sell",-1,1) * (-(B298*NORMDIST(I298,0,1,0)*$H$11)/(2*SQRT($J$11))/365) *$P$11</f>
        <v/>
      </c>
      <c r="G298" s="139">
        <f>IF($O$11="buy",1,-1)*( IF($K$11="call",B298*NORMDIST(I298,0,1,1) - $B$11*NORMDIST(J298,0,1,1),$B$11*NORMDIST(-J298,0,1,1) - B298*NORMDIST(-I298,0,1,1) ) - $G$11) * $P$11</f>
        <v/>
      </c>
      <c r="I298" s="140">
        <f>(LN(B298/$B$11)+($H$11^2/2)*($J$11))/($H$11*SQRT($J$11))</f>
        <v/>
      </c>
      <c r="J298" s="143">
        <f>I298 - $H$11*SQRT($J$11)</f>
        <v/>
      </c>
    </row>
    <row r="299" ht="13.5" customHeight="1" s="116">
      <c r="B299" s="144">
        <f>B269</f>
        <v/>
      </c>
      <c r="C299" s="139">
        <f>IF($O$11="sell",-1,1) *  IF($K$11="call",  NORMDIST(I299,0,1,1),  NORMDIST(I299,0,1,1)-1  ) * $P$11</f>
        <v/>
      </c>
      <c r="D299" s="139">
        <f>IF($O$11="sell",-1,1) * NORMDIST(I299,0,1,0)/(B299*$H$11*SQRT($J$11)) * $P$11</f>
        <v/>
      </c>
      <c r="E299" s="139">
        <f>IF($O$11="sell",-1,1) * (B299*NORMDIST(I299,0,1,0)*SQRT($J$11)/365) * $P$11</f>
        <v/>
      </c>
      <c r="F299" s="139">
        <f>IF($O$11="sell",-1,1) * (-(B299*NORMDIST(I299,0,1,0)*$H$11)/(2*SQRT($J$11))/365) *$P$11</f>
        <v/>
      </c>
      <c r="G299" s="139">
        <f>IF($O$11="buy",1,-1)*( IF($K$11="call",B299*NORMDIST(I299,0,1,1) - $B$11*NORMDIST(J299,0,1,1),$B$11*NORMDIST(-J299,0,1,1) - B299*NORMDIST(-I299,0,1,1) ) - $G$11) * $P$11</f>
        <v/>
      </c>
      <c r="I299" s="140">
        <f>(LN(B299/$B$11)+($H$11^2/2)*($J$11))/($H$11*SQRT($J$11))</f>
        <v/>
      </c>
      <c r="J299" s="143">
        <f>I299 - $H$11*SQRT($J$11)</f>
        <v/>
      </c>
    </row>
    <row r="300" ht="13.5" customHeight="1" s="116">
      <c r="B300" s="144">
        <f>B270</f>
        <v/>
      </c>
      <c r="C300" s="139">
        <f>IF($O$11="sell",-1,1) *  IF($K$11="call",  NORMDIST(I300,0,1,1),  NORMDIST(I300,0,1,1)-1  ) * $P$11</f>
        <v/>
      </c>
      <c r="D300" s="139">
        <f>IF($O$11="sell",-1,1) * NORMDIST(I300,0,1,0)/(B300*$H$11*SQRT($J$11)) * $P$11</f>
        <v/>
      </c>
      <c r="E300" s="139">
        <f>IF($O$11="sell",-1,1) * (B300*NORMDIST(I300,0,1,0)*SQRT($J$11)/365) * $P$11</f>
        <v/>
      </c>
      <c r="F300" s="139">
        <f>IF($O$11="sell",-1,1) * (-(B300*NORMDIST(I300,0,1,0)*$H$11)/(2*SQRT($J$11))/365) *$P$11</f>
        <v/>
      </c>
      <c r="G300" s="139">
        <f>IF($O$11="buy",1,-1)*( IF($K$11="call",B300*NORMDIST(I300,0,1,1) - $B$11*NORMDIST(J300,0,1,1),$B$11*NORMDIST(-J300,0,1,1) - B300*NORMDIST(-I300,0,1,1) ) - $G$11) * $P$11</f>
        <v/>
      </c>
      <c r="I300" s="140">
        <f>(LN(B300/$B$11)+($H$11^2/2)*($J$11))/($H$11*SQRT($J$11))</f>
        <v/>
      </c>
      <c r="J300" s="143">
        <f>I300 - $H$11*SQRT($J$11)</f>
        <v/>
      </c>
    </row>
    <row r="301" ht="13.5" customHeight="1" s="116">
      <c r="B301" s="144">
        <f>B271</f>
        <v/>
      </c>
      <c r="C301" s="139">
        <f>IF($O$11="sell",-1,1) *  IF($K$11="call",  NORMDIST(I301,0,1,1),  NORMDIST(I301,0,1,1)-1  ) * $P$11</f>
        <v/>
      </c>
      <c r="D301" s="139">
        <f>IF($O$11="sell",-1,1) * NORMDIST(I301,0,1,0)/(B301*$H$11*SQRT($J$11)) * $P$11</f>
        <v/>
      </c>
      <c r="E301" s="139">
        <f>IF($O$11="sell",-1,1) * (B301*NORMDIST(I301,0,1,0)*SQRT($J$11)/365) * $P$11</f>
        <v/>
      </c>
      <c r="F301" s="139">
        <f>IF($O$11="sell",-1,1) * (-(B301*NORMDIST(I301,0,1,0)*$H$11)/(2*SQRT($J$11))/365) *$P$11</f>
        <v/>
      </c>
      <c r="G301" s="139">
        <f>IF($O$11="buy",1,-1)*( IF($K$11="call",B301*NORMDIST(I301,0,1,1) - $B$11*NORMDIST(J301,0,1,1),$B$11*NORMDIST(-J301,0,1,1) - B301*NORMDIST(-I301,0,1,1) ) - $G$11) * $P$11</f>
        <v/>
      </c>
      <c r="I301" s="140">
        <f>(LN(B301/$B$11)+($H$11^2/2)*($J$11))/($H$11*SQRT($J$11))</f>
        <v/>
      </c>
      <c r="J301" s="143">
        <f>I301 - $H$11*SQRT($J$11)</f>
        <v/>
      </c>
    </row>
    <row r="302" ht="13.5" customHeight="1" s="116">
      <c r="B302" s="144">
        <f>B272</f>
        <v/>
      </c>
      <c r="C302" s="139">
        <f>IF($O$11="sell",-1,1) *  IF($K$11="call",  NORMDIST(I302,0,1,1),  NORMDIST(I302,0,1,1)-1  ) * $P$11</f>
        <v/>
      </c>
      <c r="D302" s="139">
        <f>IF($O$11="sell",-1,1) * NORMDIST(I302,0,1,0)/(B302*$H$11*SQRT($J$11)) * $P$11</f>
        <v/>
      </c>
      <c r="E302" s="139">
        <f>IF($O$11="sell",-1,1) * (B302*NORMDIST(I302,0,1,0)*SQRT($J$11)/365) * $P$11</f>
        <v/>
      </c>
      <c r="F302" s="139">
        <f>IF($O$11="sell",-1,1) * (-(B302*NORMDIST(I302,0,1,0)*$H$11)/(2*SQRT($J$11))/365) *$P$11</f>
        <v/>
      </c>
      <c r="G302" s="139">
        <f>IF($O$11="buy",1,-1)*( IF($K$11="call",B302*NORMDIST(I302,0,1,1) - $B$11*NORMDIST(J302,0,1,1),$B$11*NORMDIST(-J302,0,1,1) - B302*NORMDIST(-I302,0,1,1) ) - $G$11) * $P$11</f>
        <v/>
      </c>
      <c r="I302" s="140">
        <f>(LN(B302/$B$11)+($H$11^2/2)*($J$11))/($H$11*SQRT($J$11))</f>
        <v/>
      </c>
      <c r="J302" s="143">
        <f>I302 - $H$11*SQRT($J$11)</f>
        <v/>
      </c>
    </row>
    <row r="303" ht="13.5" customHeight="1" s="116">
      <c r="B303" s="144">
        <f>B273</f>
        <v/>
      </c>
      <c r="C303" s="139">
        <f>IF($O$11="sell",-1,1) *  IF($K$11="call",  NORMDIST(I303,0,1,1),  NORMDIST(I303,0,1,1)-1  ) * $P$11</f>
        <v/>
      </c>
      <c r="D303" s="139">
        <f>IF($O$11="sell",-1,1) * NORMDIST(I303,0,1,0)/(B303*$H$11*SQRT($J$11)) * $P$11</f>
        <v/>
      </c>
      <c r="E303" s="139">
        <f>IF($O$11="sell",-1,1) * (B303*NORMDIST(I303,0,1,0)*SQRT($J$11)/365) * $P$11</f>
        <v/>
      </c>
      <c r="F303" s="139">
        <f>IF($O$11="sell",-1,1) * (-(B303*NORMDIST(I303,0,1,0)*$H$11)/(2*SQRT($J$11))/365) *$P$11</f>
        <v/>
      </c>
      <c r="G303" s="139">
        <f>IF($O$11="buy",1,-1)*( IF($K$11="call",B303*NORMDIST(I303,0,1,1) - $B$11*NORMDIST(J303,0,1,1),$B$11*NORMDIST(-J303,0,1,1) - B303*NORMDIST(-I303,0,1,1) ) - $G$11) * $P$11</f>
        <v/>
      </c>
      <c r="I303" s="140">
        <f>(LN(B303/$B$11)+($H$11^2/2)*($J$11))/($H$11*SQRT($J$11))</f>
        <v/>
      </c>
      <c r="J303" s="143">
        <f>I303 - $H$11*SQRT($J$11)</f>
        <v/>
      </c>
    </row>
    <row r="304" ht="13.5" customHeight="1" s="116">
      <c r="B304" s="144">
        <f>B274</f>
        <v/>
      </c>
      <c r="C304" s="139">
        <f>IF($O$11="sell",-1,1) *  IF($K$11="call",  NORMDIST(I304,0,1,1),  NORMDIST(I304,0,1,1)-1  ) * $P$11</f>
        <v/>
      </c>
      <c r="D304" s="139">
        <f>IF($O$11="sell",-1,1) * NORMDIST(I304,0,1,0)/(B304*$H$11*SQRT($J$11)) * $P$11</f>
        <v/>
      </c>
      <c r="E304" s="139">
        <f>IF($O$11="sell",-1,1) * (B304*NORMDIST(I304,0,1,0)*SQRT($J$11)/365) * $P$11</f>
        <v/>
      </c>
      <c r="F304" s="139">
        <f>IF($O$11="sell",-1,1) * (-(B304*NORMDIST(I304,0,1,0)*$H$11)/(2*SQRT($J$11))/365) *$P$11</f>
        <v/>
      </c>
      <c r="G304" s="139">
        <f>IF($O$11="buy",1,-1)*( IF($K$11="call",B304*NORMDIST(I304,0,1,1) - $B$11*NORMDIST(J304,0,1,1),$B$11*NORMDIST(-J304,0,1,1) - B304*NORMDIST(-I304,0,1,1) ) - $G$11) * $P$11</f>
        <v/>
      </c>
      <c r="I304" s="140">
        <f>(LN(B304/$B$11)+($H$11^2/2)*($J$11))/($H$11*SQRT($J$11))</f>
        <v/>
      </c>
      <c r="J304" s="143">
        <f>I304 - $H$11*SQRT($J$11)</f>
        <v/>
      </c>
    </row>
    <row r="305" ht="13.5" customHeight="1" s="116">
      <c r="B305" s="144">
        <f>B275</f>
        <v/>
      </c>
      <c r="C305" s="139">
        <f>IF($O$11="sell",-1,1) *  IF($K$11="call",  NORMDIST(I305,0,1,1),  NORMDIST(I305,0,1,1)-1  ) * $P$11</f>
        <v/>
      </c>
      <c r="D305" s="139">
        <f>IF($O$11="sell",-1,1) * NORMDIST(I305,0,1,0)/(B305*$H$11*SQRT($J$11)) * $P$11</f>
        <v/>
      </c>
      <c r="E305" s="139">
        <f>IF($O$11="sell",-1,1) * (B305*NORMDIST(I305,0,1,0)*SQRT($J$11)/365) * $P$11</f>
        <v/>
      </c>
      <c r="F305" s="139">
        <f>IF($O$11="sell",-1,1) * (-(B305*NORMDIST(I305,0,1,0)*$H$11)/(2*SQRT($J$11))/365) *$P$11</f>
        <v/>
      </c>
      <c r="G305" s="139">
        <f>IF($O$11="buy",1,-1)*( IF($K$11="call",B305*NORMDIST(I305,0,1,1) - $B$11*NORMDIST(J305,0,1,1),$B$11*NORMDIST(-J305,0,1,1) - B305*NORMDIST(-I305,0,1,1) ) - $G$11) * $P$11</f>
        <v/>
      </c>
      <c r="I305" s="140">
        <f>(LN(B305/$B$11)+($H$11^2/2)*($J$11))/($H$11*SQRT($J$11))</f>
        <v/>
      </c>
      <c r="J305" s="143">
        <f>I305 - $H$11*SQRT($J$11)</f>
        <v/>
      </c>
    </row>
    <row r="306" ht="13.5" customHeight="1" s="116">
      <c r="B306" s="144">
        <f>B276</f>
        <v/>
      </c>
      <c r="C306" s="139">
        <f>IF($O$11="sell",-1,1) *  IF($K$11="call",  NORMDIST(I306,0,1,1),  NORMDIST(I306,0,1,1)-1  ) * $P$11</f>
        <v/>
      </c>
      <c r="D306" s="139">
        <f>IF($O$11="sell",-1,1) * NORMDIST(I306,0,1,0)/(B306*$H$11*SQRT($J$11)) * $P$11</f>
        <v/>
      </c>
      <c r="E306" s="139">
        <f>IF($O$11="sell",-1,1) * (B306*NORMDIST(I306,0,1,0)*SQRT($J$11)/365) * $P$11</f>
        <v/>
      </c>
      <c r="F306" s="139">
        <f>IF($O$11="sell",-1,1) * (-(B306*NORMDIST(I306,0,1,0)*$H$11)/(2*SQRT($J$11))/365) *$P$11</f>
        <v/>
      </c>
      <c r="G306" s="139">
        <f>IF($O$11="buy",1,-1)*( IF($K$11="call",B306*NORMDIST(I306,0,1,1) - $B$11*NORMDIST(J306,0,1,1),$B$11*NORMDIST(-J306,0,1,1) - B306*NORMDIST(-I306,0,1,1) ) - $G$11) * $P$11</f>
        <v/>
      </c>
      <c r="I306" s="140">
        <f>(LN(B306/$B$11)+($H$11^2/2)*($J$11))/($H$11*SQRT($J$11))</f>
        <v/>
      </c>
      <c r="J306" s="143">
        <f>I306 - $H$11*SQRT($J$11)</f>
        <v/>
      </c>
    </row>
    <row r="307" ht="13.5" customHeight="1" s="116">
      <c r="B307" s="144">
        <f>B277</f>
        <v/>
      </c>
      <c r="C307" s="139">
        <f>IF($O$11="sell",-1,1) *  IF($K$11="call",  NORMDIST(I307,0,1,1),  NORMDIST(I307,0,1,1)-1  ) * $P$11</f>
        <v/>
      </c>
      <c r="D307" s="139">
        <f>IF($O$11="sell",-1,1) * NORMDIST(I307,0,1,0)/(B307*$H$11*SQRT($J$11)) * $P$11</f>
        <v/>
      </c>
      <c r="E307" s="139">
        <f>IF($O$11="sell",-1,1) * (B307*NORMDIST(I307,0,1,0)*SQRT($J$11)/365) * $P$11</f>
        <v/>
      </c>
      <c r="F307" s="139">
        <f>IF($O$11="sell",-1,1) * (-(B307*NORMDIST(I307,0,1,0)*$H$11)/(2*SQRT($J$11))/365) *$P$11</f>
        <v/>
      </c>
      <c r="G307" s="139">
        <f>IF($O$11="buy",1,-1)*( IF($K$11="call",B307*NORMDIST(I307,0,1,1) - $B$11*NORMDIST(J307,0,1,1),$B$11*NORMDIST(-J307,0,1,1) - B307*NORMDIST(-I307,0,1,1) ) - $G$11) * $P$11</f>
        <v/>
      </c>
      <c r="I307" s="140">
        <f>(LN(B307/$B$11)+($H$11^2/2)*($J$11))/($H$11*SQRT($J$11))</f>
        <v/>
      </c>
      <c r="J307" s="143">
        <f>I307 - $H$11*SQRT($J$11)</f>
        <v/>
      </c>
    </row>
    <row r="308" ht="13.5" customHeight="1" s="116">
      <c r="B308" s="144">
        <f>B278</f>
        <v/>
      </c>
      <c r="C308" s="139">
        <f>IF($O$11="sell",-1,1) *  IF($K$11="call",  NORMDIST(I308,0,1,1),  NORMDIST(I308,0,1,1)-1  ) * $P$11</f>
        <v/>
      </c>
      <c r="D308" s="139">
        <f>IF($O$11="sell",-1,1) * NORMDIST(I308,0,1,0)/(B308*$H$11*SQRT($J$11)) * $P$11</f>
        <v/>
      </c>
      <c r="E308" s="139">
        <f>IF($O$11="sell",-1,1) * (B308*NORMDIST(I308,0,1,0)*SQRT($J$11)/365) * $P$11</f>
        <v/>
      </c>
      <c r="F308" s="139">
        <f>IF($O$11="sell",-1,1) * (-(B308*NORMDIST(I308,0,1,0)*$H$11)/(2*SQRT($J$11))/365) *$P$11</f>
        <v/>
      </c>
      <c r="G308" s="139">
        <f>IF($O$11="buy",1,-1)*( IF($K$11="call",B308*NORMDIST(I308,0,1,1) - $B$11*NORMDIST(J308,0,1,1),$B$11*NORMDIST(-J308,0,1,1) - B308*NORMDIST(-I308,0,1,1) ) - $G$11) * $P$11</f>
        <v/>
      </c>
      <c r="I308" s="140">
        <f>(LN(B308/$B$11)+($H$11^2/2)*($J$11))/($H$11*SQRT($J$11))</f>
        <v/>
      </c>
      <c r="J308" s="143">
        <f>I308 - $H$11*SQRT($J$11)</f>
        <v/>
      </c>
    </row>
    <row r="309" ht="13.5" customHeight="1" s="116">
      <c r="B309" s="144">
        <f>B279</f>
        <v/>
      </c>
      <c r="C309" s="139">
        <f>IF($O$11="sell",-1,1) *  IF($K$11="call",  NORMDIST(I309,0,1,1),  NORMDIST(I309,0,1,1)-1  ) * $P$11</f>
        <v/>
      </c>
      <c r="D309" s="139">
        <f>IF($O$11="sell",-1,1) * NORMDIST(I309,0,1,0)/(B309*$H$11*SQRT($J$11)) * $P$11</f>
        <v/>
      </c>
      <c r="E309" s="139">
        <f>IF($O$11="sell",-1,1) * (B309*NORMDIST(I309,0,1,0)*SQRT($J$11)/365) * $P$11</f>
        <v/>
      </c>
      <c r="F309" s="139">
        <f>IF($O$11="sell",-1,1) * (-(B309*NORMDIST(I309,0,1,0)*$H$11)/(2*SQRT($J$11))/365) *$P$11</f>
        <v/>
      </c>
      <c r="G309" s="139">
        <f>IF($O$11="buy",1,-1)*( IF($K$11="call",B309*NORMDIST(I309,0,1,1) - $B$11*NORMDIST(J309,0,1,1),$B$11*NORMDIST(-J309,0,1,1) - B309*NORMDIST(-I309,0,1,1) ) - $G$11) * $P$11</f>
        <v/>
      </c>
      <c r="I309" s="140">
        <f>(LN(B309/$B$11)+($H$11^2/2)*($J$11))/($H$11*SQRT($J$11))</f>
        <v/>
      </c>
      <c r="J309" s="143">
        <f>I309 - $H$11*SQRT($J$11)</f>
        <v/>
      </c>
    </row>
    <row r="310" ht="13.5" customHeight="1" s="116">
      <c r="B310" s="144">
        <f>B280</f>
        <v/>
      </c>
      <c r="C310" s="139">
        <f>IF($O$11="sell",-1,1) *  IF($K$11="call",  NORMDIST(I310,0,1,1),  NORMDIST(I310,0,1,1)-1  ) * $P$11</f>
        <v/>
      </c>
      <c r="D310" s="139">
        <f>IF($O$11="sell",-1,1) * NORMDIST(I310,0,1,0)/(B310*$H$11*SQRT($J$11)) * $P$11</f>
        <v/>
      </c>
      <c r="E310" s="139">
        <f>IF($O$11="sell",-1,1) * (B310*NORMDIST(I310,0,1,0)*SQRT($J$11)/365) * $P$11</f>
        <v/>
      </c>
      <c r="F310" s="139">
        <f>IF($O$11="sell",-1,1) * (-(B310*NORMDIST(I310,0,1,0)*$H$11)/(2*SQRT($J$11))/365) *$P$11</f>
        <v/>
      </c>
      <c r="G310" s="139">
        <f>IF($O$11="buy",1,-1)*( IF($K$11="call",B310*NORMDIST(I310,0,1,1) - $B$11*NORMDIST(J310,0,1,1),$B$11*NORMDIST(-J310,0,1,1) - B310*NORMDIST(-I310,0,1,1) ) - $G$11) * $P$11</f>
        <v/>
      </c>
      <c r="I310" s="140">
        <f>(LN(B310/$B$11)+($H$11^2/2)*($J$11))/($H$11*SQRT($J$11))</f>
        <v/>
      </c>
      <c r="J310" s="143">
        <f>I310 - $H$11*SQRT($J$11)</f>
        <v/>
      </c>
    </row>
    <row r="311" ht="13.5" customHeight="1" s="116">
      <c r="B311" s="144">
        <f>B281</f>
        <v/>
      </c>
      <c r="C311" s="139">
        <f>IF($O$11="sell",-1,1) *  IF($K$11="call",  NORMDIST(I311,0,1,1),  NORMDIST(I311,0,1,1)-1  ) * $P$11</f>
        <v/>
      </c>
      <c r="D311" s="139">
        <f>IF($O$11="sell",-1,1) * NORMDIST(I311,0,1,0)/(B311*$H$11*SQRT($J$11)) * $P$11</f>
        <v/>
      </c>
      <c r="E311" s="139">
        <f>IF($O$11="sell",-1,1) * (B311*NORMDIST(I311,0,1,0)*SQRT($J$11)/365) * $P$11</f>
        <v/>
      </c>
      <c r="F311" s="139">
        <f>IF($O$11="sell",-1,1) * (-(B311*NORMDIST(I311,0,1,0)*$H$11)/(2*SQRT($J$11))/365) *$P$11</f>
        <v/>
      </c>
      <c r="G311" s="139">
        <f>IF($O$11="buy",1,-1)*( IF($K$11="call",B311*NORMDIST(I311,0,1,1) - $B$11*NORMDIST(J311,0,1,1),$B$11*NORMDIST(-J311,0,1,1) - B311*NORMDIST(-I311,0,1,1) ) - $G$11) * $P$11</f>
        <v/>
      </c>
      <c r="I311" s="140">
        <f>(LN(B311/$B$11)+($H$11^2/2)*($J$11))/($H$11*SQRT($J$11))</f>
        <v/>
      </c>
      <c r="J311" s="143">
        <f>I311 - $H$11*SQRT($J$11)</f>
        <v/>
      </c>
    </row>
    <row r="312" ht="13.5" customHeight="1" s="116">
      <c r="B312" s="144">
        <f>B282</f>
        <v/>
      </c>
      <c r="C312" s="139">
        <f>IF($O$11="sell",-1,1) *  IF($K$11="call",  NORMDIST(I312,0,1,1),  NORMDIST(I312,0,1,1)-1  ) * $P$11</f>
        <v/>
      </c>
      <c r="D312" s="139">
        <f>IF($O$11="sell",-1,1) * NORMDIST(I312,0,1,0)/(B312*$H$11*SQRT($J$11)) * $P$11</f>
        <v/>
      </c>
      <c r="E312" s="139">
        <f>IF($O$11="sell",-1,1) * (B312*NORMDIST(I312,0,1,0)*SQRT($J$11)/365) * $P$11</f>
        <v/>
      </c>
      <c r="F312" s="139">
        <f>IF($O$11="sell",-1,1) * (-(B312*NORMDIST(I312,0,1,0)*$H$11)/(2*SQRT($J$11))/365) *$P$11</f>
        <v/>
      </c>
      <c r="G312" s="139">
        <f>IF($O$11="buy",1,-1)*( IF($K$11="call",B312*NORMDIST(I312,0,1,1) - $B$11*NORMDIST(J312,0,1,1),$B$11*NORMDIST(-J312,0,1,1) - B312*NORMDIST(-I312,0,1,1) ) - $G$11) * $P$11</f>
        <v/>
      </c>
      <c r="I312" s="140">
        <f>(LN(B312/$B$11)+($H$11^2/2)*($J$11))/($H$11*SQRT($J$11))</f>
        <v/>
      </c>
      <c r="J312" s="143">
        <f>I312 - $H$11*SQRT($J$11)</f>
        <v/>
      </c>
    </row>
    <row r="313" ht="13.5" customHeight="1" s="116">
      <c r="B313" s="144">
        <f>B283</f>
        <v/>
      </c>
      <c r="C313" s="139">
        <f>IF($O$11="sell",-1,1) *  IF($K$11="call",  NORMDIST(I313,0,1,1),  NORMDIST(I313,0,1,1)-1  ) * $P$11</f>
        <v/>
      </c>
      <c r="D313" s="139">
        <f>IF($O$11="sell",-1,1) * NORMDIST(I313,0,1,0)/(B313*$H$11*SQRT($J$11)) * $P$11</f>
        <v/>
      </c>
      <c r="E313" s="139">
        <f>IF($O$11="sell",-1,1) * (B313*NORMDIST(I313,0,1,0)*SQRT($J$11)/365) * $P$11</f>
        <v/>
      </c>
      <c r="F313" s="139">
        <f>IF($O$11="sell",-1,1) * (-(B313*NORMDIST(I313,0,1,0)*$H$11)/(2*SQRT($J$11))/365) *$P$11</f>
        <v/>
      </c>
      <c r="G313" s="139">
        <f>IF($O$11="buy",1,-1)*( IF($K$11="call",B313*NORMDIST(I313,0,1,1) - $B$11*NORMDIST(J313,0,1,1),$B$11*NORMDIST(-J313,0,1,1) - B313*NORMDIST(-I313,0,1,1) ) - $G$11) * $P$11</f>
        <v/>
      </c>
      <c r="I313" s="140">
        <f>(LN(B313/$B$11)+($H$11^2/2)*($J$11))/($H$11*SQRT($J$11))</f>
        <v/>
      </c>
      <c r="J313" s="143">
        <f>I313 - $H$11*SQRT($J$11)</f>
        <v/>
      </c>
    </row>
    <row r="314" ht="13.5" customHeight="1" s="116">
      <c r="B314" s="144">
        <f>B284</f>
        <v/>
      </c>
      <c r="C314" s="139">
        <f>IF($O$11="sell",-1,1) *  IF($K$11="call",  NORMDIST(I314,0,1,1),  NORMDIST(I314,0,1,1)-1  ) * $P$11</f>
        <v/>
      </c>
      <c r="D314" s="139">
        <f>IF($O$11="sell",-1,1) * NORMDIST(I314,0,1,0)/(B314*$H$11*SQRT($J$11)) * $P$11</f>
        <v/>
      </c>
      <c r="E314" s="139">
        <f>IF($O$11="sell",-1,1) * (B314*NORMDIST(I314,0,1,0)*SQRT($J$11)/365) * $P$11</f>
        <v/>
      </c>
      <c r="F314" s="139">
        <f>IF($O$11="sell",-1,1) * (-(B314*NORMDIST(I314,0,1,0)*$H$11)/(2*SQRT($J$11))/365) *$P$11</f>
        <v/>
      </c>
      <c r="G314" s="139">
        <f>IF($O$11="buy",1,-1)*( IF($K$11="call",B314*NORMDIST(I314,0,1,1) - $B$11*NORMDIST(J314,0,1,1),$B$11*NORMDIST(-J314,0,1,1) - B314*NORMDIST(-I314,0,1,1) ) - $G$11) * $P$11</f>
        <v/>
      </c>
      <c r="I314" s="140">
        <f>(LN(B314/$B$11)+($H$11^2/2)*($J$11))/($H$11*SQRT($J$11))</f>
        <v/>
      </c>
      <c r="J314" s="143">
        <f>I314 - $H$11*SQRT($J$11)</f>
        <v/>
      </c>
    </row>
    <row r="315" ht="13.5" customHeight="1" s="116">
      <c r="B315" s="145" t="n"/>
      <c r="C315" s="136" t="n"/>
      <c r="D315" s="136" t="n"/>
      <c r="E315" s="136" t="n"/>
      <c r="F315" s="136" t="n"/>
      <c r="G315" s="136" t="n"/>
      <c r="I315" s="146" t="n"/>
      <c r="J315" s="146" t="n"/>
    </row>
    <row r="316" ht="13.5" customHeight="1" s="116">
      <c r="B316" s="145" t="n"/>
      <c r="C316" s="136" t="n"/>
      <c r="D316" s="136" t="n"/>
      <c r="E316" s="136" t="n"/>
      <c r="F316" s="136" t="n"/>
      <c r="G316" s="136" t="n"/>
      <c r="I316" s="146" t="n"/>
      <c r="J316" s="146" t="n"/>
    </row>
    <row r="317" ht="13.5" customHeight="1" s="116">
      <c r="B317" s="137" t="n"/>
      <c r="C317" s="133" t="inlineStr">
        <is>
          <t>delta</t>
        </is>
      </c>
      <c r="D317" s="133" t="inlineStr">
        <is>
          <t>gamma</t>
        </is>
      </c>
      <c r="E317" s="133" t="inlineStr">
        <is>
          <t>vega</t>
        </is>
      </c>
      <c r="F317" s="133" t="inlineStr">
        <is>
          <t>theta</t>
        </is>
      </c>
      <c r="G317" s="133" t="inlineStr">
        <is>
          <t>mark_price</t>
        </is>
      </c>
      <c r="I317" s="133" t="inlineStr">
        <is>
          <t>d1</t>
        </is>
      </c>
      <c r="J317" s="133" t="inlineStr">
        <is>
          <t>d2</t>
        </is>
      </c>
    </row>
    <row r="318" ht="13.5" customHeight="1" s="116">
      <c r="A318" s="117">
        <f>A12</f>
        <v/>
      </c>
      <c r="B318" s="144">
        <f>B288</f>
        <v/>
      </c>
      <c r="C318" s="139">
        <f>IF($O$12="sell",-1,1) *  IF($K$12="call",  NORMDIST(I318,0,1,1),  NORMDIST(I318,0,1,1)-1  ) * $P$12</f>
        <v/>
      </c>
      <c r="D318" s="139">
        <f>IF($O$12="sell",-1,1) * NORMDIST(I318,0,1,0)/(B318*$H$12*SQRT($J$12)) * $P$12</f>
        <v/>
      </c>
      <c r="E318" s="139">
        <f>IF($O$12="sell",-1,1) * (B318*NORMDIST(I318,0,1,0)*SQRT($J$12)/365) * $P$12</f>
        <v/>
      </c>
      <c r="F318" s="139">
        <f>IF($O$12="sell",-1,1) * (-(B318*NORMDIST(I318,0,1,0)*$H$12)/(2*SQRT($J$12))/365) *$P$12</f>
        <v/>
      </c>
      <c r="G318" s="139">
        <f>IF($O$12="buy",1,-1)*( IF($K$12="call",B318*NORMDIST(I318,0,1,1) - $B$12*NORMDIST(J318,0,1,1),$B$12*NORMDIST(-J318,0,1,1) - B318*NORMDIST(-I318,0,1,1) ) - $G$12) * $P$12</f>
        <v/>
      </c>
      <c r="I318" s="140">
        <f>(LN(B318/$B$12)+($H$12^2/2)*($J$12))/($H$12*SQRT($J$12))</f>
        <v/>
      </c>
      <c r="J318" s="143">
        <f>I318 - $H$12*SQRT($J$12)</f>
        <v/>
      </c>
    </row>
    <row r="319" ht="13.5" customHeight="1" s="116">
      <c r="B319" s="144">
        <f>B289</f>
        <v/>
      </c>
      <c r="C319" s="139">
        <f>IF($O$12="sell",-1,1) *  IF($K$12="call",  NORMDIST(I319,0,1,1),  NORMDIST(I319,0,1,1)-1  ) * $P$12</f>
        <v/>
      </c>
      <c r="D319" s="139">
        <f>IF($O$12="sell",-1,1) * NORMDIST(I319,0,1,0)/(B319*$H$12*SQRT($J$12)) * $P$12</f>
        <v/>
      </c>
      <c r="E319" s="139">
        <f>IF($O$12="sell",-1,1) * (B319*NORMDIST(I319,0,1,0)*SQRT($J$12)/365) * $P$12</f>
        <v/>
      </c>
      <c r="F319" s="139">
        <f>IF($O$12="sell",-1,1) * (-(B319*NORMDIST(I319,0,1,0)*$H$12)/(2*SQRT($J$12))/365) *$P$12</f>
        <v/>
      </c>
      <c r="G319" s="139">
        <f>IF($O$12="buy",1,-1)*( IF($K$12="call",B319*NORMDIST(I319,0,1,1) - $B$12*NORMDIST(J319,0,1,1),$B$12*NORMDIST(-J319,0,1,1) - B319*NORMDIST(-I319,0,1,1) ) - $G$12) * $P$12</f>
        <v/>
      </c>
      <c r="I319" s="140">
        <f>(LN(B319/$B$12)+($H$12^2/2)*($J$12))/($H$12*SQRT($J$12))</f>
        <v/>
      </c>
      <c r="J319" s="143">
        <f>I319 - $H$12*SQRT($J$12)</f>
        <v/>
      </c>
    </row>
    <row r="320" ht="13.5" customHeight="1" s="116">
      <c r="B320" s="144">
        <f>B290</f>
        <v/>
      </c>
      <c r="C320" s="139">
        <f>IF($O$12="sell",-1,1) *  IF($K$12="call",  NORMDIST(I320,0,1,1),  NORMDIST(I320,0,1,1)-1  ) * $P$12</f>
        <v/>
      </c>
      <c r="D320" s="139">
        <f>IF($O$12="sell",-1,1) * NORMDIST(I320,0,1,0)/(B320*$H$12*SQRT($J$12)) * $P$12</f>
        <v/>
      </c>
      <c r="E320" s="139">
        <f>IF($O$12="sell",-1,1) * (B320*NORMDIST(I320,0,1,0)*SQRT($J$12)/365) * $P$12</f>
        <v/>
      </c>
      <c r="F320" s="139">
        <f>IF($O$12="sell",-1,1) * (-(B320*NORMDIST(I320,0,1,0)*$H$12)/(2*SQRT($J$12))/365) *$P$12</f>
        <v/>
      </c>
      <c r="G320" s="139">
        <f>IF($O$12="buy",1,-1)*( IF($K$12="call",B320*NORMDIST(I320,0,1,1) - $B$12*NORMDIST(J320,0,1,1),$B$12*NORMDIST(-J320,0,1,1) - B320*NORMDIST(-I320,0,1,1) ) - $G$12) * $P$12</f>
        <v/>
      </c>
      <c r="I320" s="140">
        <f>(LN(B320/$B$12)+($H$12^2/2)*($J$12))/($H$12*SQRT($J$12))</f>
        <v/>
      </c>
      <c r="J320" s="143">
        <f>I320 - $H$12*SQRT($J$12)</f>
        <v/>
      </c>
    </row>
    <row r="321" ht="13.5" customHeight="1" s="116">
      <c r="B321" s="144">
        <f>B291</f>
        <v/>
      </c>
      <c r="C321" s="139">
        <f>IF($O$12="sell",-1,1) *  IF($K$12="call",  NORMDIST(I321,0,1,1),  NORMDIST(I321,0,1,1)-1  ) * $P$12</f>
        <v/>
      </c>
      <c r="D321" s="139">
        <f>IF($O$12="sell",-1,1) * NORMDIST(I321,0,1,0)/(B321*$H$12*SQRT($J$12)) * $P$12</f>
        <v/>
      </c>
      <c r="E321" s="139">
        <f>IF($O$12="sell",-1,1) * (B321*NORMDIST(I321,0,1,0)*SQRT($J$12)/365) * $P$12</f>
        <v/>
      </c>
      <c r="F321" s="139">
        <f>IF($O$12="sell",-1,1) * (-(B321*NORMDIST(I321,0,1,0)*$H$12)/(2*SQRT($J$12))/365) *$P$12</f>
        <v/>
      </c>
      <c r="G321" s="139">
        <f>IF($O$12="buy",1,-1)*( IF($K$12="call",B321*NORMDIST(I321,0,1,1) - $B$12*NORMDIST(J321,0,1,1),$B$12*NORMDIST(-J321,0,1,1) - B321*NORMDIST(-I321,0,1,1) ) - $G$12) * $P$12</f>
        <v/>
      </c>
      <c r="I321" s="140">
        <f>(LN(B321/$B$12)+($H$12^2/2)*($J$12))/($H$12*SQRT($J$12))</f>
        <v/>
      </c>
      <c r="J321" s="143">
        <f>I321 - $H$12*SQRT($J$12)</f>
        <v/>
      </c>
    </row>
    <row r="322" ht="13.5" customHeight="1" s="116">
      <c r="B322" s="144">
        <f>B292</f>
        <v/>
      </c>
      <c r="C322" s="139">
        <f>IF($O$12="sell",-1,1) *  IF($K$12="call",  NORMDIST(I322,0,1,1),  NORMDIST(I322,0,1,1)-1  ) * $P$12</f>
        <v/>
      </c>
      <c r="D322" s="139">
        <f>IF($O$12="sell",-1,1) * NORMDIST(I322,0,1,0)/(B322*$H$12*SQRT($J$12)) * $P$12</f>
        <v/>
      </c>
      <c r="E322" s="139">
        <f>IF($O$12="sell",-1,1) * (B322*NORMDIST(I322,0,1,0)*SQRT($J$12)/365) * $P$12</f>
        <v/>
      </c>
      <c r="F322" s="139">
        <f>IF($O$12="sell",-1,1) * (-(B322*NORMDIST(I322,0,1,0)*$H$12)/(2*SQRT($J$12))/365) *$P$12</f>
        <v/>
      </c>
      <c r="G322" s="139">
        <f>IF($O$12="buy",1,-1)*( IF($K$12="call",B322*NORMDIST(I322,0,1,1) - $B$12*NORMDIST(J322,0,1,1),$B$12*NORMDIST(-J322,0,1,1) - B322*NORMDIST(-I322,0,1,1) ) - $G$12) * $P$12</f>
        <v/>
      </c>
      <c r="I322" s="140">
        <f>(LN(B322/$B$12)+($H$12^2/2)*($J$12))/($H$12*SQRT($J$12))</f>
        <v/>
      </c>
      <c r="J322" s="143">
        <f>I322 - $H$12*SQRT($J$12)</f>
        <v/>
      </c>
    </row>
    <row r="323" ht="13.5" customHeight="1" s="116">
      <c r="B323" s="144">
        <f>B293</f>
        <v/>
      </c>
      <c r="C323" s="139">
        <f>IF($O$12="sell",-1,1) *  IF($K$12="call",  NORMDIST(I323,0,1,1),  NORMDIST(I323,0,1,1)-1  ) * $P$12</f>
        <v/>
      </c>
      <c r="D323" s="139">
        <f>IF($O$12="sell",-1,1) * NORMDIST(I323,0,1,0)/(B323*$H$12*SQRT($J$12)) * $P$12</f>
        <v/>
      </c>
      <c r="E323" s="139">
        <f>IF($O$12="sell",-1,1) * (B323*NORMDIST(I323,0,1,0)*SQRT($J$12)/365) * $P$12</f>
        <v/>
      </c>
      <c r="F323" s="139">
        <f>IF($O$12="sell",-1,1) * (-(B323*NORMDIST(I323,0,1,0)*$H$12)/(2*SQRT($J$12))/365) *$P$12</f>
        <v/>
      </c>
      <c r="G323" s="139">
        <f>IF($O$12="buy",1,-1)*( IF($K$12="call",B323*NORMDIST(I323,0,1,1) - $B$12*NORMDIST(J323,0,1,1),$B$12*NORMDIST(-J323,0,1,1) - B323*NORMDIST(-I323,0,1,1) ) - $G$12) * $P$12</f>
        <v/>
      </c>
      <c r="I323" s="140">
        <f>(LN(B323/$B$12)+($H$12^2/2)*($J$12))/($H$12*SQRT($J$12))</f>
        <v/>
      </c>
      <c r="J323" s="143">
        <f>I323 - $H$12*SQRT($J$12)</f>
        <v/>
      </c>
    </row>
    <row r="324" ht="13.5" customHeight="1" s="116">
      <c r="B324" s="144">
        <f>B294</f>
        <v/>
      </c>
      <c r="C324" s="139">
        <f>IF($O$12="sell",-1,1) *  IF($K$12="call",  NORMDIST(I324,0,1,1),  NORMDIST(I324,0,1,1)-1  ) * $P$12</f>
        <v/>
      </c>
      <c r="D324" s="139">
        <f>IF($O$12="sell",-1,1) * NORMDIST(I324,0,1,0)/(B324*$H$12*SQRT($J$12)) * $P$12</f>
        <v/>
      </c>
      <c r="E324" s="139">
        <f>IF($O$12="sell",-1,1) * (B324*NORMDIST(I324,0,1,0)*SQRT($J$12)/365) * $P$12</f>
        <v/>
      </c>
      <c r="F324" s="139">
        <f>IF($O$12="sell",-1,1) * (-(B324*NORMDIST(I324,0,1,0)*$H$12)/(2*SQRT($J$12))/365) *$P$12</f>
        <v/>
      </c>
      <c r="G324" s="139">
        <f>IF($O$12="buy",1,-1)*( IF($K$12="call",B324*NORMDIST(I324,0,1,1) - $B$12*NORMDIST(J324,0,1,1),$B$12*NORMDIST(-J324,0,1,1) - B324*NORMDIST(-I324,0,1,1) ) - $G$12) * $P$12</f>
        <v/>
      </c>
      <c r="I324" s="140">
        <f>(LN(B324/$B$12)+($H$12^2/2)*($J$12))/($H$12*SQRT($J$12))</f>
        <v/>
      </c>
      <c r="J324" s="143">
        <f>I324 - $H$12*SQRT($J$12)</f>
        <v/>
      </c>
    </row>
    <row r="325" ht="13.5" customHeight="1" s="116">
      <c r="B325" s="144">
        <f>B295</f>
        <v/>
      </c>
      <c r="C325" s="139">
        <f>IF($O$12="sell",-1,1) *  IF($K$12="call",  NORMDIST(I325,0,1,1),  NORMDIST(I325,0,1,1)-1  ) * $P$12</f>
        <v/>
      </c>
      <c r="D325" s="139">
        <f>IF($O$12="sell",-1,1) * NORMDIST(I325,0,1,0)/(B325*$H$12*SQRT($J$12)) * $P$12</f>
        <v/>
      </c>
      <c r="E325" s="139">
        <f>IF($O$12="sell",-1,1) * (B325*NORMDIST(I325,0,1,0)*SQRT($J$12)/365) * $P$12</f>
        <v/>
      </c>
      <c r="F325" s="139">
        <f>IF($O$12="sell",-1,1) * (-(B325*NORMDIST(I325,0,1,0)*$H$12)/(2*SQRT($J$12))/365) *$P$12</f>
        <v/>
      </c>
      <c r="G325" s="139">
        <f>IF($O$12="buy",1,-1)*( IF($K$12="call",B325*NORMDIST(I325,0,1,1) - $B$12*NORMDIST(J325,0,1,1),$B$12*NORMDIST(-J325,0,1,1) - B325*NORMDIST(-I325,0,1,1) ) - $G$12) * $P$12</f>
        <v/>
      </c>
      <c r="I325" s="140">
        <f>(LN(B325/$B$12)+($H$12^2/2)*($J$12))/($H$12*SQRT($J$12))</f>
        <v/>
      </c>
      <c r="J325" s="143">
        <f>I325 - $H$12*SQRT($J$12)</f>
        <v/>
      </c>
    </row>
    <row r="326" ht="13.5" customHeight="1" s="116">
      <c r="B326" s="144">
        <f>B296</f>
        <v/>
      </c>
      <c r="C326" s="139">
        <f>IF($O$12="sell",-1,1) *  IF($K$12="call",  NORMDIST(I326,0,1,1),  NORMDIST(I326,0,1,1)-1  ) * $P$12</f>
        <v/>
      </c>
      <c r="D326" s="139">
        <f>IF($O$12="sell",-1,1) * NORMDIST(I326,0,1,0)/(B326*$H$12*SQRT($J$12)) * $P$12</f>
        <v/>
      </c>
      <c r="E326" s="139">
        <f>IF($O$12="sell",-1,1) * (B326*NORMDIST(I326,0,1,0)*SQRT($J$12)/365) * $P$12</f>
        <v/>
      </c>
      <c r="F326" s="139">
        <f>IF($O$12="sell",-1,1) * (-(B326*NORMDIST(I326,0,1,0)*$H$12)/(2*SQRT($J$12))/365) *$P$12</f>
        <v/>
      </c>
      <c r="G326" s="139">
        <f>IF($O$12="buy",1,-1)*( IF($K$12="call",B326*NORMDIST(I326,0,1,1) - $B$12*NORMDIST(J326,0,1,1),$B$12*NORMDIST(-J326,0,1,1) - B326*NORMDIST(-I326,0,1,1) ) - $G$12) * $P$12</f>
        <v/>
      </c>
      <c r="I326" s="140">
        <f>(LN(B326/$B$12)+($H$12^2/2)*($J$12))/($H$12*SQRT($J$12))</f>
        <v/>
      </c>
      <c r="J326" s="143">
        <f>I326 - $H$12*SQRT($J$12)</f>
        <v/>
      </c>
    </row>
    <row r="327" ht="13.5" customHeight="1" s="116">
      <c r="B327" s="144">
        <f>B297</f>
        <v/>
      </c>
      <c r="C327" s="139">
        <f>IF($O$12="sell",-1,1) *  IF($K$12="call",  NORMDIST(I327,0,1,1),  NORMDIST(I327,0,1,1)-1  ) * $P$12</f>
        <v/>
      </c>
      <c r="D327" s="139">
        <f>IF($O$12="sell",-1,1) * NORMDIST(I327,0,1,0)/(B327*$H$12*SQRT($J$12)) * $P$12</f>
        <v/>
      </c>
      <c r="E327" s="139">
        <f>IF($O$12="sell",-1,1) * (B327*NORMDIST(I327,0,1,0)*SQRT($J$12)/365) * $P$12</f>
        <v/>
      </c>
      <c r="F327" s="139">
        <f>IF($O$12="sell",-1,1) * (-(B327*NORMDIST(I327,0,1,0)*$H$12)/(2*SQRT($J$12))/365) *$P$12</f>
        <v/>
      </c>
      <c r="G327" s="139">
        <f>IF($O$12="buy",1,-1)*( IF($K$12="call",B327*NORMDIST(I327,0,1,1) - $B$12*NORMDIST(J327,0,1,1),$B$12*NORMDIST(-J327,0,1,1) - B327*NORMDIST(-I327,0,1,1) ) - $G$12) * $P$12</f>
        <v/>
      </c>
      <c r="I327" s="140">
        <f>(LN(B327/$B$12)+($H$12^2/2)*($J$12))/($H$12*SQRT($J$12))</f>
        <v/>
      </c>
      <c r="J327" s="143">
        <f>I327 - $H$12*SQRT($J$12)</f>
        <v/>
      </c>
    </row>
    <row r="328" ht="13.5" customHeight="1" s="116">
      <c r="B328" s="144">
        <f>B298</f>
        <v/>
      </c>
      <c r="C328" s="139">
        <f>IF($O$12="sell",-1,1) *  IF($K$12="call",  NORMDIST(I328,0,1,1),  NORMDIST(I328,0,1,1)-1  ) * $P$12</f>
        <v/>
      </c>
      <c r="D328" s="139">
        <f>IF($O$12="sell",-1,1) * NORMDIST(I328,0,1,0)/(B328*$H$12*SQRT($J$12)) * $P$12</f>
        <v/>
      </c>
      <c r="E328" s="139">
        <f>IF($O$12="sell",-1,1) * (B328*NORMDIST(I328,0,1,0)*SQRT($J$12)/365) * $P$12</f>
        <v/>
      </c>
      <c r="F328" s="139">
        <f>IF($O$12="sell",-1,1) * (-(B328*NORMDIST(I328,0,1,0)*$H$12)/(2*SQRT($J$12))/365) *$P$12</f>
        <v/>
      </c>
      <c r="G328" s="139">
        <f>IF($O$12="buy",1,-1)*( IF($K$12="call",B328*NORMDIST(I328,0,1,1) - $B$12*NORMDIST(J328,0,1,1),$B$12*NORMDIST(-J328,0,1,1) - B328*NORMDIST(-I328,0,1,1) ) - $G$12) * $P$12</f>
        <v/>
      </c>
      <c r="I328" s="140">
        <f>(LN(B328/$B$12)+($H$12^2/2)*($J$12))/($H$12*SQRT($J$12))</f>
        <v/>
      </c>
      <c r="J328" s="143">
        <f>I328 - $H$12*SQRT($J$12)</f>
        <v/>
      </c>
    </row>
    <row r="329" ht="13.5" customHeight="1" s="116">
      <c r="B329" s="144">
        <f>B299</f>
        <v/>
      </c>
      <c r="C329" s="139">
        <f>IF($O$12="sell",-1,1) *  IF($K$12="call",  NORMDIST(I329,0,1,1),  NORMDIST(I329,0,1,1)-1  ) * $P$12</f>
        <v/>
      </c>
      <c r="D329" s="139">
        <f>IF($O$12="sell",-1,1) * NORMDIST(I329,0,1,0)/(B329*$H$12*SQRT($J$12)) * $P$12</f>
        <v/>
      </c>
      <c r="E329" s="139">
        <f>IF($O$12="sell",-1,1) * (B329*NORMDIST(I329,0,1,0)*SQRT($J$12)/365) * $P$12</f>
        <v/>
      </c>
      <c r="F329" s="139">
        <f>IF($O$12="sell",-1,1) * (-(B329*NORMDIST(I329,0,1,0)*$H$12)/(2*SQRT($J$12))/365) *$P$12</f>
        <v/>
      </c>
      <c r="G329" s="139">
        <f>IF($O$12="buy",1,-1)*( IF($K$12="call",B329*NORMDIST(I329,0,1,1) - $B$12*NORMDIST(J329,0,1,1),$B$12*NORMDIST(-J329,0,1,1) - B329*NORMDIST(-I329,0,1,1) ) - $G$12) * $P$12</f>
        <v/>
      </c>
      <c r="I329" s="140">
        <f>(LN(B329/$B$12)+($H$12^2/2)*($J$12))/($H$12*SQRT($J$12))</f>
        <v/>
      </c>
      <c r="J329" s="143">
        <f>I329 - $H$12*SQRT($J$12)</f>
        <v/>
      </c>
    </row>
    <row r="330" ht="13.5" customHeight="1" s="116">
      <c r="B330" s="144">
        <f>B300</f>
        <v/>
      </c>
      <c r="C330" s="139">
        <f>IF($O$12="sell",-1,1) *  IF($K$12="call",  NORMDIST(I330,0,1,1),  NORMDIST(I330,0,1,1)-1  ) * $P$12</f>
        <v/>
      </c>
      <c r="D330" s="139">
        <f>IF($O$12="sell",-1,1) * NORMDIST(I330,0,1,0)/(B330*$H$12*SQRT($J$12)) * $P$12</f>
        <v/>
      </c>
      <c r="E330" s="139">
        <f>IF($O$12="sell",-1,1) * (B330*NORMDIST(I330,0,1,0)*SQRT($J$12)/365) * $P$12</f>
        <v/>
      </c>
      <c r="F330" s="139">
        <f>IF($O$12="sell",-1,1) * (-(B330*NORMDIST(I330,0,1,0)*$H$12)/(2*SQRT($J$12))/365) *$P$12</f>
        <v/>
      </c>
      <c r="G330" s="139">
        <f>IF($O$12="buy",1,-1)*( IF($K$12="call",B330*NORMDIST(I330,0,1,1) - $B$12*NORMDIST(J330,0,1,1),$B$12*NORMDIST(-J330,0,1,1) - B330*NORMDIST(-I330,0,1,1) ) - $G$12) * $P$12</f>
        <v/>
      </c>
      <c r="I330" s="140">
        <f>(LN(B330/$B$12)+($H$12^2/2)*($J$12))/($H$12*SQRT($J$12))</f>
        <v/>
      </c>
      <c r="J330" s="143">
        <f>I330 - $H$12*SQRT($J$12)</f>
        <v/>
      </c>
    </row>
    <row r="331" ht="13.5" customHeight="1" s="116">
      <c r="B331" s="144">
        <f>B301</f>
        <v/>
      </c>
      <c r="C331" s="139">
        <f>IF($O$12="sell",-1,1) *  IF($K$12="call",  NORMDIST(I331,0,1,1),  NORMDIST(I331,0,1,1)-1  ) * $P$12</f>
        <v/>
      </c>
      <c r="D331" s="139">
        <f>IF($O$12="sell",-1,1) * NORMDIST(I331,0,1,0)/(B331*$H$12*SQRT($J$12)) * $P$12</f>
        <v/>
      </c>
      <c r="E331" s="139">
        <f>IF($O$12="sell",-1,1) * (B331*NORMDIST(I331,0,1,0)*SQRT($J$12)/365) * $P$12</f>
        <v/>
      </c>
      <c r="F331" s="139">
        <f>IF($O$12="sell",-1,1) * (-(B331*NORMDIST(I331,0,1,0)*$H$12)/(2*SQRT($J$12))/365) *$P$12</f>
        <v/>
      </c>
      <c r="G331" s="139">
        <f>IF($O$12="buy",1,-1)*( IF($K$12="call",B331*NORMDIST(I331,0,1,1) - $B$12*NORMDIST(J331,0,1,1),$B$12*NORMDIST(-J331,0,1,1) - B331*NORMDIST(-I331,0,1,1) ) - $G$12) * $P$12</f>
        <v/>
      </c>
      <c r="I331" s="140">
        <f>(LN(B331/$B$12)+($H$12^2/2)*($J$12))/($H$12*SQRT($J$12))</f>
        <v/>
      </c>
      <c r="J331" s="143">
        <f>I331 - $H$12*SQRT($J$12)</f>
        <v/>
      </c>
    </row>
    <row r="332" ht="13.5" customHeight="1" s="116">
      <c r="B332" s="144">
        <f>B302</f>
        <v/>
      </c>
      <c r="C332" s="139">
        <f>IF($O$12="sell",-1,1) *  IF($K$12="call",  NORMDIST(I332,0,1,1),  NORMDIST(I332,0,1,1)-1  ) * $P$12</f>
        <v/>
      </c>
      <c r="D332" s="139">
        <f>IF($O$12="sell",-1,1) * NORMDIST(I332,0,1,0)/(B332*$H$12*SQRT($J$12)) * $P$12</f>
        <v/>
      </c>
      <c r="E332" s="139">
        <f>IF($O$12="sell",-1,1) * (B332*NORMDIST(I332,0,1,0)*SQRT($J$12)/365) * $P$12</f>
        <v/>
      </c>
      <c r="F332" s="139">
        <f>IF($O$12="sell",-1,1) * (-(B332*NORMDIST(I332,0,1,0)*$H$12)/(2*SQRT($J$12))/365) *$P$12</f>
        <v/>
      </c>
      <c r="G332" s="139">
        <f>IF($O$12="buy",1,-1)*( IF($K$12="call",B332*NORMDIST(I332,0,1,1) - $B$12*NORMDIST(J332,0,1,1),$B$12*NORMDIST(-J332,0,1,1) - B332*NORMDIST(-I332,0,1,1) ) - $G$12) * $P$12</f>
        <v/>
      </c>
      <c r="I332" s="140">
        <f>(LN(B332/$B$12)+($H$12^2/2)*($J$12))/($H$12*SQRT($J$12))</f>
        <v/>
      </c>
      <c r="J332" s="143">
        <f>I332 - $H$12*SQRT($J$12)</f>
        <v/>
      </c>
    </row>
    <row r="333" ht="13.5" customHeight="1" s="116">
      <c r="B333" s="144">
        <f>B303</f>
        <v/>
      </c>
      <c r="C333" s="139">
        <f>IF($O$12="sell",-1,1) *  IF($K$12="call",  NORMDIST(I333,0,1,1),  NORMDIST(I333,0,1,1)-1  ) * $P$12</f>
        <v/>
      </c>
      <c r="D333" s="139">
        <f>IF($O$12="sell",-1,1) * NORMDIST(I333,0,1,0)/(B333*$H$12*SQRT($J$12)) * $P$12</f>
        <v/>
      </c>
      <c r="E333" s="139">
        <f>IF($O$12="sell",-1,1) * (B333*NORMDIST(I333,0,1,0)*SQRT($J$12)/365) * $P$12</f>
        <v/>
      </c>
      <c r="F333" s="139">
        <f>IF($O$12="sell",-1,1) * (-(B333*NORMDIST(I333,0,1,0)*$H$12)/(2*SQRT($J$12))/365) *$P$12</f>
        <v/>
      </c>
      <c r="G333" s="139">
        <f>IF($O$12="buy",1,-1)*( IF($K$12="call",B333*NORMDIST(I333,0,1,1) - $B$12*NORMDIST(J333,0,1,1),$B$12*NORMDIST(-J333,0,1,1) - B333*NORMDIST(-I333,0,1,1) ) - $G$12) * $P$12</f>
        <v/>
      </c>
      <c r="I333" s="140">
        <f>(LN(B333/$B$12)+($H$12^2/2)*($J$12))/($H$12*SQRT($J$12))</f>
        <v/>
      </c>
      <c r="J333" s="143">
        <f>I333 - $H$12*SQRT($J$12)</f>
        <v/>
      </c>
    </row>
    <row r="334" ht="13.5" customHeight="1" s="116">
      <c r="B334" s="144">
        <f>B304</f>
        <v/>
      </c>
      <c r="C334" s="139">
        <f>IF($O$12="sell",-1,1) *  IF($K$12="call",  NORMDIST(I334,0,1,1),  NORMDIST(I334,0,1,1)-1  ) * $P$12</f>
        <v/>
      </c>
      <c r="D334" s="139">
        <f>IF($O$12="sell",-1,1) * NORMDIST(I334,0,1,0)/(B334*$H$12*SQRT($J$12)) * $P$12</f>
        <v/>
      </c>
      <c r="E334" s="139">
        <f>IF($O$12="sell",-1,1) * (B334*NORMDIST(I334,0,1,0)*SQRT($J$12)/365) * $P$12</f>
        <v/>
      </c>
      <c r="F334" s="139">
        <f>IF($O$12="sell",-1,1) * (-(B334*NORMDIST(I334,0,1,0)*$H$12)/(2*SQRT($J$12))/365) *$P$12</f>
        <v/>
      </c>
      <c r="G334" s="139">
        <f>IF($O$12="buy",1,-1)*( IF($K$12="call",B334*NORMDIST(I334,0,1,1) - $B$12*NORMDIST(J334,0,1,1),$B$12*NORMDIST(-J334,0,1,1) - B334*NORMDIST(-I334,0,1,1) ) - $G$12) * $P$12</f>
        <v/>
      </c>
      <c r="I334" s="140">
        <f>(LN(B334/$B$12)+($H$12^2/2)*($J$12))/($H$12*SQRT($J$12))</f>
        <v/>
      </c>
      <c r="J334" s="143">
        <f>I334 - $H$12*SQRT($J$12)</f>
        <v/>
      </c>
    </row>
    <row r="335" ht="13.5" customHeight="1" s="116">
      <c r="B335" s="144">
        <f>B305</f>
        <v/>
      </c>
      <c r="C335" s="139">
        <f>IF($O$12="sell",-1,1) *  IF($K$12="call",  NORMDIST(I335,0,1,1),  NORMDIST(I335,0,1,1)-1  ) * $P$12</f>
        <v/>
      </c>
      <c r="D335" s="139">
        <f>IF($O$12="sell",-1,1) * NORMDIST(I335,0,1,0)/(B335*$H$12*SQRT($J$12)) * $P$12</f>
        <v/>
      </c>
      <c r="E335" s="139">
        <f>IF($O$12="sell",-1,1) * (B335*NORMDIST(I335,0,1,0)*SQRT($J$12)/365) * $P$12</f>
        <v/>
      </c>
      <c r="F335" s="139">
        <f>IF($O$12="sell",-1,1) * (-(B335*NORMDIST(I335,0,1,0)*$H$12)/(2*SQRT($J$12))/365) *$P$12</f>
        <v/>
      </c>
      <c r="G335" s="139">
        <f>IF($O$12="buy",1,-1)*( IF($K$12="call",B335*NORMDIST(I335,0,1,1) - $B$12*NORMDIST(J335,0,1,1),$B$12*NORMDIST(-J335,0,1,1) - B335*NORMDIST(-I335,0,1,1) ) - $G$12) * $P$12</f>
        <v/>
      </c>
      <c r="I335" s="140">
        <f>(LN(B335/$B$12)+($H$12^2/2)*($J$12))/($H$12*SQRT($J$12))</f>
        <v/>
      </c>
      <c r="J335" s="143">
        <f>I335 - $H$12*SQRT($J$12)</f>
        <v/>
      </c>
    </row>
    <row r="336" ht="13.5" customHeight="1" s="116">
      <c r="B336" s="144">
        <f>B306</f>
        <v/>
      </c>
      <c r="C336" s="139">
        <f>IF($O$12="sell",-1,1) *  IF($K$12="call",  NORMDIST(I336,0,1,1),  NORMDIST(I336,0,1,1)-1  ) * $P$12</f>
        <v/>
      </c>
      <c r="D336" s="139">
        <f>IF($O$12="sell",-1,1) * NORMDIST(I336,0,1,0)/(B336*$H$12*SQRT($J$12)) * $P$12</f>
        <v/>
      </c>
      <c r="E336" s="139">
        <f>IF($O$12="sell",-1,1) * (B336*NORMDIST(I336,0,1,0)*SQRT($J$12)/365) * $P$12</f>
        <v/>
      </c>
      <c r="F336" s="139">
        <f>IF($O$12="sell",-1,1) * (-(B336*NORMDIST(I336,0,1,0)*$H$12)/(2*SQRT($J$12))/365) *$P$12</f>
        <v/>
      </c>
      <c r="G336" s="139">
        <f>IF($O$12="buy",1,-1)*( IF($K$12="call",B336*NORMDIST(I336,0,1,1) - $B$12*NORMDIST(J336,0,1,1),$B$12*NORMDIST(-J336,0,1,1) - B336*NORMDIST(-I336,0,1,1) ) - $G$12) * $P$12</f>
        <v/>
      </c>
      <c r="I336" s="140">
        <f>(LN(B336/$B$12)+($H$12^2/2)*($J$12))/($H$12*SQRT($J$12))</f>
        <v/>
      </c>
      <c r="J336" s="143">
        <f>I336 - $H$12*SQRT($J$12)</f>
        <v/>
      </c>
    </row>
    <row r="337" ht="13.5" customHeight="1" s="116">
      <c r="B337" s="144">
        <f>B307</f>
        <v/>
      </c>
      <c r="C337" s="139">
        <f>IF($O$12="sell",-1,1) *  IF($K$12="call",  NORMDIST(I337,0,1,1),  NORMDIST(I337,0,1,1)-1  ) * $P$12</f>
        <v/>
      </c>
      <c r="D337" s="139">
        <f>IF($O$12="sell",-1,1) * NORMDIST(I337,0,1,0)/(B337*$H$12*SQRT($J$12)) * $P$12</f>
        <v/>
      </c>
      <c r="E337" s="139">
        <f>IF($O$12="sell",-1,1) * (B337*NORMDIST(I337,0,1,0)*SQRT($J$12)/365) * $P$12</f>
        <v/>
      </c>
      <c r="F337" s="139">
        <f>IF($O$12="sell",-1,1) * (-(B337*NORMDIST(I337,0,1,0)*$H$12)/(2*SQRT($J$12))/365) *$P$12</f>
        <v/>
      </c>
      <c r="G337" s="139">
        <f>IF($O$12="buy",1,-1)*( IF($K$12="call",B337*NORMDIST(I337,0,1,1) - $B$12*NORMDIST(J337,0,1,1),$B$12*NORMDIST(-J337,0,1,1) - B337*NORMDIST(-I337,0,1,1) ) - $G$12) * $P$12</f>
        <v/>
      </c>
      <c r="I337" s="140">
        <f>(LN(B337/$B$12)+($H$12^2/2)*($J$12))/($H$12*SQRT($J$12))</f>
        <v/>
      </c>
      <c r="J337" s="143">
        <f>I337 - $H$12*SQRT($J$12)</f>
        <v/>
      </c>
    </row>
    <row r="338" ht="13.5" customHeight="1" s="116">
      <c r="B338" s="144">
        <f>B308</f>
        <v/>
      </c>
      <c r="C338" s="139">
        <f>IF($O$12="sell",-1,1) *  IF($K$12="call",  NORMDIST(I338,0,1,1),  NORMDIST(I338,0,1,1)-1  ) * $P$12</f>
        <v/>
      </c>
      <c r="D338" s="139">
        <f>IF($O$12="sell",-1,1) * NORMDIST(I338,0,1,0)/(B338*$H$12*SQRT($J$12)) * $P$12</f>
        <v/>
      </c>
      <c r="E338" s="139">
        <f>IF($O$12="sell",-1,1) * (B338*NORMDIST(I338,0,1,0)*SQRT($J$12)/365) * $P$12</f>
        <v/>
      </c>
      <c r="F338" s="139">
        <f>IF($O$12="sell",-1,1) * (-(B338*NORMDIST(I338,0,1,0)*$H$12)/(2*SQRT($J$12))/365) *$P$12</f>
        <v/>
      </c>
      <c r="G338" s="139">
        <f>IF($O$12="buy",1,-1)*( IF($K$12="call",B338*NORMDIST(I338,0,1,1) - $B$12*NORMDIST(J338,0,1,1),$B$12*NORMDIST(-J338,0,1,1) - B338*NORMDIST(-I338,0,1,1) ) - $G$12) * $P$12</f>
        <v/>
      </c>
      <c r="I338" s="140">
        <f>(LN(B338/$B$12)+($H$12^2/2)*($J$12))/($H$12*SQRT($J$12))</f>
        <v/>
      </c>
      <c r="J338" s="143">
        <f>I338 - $H$12*SQRT($J$12)</f>
        <v/>
      </c>
    </row>
    <row r="339" ht="13.5" customHeight="1" s="116">
      <c r="B339" s="144">
        <f>B309</f>
        <v/>
      </c>
      <c r="C339" s="139">
        <f>IF($O$12="sell",-1,1) *  IF($K$12="call",  NORMDIST(I339,0,1,1),  NORMDIST(I339,0,1,1)-1  ) * $P$12</f>
        <v/>
      </c>
      <c r="D339" s="139">
        <f>IF($O$12="sell",-1,1) * NORMDIST(I339,0,1,0)/(B339*$H$12*SQRT($J$12)) * $P$12</f>
        <v/>
      </c>
      <c r="E339" s="139">
        <f>IF($O$12="sell",-1,1) * (B339*NORMDIST(I339,0,1,0)*SQRT($J$12)/365) * $P$12</f>
        <v/>
      </c>
      <c r="F339" s="139">
        <f>IF($O$12="sell",-1,1) * (-(B339*NORMDIST(I339,0,1,0)*$H$12)/(2*SQRT($J$12))/365) *$P$12</f>
        <v/>
      </c>
      <c r="G339" s="139">
        <f>IF($O$12="buy",1,-1)*( IF($K$12="call",B339*NORMDIST(I339,0,1,1) - $B$12*NORMDIST(J339,0,1,1),$B$12*NORMDIST(-J339,0,1,1) - B339*NORMDIST(-I339,0,1,1) ) - $G$12) * $P$12</f>
        <v/>
      </c>
      <c r="I339" s="140">
        <f>(LN(B339/$B$12)+($H$12^2/2)*($J$12))/($H$12*SQRT($J$12))</f>
        <v/>
      </c>
      <c r="J339" s="143">
        <f>I339 - $H$12*SQRT($J$12)</f>
        <v/>
      </c>
    </row>
    <row r="340" ht="13.5" customHeight="1" s="116">
      <c r="B340" s="144">
        <f>B310</f>
        <v/>
      </c>
      <c r="C340" s="139">
        <f>IF($O$12="sell",-1,1) *  IF($K$12="call",  NORMDIST(I340,0,1,1),  NORMDIST(I340,0,1,1)-1  ) * $P$12</f>
        <v/>
      </c>
      <c r="D340" s="139">
        <f>IF($O$12="sell",-1,1) * NORMDIST(I340,0,1,0)/(B340*$H$12*SQRT($J$12)) * $P$12</f>
        <v/>
      </c>
      <c r="E340" s="139">
        <f>IF($O$12="sell",-1,1) * (B340*NORMDIST(I340,0,1,0)*SQRT($J$12)/365) * $P$12</f>
        <v/>
      </c>
      <c r="F340" s="139">
        <f>IF($O$12="sell",-1,1) * (-(B340*NORMDIST(I340,0,1,0)*$H$12)/(2*SQRT($J$12))/365) *$P$12</f>
        <v/>
      </c>
      <c r="G340" s="139">
        <f>IF($O$12="buy",1,-1)*( IF($K$12="call",B340*NORMDIST(I340,0,1,1) - $B$12*NORMDIST(J340,0,1,1),$B$12*NORMDIST(-J340,0,1,1) - B340*NORMDIST(-I340,0,1,1) ) - $G$12) * $P$12</f>
        <v/>
      </c>
      <c r="I340" s="140">
        <f>(LN(B340/$B$12)+($H$12^2/2)*($J$12))/($H$12*SQRT($J$12))</f>
        <v/>
      </c>
      <c r="J340" s="143">
        <f>I340 - $H$12*SQRT($J$12)</f>
        <v/>
      </c>
    </row>
    <row r="341" ht="13.5" customHeight="1" s="116">
      <c r="B341" s="144">
        <f>B311</f>
        <v/>
      </c>
      <c r="C341" s="139">
        <f>IF($O$12="sell",-1,1) *  IF($K$12="call",  NORMDIST(I341,0,1,1),  NORMDIST(I341,0,1,1)-1  ) * $P$12</f>
        <v/>
      </c>
      <c r="D341" s="139">
        <f>IF($O$12="sell",-1,1) * NORMDIST(I341,0,1,0)/(B341*$H$12*SQRT($J$12)) * $P$12</f>
        <v/>
      </c>
      <c r="E341" s="139">
        <f>IF($O$12="sell",-1,1) * (B341*NORMDIST(I341,0,1,0)*SQRT($J$12)/365) * $P$12</f>
        <v/>
      </c>
      <c r="F341" s="139">
        <f>IF($O$12="sell",-1,1) * (-(B341*NORMDIST(I341,0,1,0)*$H$12)/(2*SQRT($J$12))/365) *$P$12</f>
        <v/>
      </c>
      <c r="G341" s="139">
        <f>IF($O$12="buy",1,-1)*( IF($K$12="call",B341*NORMDIST(I341,0,1,1) - $B$12*NORMDIST(J341,0,1,1),$B$12*NORMDIST(-J341,0,1,1) - B341*NORMDIST(-I341,0,1,1) ) - $G$12) * $P$12</f>
        <v/>
      </c>
      <c r="I341" s="140">
        <f>(LN(B341/$B$12)+($H$12^2/2)*($J$12))/($H$12*SQRT($J$12))</f>
        <v/>
      </c>
      <c r="J341" s="143">
        <f>I341 - $H$12*SQRT($J$12)</f>
        <v/>
      </c>
    </row>
    <row r="342" ht="13.5" customHeight="1" s="116">
      <c r="B342" s="144">
        <f>B312</f>
        <v/>
      </c>
      <c r="C342" s="139">
        <f>IF($O$12="sell",-1,1) *  IF($K$12="call",  NORMDIST(I342,0,1,1),  NORMDIST(I342,0,1,1)-1  ) * $P$12</f>
        <v/>
      </c>
      <c r="D342" s="139">
        <f>IF($O$12="sell",-1,1) * NORMDIST(I342,0,1,0)/(B342*$H$12*SQRT($J$12)) * $P$12</f>
        <v/>
      </c>
      <c r="E342" s="139">
        <f>IF($O$12="sell",-1,1) * (B342*NORMDIST(I342,0,1,0)*SQRT($J$12)/365) * $P$12</f>
        <v/>
      </c>
      <c r="F342" s="139">
        <f>IF($O$12="sell",-1,1) * (-(B342*NORMDIST(I342,0,1,0)*$H$12)/(2*SQRT($J$12))/365) *$P$12</f>
        <v/>
      </c>
      <c r="G342" s="139">
        <f>IF($O$12="buy",1,-1)*( IF($K$12="call",B342*NORMDIST(I342,0,1,1) - $B$12*NORMDIST(J342,0,1,1),$B$12*NORMDIST(-J342,0,1,1) - B342*NORMDIST(-I342,0,1,1) ) - $G$12) * $P$12</f>
        <v/>
      </c>
      <c r="I342" s="140">
        <f>(LN(B342/$B$12)+($H$12^2/2)*($J$12))/($H$12*SQRT($J$12))</f>
        <v/>
      </c>
      <c r="J342" s="143">
        <f>I342 - $H$12*SQRT($J$12)</f>
        <v/>
      </c>
    </row>
    <row r="343" ht="13.5" customHeight="1" s="116">
      <c r="B343" s="144">
        <f>B313</f>
        <v/>
      </c>
      <c r="C343" s="139">
        <f>IF($O$12="sell",-1,1) *  IF($K$12="call",  NORMDIST(I343,0,1,1),  NORMDIST(I343,0,1,1)-1  ) * $P$12</f>
        <v/>
      </c>
      <c r="D343" s="139">
        <f>IF($O$12="sell",-1,1) * NORMDIST(I343,0,1,0)/(B343*$H$12*SQRT($J$12)) * $P$12</f>
        <v/>
      </c>
      <c r="E343" s="139">
        <f>IF($O$12="sell",-1,1) * (B343*NORMDIST(I343,0,1,0)*SQRT($J$12)/365) * $P$12</f>
        <v/>
      </c>
      <c r="F343" s="139">
        <f>IF($O$12="sell",-1,1) * (-(B343*NORMDIST(I343,0,1,0)*$H$12)/(2*SQRT($J$12))/365) *$P$12</f>
        <v/>
      </c>
      <c r="G343" s="139">
        <f>IF($O$12="buy",1,-1)*( IF($K$12="call",B343*NORMDIST(I343,0,1,1) - $B$12*NORMDIST(J343,0,1,1),$B$12*NORMDIST(-J343,0,1,1) - B343*NORMDIST(-I343,0,1,1) ) - $G$12) * $P$12</f>
        <v/>
      </c>
      <c r="I343" s="140">
        <f>(LN(B343/$B$12)+($H$12^2/2)*($J$12))/($H$12*SQRT($J$12))</f>
        <v/>
      </c>
      <c r="J343" s="143">
        <f>I343 - $H$12*SQRT($J$12)</f>
        <v/>
      </c>
    </row>
    <row r="344" ht="13.5" customHeight="1" s="116">
      <c r="B344" s="144">
        <f>B314</f>
        <v/>
      </c>
      <c r="C344" s="139">
        <f>IF($O$12="sell",-1,1) *  IF($K$12="call",  NORMDIST(I344,0,1,1),  NORMDIST(I344,0,1,1)-1  ) * $P$12</f>
        <v/>
      </c>
      <c r="D344" s="139">
        <f>IF($O$12="sell",-1,1) * NORMDIST(I344,0,1,0)/(B344*$H$12*SQRT($J$12)) * $P$12</f>
        <v/>
      </c>
      <c r="E344" s="139">
        <f>IF($O$12="sell",-1,1) * (B344*NORMDIST(I344,0,1,0)*SQRT($J$12)/365) * $P$12</f>
        <v/>
      </c>
      <c r="F344" s="139">
        <f>IF($O$12="sell",-1,1) * (-(B344*NORMDIST(I344,0,1,0)*$H$12)/(2*SQRT($J$12))/365) *$P$12</f>
        <v/>
      </c>
      <c r="G344" s="139">
        <f>IF($O$12="buy",1,-1)*( IF($K$12="call",B344*NORMDIST(I344,0,1,1) - $B$12*NORMDIST(J344,0,1,1),$B$12*NORMDIST(-J344,0,1,1) - B344*NORMDIST(-I344,0,1,1) ) - $G$12) * $P$12</f>
        <v/>
      </c>
      <c r="I344" s="140">
        <f>(LN(B344/$B$12)+($H$12^2/2)*($J$12))/($H$12*SQRT($J$12))</f>
        <v/>
      </c>
      <c r="J344" s="143">
        <f>I344 - $H$12*SQRT($J$12)</f>
        <v/>
      </c>
    </row>
    <row r="345" ht="13.5" customHeight="1" s="116">
      <c r="B345" s="145" t="n"/>
      <c r="C345" s="136" t="n"/>
      <c r="D345" s="136" t="n"/>
      <c r="E345" s="136" t="n"/>
      <c r="F345" s="136" t="n"/>
      <c r="G345" s="136" t="n"/>
      <c r="I345" s="146" t="n"/>
      <c r="J345" s="146" t="n"/>
    </row>
    <row r="346" ht="13.5" customHeight="1" s="116">
      <c r="B346" s="145" t="n"/>
      <c r="C346" s="136" t="n"/>
      <c r="D346" s="136" t="n"/>
      <c r="E346" s="136" t="n"/>
      <c r="F346" s="136" t="n"/>
      <c r="G346" s="136" t="n"/>
      <c r="I346" s="146" t="n"/>
      <c r="J346" s="146" t="n"/>
    </row>
    <row r="347" ht="13.5" customHeight="1" s="116">
      <c r="B347" s="137" t="n"/>
      <c r="C347" s="133" t="inlineStr">
        <is>
          <t>delta</t>
        </is>
      </c>
      <c r="D347" s="133" t="inlineStr">
        <is>
          <t>gamma</t>
        </is>
      </c>
      <c r="E347" s="133" t="inlineStr">
        <is>
          <t>vega</t>
        </is>
      </c>
      <c r="F347" s="133" t="inlineStr">
        <is>
          <t>theta</t>
        </is>
      </c>
      <c r="G347" s="133" t="inlineStr">
        <is>
          <t>mark_price</t>
        </is>
      </c>
      <c r="I347" s="133" t="inlineStr">
        <is>
          <t>d1</t>
        </is>
      </c>
      <c r="J347" s="133" t="inlineStr">
        <is>
          <t>d2</t>
        </is>
      </c>
    </row>
    <row r="348" ht="13.5" customHeight="1" s="116">
      <c r="A348" s="117">
        <f>A13</f>
        <v/>
      </c>
      <c r="B348" s="144">
        <f>B318</f>
        <v/>
      </c>
      <c r="C348" s="139">
        <f>IF($O$13="sell",-1,1) *  IF($K$13="call",  NORMDIST(I348,0,1,1),  NORMDIST(I348,0,1,1)-1  ) * $P$13</f>
        <v/>
      </c>
      <c r="D348" s="139">
        <f>IF($O$13="sell",-1,1) * NORMDIST(I348,0,1,0)/(B348*$H$13*SQRT($J$13)) * $P$13</f>
        <v/>
      </c>
      <c r="E348" s="139">
        <f>IF($O$13="sell",-1,1) * (B348*NORMDIST(I348,0,1,0)*SQRT($J$13)/365) * $P$13</f>
        <v/>
      </c>
      <c r="F348" s="139">
        <f>IF($O$13="sell",-1,1) * (-(B348*NORMDIST(I348,0,1,0)*$H$13)/(2*SQRT($J$13))/365) *$P$13</f>
        <v/>
      </c>
      <c r="G348" s="139">
        <f>IF($O$13="buy",1,-1)*( IF($K$13="call",B348*NORMDIST(I348,0,1,1) - $B$13*NORMDIST(J348,0,1,1),$B$13*NORMDIST(-J348,0,1,1) - B348*NORMDIST(-I348,0,1,1) ) - $G$13) * $P$13</f>
        <v/>
      </c>
      <c r="I348" s="140">
        <f>(LN(B348/$B$13)+($H$13^2/2)*($J$13))/($H$13*SQRT($J$13))</f>
        <v/>
      </c>
      <c r="J348" s="143">
        <f>I348 - $H$13*SQRT($J$13)</f>
        <v/>
      </c>
    </row>
    <row r="349" ht="13.5" customHeight="1" s="116">
      <c r="B349" s="144">
        <f>B319</f>
        <v/>
      </c>
      <c r="C349" s="139">
        <f>IF($O$13="sell",-1,1) *  IF($K$13="call",  NORMDIST(I349,0,1,1),  NORMDIST(I349,0,1,1)-1  ) * $P$13</f>
        <v/>
      </c>
      <c r="D349" s="139">
        <f>IF($O$13="sell",-1,1) * NORMDIST(I349,0,1,0)/(B349*$H$13*SQRT($J$13)) * $P$13</f>
        <v/>
      </c>
      <c r="E349" s="139">
        <f>IF($O$13="sell",-1,1) * (B349*NORMDIST(I349,0,1,0)*SQRT($J$13)/365) * $P$13</f>
        <v/>
      </c>
      <c r="F349" s="139">
        <f>IF($O$13="sell",-1,1) * (-(B349*NORMDIST(I349,0,1,0)*$H$13)/(2*SQRT($J$13))/365) *$P$13</f>
        <v/>
      </c>
      <c r="G349" s="139">
        <f>IF($O$13="buy",1,-1)*( IF($K$13="call",B349*NORMDIST(I349,0,1,1) - $B$13*NORMDIST(J349,0,1,1),$B$13*NORMDIST(-J349,0,1,1) - B349*NORMDIST(-I349,0,1,1) ) - $G$13) * $P$13</f>
        <v/>
      </c>
      <c r="I349" s="140">
        <f>(LN(B349/$B$13)+($H$13^2/2)*($J$13))/($H$13*SQRT($J$13))</f>
        <v/>
      </c>
      <c r="J349" s="143">
        <f>I349 - $H$13*SQRT($J$13)</f>
        <v/>
      </c>
    </row>
    <row r="350" ht="13.5" customHeight="1" s="116">
      <c r="B350" s="144">
        <f>B320</f>
        <v/>
      </c>
      <c r="C350" s="139">
        <f>IF($O$13="sell",-1,1) *  IF($K$13="call",  NORMDIST(I350,0,1,1),  NORMDIST(I350,0,1,1)-1  ) * $P$13</f>
        <v/>
      </c>
      <c r="D350" s="139">
        <f>IF($O$13="sell",-1,1) * NORMDIST(I350,0,1,0)/(B350*$H$13*SQRT($J$13)) * $P$13</f>
        <v/>
      </c>
      <c r="E350" s="139">
        <f>IF($O$13="sell",-1,1) * (B350*NORMDIST(I350,0,1,0)*SQRT($J$13)/365) * $P$13</f>
        <v/>
      </c>
      <c r="F350" s="139">
        <f>IF($O$13="sell",-1,1) * (-(B350*NORMDIST(I350,0,1,0)*$H$13)/(2*SQRT($J$13))/365) *$P$13</f>
        <v/>
      </c>
      <c r="G350" s="139">
        <f>IF($O$13="buy",1,-1)*( IF($K$13="call",B350*NORMDIST(I350,0,1,1) - $B$13*NORMDIST(J350,0,1,1),$B$13*NORMDIST(-J350,0,1,1) - B350*NORMDIST(-I350,0,1,1) ) - $G$13) * $P$13</f>
        <v/>
      </c>
      <c r="I350" s="140">
        <f>(LN(B350/$B$13)+($H$13^2/2)*($J$13))/($H$13*SQRT($J$13))</f>
        <v/>
      </c>
      <c r="J350" s="143">
        <f>I350 - $H$13*SQRT($J$13)</f>
        <v/>
      </c>
    </row>
    <row r="351" ht="13.5" customHeight="1" s="116">
      <c r="B351" s="144">
        <f>B321</f>
        <v/>
      </c>
      <c r="C351" s="139">
        <f>IF($O$13="sell",-1,1) *  IF($K$13="call",  NORMDIST(I351,0,1,1),  NORMDIST(I351,0,1,1)-1  ) * $P$13</f>
        <v/>
      </c>
      <c r="D351" s="139">
        <f>IF($O$13="sell",-1,1) * NORMDIST(I351,0,1,0)/(B351*$H$13*SQRT($J$13)) * $P$13</f>
        <v/>
      </c>
      <c r="E351" s="139">
        <f>IF($O$13="sell",-1,1) * (B351*NORMDIST(I351,0,1,0)*SQRT($J$13)/365) * $P$13</f>
        <v/>
      </c>
      <c r="F351" s="139">
        <f>IF($O$13="sell",-1,1) * (-(B351*NORMDIST(I351,0,1,0)*$H$13)/(2*SQRT($J$13))/365) *$P$13</f>
        <v/>
      </c>
      <c r="G351" s="139">
        <f>IF($O$13="buy",1,-1)*( IF($K$13="call",B351*NORMDIST(I351,0,1,1) - $B$13*NORMDIST(J351,0,1,1),$B$13*NORMDIST(-J351,0,1,1) - B351*NORMDIST(-I351,0,1,1) ) - $G$13) * $P$13</f>
        <v/>
      </c>
      <c r="I351" s="140">
        <f>(LN(B351/$B$13)+($H$13^2/2)*($J$13))/($H$13*SQRT($J$13))</f>
        <v/>
      </c>
      <c r="J351" s="143">
        <f>I351 - $H$13*SQRT($J$13)</f>
        <v/>
      </c>
    </row>
    <row r="352" ht="13.5" customHeight="1" s="116">
      <c r="B352" s="144">
        <f>B322</f>
        <v/>
      </c>
      <c r="C352" s="139">
        <f>IF($O$13="sell",-1,1) *  IF($K$13="call",  NORMDIST(I352,0,1,1),  NORMDIST(I352,0,1,1)-1  ) * $P$13</f>
        <v/>
      </c>
      <c r="D352" s="139">
        <f>IF($O$13="sell",-1,1) * NORMDIST(I352,0,1,0)/(B352*$H$13*SQRT($J$13)) * $P$13</f>
        <v/>
      </c>
      <c r="E352" s="139">
        <f>IF($O$13="sell",-1,1) * (B352*NORMDIST(I352,0,1,0)*SQRT($J$13)/365) * $P$13</f>
        <v/>
      </c>
      <c r="F352" s="139">
        <f>IF($O$13="sell",-1,1) * (-(B352*NORMDIST(I352,0,1,0)*$H$13)/(2*SQRT($J$13))/365) *$P$13</f>
        <v/>
      </c>
      <c r="G352" s="139">
        <f>IF($O$13="buy",1,-1)*( IF($K$13="call",B352*NORMDIST(I352,0,1,1) - $B$13*NORMDIST(J352,0,1,1),$B$13*NORMDIST(-J352,0,1,1) - B352*NORMDIST(-I352,0,1,1) ) - $G$13) * $P$13</f>
        <v/>
      </c>
      <c r="I352" s="140">
        <f>(LN(B352/$B$13)+($H$13^2/2)*($J$13))/($H$13*SQRT($J$13))</f>
        <v/>
      </c>
      <c r="J352" s="143">
        <f>I352 - $H$13*SQRT($J$13)</f>
        <v/>
      </c>
    </row>
    <row r="353" ht="13.5" customHeight="1" s="116">
      <c r="B353" s="144">
        <f>B323</f>
        <v/>
      </c>
      <c r="C353" s="139">
        <f>IF($O$13="sell",-1,1) *  IF($K$13="call",  NORMDIST(I353,0,1,1),  NORMDIST(I353,0,1,1)-1  ) * $P$13</f>
        <v/>
      </c>
      <c r="D353" s="139">
        <f>IF($O$13="sell",-1,1) * NORMDIST(I353,0,1,0)/(B353*$H$13*SQRT($J$13)) * $P$13</f>
        <v/>
      </c>
      <c r="E353" s="139">
        <f>IF($O$13="sell",-1,1) * (B353*NORMDIST(I353,0,1,0)*SQRT($J$13)/365) * $P$13</f>
        <v/>
      </c>
      <c r="F353" s="139">
        <f>IF($O$13="sell",-1,1) * (-(B353*NORMDIST(I353,0,1,0)*$H$13)/(2*SQRT($J$13))/365) *$P$13</f>
        <v/>
      </c>
      <c r="G353" s="139">
        <f>IF($O$13="buy",1,-1)*( IF($K$13="call",B353*NORMDIST(I353,0,1,1) - $B$13*NORMDIST(J353,0,1,1),$B$13*NORMDIST(-J353,0,1,1) - B353*NORMDIST(-I353,0,1,1) ) - $G$13) * $P$13</f>
        <v/>
      </c>
      <c r="I353" s="140">
        <f>(LN(B353/$B$13)+($H$13^2/2)*($J$13))/($H$13*SQRT($J$13))</f>
        <v/>
      </c>
      <c r="J353" s="143">
        <f>I353 - $H$13*SQRT($J$13)</f>
        <v/>
      </c>
    </row>
    <row r="354" ht="13.5" customHeight="1" s="116">
      <c r="B354" s="144">
        <f>B324</f>
        <v/>
      </c>
      <c r="C354" s="139">
        <f>IF($O$13="sell",-1,1) *  IF($K$13="call",  NORMDIST(I354,0,1,1),  NORMDIST(I354,0,1,1)-1  ) * $P$13</f>
        <v/>
      </c>
      <c r="D354" s="139">
        <f>IF($O$13="sell",-1,1) * NORMDIST(I354,0,1,0)/(B354*$H$13*SQRT($J$13)) * $P$13</f>
        <v/>
      </c>
      <c r="E354" s="139">
        <f>IF($O$13="sell",-1,1) * (B354*NORMDIST(I354,0,1,0)*SQRT($J$13)/365) * $P$13</f>
        <v/>
      </c>
      <c r="F354" s="139">
        <f>IF($O$13="sell",-1,1) * (-(B354*NORMDIST(I354,0,1,0)*$H$13)/(2*SQRT($J$13))/365) *$P$13</f>
        <v/>
      </c>
      <c r="G354" s="139">
        <f>IF($O$13="buy",1,-1)*( IF($K$13="call",B354*NORMDIST(I354,0,1,1) - $B$13*NORMDIST(J354,0,1,1),$B$13*NORMDIST(-J354,0,1,1) - B354*NORMDIST(-I354,0,1,1) ) - $G$13) * $P$13</f>
        <v/>
      </c>
      <c r="I354" s="140">
        <f>(LN(B354/$B$13)+($H$13^2/2)*($J$13))/($H$13*SQRT($J$13))</f>
        <v/>
      </c>
      <c r="J354" s="143">
        <f>I354 - $H$13*SQRT($J$13)</f>
        <v/>
      </c>
    </row>
    <row r="355" ht="13.5" customHeight="1" s="116">
      <c r="B355" s="144">
        <f>B325</f>
        <v/>
      </c>
      <c r="C355" s="139">
        <f>IF($O$13="sell",-1,1) *  IF($K$13="call",  NORMDIST(I355,0,1,1),  NORMDIST(I355,0,1,1)-1  ) * $P$13</f>
        <v/>
      </c>
      <c r="D355" s="139">
        <f>IF($O$13="sell",-1,1) * NORMDIST(I355,0,1,0)/(B355*$H$13*SQRT($J$13)) * $P$13</f>
        <v/>
      </c>
      <c r="E355" s="139">
        <f>IF($O$13="sell",-1,1) * (B355*NORMDIST(I355,0,1,0)*SQRT($J$13)/365) * $P$13</f>
        <v/>
      </c>
      <c r="F355" s="139">
        <f>IF($O$13="sell",-1,1) * (-(B355*NORMDIST(I355,0,1,0)*$H$13)/(2*SQRT($J$13))/365) *$P$13</f>
        <v/>
      </c>
      <c r="G355" s="139">
        <f>IF($O$13="buy",1,-1)*( IF($K$13="call",B355*NORMDIST(I355,0,1,1) - $B$13*NORMDIST(J355,0,1,1),$B$13*NORMDIST(-J355,0,1,1) - B355*NORMDIST(-I355,0,1,1) ) - $G$13) * $P$13</f>
        <v/>
      </c>
      <c r="I355" s="140">
        <f>(LN(B355/$B$13)+($H$13^2/2)*($J$13))/($H$13*SQRT($J$13))</f>
        <v/>
      </c>
      <c r="J355" s="143">
        <f>I355 - $H$13*SQRT($J$13)</f>
        <v/>
      </c>
    </row>
    <row r="356" ht="13.5" customHeight="1" s="116">
      <c r="B356" s="144">
        <f>B326</f>
        <v/>
      </c>
      <c r="C356" s="139">
        <f>IF($O$13="sell",-1,1) *  IF($K$13="call",  NORMDIST(I356,0,1,1),  NORMDIST(I356,0,1,1)-1  ) * $P$13</f>
        <v/>
      </c>
      <c r="D356" s="139">
        <f>IF($O$13="sell",-1,1) * NORMDIST(I356,0,1,0)/(B356*$H$13*SQRT($J$13)) * $P$13</f>
        <v/>
      </c>
      <c r="E356" s="139">
        <f>IF($O$13="sell",-1,1) * (B356*NORMDIST(I356,0,1,0)*SQRT($J$13)/365) * $P$13</f>
        <v/>
      </c>
      <c r="F356" s="139">
        <f>IF($O$13="sell",-1,1) * (-(B356*NORMDIST(I356,0,1,0)*$H$13)/(2*SQRT($J$13))/365) *$P$13</f>
        <v/>
      </c>
      <c r="G356" s="139">
        <f>IF($O$13="buy",1,-1)*( IF($K$13="call",B356*NORMDIST(I356,0,1,1) - $B$13*NORMDIST(J356,0,1,1),$B$13*NORMDIST(-J356,0,1,1) - B356*NORMDIST(-I356,0,1,1) ) - $G$13) * $P$13</f>
        <v/>
      </c>
      <c r="I356" s="140">
        <f>(LN(B356/$B$13)+($H$13^2/2)*($J$13))/($H$13*SQRT($J$13))</f>
        <v/>
      </c>
      <c r="J356" s="143">
        <f>I356 - $H$13*SQRT($J$13)</f>
        <v/>
      </c>
    </row>
    <row r="357" ht="13.5" customHeight="1" s="116">
      <c r="B357" s="144">
        <f>B327</f>
        <v/>
      </c>
      <c r="C357" s="139">
        <f>IF($O$13="sell",-1,1) *  IF($K$13="call",  NORMDIST(I357,0,1,1),  NORMDIST(I357,0,1,1)-1  ) * $P$13</f>
        <v/>
      </c>
      <c r="D357" s="139">
        <f>IF($O$13="sell",-1,1) * NORMDIST(I357,0,1,0)/(B357*$H$13*SQRT($J$13)) * $P$13</f>
        <v/>
      </c>
      <c r="E357" s="139">
        <f>IF($O$13="sell",-1,1) * (B357*NORMDIST(I357,0,1,0)*SQRT($J$13)/365) * $P$13</f>
        <v/>
      </c>
      <c r="F357" s="139">
        <f>IF($O$13="sell",-1,1) * (-(B357*NORMDIST(I357,0,1,0)*$H$13)/(2*SQRT($J$13))/365) *$P$13</f>
        <v/>
      </c>
      <c r="G357" s="139">
        <f>IF($O$13="buy",1,-1)*( IF($K$13="call",B357*NORMDIST(I357,0,1,1) - $B$13*NORMDIST(J357,0,1,1),$B$13*NORMDIST(-J357,0,1,1) - B357*NORMDIST(-I357,0,1,1) ) - $G$13) * $P$13</f>
        <v/>
      </c>
      <c r="I357" s="140">
        <f>(LN(B357/$B$13)+($H$13^2/2)*($J$13))/($H$13*SQRT($J$13))</f>
        <v/>
      </c>
      <c r="J357" s="143">
        <f>I357 - $H$13*SQRT($J$13)</f>
        <v/>
      </c>
    </row>
    <row r="358" ht="13.5" customHeight="1" s="116">
      <c r="B358" s="144">
        <f>B328</f>
        <v/>
      </c>
      <c r="C358" s="139">
        <f>IF($O$13="sell",-1,1) *  IF($K$13="call",  NORMDIST(I358,0,1,1),  NORMDIST(I358,0,1,1)-1  ) * $P$13</f>
        <v/>
      </c>
      <c r="D358" s="139">
        <f>IF($O$13="sell",-1,1) * NORMDIST(I358,0,1,0)/(B358*$H$13*SQRT($J$13)) * $P$13</f>
        <v/>
      </c>
      <c r="E358" s="139">
        <f>IF($O$13="sell",-1,1) * (B358*NORMDIST(I358,0,1,0)*SQRT($J$13)/365) * $P$13</f>
        <v/>
      </c>
      <c r="F358" s="139">
        <f>IF($O$13="sell",-1,1) * (-(B358*NORMDIST(I358,0,1,0)*$H$13)/(2*SQRT($J$13))/365) *$P$13</f>
        <v/>
      </c>
      <c r="G358" s="139">
        <f>IF($O$13="buy",1,-1)*( IF($K$13="call",B358*NORMDIST(I358,0,1,1) - $B$13*NORMDIST(J358,0,1,1),$B$13*NORMDIST(-J358,0,1,1) - B358*NORMDIST(-I358,0,1,1) ) - $G$13) * $P$13</f>
        <v/>
      </c>
      <c r="I358" s="140">
        <f>(LN(B358/$B$13)+($H$13^2/2)*($J$13))/($H$13*SQRT($J$13))</f>
        <v/>
      </c>
      <c r="J358" s="143">
        <f>I358 - $H$13*SQRT($J$13)</f>
        <v/>
      </c>
    </row>
    <row r="359" ht="13.5" customHeight="1" s="116">
      <c r="B359" s="144">
        <f>B329</f>
        <v/>
      </c>
      <c r="C359" s="139">
        <f>IF($O$13="sell",-1,1) *  IF($K$13="call",  NORMDIST(I359,0,1,1),  NORMDIST(I359,0,1,1)-1  ) * $P$13</f>
        <v/>
      </c>
      <c r="D359" s="139">
        <f>IF($O$13="sell",-1,1) * NORMDIST(I359,0,1,0)/(B359*$H$13*SQRT($J$13)) * $P$13</f>
        <v/>
      </c>
      <c r="E359" s="139">
        <f>IF($O$13="sell",-1,1) * (B359*NORMDIST(I359,0,1,0)*SQRT($J$13)/365) * $P$13</f>
        <v/>
      </c>
      <c r="F359" s="139">
        <f>IF($O$13="sell",-1,1) * (-(B359*NORMDIST(I359,0,1,0)*$H$13)/(2*SQRT($J$13))/365) *$P$13</f>
        <v/>
      </c>
      <c r="G359" s="139">
        <f>IF($O$13="buy",1,-1)*( IF($K$13="call",B359*NORMDIST(I359,0,1,1) - $B$13*NORMDIST(J359,0,1,1),$B$13*NORMDIST(-J359,0,1,1) - B359*NORMDIST(-I359,0,1,1) ) - $G$13) * $P$13</f>
        <v/>
      </c>
      <c r="I359" s="140">
        <f>(LN(B359/$B$13)+($H$13^2/2)*($J$13))/($H$13*SQRT($J$13))</f>
        <v/>
      </c>
      <c r="J359" s="143">
        <f>I359 - $H$13*SQRT($J$13)</f>
        <v/>
      </c>
    </row>
    <row r="360" ht="13.5" customHeight="1" s="116">
      <c r="B360" s="144">
        <f>B330</f>
        <v/>
      </c>
      <c r="C360" s="139">
        <f>IF($O$13="sell",-1,1) *  IF($K$13="call",  NORMDIST(I360,0,1,1),  NORMDIST(I360,0,1,1)-1  ) * $P$13</f>
        <v/>
      </c>
      <c r="D360" s="139">
        <f>IF($O$13="sell",-1,1) * NORMDIST(I360,0,1,0)/(B360*$H$13*SQRT($J$13)) * $P$13</f>
        <v/>
      </c>
      <c r="E360" s="139">
        <f>IF($O$13="sell",-1,1) * (B360*NORMDIST(I360,0,1,0)*SQRT($J$13)/365) * $P$13</f>
        <v/>
      </c>
      <c r="F360" s="139">
        <f>IF($O$13="sell",-1,1) * (-(B360*NORMDIST(I360,0,1,0)*$H$13)/(2*SQRT($J$13))/365) *$P$13</f>
        <v/>
      </c>
      <c r="G360" s="139">
        <f>IF($O$13="buy",1,-1)*( IF($K$13="call",B360*NORMDIST(I360,0,1,1) - $B$13*NORMDIST(J360,0,1,1),$B$13*NORMDIST(-J360,0,1,1) - B360*NORMDIST(-I360,0,1,1) ) - $G$13) * $P$13</f>
        <v/>
      </c>
      <c r="I360" s="140">
        <f>(LN(B360/$B$13)+($H$13^2/2)*($J$13))/($H$13*SQRT($J$13))</f>
        <v/>
      </c>
      <c r="J360" s="143">
        <f>I360 - $H$13*SQRT($J$13)</f>
        <v/>
      </c>
    </row>
    <row r="361" ht="13.5" customHeight="1" s="116">
      <c r="B361" s="144">
        <f>B331</f>
        <v/>
      </c>
      <c r="C361" s="139">
        <f>IF($O$13="sell",-1,1) *  IF($K$13="call",  NORMDIST(I361,0,1,1),  NORMDIST(I361,0,1,1)-1  ) * $P$13</f>
        <v/>
      </c>
      <c r="D361" s="139">
        <f>IF($O$13="sell",-1,1) * NORMDIST(I361,0,1,0)/(B361*$H$13*SQRT($J$13)) * $P$13</f>
        <v/>
      </c>
      <c r="E361" s="139">
        <f>IF($O$13="sell",-1,1) * (B361*NORMDIST(I361,0,1,0)*SQRT($J$13)/365) * $P$13</f>
        <v/>
      </c>
      <c r="F361" s="139">
        <f>IF($O$13="sell",-1,1) * (-(B361*NORMDIST(I361,0,1,0)*$H$13)/(2*SQRT($J$13))/365) *$P$13</f>
        <v/>
      </c>
      <c r="G361" s="139">
        <f>IF($O$13="buy",1,-1)*( IF($K$13="call",B361*NORMDIST(I361,0,1,1) - $B$13*NORMDIST(J361,0,1,1),$B$13*NORMDIST(-J361,0,1,1) - B361*NORMDIST(-I361,0,1,1) ) - $G$13) * $P$13</f>
        <v/>
      </c>
      <c r="I361" s="140">
        <f>(LN(B361/$B$13)+($H$13^2/2)*($J$13))/($H$13*SQRT($J$13))</f>
        <v/>
      </c>
      <c r="J361" s="143">
        <f>I361 - $H$13*SQRT($J$13)</f>
        <v/>
      </c>
    </row>
    <row r="362" ht="13.5" customHeight="1" s="116">
      <c r="B362" s="144">
        <f>B332</f>
        <v/>
      </c>
      <c r="C362" s="139">
        <f>IF($O$13="sell",-1,1) *  IF($K$13="call",  NORMDIST(I362,0,1,1),  NORMDIST(I362,0,1,1)-1  ) * $P$13</f>
        <v/>
      </c>
      <c r="D362" s="139">
        <f>IF($O$13="sell",-1,1) * NORMDIST(I362,0,1,0)/(B362*$H$13*SQRT($J$13)) * $P$13</f>
        <v/>
      </c>
      <c r="E362" s="139">
        <f>IF($O$13="sell",-1,1) * (B362*NORMDIST(I362,0,1,0)*SQRT($J$13)/365) * $P$13</f>
        <v/>
      </c>
      <c r="F362" s="139">
        <f>IF($O$13="sell",-1,1) * (-(B362*NORMDIST(I362,0,1,0)*$H$13)/(2*SQRT($J$13))/365) *$P$13</f>
        <v/>
      </c>
      <c r="G362" s="139">
        <f>IF($O$13="buy",1,-1)*( IF($K$13="call",B362*NORMDIST(I362,0,1,1) - $B$13*NORMDIST(J362,0,1,1),$B$13*NORMDIST(-J362,0,1,1) - B362*NORMDIST(-I362,0,1,1) ) - $G$13) * $P$13</f>
        <v/>
      </c>
      <c r="I362" s="140">
        <f>(LN(B362/$B$13)+($H$13^2/2)*($J$13))/($H$13*SQRT($J$13))</f>
        <v/>
      </c>
      <c r="J362" s="143">
        <f>I362 - $H$13*SQRT($J$13)</f>
        <v/>
      </c>
    </row>
    <row r="363" ht="13.5" customHeight="1" s="116">
      <c r="B363" s="144">
        <f>B333</f>
        <v/>
      </c>
      <c r="C363" s="139">
        <f>IF($O$13="sell",-1,1) *  IF($K$13="call",  NORMDIST(I363,0,1,1),  NORMDIST(I363,0,1,1)-1  ) * $P$13</f>
        <v/>
      </c>
      <c r="D363" s="139">
        <f>IF($O$13="sell",-1,1) * NORMDIST(I363,0,1,0)/(B363*$H$13*SQRT($J$13)) * $P$13</f>
        <v/>
      </c>
      <c r="E363" s="139">
        <f>IF($O$13="sell",-1,1) * (B363*NORMDIST(I363,0,1,0)*SQRT($J$13)/365) * $P$13</f>
        <v/>
      </c>
      <c r="F363" s="139">
        <f>IF($O$13="sell",-1,1) * (-(B363*NORMDIST(I363,0,1,0)*$H$13)/(2*SQRT($J$13))/365) *$P$13</f>
        <v/>
      </c>
      <c r="G363" s="139">
        <f>IF($O$13="buy",1,-1)*( IF($K$13="call",B363*NORMDIST(I363,0,1,1) - $B$13*NORMDIST(J363,0,1,1),$B$13*NORMDIST(-J363,0,1,1) - B363*NORMDIST(-I363,0,1,1) ) - $G$13) * $P$13</f>
        <v/>
      </c>
      <c r="I363" s="140">
        <f>(LN(B363/$B$13)+($H$13^2/2)*($J$13))/($H$13*SQRT($J$13))</f>
        <v/>
      </c>
      <c r="J363" s="143">
        <f>I363 - $H$13*SQRT($J$13)</f>
        <v/>
      </c>
    </row>
    <row r="364" ht="13.5" customHeight="1" s="116">
      <c r="B364" s="144">
        <f>B334</f>
        <v/>
      </c>
      <c r="C364" s="139">
        <f>IF($O$13="sell",-1,1) *  IF($K$13="call",  NORMDIST(I364,0,1,1),  NORMDIST(I364,0,1,1)-1  ) * $P$13</f>
        <v/>
      </c>
      <c r="D364" s="139">
        <f>IF($O$13="sell",-1,1) * NORMDIST(I364,0,1,0)/(B364*$H$13*SQRT($J$13)) * $P$13</f>
        <v/>
      </c>
      <c r="E364" s="139">
        <f>IF($O$13="sell",-1,1) * (B364*NORMDIST(I364,0,1,0)*SQRT($J$13)/365) * $P$13</f>
        <v/>
      </c>
      <c r="F364" s="139">
        <f>IF($O$13="sell",-1,1) * (-(B364*NORMDIST(I364,0,1,0)*$H$13)/(2*SQRT($J$13))/365) *$P$13</f>
        <v/>
      </c>
      <c r="G364" s="139">
        <f>IF($O$13="buy",1,-1)*( IF($K$13="call",B364*NORMDIST(I364,0,1,1) - $B$13*NORMDIST(J364,0,1,1),$B$13*NORMDIST(-J364,0,1,1) - B364*NORMDIST(-I364,0,1,1) ) - $G$13) * $P$13</f>
        <v/>
      </c>
      <c r="I364" s="140">
        <f>(LN(B364/$B$13)+($H$13^2/2)*($J$13))/($H$13*SQRT($J$13))</f>
        <v/>
      </c>
      <c r="J364" s="143">
        <f>I364 - $H$13*SQRT($J$13)</f>
        <v/>
      </c>
    </row>
    <row r="365" ht="13.5" customHeight="1" s="116">
      <c r="B365" s="144">
        <f>B335</f>
        <v/>
      </c>
      <c r="C365" s="139">
        <f>IF($O$13="sell",-1,1) *  IF($K$13="call",  NORMDIST(I365,0,1,1),  NORMDIST(I365,0,1,1)-1  ) * $P$13</f>
        <v/>
      </c>
      <c r="D365" s="139">
        <f>IF($O$13="sell",-1,1) * NORMDIST(I365,0,1,0)/(B365*$H$13*SQRT($J$13)) * $P$13</f>
        <v/>
      </c>
      <c r="E365" s="139">
        <f>IF($O$13="sell",-1,1) * (B365*NORMDIST(I365,0,1,0)*SQRT($J$13)/365) * $P$13</f>
        <v/>
      </c>
      <c r="F365" s="139">
        <f>IF($O$13="sell",-1,1) * (-(B365*NORMDIST(I365,0,1,0)*$H$13)/(2*SQRT($J$13))/365) *$P$13</f>
        <v/>
      </c>
      <c r="G365" s="139">
        <f>IF($O$13="buy",1,-1)*( IF($K$13="call",B365*NORMDIST(I365,0,1,1) - $B$13*NORMDIST(J365,0,1,1),$B$13*NORMDIST(-J365,0,1,1) - B365*NORMDIST(-I365,0,1,1) ) - $G$13) * $P$13</f>
        <v/>
      </c>
      <c r="I365" s="140">
        <f>(LN(B365/$B$13)+($H$13^2/2)*($J$13))/($H$13*SQRT($J$13))</f>
        <v/>
      </c>
      <c r="J365" s="143">
        <f>I365 - $H$13*SQRT($J$13)</f>
        <v/>
      </c>
    </row>
    <row r="366" ht="13.5" customHeight="1" s="116">
      <c r="B366" s="144">
        <f>B336</f>
        <v/>
      </c>
      <c r="C366" s="139">
        <f>IF($O$13="sell",-1,1) *  IF($K$13="call",  NORMDIST(I366,0,1,1),  NORMDIST(I366,0,1,1)-1  ) * $P$13</f>
        <v/>
      </c>
      <c r="D366" s="139">
        <f>IF($O$13="sell",-1,1) * NORMDIST(I366,0,1,0)/(B366*$H$13*SQRT($J$13)) * $P$13</f>
        <v/>
      </c>
      <c r="E366" s="139">
        <f>IF($O$13="sell",-1,1) * (B366*NORMDIST(I366,0,1,0)*SQRT($J$13)/365) * $P$13</f>
        <v/>
      </c>
      <c r="F366" s="139">
        <f>IF($O$13="sell",-1,1) * (-(B366*NORMDIST(I366,0,1,0)*$H$13)/(2*SQRT($J$13))/365) *$P$13</f>
        <v/>
      </c>
      <c r="G366" s="139">
        <f>IF($O$13="buy",1,-1)*( IF($K$13="call",B366*NORMDIST(I366,0,1,1) - $B$13*NORMDIST(J366,0,1,1),$B$13*NORMDIST(-J366,0,1,1) - B366*NORMDIST(-I366,0,1,1) ) - $G$13) * $P$13</f>
        <v/>
      </c>
      <c r="I366" s="140">
        <f>(LN(B366/$B$13)+($H$13^2/2)*($J$13))/($H$13*SQRT($J$13))</f>
        <v/>
      </c>
      <c r="J366" s="143">
        <f>I366 - $H$13*SQRT($J$13)</f>
        <v/>
      </c>
    </row>
    <row r="367" ht="13.5" customHeight="1" s="116">
      <c r="B367" s="144">
        <f>B337</f>
        <v/>
      </c>
      <c r="C367" s="139">
        <f>IF($O$13="sell",-1,1) *  IF($K$13="call",  NORMDIST(I367,0,1,1),  NORMDIST(I367,0,1,1)-1  ) * $P$13</f>
        <v/>
      </c>
      <c r="D367" s="139">
        <f>IF($O$13="sell",-1,1) * NORMDIST(I367,0,1,0)/(B367*$H$13*SQRT($J$13)) * $P$13</f>
        <v/>
      </c>
      <c r="E367" s="139">
        <f>IF($O$13="sell",-1,1) * (B367*NORMDIST(I367,0,1,0)*SQRT($J$13)/365) * $P$13</f>
        <v/>
      </c>
      <c r="F367" s="139">
        <f>IF($O$13="sell",-1,1) * (-(B367*NORMDIST(I367,0,1,0)*$H$13)/(2*SQRT($J$13))/365) *$P$13</f>
        <v/>
      </c>
      <c r="G367" s="139">
        <f>IF($O$13="buy",1,-1)*( IF($K$13="call",B367*NORMDIST(I367,0,1,1) - $B$13*NORMDIST(J367,0,1,1),$B$13*NORMDIST(-J367,0,1,1) - B367*NORMDIST(-I367,0,1,1) ) - $G$13) * $P$13</f>
        <v/>
      </c>
      <c r="I367" s="140">
        <f>(LN(B367/$B$13)+($H$13^2/2)*($J$13))/($H$13*SQRT($J$13))</f>
        <v/>
      </c>
      <c r="J367" s="143">
        <f>I367 - $H$13*SQRT($J$13)</f>
        <v/>
      </c>
    </row>
    <row r="368" ht="13.5" customHeight="1" s="116">
      <c r="B368" s="144">
        <f>B338</f>
        <v/>
      </c>
      <c r="C368" s="139">
        <f>IF($O$13="sell",-1,1) *  IF($K$13="call",  NORMDIST(I368,0,1,1),  NORMDIST(I368,0,1,1)-1  ) * $P$13</f>
        <v/>
      </c>
      <c r="D368" s="139">
        <f>IF($O$13="sell",-1,1) * NORMDIST(I368,0,1,0)/(B368*$H$13*SQRT($J$13)) * $P$13</f>
        <v/>
      </c>
      <c r="E368" s="139">
        <f>IF($O$13="sell",-1,1) * (B368*NORMDIST(I368,0,1,0)*SQRT($J$13)/365) * $P$13</f>
        <v/>
      </c>
      <c r="F368" s="139">
        <f>IF($O$13="sell",-1,1) * (-(B368*NORMDIST(I368,0,1,0)*$H$13)/(2*SQRT($J$13))/365) *$P$13</f>
        <v/>
      </c>
      <c r="G368" s="139">
        <f>IF($O$13="buy",1,-1)*( IF($K$13="call",B368*NORMDIST(I368,0,1,1) - $B$13*NORMDIST(J368,0,1,1),$B$13*NORMDIST(-J368,0,1,1) - B368*NORMDIST(-I368,0,1,1) ) - $G$13) * $P$13</f>
        <v/>
      </c>
      <c r="I368" s="140">
        <f>(LN(B368/$B$13)+($H$13^2/2)*($J$13))/($H$13*SQRT($J$13))</f>
        <v/>
      </c>
      <c r="J368" s="143">
        <f>I368 - $H$13*SQRT($J$13)</f>
        <v/>
      </c>
    </row>
    <row r="369" ht="13.5" customHeight="1" s="116">
      <c r="B369" s="144">
        <f>B339</f>
        <v/>
      </c>
      <c r="C369" s="139">
        <f>IF($O$13="sell",-1,1) *  IF($K$13="call",  NORMDIST(I369,0,1,1),  NORMDIST(I369,0,1,1)-1  ) * $P$13</f>
        <v/>
      </c>
      <c r="D369" s="139">
        <f>IF($O$13="sell",-1,1) * NORMDIST(I369,0,1,0)/(B369*$H$13*SQRT($J$13)) * $P$13</f>
        <v/>
      </c>
      <c r="E369" s="139">
        <f>IF($O$13="sell",-1,1) * (B369*NORMDIST(I369,0,1,0)*SQRT($J$13)/365) * $P$13</f>
        <v/>
      </c>
      <c r="F369" s="139">
        <f>IF($O$13="sell",-1,1) * (-(B369*NORMDIST(I369,0,1,0)*$H$13)/(2*SQRT($J$13))/365) *$P$13</f>
        <v/>
      </c>
      <c r="G369" s="139">
        <f>IF($O$13="buy",1,-1)*( IF($K$13="call",B369*NORMDIST(I369,0,1,1) - $B$13*NORMDIST(J369,0,1,1),$B$13*NORMDIST(-J369,0,1,1) - B369*NORMDIST(-I369,0,1,1) ) - $G$13) * $P$13</f>
        <v/>
      </c>
      <c r="I369" s="140">
        <f>(LN(B369/$B$13)+($H$13^2/2)*($J$13))/($H$13*SQRT($J$13))</f>
        <v/>
      </c>
      <c r="J369" s="143">
        <f>I369 - $H$13*SQRT($J$13)</f>
        <v/>
      </c>
    </row>
    <row r="370" ht="13.5" customHeight="1" s="116">
      <c r="B370" s="144">
        <f>B340</f>
        <v/>
      </c>
      <c r="C370" s="139">
        <f>IF($O$13="sell",-1,1) *  IF($K$13="call",  NORMDIST(I370,0,1,1),  NORMDIST(I370,0,1,1)-1  ) * $P$13</f>
        <v/>
      </c>
      <c r="D370" s="139">
        <f>IF($O$13="sell",-1,1) * NORMDIST(I370,0,1,0)/(B370*$H$13*SQRT($J$13)) * $P$13</f>
        <v/>
      </c>
      <c r="E370" s="139">
        <f>IF($O$13="sell",-1,1) * (B370*NORMDIST(I370,0,1,0)*SQRT($J$13)/365) * $P$13</f>
        <v/>
      </c>
      <c r="F370" s="139">
        <f>IF($O$13="sell",-1,1) * (-(B370*NORMDIST(I370,0,1,0)*$H$13)/(2*SQRT($J$13))/365) *$P$13</f>
        <v/>
      </c>
      <c r="G370" s="139">
        <f>IF($O$13="buy",1,-1)*( IF($K$13="call",B370*NORMDIST(I370,0,1,1) - $B$13*NORMDIST(J370,0,1,1),$B$13*NORMDIST(-J370,0,1,1) - B370*NORMDIST(-I370,0,1,1) ) - $G$13) * $P$13</f>
        <v/>
      </c>
      <c r="I370" s="140">
        <f>(LN(B370/$B$13)+($H$13^2/2)*($J$13))/($H$13*SQRT($J$13))</f>
        <v/>
      </c>
      <c r="J370" s="143">
        <f>I370 - $H$13*SQRT($J$13)</f>
        <v/>
      </c>
    </row>
    <row r="371" ht="13.5" customHeight="1" s="116">
      <c r="B371" s="144">
        <f>B341</f>
        <v/>
      </c>
      <c r="C371" s="139">
        <f>IF($O$13="sell",-1,1) *  IF($K$13="call",  NORMDIST(I371,0,1,1),  NORMDIST(I371,0,1,1)-1  ) * $P$13</f>
        <v/>
      </c>
      <c r="D371" s="139">
        <f>IF($O$13="sell",-1,1) * NORMDIST(I371,0,1,0)/(B371*$H$13*SQRT($J$13)) * $P$13</f>
        <v/>
      </c>
      <c r="E371" s="139">
        <f>IF($O$13="sell",-1,1) * (B371*NORMDIST(I371,0,1,0)*SQRT($J$13)/365) * $P$13</f>
        <v/>
      </c>
      <c r="F371" s="139">
        <f>IF($O$13="sell",-1,1) * (-(B371*NORMDIST(I371,0,1,0)*$H$13)/(2*SQRT($J$13))/365) *$P$13</f>
        <v/>
      </c>
      <c r="G371" s="139">
        <f>IF($O$13="buy",1,-1)*( IF($K$13="call",B371*NORMDIST(I371,0,1,1) - $B$13*NORMDIST(J371,0,1,1),$B$13*NORMDIST(-J371,0,1,1) - B371*NORMDIST(-I371,0,1,1) ) - $G$13) * $P$13</f>
        <v/>
      </c>
      <c r="I371" s="140">
        <f>(LN(B371/$B$13)+($H$13^2/2)*($J$13))/($H$13*SQRT($J$13))</f>
        <v/>
      </c>
      <c r="J371" s="143">
        <f>I371 - $H$13*SQRT($J$13)</f>
        <v/>
      </c>
    </row>
    <row r="372" ht="13.5" customHeight="1" s="116">
      <c r="B372" s="144">
        <f>B342</f>
        <v/>
      </c>
      <c r="C372" s="139">
        <f>IF($O$13="sell",-1,1) *  IF($K$13="call",  NORMDIST(I372,0,1,1),  NORMDIST(I372,0,1,1)-1  ) * $P$13</f>
        <v/>
      </c>
      <c r="D372" s="139">
        <f>IF($O$13="sell",-1,1) * NORMDIST(I372,0,1,0)/(B372*$H$13*SQRT($J$13)) * $P$13</f>
        <v/>
      </c>
      <c r="E372" s="139">
        <f>IF($O$13="sell",-1,1) * (B372*NORMDIST(I372,0,1,0)*SQRT($J$13)/365) * $P$13</f>
        <v/>
      </c>
      <c r="F372" s="139">
        <f>IF($O$13="sell",-1,1) * (-(B372*NORMDIST(I372,0,1,0)*$H$13)/(2*SQRT($J$13))/365) *$P$13</f>
        <v/>
      </c>
      <c r="G372" s="139">
        <f>IF($O$13="buy",1,-1)*( IF($K$13="call",B372*NORMDIST(I372,0,1,1) - $B$13*NORMDIST(J372,0,1,1),$B$13*NORMDIST(-J372,0,1,1) - B372*NORMDIST(-I372,0,1,1) ) - $G$13) * $P$13</f>
        <v/>
      </c>
      <c r="I372" s="140">
        <f>(LN(B372/$B$13)+($H$13^2/2)*($J$13))/($H$13*SQRT($J$13))</f>
        <v/>
      </c>
      <c r="J372" s="143">
        <f>I372 - $H$13*SQRT($J$13)</f>
        <v/>
      </c>
    </row>
    <row r="373" ht="13.5" customHeight="1" s="116">
      <c r="B373" s="144">
        <f>B343</f>
        <v/>
      </c>
      <c r="C373" s="139">
        <f>IF($O$13="sell",-1,1) *  IF($K$13="call",  NORMDIST(I373,0,1,1),  NORMDIST(I373,0,1,1)-1  ) * $P$13</f>
        <v/>
      </c>
      <c r="D373" s="139">
        <f>IF($O$13="sell",-1,1) * NORMDIST(I373,0,1,0)/(B373*$H$13*SQRT($J$13)) * $P$13</f>
        <v/>
      </c>
      <c r="E373" s="139">
        <f>IF($O$13="sell",-1,1) * (B373*NORMDIST(I373,0,1,0)*SQRT($J$13)/365) * $P$13</f>
        <v/>
      </c>
      <c r="F373" s="139">
        <f>IF($O$13="sell",-1,1) * (-(B373*NORMDIST(I373,0,1,0)*$H$13)/(2*SQRT($J$13))/365) *$P$13</f>
        <v/>
      </c>
      <c r="G373" s="139">
        <f>IF($O$13="buy",1,-1)*( IF($K$13="call",B373*NORMDIST(I373,0,1,1) - $B$13*NORMDIST(J373,0,1,1),$B$13*NORMDIST(-J373,0,1,1) - B373*NORMDIST(-I373,0,1,1) ) - $G$13) * $P$13</f>
        <v/>
      </c>
      <c r="I373" s="140">
        <f>(LN(B373/$B$13)+($H$13^2/2)*($J$13))/($H$13*SQRT($J$13))</f>
        <v/>
      </c>
      <c r="J373" s="143">
        <f>I373 - $H$13*SQRT($J$13)</f>
        <v/>
      </c>
    </row>
    <row r="374" ht="13.5" customHeight="1" s="116">
      <c r="B374" s="144">
        <f>B344</f>
        <v/>
      </c>
      <c r="C374" s="139">
        <f>IF($O$13="sell",-1,1) *  IF($K$13="call",  NORMDIST(I374,0,1,1),  NORMDIST(I374,0,1,1)-1  ) * $P$13</f>
        <v/>
      </c>
      <c r="D374" s="139">
        <f>IF($O$13="sell",-1,1) * NORMDIST(I374,0,1,0)/(B374*$H$13*SQRT($J$13)) * $P$13</f>
        <v/>
      </c>
      <c r="E374" s="139">
        <f>IF($O$13="sell",-1,1) * (B374*NORMDIST(I374,0,1,0)*SQRT($J$13)/365) * $P$13</f>
        <v/>
      </c>
      <c r="F374" s="139">
        <f>IF($O$13="sell",-1,1) * (-(B374*NORMDIST(I374,0,1,0)*$H$13)/(2*SQRT($J$13))/365) *$P$13</f>
        <v/>
      </c>
      <c r="G374" s="139">
        <f>IF($O$13="buy",1,-1)*( IF($K$13="call",B374*NORMDIST(I374,0,1,1) - $B$13*NORMDIST(J374,0,1,1),$B$13*NORMDIST(-J374,0,1,1) - B374*NORMDIST(-I374,0,1,1) ) - $G$13) * $P$13</f>
        <v/>
      </c>
      <c r="I374" s="140">
        <f>(LN(B374/$B$13)+($H$13^2/2)*($J$13))/($H$13*SQRT($J$13))</f>
        <v/>
      </c>
      <c r="J374" s="143">
        <f>I374 - $H$13*SQRT($J$13)</f>
        <v/>
      </c>
    </row>
    <row r="375" ht="13.5" customHeight="1" s="116">
      <c r="B375" s="145" t="n"/>
      <c r="C375" s="136" t="n"/>
      <c r="D375" s="136" t="n"/>
      <c r="E375" s="136" t="n"/>
      <c r="F375" s="136" t="n"/>
      <c r="G375" s="136" t="n"/>
      <c r="I375" s="146" t="n"/>
      <c r="J375" s="146" t="n"/>
    </row>
    <row r="376" ht="13.5" customHeight="1" s="116">
      <c r="B376" s="145" t="n"/>
      <c r="C376" s="136" t="n"/>
      <c r="D376" s="136" t="n"/>
      <c r="E376" s="136" t="n"/>
      <c r="F376" s="136" t="n"/>
      <c r="G376" s="136" t="n"/>
      <c r="I376" s="146" t="n"/>
      <c r="J376" s="146" t="n"/>
    </row>
    <row r="377" ht="13.5" customHeight="1" s="116">
      <c r="B377" s="137" t="n"/>
      <c r="C377" s="133" t="inlineStr">
        <is>
          <t>delta</t>
        </is>
      </c>
      <c r="D377" s="133" t="inlineStr">
        <is>
          <t>gamma</t>
        </is>
      </c>
      <c r="E377" s="133" t="inlineStr">
        <is>
          <t>vega</t>
        </is>
      </c>
      <c r="F377" s="133" t="inlineStr">
        <is>
          <t>theta</t>
        </is>
      </c>
      <c r="G377" s="133" t="inlineStr">
        <is>
          <t>mark_price</t>
        </is>
      </c>
      <c r="I377" s="133" t="inlineStr">
        <is>
          <t>d1</t>
        </is>
      </c>
      <c r="J377" s="133" t="inlineStr">
        <is>
          <t>d2</t>
        </is>
      </c>
    </row>
    <row r="378" ht="13.5" customHeight="1" s="116">
      <c r="A378" s="117">
        <f>A14</f>
        <v/>
      </c>
      <c r="B378" s="144">
        <f>B348</f>
        <v/>
      </c>
      <c r="C378" s="139">
        <f>IF($O$14="sell",-1,1) *  IF($K$14="call",  NORMDIST(I378,0,1,1),  NORMDIST(I378,0,1,1)-1  ) * $P$14</f>
        <v/>
      </c>
      <c r="D378" s="139">
        <f>IF($O$14="sell",-1,1) * NORMDIST(I378,0,1,0)/(B378*$H$14*SQRT($J$14)) * $P$14</f>
        <v/>
      </c>
      <c r="E378" s="139">
        <f>IF($O$14="sell",-1,1) * (B378*NORMDIST(I378,0,1,0)*SQRT($J$14)/365) * $P$14</f>
        <v/>
      </c>
      <c r="F378" s="139">
        <f>IF($O$14="sell",-1,1) * (-(B378*NORMDIST(I378,0,1,0)*$H$14)/(2*SQRT($J$14))/365) *$P$14</f>
        <v/>
      </c>
      <c r="G378" s="139">
        <f>IF($O$14="buy",1,-1)*( IF($K$14="call",B378*NORMDIST(I378,0,1,1) - $B$14*NORMDIST(J378,0,1,1),$B$14*NORMDIST(-J378,0,1,1) - B378*NORMDIST(-I378,0,1,1) ) - $G$14) * $P$14</f>
        <v/>
      </c>
      <c r="I378" s="140">
        <f>(LN(B378/$B$14)+($H$14^2/2)*($J$14))/($H$14*SQRT($J$14))</f>
        <v/>
      </c>
      <c r="J378" s="143">
        <f>I378 - $H$14*SQRT($J$14)</f>
        <v/>
      </c>
    </row>
    <row r="379" ht="13.5" customHeight="1" s="116">
      <c r="B379" s="144">
        <f>B349</f>
        <v/>
      </c>
      <c r="C379" s="139">
        <f>IF($O$14="sell",-1,1) *  IF($K$14="call",  NORMDIST(I379,0,1,1),  NORMDIST(I379,0,1,1)-1  ) * $P$14</f>
        <v/>
      </c>
      <c r="D379" s="139">
        <f>IF($O$14="sell",-1,1) * NORMDIST(I379,0,1,0)/(B379*$H$14*SQRT($J$14)) * $P$14</f>
        <v/>
      </c>
      <c r="E379" s="139">
        <f>IF($O$14="sell",-1,1) * (B379*NORMDIST(I379,0,1,0)*SQRT($J$14)/365) * $P$14</f>
        <v/>
      </c>
      <c r="F379" s="139">
        <f>IF($O$14="sell",-1,1) * (-(B379*NORMDIST(I379,0,1,0)*$H$14)/(2*SQRT($J$14))/365) *$P$14</f>
        <v/>
      </c>
      <c r="G379" s="139">
        <f>IF($O$14="buy",1,-1)*( IF($K$14="call",B379*NORMDIST(I379,0,1,1) - $B$14*NORMDIST(J379,0,1,1),$B$14*NORMDIST(-J379,0,1,1) - B379*NORMDIST(-I379,0,1,1) ) - $G$14) * $P$14</f>
        <v/>
      </c>
      <c r="I379" s="140">
        <f>(LN(B379/$B$14)+($H$14^2/2)*($J$14))/($H$14*SQRT($J$14))</f>
        <v/>
      </c>
      <c r="J379" s="143">
        <f>I379 - $H$14*SQRT($J$14)</f>
        <v/>
      </c>
    </row>
    <row r="380" ht="13.5" customHeight="1" s="116">
      <c r="B380" s="144">
        <f>B350</f>
        <v/>
      </c>
      <c r="C380" s="139">
        <f>IF($O$14="sell",-1,1) *  IF($K$14="call",  NORMDIST(I380,0,1,1),  NORMDIST(I380,0,1,1)-1  ) * $P$14</f>
        <v/>
      </c>
      <c r="D380" s="139">
        <f>IF($O$14="sell",-1,1) * NORMDIST(I380,0,1,0)/(B380*$H$14*SQRT($J$14)) * $P$14</f>
        <v/>
      </c>
      <c r="E380" s="139">
        <f>IF($O$14="sell",-1,1) * (B380*NORMDIST(I380,0,1,0)*SQRT($J$14)/365) * $P$14</f>
        <v/>
      </c>
      <c r="F380" s="139">
        <f>IF($O$14="sell",-1,1) * (-(B380*NORMDIST(I380,0,1,0)*$H$14)/(2*SQRT($J$14))/365) *$P$14</f>
        <v/>
      </c>
      <c r="G380" s="139">
        <f>IF($O$14="buy",1,-1)*( IF($K$14="call",B380*NORMDIST(I380,0,1,1) - $B$14*NORMDIST(J380,0,1,1),$B$14*NORMDIST(-J380,0,1,1) - B380*NORMDIST(-I380,0,1,1) ) - $G$14) * $P$14</f>
        <v/>
      </c>
      <c r="I380" s="140">
        <f>(LN(B380/$B$14)+($H$14^2/2)*($J$14))/($H$14*SQRT($J$14))</f>
        <v/>
      </c>
      <c r="J380" s="143">
        <f>I380 - $H$14*SQRT($J$14)</f>
        <v/>
      </c>
    </row>
    <row r="381" ht="13.5" customHeight="1" s="116">
      <c r="B381" s="144">
        <f>B351</f>
        <v/>
      </c>
      <c r="C381" s="139">
        <f>IF($O$14="sell",-1,1) *  IF($K$14="call",  NORMDIST(I381,0,1,1),  NORMDIST(I381,0,1,1)-1  ) * $P$14</f>
        <v/>
      </c>
      <c r="D381" s="139">
        <f>IF($O$14="sell",-1,1) * NORMDIST(I381,0,1,0)/(B381*$H$14*SQRT($J$14)) * $P$14</f>
        <v/>
      </c>
      <c r="E381" s="139">
        <f>IF($O$14="sell",-1,1) * (B381*NORMDIST(I381,0,1,0)*SQRT($J$14)/365) * $P$14</f>
        <v/>
      </c>
      <c r="F381" s="139">
        <f>IF($O$14="sell",-1,1) * (-(B381*NORMDIST(I381,0,1,0)*$H$14)/(2*SQRT($J$14))/365) *$P$14</f>
        <v/>
      </c>
      <c r="G381" s="139">
        <f>IF($O$14="buy",1,-1)*( IF($K$14="call",B381*NORMDIST(I381,0,1,1) - $B$14*NORMDIST(J381,0,1,1),$B$14*NORMDIST(-J381,0,1,1) - B381*NORMDIST(-I381,0,1,1) ) - $G$14) * $P$14</f>
        <v/>
      </c>
      <c r="I381" s="140">
        <f>(LN(B381/$B$14)+($H$14^2/2)*($J$14))/($H$14*SQRT($J$14))</f>
        <v/>
      </c>
      <c r="J381" s="143">
        <f>I381 - $H$14*SQRT($J$14)</f>
        <v/>
      </c>
    </row>
    <row r="382" ht="13.5" customHeight="1" s="116">
      <c r="B382" s="144">
        <f>B352</f>
        <v/>
      </c>
      <c r="C382" s="139">
        <f>IF($O$14="sell",-1,1) *  IF($K$14="call",  NORMDIST(I382,0,1,1),  NORMDIST(I382,0,1,1)-1  ) * $P$14</f>
        <v/>
      </c>
      <c r="D382" s="139">
        <f>IF($O$14="sell",-1,1) * NORMDIST(I382,0,1,0)/(B382*$H$14*SQRT($J$14)) * $P$14</f>
        <v/>
      </c>
      <c r="E382" s="139">
        <f>IF($O$14="sell",-1,1) * (B382*NORMDIST(I382,0,1,0)*SQRT($J$14)/365) * $P$14</f>
        <v/>
      </c>
      <c r="F382" s="139">
        <f>IF($O$14="sell",-1,1) * (-(B382*NORMDIST(I382,0,1,0)*$H$14)/(2*SQRT($J$14))/365) *$P$14</f>
        <v/>
      </c>
      <c r="G382" s="139">
        <f>IF($O$14="buy",1,-1)*( IF($K$14="call",B382*NORMDIST(I382,0,1,1) - $B$14*NORMDIST(J382,0,1,1),$B$14*NORMDIST(-J382,0,1,1) - B382*NORMDIST(-I382,0,1,1) ) - $G$14) * $P$14</f>
        <v/>
      </c>
      <c r="I382" s="140">
        <f>(LN(B382/$B$14)+($H$14^2/2)*($J$14))/($H$14*SQRT($J$14))</f>
        <v/>
      </c>
      <c r="J382" s="143">
        <f>I382 - $H$14*SQRT($J$14)</f>
        <v/>
      </c>
    </row>
    <row r="383" ht="13.5" customHeight="1" s="116">
      <c r="B383" s="144">
        <f>B353</f>
        <v/>
      </c>
      <c r="C383" s="139">
        <f>IF($O$14="sell",-1,1) *  IF($K$14="call",  NORMDIST(I383,0,1,1),  NORMDIST(I383,0,1,1)-1  ) * $P$14</f>
        <v/>
      </c>
      <c r="D383" s="139">
        <f>IF($O$14="sell",-1,1) * NORMDIST(I383,0,1,0)/(B383*$H$14*SQRT($J$14)) * $P$14</f>
        <v/>
      </c>
      <c r="E383" s="139">
        <f>IF($O$14="sell",-1,1) * (B383*NORMDIST(I383,0,1,0)*SQRT($J$14)/365) * $P$14</f>
        <v/>
      </c>
      <c r="F383" s="139">
        <f>IF($O$14="sell",-1,1) * (-(B383*NORMDIST(I383,0,1,0)*$H$14)/(2*SQRT($J$14))/365) *$P$14</f>
        <v/>
      </c>
      <c r="G383" s="139">
        <f>IF($O$14="buy",1,-1)*( IF($K$14="call",B383*NORMDIST(I383,0,1,1) - $B$14*NORMDIST(J383,0,1,1),$B$14*NORMDIST(-J383,0,1,1) - B383*NORMDIST(-I383,0,1,1) ) - $G$14) * $P$14</f>
        <v/>
      </c>
      <c r="I383" s="140">
        <f>(LN(B383/$B$14)+($H$14^2/2)*($J$14))/($H$14*SQRT($J$14))</f>
        <v/>
      </c>
      <c r="J383" s="143">
        <f>I383 - $H$14*SQRT($J$14)</f>
        <v/>
      </c>
    </row>
    <row r="384" ht="13.5" customHeight="1" s="116">
      <c r="B384" s="144">
        <f>B354</f>
        <v/>
      </c>
      <c r="C384" s="139">
        <f>IF($O$14="sell",-1,1) *  IF($K$14="call",  NORMDIST(I384,0,1,1),  NORMDIST(I384,0,1,1)-1  ) * $P$14</f>
        <v/>
      </c>
      <c r="D384" s="139">
        <f>IF($O$14="sell",-1,1) * NORMDIST(I384,0,1,0)/(B384*$H$14*SQRT($J$14)) * $P$14</f>
        <v/>
      </c>
      <c r="E384" s="139">
        <f>IF($O$14="sell",-1,1) * (B384*NORMDIST(I384,0,1,0)*SQRT($J$14)/365) * $P$14</f>
        <v/>
      </c>
      <c r="F384" s="139">
        <f>IF($O$14="sell",-1,1) * (-(B384*NORMDIST(I384,0,1,0)*$H$14)/(2*SQRT($J$14))/365) *$P$14</f>
        <v/>
      </c>
      <c r="G384" s="139">
        <f>IF($O$14="buy",1,-1)*( IF($K$14="call",B384*NORMDIST(I384,0,1,1) - $B$14*NORMDIST(J384,0,1,1),$B$14*NORMDIST(-J384,0,1,1) - B384*NORMDIST(-I384,0,1,1) ) - $G$14) * $P$14</f>
        <v/>
      </c>
      <c r="I384" s="140">
        <f>(LN(B384/$B$14)+($H$14^2/2)*($J$14))/($H$14*SQRT($J$14))</f>
        <v/>
      </c>
      <c r="J384" s="143">
        <f>I384 - $H$14*SQRT($J$14)</f>
        <v/>
      </c>
    </row>
    <row r="385" ht="13.5" customHeight="1" s="116">
      <c r="B385" s="144">
        <f>B355</f>
        <v/>
      </c>
      <c r="C385" s="139">
        <f>IF($O$14="sell",-1,1) *  IF($K$14="call",  NORMDIST(I385,0,1,1),  NORMDIST(I385,0,1,1)-1  ) * $P$14</f>
        <v/>
      </c>
      <c r="D385" s="139">
        <f>IF($O$14="sell",-1,1) * NORMDIST(I385,0,1,0)/(B385*$H$14*SQRT($J$14)) * $P$14</f>
        <v/>
      </c>
      <c r="E385" s="139">
        <f>IF($O$14="sell",-1,1) * (B385*NORMDIST(I385,0,1,0)*SQRT($J$14)/365) * $P$14</f>
        <v/>
      </c>
      <c r="F385" s="139">
        <f>IF($O$14="sell",-1,1) * (-(B385*NORMDIST(I385,0,1,0)*$H$14)/(2*SQRT($J$14))/365) *$P$14</f>
        <v/>
      </c>
      <c r="G385" s="139">
        <f>IF($O$14="buy",1,-1)*( IF($K$14="call",B385*NORMDIST(I385,0,1,1) - $B$14*NORMDIST(J385,0,1,1),$B$14*NORMDIST(-J385,0,1,1) - B385*NORMDIST(-I385,0,1,1) ) - $G$14) * $P$14</f>
        <v/>
      </c>
      <c r="I385" s="140">
        <f>(LN(B385/$B$14)+($H$14^2/2)*($J$14))/($H$14*SQRT($J$14))</f>
        <v/>
      </c>
      <c r="J385" s="143">
        <f>I385 - $H$14*SQRT($J$14)</f>
        <v/>
      </c>
    </row>
    <row r="386" ht="13.5" customHeight="1" s="116">
      <c r="B386" s="144">
        <f>B356</f>
        <v/>
      </c>
      <c r="C386" s="139">
        <f>IF($O$14="sell",-1,1) *  IF($K$14="call",  NORMDIST(I386,0,1,1),  NORMDIST(I386,0,1,1)-1  ) * $P$14</f>
        <v/>
      </c>
      <c r="D386" s="139">
        <f>IF($O$14="sell",-1,1) * NORMDIST(I386,0,1,0)/(B386*$H$14*SQRT($J$14)) * $P$14</f>
        <v/>
      </c>
      <c r="E386" s="139">
        <f>IF($O$14="sell",-1,1) * (B386*NORMDIST(I386,0,1,0)*SQRT($J$14)/365) * $P$14</f>
        <v/>
      </c>
      <c r="F386" s="139">
        <f>IF($O$14="sell",-1,1) * (-(B386*NORMDIST(I386,0,1,0)*$H$14)/(2*SQRT($J$14))/365) *$P$14</f>
        <v/>
      </c>
      <c r="G386" s="139">
        <f>IF($O$14="buy",1,-1)*( IF($K$14="call",B386*NORMDIST(I386,0,1,1) - $B$14*NORMDIST(J386,0,1,1),$B$14*NORMDIST(-J386,0,1,1) - B386*NORMDIST(-I386,0,1,1) ) - $G$14) * $P$14</f>
        <v/>
      </c>
      <c r="I386" s="140">
        <f>(LN(B386/$B$14)+($H$14^2/2)*($J$14))/($H$14*SQRT($J$14))</f>
        <v/>
      </c>
      <c r="J386" s="143">
        <f>I386 - $H$14*SQRT($J$14)</f>
        <v/>
      </c>
    </row>
    <row r="387" ht="13.5" customHeight="1" s="116">
      <c r="B387" s="144">
        <f>B357</f>
        <v/>
      </c>
      <c r="C387" s="139">
        <f>IF($O$14="sell",-1,1) *  IF($K$14="call",  NORMDIST(I387,0,1,1),  NORMDIST(I387,0,1,1)-1  ) * $P$14</f>
        <v/>
      </c>
      <c r="D387" s="139">
        <f>IF($O$14="sell",-1,1) * NORMDIST(I387,0,1,0)/(B387*$H$14*SQRT($J$14)) * $P$14</f>
        <v/>
      </c>
      <c r="E387" s="139">
        <f>IF($O$14="sell",-1,1) * (B387*NORMDIST(I387,0,1,0)*SQRT($J$14)/365) * $P$14</f>
        <v/>
      </c>
      <c r="F387" s="139">
        <f>IF($O$14="sell",-1,1) * (-(B387*NORMDIST(I387,0,1,0)*$H$14)/(2*SQRT($J$14))/365) *$P$14</f>
        <v/>
      </c>
      <c r="G387" s="139">
        <f>IF($O$14="buy",1,-1)*( IF($K$14="call",B387*NORMDIST(I387,0,1,1) - $B$14*NORMDIST(J387,0,1,1),$B$14*NORMDIST(-J387,0,1,1) - B387*NORMDIST(-I387,0,1,1) ) - $G$14) * $P$14</f>
        <v/>
      </c>
      <c r="I387" s="140">
        <f>(LN(B387/$B$14)+($H$14^2/2)*($J$14))/($H$14*SQRT($J$14))</f>
        <v/>
      </c>
      <c r="J387" s="143">
        <f>I387 - $H$14*SQRT($J$14)</f>
        <v/>
      </c>
    </row>
    <row r="388" ht="13.5" customHeight="1" s="116">
      <c r="B388" s="144">
        <f>B358</f>
        <v/>
      </c>
      <c r="C388" s="139">
        <f>IF($O$14="sell",-1,1) *  IF($K$14="call",  NORMDIST(I388,0,1,1),  NORMDIST(I388,0,1,1)-1  ) * $P$14</f>
        <v/>
      </c>
      <c r="D388" s="139">
        <f>IF($O$14="sell",-1,1) * NORMDIST(I388,0,1,0)/(B388*$H$14*SQRT($J$14)) * $P$14</f>
        <v/>
      </c>
      <c r="E388" s="139">
        <f>IF($O$14="sell",-1,1) * (B388*NORMDIST(I388,0,1,0)*SQRT($J$14)/365) * $P$14</f>
        <v/>
      </c>
      <c r="F388" s="139">
        <f>IF($O$14="sell",-1,1) * (-(B388*NORMDIST(I388,0,1,0)*$H$14)/(2*SQRT($J$14))/365) *$P$14</f>
        <v/>
      </c>
      <c r="G388" s="139">
        <f>IF($O$14="buy",1,-1)*( IF($K$14="call",B388*NORMDIST(I388,0,1,1) - $B$14*NORMDIST(J388,0,1,1),$B$14*NORMDIST(-J388,0,1,1) - B388*NORMDIST(-I388,0,1,1) ) - $G$14) * $P$14</f>
        <v/>
      </c>
      <c r="I388" s="140">
        <f>(LN(B388/$B$14)+($H$14^2/2)*($J$14))/($H$14*SQRT($J$14))</f>
        <v/>
      </c>
      <c r="J388" s="143">
        <f>I388 - $H$14*SQRT($J$14)</f>
        <v/>
      </c>
    </row>
    <row r="389" ht="13.5" customHeight="1" s="116">
      <c r="B389" s="144">
        <f>B359</f>
        <v/>
      </c>
      <c r="C389" s="139">
        <f>IF($O$14="sell",-1,1) *  IF($K$14="call",  NORMDIST(I389,0,1,1),  NORMDIST(I389,0,1,1)-1  ) * $P$14</f>
        <v/>
      </c>
      <c r="D389" s="139">
        <f>IF($O$14="sell",-1,1) * NORMDIST(I389,0,1,0)/(B389*$H$14*SQRT($J$14)) * $P$14</f>
        <v/>
      </c>
      <c r="E389" s="139">
        <f>IF($O$14="sell",-1,1) * (B389*NORMDIST(I389,0,1,0)*SQRT($J$14)/365) * $P$14</f>
        <v/>
      </c>
      <c r="F389" s="139">
        <f>IF($O$14="sell",-1,1) * (-(B389*NORMDIST(I389,0,1,0)*$H$14)/(2*SQRT($J$14))/365) *$P$14</f>
        <v/>
      </c>
      <c r="G389" s="139">
        <f>IF($O$14="buy",1,-1)*( IF($K$14="call",B389*NORMDIST(I389,0,1,1) - $B$14*NORMDIST(J389,0,1,1),$B$14*NORMDIST(-J389,0,1,1) - B389*NORMDIST(-I389,0,1,1) ) - $G$14) * $P$14</f>
        <v/>
      </c>
      <c r="I389" s="140">
        <f>(LN(B389/$B$14)+($H$14^2/2)*($J$14))/($H$14*SQRT($J$14))</f>
        <v/>
      </c>
      <c r="J389" s="143">
        <f>I389 - $H$14*SQRT($J$14)</f>
        <v/>
      </c>
    </row>
    <row r="390" ht="13.5" customHeight="1" s="116">
      <c r="B390" s="144">
        <f>B360</f>
        <v/>
      </c>
      <c r="C390" s="139">
        <f>IF($O$14="sell",-1,1) *  IF($K$14="call",  NORMDIST(I390,0,1,1),  NORMDIST(I390,0,1,1)-1  ) * $P$14</f>
        <v/>
      </c>
      <c r="D390" s="139">
        <f>IF($O$14="sell",-1,1) * NORMDIST(I390,0,1,0)/(B390*$H$14*SQRT($J$14)) * $P$14</f>
        <v/>
      </c>
      <c r="E390" s="139">
        <f>IF($O$14="sell",-1,1) * (B390*NORMDIST(I390,0,1,0)*SQRT($J$14)/365) * $P$14</f>
        <v/>
      </c>
      <c r="F390" s="139">
        <f>IF($O$14="sell",-1,1) * (-(B390*NORMDIST(I390,0,1,0)*$H$14)/(2*SQRT($J$14))/365) *$P$14</f>
        <v/>
      </c>
      <c r="G390" s="139">
        <f>IF($O$14="buy",1,-1)*( IF($K$14="call",B390*NORMDIST(I390,0,1,1) - $B$14*NORMDIST(J390,0,1,1),$B$14*NORMDIST(-J390,0,1,1) - B390*NORMDIST(-I390,0,1,1) ) - $G$14) * $P$14</f>
        <v/>
      </c>
      <c r="I390" s="140">
        <f>(LN(B390/$B$14)+($H$14^2/2)*($J$14))/($H$14*SQRT($J$14))</f>
        <v/>
      </c>
      <c r="J390" s="143">
        <f>I390 - $H$14*SQRT($J$14)</f>
        <v/>
      </c>
    </row>
    <row r="391" ht="13.5" customHeight="1" s="116">
      <c r="B391" s="144">
        <f>B361</f>
        <v/>
      </c>
      <c r="C391" s="139">
        <f>IF($O$14="sell",-1,1) *  IF($K$14="call",  NORMDIST(I391,0,1,1),  NORMDIST(I391,0,1,1)-1  ) * $P$14</f>
        <v/>
      </c>
      <c r="D391" s="139">
        <f>IF($O$14="sell",-1,1) * NORMDIST(I391,0,1,0)/(B391*$H$14*SQRT($J$14)) * $P$14</f>
        <v/>
      </c>
      <c r="E391" s="139">
        <f>IF($O$14="sell",-1,1) * (B391*NORMDIST(I391,0,1,0)*SQRT($J$14)/365) * $P$14</f>
        <v/>
      </c>
      <c r="F391" s="139">
        <f>IF($O$14="sell",-1,1) * (-(B391*NORMDIST(I391,0,1,0)*$H$14)/(2*SQRT($J$14))/365) *$P$14</f>
        <v/>
      </c>
      <c r="G391" s="139">
        <f>IF($O$14="buy",1,-1)*( IF($K$14="call",B391*NORMDIST(I391,0,1,1) - $B$14*NORMDIST(J391,0,1,1),$B$14*NORMDIST(-J391,0,1,1) - B391*NORMDIST(-I391,0,1,1) ) - $G$14) * $P$14</f>
        <v/>
      </c>
      <c r="I391" s="140">
        <f>(LN(B391/$B$14)+($H$14^2/2)*($J$14))/($H$14*SQRT($J$14))</f>
        <v/>
      </c>
      <c r="J391" s="143">
        <f>I391 - $H$14*SQRT($J$14)</f>
        <v/>
      </c>
    </row>
    <row r="392" ht="13.5" customHeight="1" s="116">
      <c r="B392" s="144">
        <f>B362</f>
        <v/>
      </c>
      <c r="C392" s="139">
        <f>IF($O$14="sell",-1,1) *  IF($K$14="call",  NORMDIST(I392,0,1,1),  NORMDIST(I392,0,1,1)-1  ) * $P$14</f>
        <v/>
      </c>
      <c r="D392" s="139">
        <f>IF($O$14="sell",-1,1) * NORMDIST(I392,0,1,0)/(B392*$H$14*SQRT($J$14)) * $P$14</f>
        <v/>
      </c>
      <c r="E392" s="139">
        <f>IF($O$14="sell",-1,1) * (B392*NORMDIST(I392,0,1,0)*SQRT($J$14)/365) * $P$14</f>
        <v/>
      </c>
      <c r="F392" s="139">
        <f>IF($O$14="sell",-1,1) * (-(B392*NORMDIST(I392,0,1,0)*$H$14)/(2*SQRT($J$14))/365) *$P$14</f>
        <v/>
      </c>
      <c r="G392" s="139">
        <f>IF($O$14="buy",1,-1)*( IF($K$14="call",B392*NORMDIST(I392,0,1,1) - $B$14*NORMDIST(J392,0,1,1),$B$14*NORMDIST(-J392,0,1,1) - B392*NORMDIST(-I392,0,1,1) ) - $G$14) * $P$14</f>
        <v/>
      </c>
      <c r="I392" s="140">
        <f>(LN(B392/$B$14)+($H$14^2/2)*($J$14))/($H$14*SQRT($J$14))</f>
        <v/>
      </c>
      <c r="J392" s="143">
        <f>I392 - $H$14*SQRT($J$14)</f>
        <v/>
      </c>
    </row>
    <row r="393" ht="13.5" customHeight="1" s="116">
      <c r="B393" s="144">
        <f>B363</f>
        <v/>
      </c>
      <c r="C393" s="139">
        <f>IF($O$14="sell",-1,1) *  IF($K$14="call",  NORMDIST(I393,0,1,1),  NORMDIST(I393,0,1,1)-1  ) * $P$14</f>
        <v/>
      </c>
      <c r="D393" s="139">
        <f>IF($O$14="sell",-1,1) * NORMDIST(I393,0,1,0)/(B393*$H$14*SQRT($J$14)) * $P$14</f>
        <v/>
      </c>
      <c r="E393" s="139">
        <f>IF($O$14="sell",-1,1) * (B393*NORMDIST(I393,0,1,0)*SQRT($J$14)/365) * $P$14</f>
        <v/>
      </c>
      <c r="F393" s="139">
        <f>IF($O$14="sell",-1,1) * (-(B393*NORMDIST(I393,0,1,0)*$H$14)/(2*SQRT($J$14))/365) *$P$14</f>
        <v/>
      </c>
      <c r="G393" s="139">
        <f>IF($O$14="buy",1,-1)*( IF($K$14="call",B393*NORMDIST(I393,0,1,1) - $B$14*NORMDIST(J393,0,1,1),$B$14*NORMDIST(-J393,0,1,1) - B393*NORMDIST(-I393,0,1,1) ) - $G$14) * $P$14</f>
        <v/>
      </c>
      <c r="I393" s="140">
        <f>(LN(B393/$B$14)+($H$14^2/2)*($J$14))/($H$14*SQRT($J$14))</f>
        <v/>
      </c>
      <c r="J393" s="143">
        <f>I393 - $H$14*SQRT($J$14)</f>
        <v/>
      </c>
    </row>
    <row r="394" ht="13.5" customHeight="1" s="116">
      <c r="B394" s="144">
        <f>B364</f>
        <v/>
      </c>
      <c r="C394" s="139">
        <f>IF($O$14="sell",-1,1) *  IF($K$14="call",  NORMDIST(I394,0,1,1),  NORMDIST(I394,0,1,1)-1  ) * $P$14</f>
        <v/>
      </c>
      <c r="D394" s="139">
        <f>IF($O$14="sell",-1,1) * NORMDIST(I394,0,1,0)/(B394*$H$14*SQRT($J$14)) * $P$14</f>
        <v/>
      </c>
      <c r="E394" s="139">
        <f>IF($O$14="sell",-1,1) * (B394*NORMDIST(I394,0,1,0)*SQRT($J$14)/365) * $P$14</f>
        <v/>
      </c>
      <c r="F394" s="139">
        <f>IF($O$14="sell",-1,1) * (-(B394*NORMDIST(I394,0,1,0)*$H$14)/(2*SQRT($J$14))/365) *$P$14</f>
        <v/>
      </c>
      <c r="G394" s="139">
        <f>IF($O$14="buy",1,-1)*( IF($K$14="call",B394*NORMDIST(I394,0,1,1) - $B$14*NORMDIST(J394,0,1,1),$B$14*NORMDIST(-J394,0,1,1) - B394*NORMDIST(-I394,0,1,1) ) - $G$14) * $P$14</f>
        <v/>
      </c>
      <c r="I394" s="140">
        <f>(LN(B394/$B$14)+($H$14^2/2)*($J$14))/($H$14*SQRT($J$14))</f>
        <v/>
      </c>
      <c r="J394" s="143">
        <f>I394 - $H$14*SQRT($J$14)</f>
        <v/>
      </c>
    </row>
    <row r="395" ht="13.5" customHeight="1" s="116">
      <c r="B395" s="144">
        <f>B365</f>
        <v/>
      </c>
      <c r="C395" s="139">
        <f>IF($O$14="sell",-1,1) *  IF($K$14="call",  NORMDIST(I395,0,1,1),  NORMDIST(I395,0,1,1)-1  ) * $P$14</f>
        <v/>
      </c>
      <c r="D395" s="139">
        <f>IF($O$14="sell",-1,1) * NORMDIST(I395,0,1,0)/(B395*$H$14*SQRT($J$14)) * $P$14</f>
        <v/>
      </c>
      <c r="E395" s="139">
        <f>IF($O$14="sell",-1,1) * (B395*NORMDIST(I395,0,1,0)*SQRT($J$14)/365) * $P$14</f>
        <v/>
      </c>
      <c r="F395" s="139">
        <f>IF($O$14="sell",-1,1) * (-(B395*NORMDIST(I395,0,1,0)*$H$14)/(2*SQRT($J$14))/365) *$P$14</f>
        <v/>
      </c>
      <c r="G395" s="139">
        <f>IF($O$14="buy",1,-1)*( IF($K$14="call",B395*NORMDIST(I395,0,1,1) - $B$14*NORMDIST(J395,0,1,1),$B$14*NORMDIST(-J395,0,1,1) - B395*NORMDIST(-I395,0,1,1) ) - $G$14) * $P$14</f>
        <v/>
      </c>
      <c r="I395" s="140">
        <f>(LN(B395/$B$14)+($H$14^2/2)*($J$14))/($H$14*SQRT($J$14))</f>
        <v/>
      </c>
      <c r="J395" s="143">
        <f>I395 - $H$14*SQRT($J$14)</f>
        <v/>
      </c>
    </row>
    <row r="396" ht="13.5" customHeight="1" s="116">
      <c r="B396" s="144">
        <f>B366</f>
        <v/>
      </c>
      <c r="C396" s="139">
        <f>IF($O$14="sell",-1,1) *  IF($K$14="call",  NORMDIST(I396,0,1,1),  NORMDIST(I396,0,1,1)-1  ) * $P$14</f>
        <v/>
      </c>
      <c r="D396" s="139">
        <f>IF($O$14="sell",-1,1) * NORMDIST(I396,0,1,0)/(B396*$H$14*SQRT($J$14)) * $P$14</f>
        <v/>
      </c>
      <c r="E396" s="139">
        <f>IF($O$14="sell",-1,1) * (B396*NORMDIST(I396,0,1,0)*SQRT($J$14)/365) * $P$14</f>
        <v/>
      </c>
      <c r="F396" s="139">
        <f>IF($O$14="sell",-1,1) * (-(B396*NORMDIST(I396,0,1,0)*$H$14)/(2*SQRT($J$14))/365) *$P$14</f>
        <v/>
      </c>
      <c r="G396" s="139">
        <f>IF($O$14="buy",1,-1)*( IF($K$14="call",B396*NORMDIST(I396,0,1,1) - $B$14*NORMDIST(J396,0,1,1),$B$14*NORMDIST(-J396,0,1,1) - B396*NORMDIST(-I396,0,1,1) ) - $G$14) * $P$14</f>
        <v/>
      </c>
      <c r="I396" s="140">
        <f>(LN(B396/$B$14)+($H$14^2/2)*($J$14))/($H$14*SQRT($J$14))</f>
        <v/>
      </c>
      <c r="J396" s="143">
        <f>I396 - $H$14*SQRT($J$14)</f>
        <v/>
      </c>
    </row>
    <row r="397" ht="13.5" customHeight="1" s="116">
      <c r="B397" s="144">
        <f>B367</f>
        <v/>
      </c>
      <c r="C397" s="139">
        <f>IF($O$14="sell",-1,1) *  IF($K$14="call",  NORMDIST(I397,0,1,1),  NORMDIST(I397,0,1,1)-1  ) * $P$14</f>
        <v/>
      </c>
      <c r="D397" s="139">
        <f>IF($O$14="sell",-1,1) * NORMDIST(I397,0,1,0)/(B397*$H$14*SQRT($J$14)) * $P$14</f>
        <v/>
      </c>
      <c r="E397" s="139">
        <f>IF($O$14="sell",-1,1) * (B397*NORMDIST(I397,0,1,0)*SQRT($J$14)/365) * $P$14</f>
        <v/>
      </c>
      <c r="F397" s="139">
        <f>IF($O$14="sell",-1,1) * (-(B397*NORMDIST(I397,0,1,0)*$H$14)/(2*SQRT($J$14))/365) *$P$14</f>
        <v/>
      </c>
      <c r="G397" s="139">
        <f>IF($O$14="buy",1,-1)*( IF($K$14="call",B397*NORMDIST(I397,0,1,1) - $B$14*NORMDIST(J397,0,1,1),$B$14*NORMDIST(-J397,0,1,1) - B397*NORMDIST(-I397,0,1,1) ) - $G$14) * $P$14</f>
        <v/>
      </c>
      <c r="I397" s="140">
        <f>(LN(B397/$B$14)+($H$14^2/2)*($J$14))/($H$14*SQRT($J$14))</f>
        <v/>
      </c>
      <c r="J397" s="143">
        <f>I397 - $H$14*SQRT($J$14)</f>
        <v/>
      </c>
    </row>
    <row r="398" ht="13.5" customHeight="1" s="116">
      <c r="B398" s="144">
        <f>B368</f>
        <v/>
      </c>
      <c r="C398" s="139">
        <f>IF($O$14="sell",-1,1) *  IF($K$14="call",  NORMDIST(I398,0,1,1),  NORMDIST(I398,0,1,1)-1  ) * $P$14</f>
        <v/>
      </c>
      <c r="D398" s="139">
        <f>IF($O$14="sell",-1,1) * NORMDIST(I398,0,1,0)/(B398*$H$14*SQRT($J$14)) * $P$14</f>
        <v/>
      </c>
      <c r="E398" s="139">
        <f>IF($O$14="sell",-1,1) * (B398*NORMDIST(I398,0,1,0)*SQRT($J$14)/365) * $P$14</f>
        <v/>
      </c>
      <c r="F398" s="139">
        <f>IF($O$14="sell",-1,1) * (-(B398*NORMDIST(I398,0,1,0)*$H$14)/(2*SQRT($J$14))/365) *$P$14</f>
        <v/>
      </c>
      <c r="G398" s="139">
        <f>IF($O$14="buy",1,-1)*( IF($K$14="call",B398*NORMDIST(I398,0,1,1) - $B$14*NORMDIST(J398,0,1,1),$B$14*NORMDIST(-J398,0,1,1) - B398*NORMDIST(-I398,0,1,1) ) - $G$14) * $P$14</f>
        <v/>
      </c>
      <c r="I398" s="140">
        <f>(LN(B398/$B$14)+($H$14^2/2)*($J$14))/($H$14*SQRT($J$14))</f>
        <v/>
      </c>
      <c r="J398" s="143">
        <f>I398 - $H$14*SQRT($J$14)</f>
        <v/>
      </c>
    </row>
    <row r="399" ht="13.5" customHeight="1" s="116">
      <c r="B399" s="144">
        <f>B369</f>
        <v/>
      </c>
      <c r="C399" s="139">
        <f>IF($O$14="sell",-1,1) *  IF($K$14="call",  NORMDIST(I399,0,1,1),  NORMDIST(I399,0,1,1)-1  ) * $P$14</f>
        <v/>
      </c>
      <c r="D399" s="139">
        <f>IF($O$14="sell",-1,1) * NORMDIST(I399,0,1,0)/(B399*$H$14*SQRT($J$14)) * $P$14</f>
        <v/>
      </c>
      <c r="E399" s="139">
        <f>IF($O$14="sell",-1,1) * (B399*NORMDIST(I399,0,1,0)*SQRT($J$14)/365) * $P$14</f>
        <v/>
      </c>
      <c r="F399" s="139">
        <f>IF($O$14="sell",-1,1) * (-(B399*NORMDIST(I399,0,1,0)*$H$14)/(2*SQRT($J$14))/365) *$P$14</f>
        <v/>
      </c>
      <c r="G399" s="139">
        <f>IF($O$14="buy",1,-1)*( IF($K$14="call",B399*NORMDIST(I399,0,1,1) - $B$14*NORMDIST(J399,0,1,1),$B$14*NORMDIST(-J399,0,1,1) - B399*NORMDIST(-I399,0,1,1) ) - $G$14) * $P$14</f>
        <v/>
      </c>
      <c r="I399" s="140">
        <f>(LN(B399/$B$14)+($H$14^2/2)*($J$14))/($H$14*SQRT($J$14))</f>
        <v/>
      </c>
      <c r="J399" s="143">
        <f>I399 - $H$14*SQRT($J$14)</f>
        <v/>
      </c>
    </row>
    <row r="400" ht="13.5" customHeight="1" s="116">
      <c r="B400" s="144">
        <f>B370</f>
        <v/>
      </c>
      <c r="C400" s="139">
        <f>IF($O$14="sell",-1,1) *  IF($K$14="call",  NORMDIST(I400,0,1,1),  NORMDIST(I400,0,1,1)-1  ) * $P$14</f>
        <v/>
      </c>
      <c r="D400" s="139">
        <f>IF($O$14="sell",-1,1) * NORMDIST(I400,0,1,0)/(B400*$H$14*SQRT($J$14)) * $P$14</f>
        <v/>
      </c>
      <c r="E400" s="139">
        <f>IF($O$14="sell",-1,1) * (B400*NORMDIST(I400,0,1,0)*SQRT($J$14)/365) * $P$14</f>
        <v/>
      </c>
      <c r="F400" s="139">
        <f>IF($O$14="sell",-1,1) * (-(B400*NORMDIST(I400,0,1,0)*$H$14)/(2*SQRT($J$14))/365) *$P$14</f>
        <v/>
      </c>
      <c r="G400" s="139">
        <f>IF($O$14="buy",1,-1)*( IF($K$14="call",B400*NORMDIST(I400,0,1,1) - $B$14*NORMDIST(J400,0,1,1),$B$14*NORMDIST(-J400,0,1,1) - B400*NORMDIST(-I400,0,1,1) ) - $G$14) * $P$14</f>
        <v/>
      </c>
      <c r="I400" s="140">
        <f>(LN(B400/$B$14)+($H$14^2/2)*($J$14))/($H$14*SQRT($J$14))</f>
        <v/>
      </c>
      <c r="J400" s="143">
        <f>I400 - $H$14*SQRT($J$14)</f>
        <v/>
      </c>
    </row>
    <row r="401" ht="13.5" customHeight="1" s="116">
      <c r="B401" s="144">
        <f>B371</f>
        <v/>
      </c>
      <c r="C401" s="139">
        <f>IF($O$14="sell",-1,1) *  IF($K$14="call",  NORMDIST(I401,0,1,1),  NORMDIST(I401,0,1,1)-1  ) * $P$14</f>
        <v/>
      </c>
      <c r="D401" s="139">
        <f>IF($O$14="sell",-1,1) * NORMDIST(I401,0,1,0)/(B401*$H$14*SQRT($J$14)) * $P$14</f>
        <v/>
      </c>
      <c r="E401" s="139">
        <f>IF($O$14="sell",-1,1) * (B401*NORMDIST(I401,0,1,0)*SQRT($J$14)/365) * $P$14</f>
        <v/>
      </c>
      <c r="F401" s="139">
        <f>IF($O$14="sell",-1,1) * (-(B401*NORMDIST(I401,0,1,0)*$H$14)/(2*SQRT($J$14))/365) *$P$14</f>
        <v/>
      </c>
      <c r="G401" s="139">
        <f>IF($O$14="buy",1,-1)*( IF($K$14="call",B401*NORMDIST(I401,0,1,1) - $B$14*NORMDIST(J401,0,1,1),$B$14*NORMDIST(-J401,0,1,1) - B401*NORMDIST(-I401,0,1,1) ) - $G$14) * $P$14</f>
        <v/>
      </c>
      <c r="I401" s="140">
        <f>(LN(B401/$B$14)+($H$14^2/2)*($J$14))/($H$14*SQRT($J$14))</f>
        <v/>
      </c>
      <c r="J401" s="143">
        <f>I401 - $H$14*SQRT($J$14)</f>
        <v/>
      </c>
    </row>
    <row r="402" ht="13.5" customHeight="1" s="116">
      <c r="B402" s="144">
        <f>B372</f>
        <v/>
      </c>
      <c r="C402" s="139">
        <f>IF($O$14="sell",-1,1) *  IF($K$14="call",  NORMDIST(I402,0,1,1),  NORMDIST(I402,0,1,1)-1  ) * $P$14</f>
        <v/>
      </c>
      <c r="D402" s="139">
        <f>IF($O$14="sell",-1,1) * NORMDIST(I402,0,1,0)/(B402*$H$14*SQRT($J$14)) * $P$14</f>
        <v/>
      </c>
      <c r="E402" s="139">
        <f>IF($O$14="sell",-1,1) * (B402*NORMDIST(I402,0,1,0)*SQRT($J$14)/365) * $P$14</f>
        <v/>
      </c>
      <c r="F402" s="139">
        <f>IF($O$14="sell",-1,1) * (-(B402*NORMDIST(I402,0,1,0)*$H$14)/(2*SQRT($J$14))/365) *$P$14</f>
        <v/>
      </c>
      <c r="G402" s="139">
        <f>IF($O$14="buy",1,-1)*( IF($K$14="call",B402*NORMDIST(I402,0,1,1) - $B$14*NORMDIST(J402,0,1,1),$B$14*NORMDIST(-J402,0,1,1) - B402*NORMDIST(-I402,0,1,1) ) - $G$14) * $P$14</f>
        <v/>
      </c>
      <c r="I402" s="140">
        <f>(LN(B402/$B$14)+($H$14^2/2)*($J$14))/($H$14*SQRT($J$14))</f>
        <v/>
      </c>
      <c r="J402" s="143">
        <f>I402 - $H$14*SQRT($J$14)</f>
        <v/>
      </c>
    </row>
    <row r="403" ht="13.5" customHeight="1" s="116">
      <c r="B403" s="144">
        <f>B373</f>
        <v/>
      </c>
      <c r="C403" s="139">
        <f>IF($O$14="sell",-1,1) *  IF($K$14="call",  NORMDIST(I403,0,1,1),  NORMDIST(I403,0,1,1)-1  ) * $P$14</f>
        <v/>
      </c>
      <c r="D403" s="139">
        <f>IF($O$14="sell",-1,1) * NORMDIST(I403,0,1,0)/(B403*$H$14*SQRT($J$14)) * $P$14</f>
        <v/>
      </c>
      <c r="E403" s="139">
        <f>IF($O$14="sell",-1,1) * (B403*NORMDIST(I403,0,1,0)*SQRT($J$14)/365) * $P$14</f>
        <v/>
      </c>
      <c r="F403" s="139">
        <f>IF($O$14="sell",-1,1) * (-(B403*NORMDIST(I403,0,1,0)*$H$14)/(2*SQRT($J$14))/365) *$P$14</f>
        <v/>
      </c>
      <c r="G403" s="139">
        <f>IF($O$14="buy",1,-1)*( IF($K$14="call",B403*NORMDIST(I403,0,1,1) - $B$14*NORMDIST(J403,0,1,1),$B$14*NORMDIST(-J403,0,1,1) - B403*NORMDIST(-I403,0,1,1) ) - $G$14) * $P$14</f>
        <v/>
      </c>
      <c r="I403" s="140">
        <f>(LN(B403/$B$14)+($H$14^2/2)*($J$14))/($H$14*SQRT($J$14))</f>
        <v/>
      </c>
      <c r="J403" s="143">
        <f>I403 - $H$14*SQRT($J$14)</f>
        <v/>
      </c>
    </row>
    <row r="404" ht="13.5" customHeight="1" s="116">
      <c r="B404" s="144">
        <f>B374</f>
        <v/>
      </c>
      <c r="C404" s="139">
        <f>IF($O$14="sell",-1,1) *  IF($K$14="call",  NORMDIST(I404,0,1,1),  NORMDIST(I404,0,1,1)-1  ) * $P$14</f>
        <v/>
      </c>
      <c r="D404" s="139">
        <f>IF($O$14="sell",-1,1) * NORMDIST(I404,0,1,0)/(B404*$H$14*SQRT($J$14)) * $P$14</f>
        <v/>
      </c>
      <c r="E404" s="139">
        <f>IF($O$14="sell",-1,1) * (B404*NORMDIST(I404,0,1,0)*SQRT($J$14)/365) * $P$14</f>
        <v/>
      </c>
      <c r="F404" s="139">
        <f>IF($O$14="sell",-1,1) * (-(B404*NORMDIST(I404,0,1,0)*$H$14)/(2*SQRT($J$14))/365) *$P$14</f>
        <v/>
      </c>
      <c r="G404" s="139">
        <f>IF($O$14="buy",1,-1)*( IF($K$14="call",B404*NORMDIST(I404,0,1,1) - $B$14*NORMDIST(J404,0,1,1),$B$14*NORMDIST(-J404,0,1,1) - B404*NORMDIST(-I404,0,1,1) ) - $G$14) * $P$14</f>
        <v/>
      </c>
      <c r="I404" s="140">
        <f>(LN(B404/$B$14)+($H$14^2/2)*($J$14))/($H$14*SQRT($J$14))</f>
        <v/>
      </c>
      <c r="J404" s="143">
        <f>I404 - $H$14*SQRT($J$14)</f>
        <v/>
      </c>
    </row>
    <row r="405" ht="13.5" customHeight="1" s="116">
      <c r="B405" s="145" t="n"/>
      <c r="C405" s="136" t="n"/>
      <c r="D405" s="136" t="n"/>
      <c r="E405" s="136" t="n"/>
      <c r="F405" s="136" t="n"/>
      <c r="G405" s="136" t="n"/>
      <c r="I405" s="146" t="n"/>
      <c r="J405" s="146" t="n"/>
    </row>
    <row r="406" ht="13.5" customHeight="1" s="116">
      <c r="B406" s="145" t="n"/>
      <c r="C406" s="136" t="n"/>
      <c r="D406" s="136" t="n"/>
      <c r="E406" s="136" t="n"/>
      <c r="F406" s="136" t="n"/>
      <c r="G406" s="136" t="n"/>
      <c r="I406" s="146" t="n"/>
      <c r="J406" s="146" t="n"/>
    </row>
    <row r="407" ht="13.5" customHeight="1" s="116">
      <c r="B407" s="137" t="n"/>
      <c r="C407" s="133" t="inlineStr">
        <is>
          <t>delta</t>
        </is>
      </c>
      <c r="D407" s="133" t="inlineStr">
        <is>
          <t>gamma</t>
        </is>
      </c>
      <c r="E407" s="133" t="inlineStr">
        <is>
          <t>vega</t>
        </is>
      </c>
      <c r="F407" s="133" t="inlineStr">
        <is>
          <t>theta</t>
        </is>
      </c>
      <c r="G407" s="133" t="inlineStr">
        <is>
          <t>mark_price</t>
        </is>
      </c>
      <c r="I407" s="133" t="inlineStr">
        <is>
          <t>d1</t>
        </is>
      </c>
      <c r="J407" s="133" t="inlineStr">
        <is>
          <t>d2</t>
        </is>
      </c>
    </row>
    <row r="408" ht="13.5" customHeight="1" s="116">
      <c r="A408" s="117">
        <f>A15</f>
        <v/>
      </c>
      <c r="B408" s="144">
        <f>B378</f>
        <v/>
      </c>
      <c r="C408" s="139">
        <f>IF($O$15="sell",-1,1) *  IF($K$15="call",  NORMDIST(I408,0,1,1),  NORMDIST(I408,0,1,1)-1  ) * $P$15</f>
        <v/>
      </c>
      <c r="D408" s="139">
        <f>IF($O$15="sell",-1,1) * NORMDIST(I408,0,1,0)/(B408*$H$15*SQRT($J$15)) * $P$15</f>
        <v/>
      </c>
      <c r="E408" s="139">
        <f>IF($O$15="sell",-1,1) * (B408*NORMDIST(I408,0,1,0)*SQRT($J$15)/365) * $P$15</f>
        <v/>
      </c>
      <c r="F408" s="139">
        <f>IF($O$15="sell",-1,1) * (-(B408*NORMDIST(I408,0,1,0)*$H$15)/(2*SQRT($J$15))/365) *$P$15</f>
        <v/>
      </c>
      <c r="G408" s="139">
        <f>IF($O$15="buy",1,-1)*( IF($K$15="call",B408*NORMDIST(I408,0,1,1) - $B$15*NORMDIST(J408,0,1,1),$B$15*NORMDIST(-J408,0,1,1) - B408*NORMDIST(-I408,0,1,1) ) - $G$15) * $P$15</f>
        <v/>
      </c>
      <c r="I408" s="140">
        <f>(LN(B408/$B$15)+($H$15^2/2)*($J$15))/($H$15*SQRT($J$15))</f>
        <v/>
      </c>
      <c r="J408" s="143">
        <f>I408 - $H$15*SQRT($J$15)</f>
        <v/>
      </c>
    </row>
    <row r="409" ht="13.5" customHeight="1" s="116">
      <c r="B409" s="144">
        <f>B379</f>
        <v/>
      </c>
      <c r="C409" s="139">
        <f>IF($O$15="sell",-1,1) *  IF($K$15="call",  NORMDIST(I409,0,1,1),  NORMDIST(I409,0,1,1)-1  ) * $P$15</f>
        <v/>
      </c>
      <c r="D409" s="139">
        <f>IF($O$15="sell",-1,1) * NORMDIST(I409,0,1,0)/(B409*$H$15*SQRT($J$15)) * $P$15</f>
        <v/>
      </c>
      <c r="E409" s="139">
        <f>IF($O$15="sell",-1,1) * (B409*NORMDIST(I409,0,1,0)*SQRT($J$15)/365) * $P$15</f>
        <v/>
      </c>
      <c r="F409" s="139">
        <f>IF($O$15="sell",-1,1) * (-(B409*NORMDIST(I409,0,1,0)*$H$15)/(2*SQRT($J$15))/365) *$P$15</f>
        <v/>
      </c>
      <c r="G409" s="139">
        <f>IF($O$15="buy",1,-1)*( IF($K$15="call",B409*NORMDIST(I409,0,1,1) - $B$15*NORMDIST(J409,0,1,1),$B$15*NORMDIST(-J409,0,1,1) - B409*NORMDIST(-I409,0,1,1) ) - $G$15) * $P$15</f>
        <v/>
      </c>
      <c r="I409" s="140">
        <f>(LN(B409/$B$15)+($H$15^2/2)*($J$15))/($H$15*SQRT($J$15))</f>
        <v/>
      </c>
      <c r="J409" s="143">
        <f>I409 - $H$15*SQRT($J$15)</f>
        <v/>
      </c>
    </row>
    <row r="410" ht="13.5" customHeight="1" s="116">
      <c r="B410" s="144">
        <f>B380</f>
        <v/>
      </c>
      <c r="C410" s="139">
        <f>IF($O$15="sell",-1,1) *  IF($K$15="call",  NORMDIST(I410,0,1,1),  NORMDIST(I410,0,1,1)-1  ) * $P$15</f>
        <v/>
      </c>
      <c r="D410" s="139">
        <f>IF($O$15="sell",-1,1) * NORMDIST(I410,0,1,0)/(B410*$H$15*SQRT($J$15)) * $P$15</f>
        <v/>
      </c>
      <c r="E410" s="139">
        <f>IF($O$15="sell",-1,1) * (B410*NORMDIST(I410,0,1,0)*SQRT($J$15)/365) * $P$15</f>
        <v/>
      </c>
      <c r="F410" s="139">
        <f>IF($O$15="sell",-1,1) * (-(B410*NORMDIST(I410,0,1,0)*$H$15)/(2*SQRT($J$15))/365) *$P$15</f>
        <v/>
      </c>
      <c r="G410" s="139">
        <f>IF($O$15="buy",1,-1)*( IF($K$15="call",B410*NORMDIST(I410,0,1,1) - $B$15*NORMDIST(J410,0,1,1),$B$15*NORMDIST(-J410,0,1,1) - B410*NORMDIST(-I410,0,1,1) ) - $G$15) * $P$15</f>
        <v/>
      </c>
      <c r="I410" s="140">
        <f>(LN(B410/$B$15)+($H$15^2/2)*($J$15))/($H$15*SQRT($J$15))</f>
        <v/>
      </c>
      <c r="J410" s="143">
        <f>I410 - $H$15*SQRT($J$15)</f>
        <v/>
      </c>
    </row>
    <row r="411" ht="13.5" customHeight="1" s="116">
      <c r="B411" s="144">
        <f>B381</f>
        <v/>
      </c>
      <c r="C411" s="139">
        <f>IF($O$15="sell",-1,1) *  IF($K$15="call",  NORMDIST(I411,0,1,1),  NORMDIST(I411,0,1,1)-1  ) * $P$15</f>
        <v/>
      </c>
      <c r="D411" s="139">
        <f>IF($O$15="sell",-1,1) * NORMDIST(I411,0,1,0)/(B411*$H$15*SQRT($J$15)) * $P$15</f>
        <v/>
      </c>
      <c r="E411" s="139">
        <f>IF($O$15="sell",-1,1) * (B411*NORMDIST(I411,0,1,0)*SQRT($J$15)/365) * $P$15</f>
        <v/>
      </c>
      <c r="F411" s="139">
        <f>IF($O$15="sell",-1,1) * (-(B411*NORMDIST(I411,0,1,0)*$H$15)/(2*SQRT($J$15))/365) *$P$15</f>
        <v/>
      </c>
      <c r="G411" s="139">
        <f>IF($O$15="buy",1,-1)*( IF($K$15="call",B411*NORMDIST(I411,0,1,1) - $B$15*NORMDIST(J411,0,1,1),$B$15*NORMDIST(-J411,0,1,1) - B411*NORMDIST(-I411,0,1,1) ) - $G$15) * $P$15</f>
        <v/>
      </c>
      <c r="I411" s="140">
        <f>(LN(B411/$B$15)+($H$15^2/2)*($J$15))/($H$15*SQRT($J$15))</f>
        <v/>
      </c>
      <c r="J411" s="143">
        <f>I411 - $H$15*SQRT($J$15)</f>
        <v/>
      </c>
    </row>
    <row r="412" ht="13.5" customHeight="1" s="116">
      <c r="B412" s="144">
        <f>B382</f>
        <v/>
      </c>
      <c r="C412" s="139">
        <f>IF($O$15="sell",-1,1) *  IF($K$15="call",  NORMDIST(I412,0,1,1),  NORMDIST(I412,0,1,1)-1  ) * $P$15</f>
        <v/>
      </c>
      <c r="D412" s="139">
        <f>IF($O$15="sell",-1,1) * NORMDIST(I412,0,1,0)/(B412*$H$15*SQRT($J$15)) * $P$15</f>
        <v/>
      </c>
      <c r="E412" s="139">
        <f>IF($O$15="sell",-1,1) * (B412*NORMDIST(I412,0,1,0)*SQRT($J$15)/365) * $P$15</f>
        <v/>
      </c>
      <c r="F412" s="139">
        <f>IF($O$15="sell",-1,1) * (-(B412*NORMDIST(I412,0,1,0)*$H$15)/(2*SQRT($J$15))/365) *$P$15</f>
        <v/>
      </c>
      <c r="G412" s="139">
        <f>IF($O$15="buy",1,-1)*( IF($K$15="call",B412*NORMDIST(I412,0,1,1) - $B$15*NORMDIST(J412,0,1,1),$B$15*NORMDIST(-J412,0,1,1) - B412*NORMDIST(-I412,0,1,1) ) - $G$15) * $P$15</f>
        <v/>
      </c>
      <c r="I412" s="140">
        <f>(LN(B412/$B$15)+($H$15^2/2)*($J$15))/($H$15*SQRT($J$15))</f>
        <v/>
      </c>
      <c r="J412" s="143">
        <f>I412 - $H$15*SQRT($J$15)</f>
        <v/>
      </c>
    </row>
    <row r="413" ht="13.5" customHeight="1" s="116">
      <c r="B413" s="144">
        <f>B383</f>
        <v/>
      </c>
      <c r="C413" s="139">
        <f>IF($O$15="sell",-1,1) *  IF($K$15="call",  NORMDIST(I413,0,1,1),  NORMDIST(I413,0,1,1)-1  ) * $P$15</f>
        <v/>
      </c>
      <c r="D413" s="139">
        <f>IF($O$15="sell",-1,1) * NORMDIST(I413,0,1,0)/(B413*$H$15*SQRT($J$15)) * $P$15</f>
        <v/>
      </c>
      <c r="E413" s="139">
        <f>IF($O$15="sell",-1,1) * (B413*NORMDIST(I413,0,1,0)*SQRT($J$15)/365) * $P$15</f>
        <v/>
      </c>
      <c r="F413" s="139">
        <f>IF($O$15="sell",-1,1) * (-(B413*NORMDIST(I413,0,1,0)*$H$15)/(2*SQRT($J$15))/365) *$P$15</f>
        <v/>
      </c>
      <c r="G413" s="139">
        <f>IF($O$15="buy",1,-1)*( IF($K$15="call",B413*NORMDIST(I413,0,1,1) - $B$15*NORMDIST(J413,0,1,1),$B$15*NORMDIST(-J413,0,1,1) - B413*NORMDIST(-I413,0,1,1) ) - $G$15) * $P$15</f>
        <v/>
      </c>
      <c r="I413" s="140">
        <f>(LN(B413/$B$15)+($H$15^2/2)*($J$15))/($H$15*SQRT($J$15))</f>
        <v/>
      </c>
      <c r="J413" s="143">
        <f>I413 - $H$15*SQRT($J$15)</f>
        <v/>
      </c>
    </row>
    <row r="414" ht="13.5" customHeight="1" s="116">
      <c r="B414" s="144">
        <f>B384</f>
        <v/>
      </c>
      <c r="C414" s="139">
        <f>IF($O$15="sell",-1,1) *  IF($K$15="call",  NORMDIST(I414,0,1,1),  NORMDIST(I414,0,1,1)-1  ) * $P$15</f>
        <v/>
      </c>
      <c r="D414" s="139">
        <f>IF($O$15="sell",-1,1) * NORMDIST(I414,0,1,0)/(B414*$H$15*SQRT($J$15)) * $P$15</f>
        <v/>
      </c>
      <c r="E414" s="139">
        <f>IF($O$15="sell",-1,1) * (B414*NORMDIST(I414,0,1,0)*SQRT($J$15)/365) * $P$15</f>
        <v/>
      </c>
      <c r="F414" s="139">
        <f>IF($O$15="sell",-1,1) * (-(B414*NORMDIST(I414,0,1,0)*$H$15)/(2*SQRT($J$15))/365) *$P$15</f>
        <v/>
      </c>
      <c r="G414" s="139">
        <f>IF($O$15="buy",1,-1)*( IF($K$15="call",B414*NORMDIST(I414,0,1,1) - $B$15*NORMDIST(J414,0,1,1),$B$15*NORMDIST(-J414,0,1,1) - B414*NORMDIST(-I414,0,1,1) ) - $G$15) * $P$15</f>
        <v/>
      </c>
      <c r="I414" s="140">
        <f>(LN(B414/$B$15)+($H$15^2/2)*($J$15))/($H$15*SQRT($J$15))</f>
        <v/>
      </c>
      <c r="J414" s="143">
        <f>I414 - $H$15*SQRT($J$15)</f>
        <v/>
      </c>
    </row>
    <row r="415" ht="13.5" customHeight="1" s="116">
      <c r="B415" s="144">
        <f>B385</f>
        <v/>
      </c>
      <c r="C415" s="139">
        <f>IF($O$15="sell",-1,1) *  IF($K$15="call",  NORMDIST(I415,0,1,1),  NORMDIST(I415,0,1,1)-1  ) * $P$15</f>
        <v/>
      </c>
      <c r="D415" s="139">
        <f>IF($O$15="sell",-1,1) * NORMDIST(I415,0,1,0)/(B415*$H$15*SQRT($J$15)) * $P$15</f>
        <v/>
      </c>
      <c r="E415" s="139">
        <f>IF($O$15="sell",-1,1) * (B415*NORMDIST(I415,0,1,0)*SQRT($J$15)/365) * $P$15</f>
        <v/>
      </c>
      <c r="F415" s="139">
        <f>IF($O$15="sell",-1,1) * (-(B415*NORMDIST(I415,0,1,0)*$H$15)/(2*SQRT($J$15))/365) *$P$15</f>
        <v/>
      </c>
      <c r="G415" s="139">
        <f>IF($O$15="buy",1,-1)*( IF($K$15="call",B415*NORMDIST(I415,0,1,1) - $B$15*NORMDIST(J415,0,1,1),$B$15*NORMDIST(-J415,0,1,1) - B415*NORMDIST(-I415,0,1,1) ) - $G$15) * $P$15</f>
        <v/>
      </c>
      <c r="I415" s="140">
        <f>(LN(B415/$B$15)+($H$15^2/2)*($J$15))/($H$15*SQRT($J$15))</f>
        <v/>
      </c>
      <c r="J415" s="143">
        <f>I415 - $H$15*SQRT($J$15)</f>
        <v/>
      </c>
    </row>
    <row r="416" ht="13.5" customHeight="1" s="116">
      <c r="B416" s="144">
        <f>B386</f>
        <v/>
      </c>
      <c r="C416" s="139">
        <f>IF($O$15="sell",-1,1) *  IF($K$15="call",  NORMDIST(I416,0,1,1),  NORMDIST(I416,0,1,1)-1  ) * $P$15</f>
        <v/>
      </c>
      <c r="D416" s="139">
        <f>IF($O$15="sell",-1,1) * NORMDIST(I416,0,1,0)/(B416*$H$15*SQRT($J$15)) * $P$15</f>
        <v/>
      </c>
      <c r="E416" s="139">
        <f>IF($O$15="sell",-1,1) * (B416*NORMDIST(I416,0,1,0)*SQRT($J$15)/365) * $P$15</f>
        <v/>
      </c>
      <c r="F416" s="139">
        <f>IF($O$15="sell",-1,1) * (-(B416*NORMDIST(I416,0,1,0)*$H$15)/(2*SQRT($J$15))/365) *$P$15</f>
        <v/>
      </c>
      <c r="G416" s="139">
        <f>IF($O$15="buy",1,-1)*( IF($K$15="call",B416*NORMDIST(I416,0,1,1) - $B$15*NORMDIST(J416,0,1,1),$B$15*NORMDIST(-J416,0,1,1) - B416*NORMDIST(-I416,0,1,1) ) - $G$15) * $P$15</f>
        <v/>
      </c>
      <c r="I416" s="140">
        <f>(LN(B416/$B$15)+($H$15^2/2)*($J$15))/($H$15*SQRT($J$15))</f>
        <v/>
      </c>
      <c r="J416" s="143">
        <f>I416 - $H$15*SQRT($J$15)</f>
        <v/>
      </c>
    </row>
    <row r="417" ht="13.5" customHeight="1" s="116">
      <c r="B417" s="144">
        <f>B387</f>
        <v/>
      </c>
      <c r="C417" s="139">
        <f>IF($O$15="sell",-1,1) *  IF($K$15="call",  NORMDIST(I417,0,1,1),  NORMDIST(I417,0,1,1)-1  ) * $P$15</f>
        <v/>
      </c>
      <c r="D417" s="139">
        <f>IF($O$15="sell",-1,1) * NORMDIST(I417,0,1,0)/(B417*$H$15*SQRT($J$15)) * $P$15</f>
        <v/>
      </c>
      <c r="E417" s="139">
        <f>IF($O$15="sell",-1,1) * (B417*NORMDIST(I417,0,1,0)*SQRT($J$15)/365) * $P$15</f>
        <v/>
      </c>
      <c r="F417" s="139">
        <f>IF($O$15="sell",-1,1) * (-(B417*NORMDIST(I417,0,1,0)*$H$15)/(2*SQRT($J$15))/365) *$P$15</f>
        <v/>
      </c>
      <c r="G417" s="139">
        <f>IF($O$15="buy",1,-1)*( IF($K$15="call",B417*NORMDIST(I417,0,1,1) - $B$15*NORMDIST(J417,0,1,1),$B$15*NORMDIST(-J417,0,1,1) - B417*NORMDIST(-I417,0,1,1) ) - $G$15) * $P$15</f>
        <v/>
      </c>
      <c r="I417" s="140">
        <f>(LN(B417/$B$15)+($H$15^2/2)*($J$15))/($H$15*SQRT($J$15))</f>
        <v/>
      </c>
      <c r="J417" s="143">
        <f>I417 - $H$15*SQRT($J$15)</f>
        <v/>
      </c>
    </row>
    <row r="418" ht="13.5" customHeight="1" s="116">
      <c r="B418" s="144">
        <f>B388</f>
        <v/>
      </c>
      <c r="C418" s="139">
        <f>IF($O$15="sell",-1,1) *  IF($K$15="call",  NORMDIST(I418,0,1,1),  NORMDIST(I418,0,1,1)-1  ) * $P$15</f>
        <v/>
      </c>
      <c r="D418" s="139">
        <f>IF($O$15="sell",-1,1) * NORMDIST(I418,0,1,0)/(B418*$H$15*SQRT($J$15)) * $P$15</f>
        <v/>
      </c>
      <c r="E418" s="139">
        <f>IF($O$15="sell",-1,1) * (B418*NORMDIST(I418,0,1,0)*SQRT($J$15)/365) * $P$15</f>
        <v/>
      </c>
      <c r="F418" s="139">
        <f>IF($O$15="sell",-1,1) * (-(B418*NORMDIST(I418,0,1,0)*$H$15)/(2*SQRT($J$15))/365) *$P$15</f>
        <v/>
      </c>
      <c r="G418" s="139">
        <f>IF($O$15="buy",1,-1)*( IF($K$15="call",B418*NORMDIST(I418,0,1,1) - $B$15*NORMDIST(J418,0,1,1),$B$15*NORMDIST(-J418,0,1,1) - B418*NORMDIST(-I418,0,1,1) ) - $G$15) * $P$15</f>
        <v/>
      </c>
      <c r="I418" s="140">
        <f>(LN(B418/$B$15)+($H$15^2/2)*($J$15))/($H$15*SQRT($J$15))</f>
        <v/>
      </c>
      <c r="J418" s="143">
        <f>I418 - $H$15*SQRT($J$15)</f>
        <v/>
      </c>
    </row>
    <row r="419" ht="13.5" customHeight="1" s="116">
      <c r="B419" s="144">
        <f>B389</f>
        <v/>
      </c>
      <c r="C419" s="139">
        <f>IF($O$15="sell",-1,1) *  IF($K$15="call",  NORMDIST(I419,0,1,1),  NORMDIST(I419,0,1,1)-1  ) * $P$15</f>
        <v/>
      </c>
      <c r="D419" s="139">
        <f>IF($O$15="sell",-1,1) * NORMDIST(I419,0,1,0)/(B419*$H$15*SQRT($J$15)) * $P$15</f>
        <v/>
      </c>
      <c r="E419" s="139">
        <f>IF($O$15="sell",-1,1) * (B419*NORMDIST(I419,0,1,0)*SQRT($J$15)/365) * $P$15</f>
        <v/>
      </c>
      <c r="F419" s="139">
        <f>IF($O$15="sell",-1,1) * (-(B419*NORMDIST(I419,0,1,0)*$H$15)/(2*SQRT($J$15))/365) *$P$15</f>
        <v/>
      </c>
      <c r="G419" s="139">
        <f>IF($O$15="buy",1,-1)*( IF($K$15="call",B419*NORMDIST(I419,0,1,1) - $B$15*NORMDIST(J419,0,1,1),$B$15*NORMDIST(-J419,0,1,1) - B419*NORMDIST(-I419,0,1,1) ) - $G$15) * $P$15</f>
        <v/>
      </c>
      <c r="I419" s="140">
        <f>(LN(B419/$B$15)+($H$15^2/2)*($J$15))/($H$15*SQRT($J$15))</f>
        <v/>
      </c>
      <c r="J419" s="143">
        <f>I419 - $H$15*SQRT($J$15)</f>
        <v/>
      </c>
    </row>
    <row r="420" ht="13.5" customHeight="1" s="116">
      <c r="B420" s="144">
        <f>B390</f>
        <v/>
      </c>
      <c r="C420" s="139">
        <f>IF($O$15="sell",-1,1) *  IF($K$15="call",  NORMDIST(I420,0,1,1),  NORMDIST(I420,0,1,1)-1  ) * $P$15</f>
        <v/>
      </c>
      <c r="D420" s="139">
        <f>IF($O$15="sell",-1,1) * NORMDIST(I420,0,1,0)/(B420*$H$15*SQRT($J$15)) * $P$15</f>
        <v/>
      </c>
      <c r="E420" s="139">
        <f>IF($O$15="sell",-1,1) * (B420*NORMDIST(I420,0,1,0)*SQRT($J$15)/365) * $P$15</f>
        <v/>
      </c>
      <c r="F420" s="139">
        <f>IF($O$15="sell",-1,1) * (-(B420*NORMDIST(I420,0,1,0)*$H$15)/(2*SQRT($J$15))/365) *$P$15</f>
        <v/>
      </c>
      <c r="G420" s="139">
        <f>IF($O$15="buy",1,-1)*( IF($K$15="call",B420*NORMDIST(I420,0,1,1) - $B$15*NORMDIST(J420,0,1,1),$B$15*NORMDIST(-J420,0,1,1) - B420*NORMDIST(-I420,0,1,1) ) - $G$15) * $P$15</f>
        <v/>
      </c>
      <c r="I420" s="140">
        <f>(LN(B420/$B$15)+($H$15^2/2)*($J$15))/($H$15*SQRT($J$15))</f>
        <v/>
      </c>
      <c r="J420" s="143">
        <f>I420 - $H$15*SQRT($J$15)</f>
        <v/>
      </c>
    </row>
    <row r="421" ht="13.5" customHeight="1" s="116">
      <c r="B421" s="144">
        <f>B391</f>
        <v/>
      </c>
      <c r="C421" s="139">
        <f>IF($O$15="sell",-1,1) *  IF($K$15="call",  NORMDIST(I421,0,1,1),  NORMDIST(I421,0,1,1)-1  ) * $P$15</f>
        <v/>
      </c>
      <c r="D421" s="139">
        <f>IF($O$15="sell",-1,1) * NORMDIST(I421,0,1,0)/(B421*$H$15*SQRT($J$15)) * $P$15</f>
        <v/>
      </c>
      <c r="E421" s="139">
        <f>IF($O$15="sell",-1,1) * (B421*NORMDIST(I421,0,1,0)*SQRT($J$15)/365) * $P$15</f>
        <v/>
      </c>
      <c r="F421" s="139">
        <f>IF($O$15="sell",-1,1) * (-(B421*NORMDIST(I421,0,1,0)*$H$15)/(2*SQRT($J$15))/365) *$P$15</f>
        <v/>
      </c>
      <c r="G421" s="139">
        <f>IF($O$15="buy",1,-1)*( IF($K$15="call",B421*NORMDIST(I421,0,1,1) - $B$15*NORMDIST(J421,0,1,1),$B$15*NORMDIST(-J421,0,1,1) - B421*NORMDIST(-I421,0,1,1) ) - $G$15) * $P$15</f>
        <v/>
      </c>
      <c r="I421" s="140">
        <f>(LN(B421/$B$15)+($H$15^2/2)*($J$15))/($H$15*SQRT($J$15))</f>
        <v/>
      </c>
      <c r="J421" s="143">
        <f>I421 - $H$15*SQRT($J$15)</f>
        <v/>
      </c>
    </row>
    <row r="422" ht="13.5" customHeight="1" s="116">
      <c r="B422" s="144">
        <f>B392</f>
        <v/>
      </c>
      <c r="C422" s="139">
        <f>IF($O$15="sell",-1,1) *  IF($K$15="call",  NORMDIST(I422,0,1,1),  NORMDIST(I422,0,1,1)-1  ) * $P$15</f>
        <v/>
      </c>
      <c r="D422" s="139">
        <f>IF($O$15="sell",-1,1) * NORMDIST(I422,0,1,0)/(B422*$H$15*SQRT($J$15)) * $P$15</f>
        <v/>
      </c>
      <c r="E422" s="139">
        <f>IF($O$15="sell",-1,1) * (B422*NORMDIST(I422,0,1,0)*SQRT($J$15)/365) * $P$15</f>
        <v/>
      </c>
      <c r="F422" s="139">
        <f>IF($O$15="sell",-1,1) * (-(B422*NORMDIST(I422,0,1,0)*$H$15)/(2*SQRT($J$15))/365) *$P$15</f>
        <v/>
      </c>
      <c r="G422" s="139">
        <f>IF($O$15="buy",1,-1)*( IF($K$15="call",B422*NORMDIST(I422,0,1,1) - $B$15*NORMDIST(J422,0,1,1),$B$15*NORMDIST(-J422,0,1,1) - B422*NORMDIST(-I422,0,1,1) ) - $G$15) * $P$15</f>
        <v/>
      </c>
      <c r="I422" s="140">
        <f>(LN(B422/$B$15)+($H$15^2/2)*($J$15))/($H$15*SQRT($J$15))</f>
        <v/>
      </c>
      <c r="J422" s="143">
        <f>I422 - $H$15*SQRT($J$15)</f>
        <v/>
      </c>
    </row>
    <row r="423" ht="13.5" customHeight="1" s="116">
      <c r="B423" s="144">
        <f>B393</f>
        <v/>
      </c>
      <c r="C423" s="139">
        <f>IF($O$15="sell",-1,1) *  IF($K$15="call",  NORMDIST(I423,0,1,1),  NORMDIST(I423,0,1,1)-1  ) * $P$15</f>
        <v/>
      </c>
      <c r="D423" s="139">
        <f>IF($O$15="sell",-1,1) * NORMDIST(I423,0,1,0)/(B423*$H$15*SQRT($J$15)) * $P$15</f>
        <v/>
      </c>
      <c r="E423" s="139">
        <f>IF($O$15="sell",-1,1) * (B423*NORMDIST(I423,0,1,0)*SQRT($J$15)/365) * $P$15</f>
        <v/>
      </c>
      <c r="F423" s="139">
        <f>IF($O$15="sell",-1,1) * (-(B423*NORMDIST(I423,0,1,0)*$H$15)/(2*SQRT($J$15))/365) *$P$15</f>
        <v/>
      </c>
      <c r="G423" s="139">
        <f>IF($O$15="buy",1,-1)*( IF($K$15="call",B423*NORMDIST(I423,0,1,1) - $B$15*NORMDIST(J423,0,1,1),$B$15*NORMDIST(-J423,0,1,1) - B423*NORMDIST(-I423,0,1,1) ) - $G$15) * $P$15</f>
        <v/>
      </c>
      <c r="I423" s="140">
        <f>(LN(B423/$B$15)+($H$15^2/2)*($J$15))/($H$15*SQRT($J$15))</f>
        <v/>
      </c>
      <c r="J423" s="143">
        <f>I423 - $H$15*SQRT($J$15)</f>
        <v/>
      </c>
    </row>
    <row r="424" ht="13.5" customHeight="1" s="116">
      <c r="B424" s="144">
        <f>B394</f>
        <v/>
      </c>
      <c r="C424" s="139">
        <f>IF($O$15="sell",-1,1) *  IF($K$15="call",  NORMDIST(I424,0,1,1),  NORMDIST(I424,0,1,1)-1  ) * $P$15</f>
        <v/>
      </c>
      <c r="D424" s="139">
        <f>IF($O$15="sell",-1,1) * NORMDIST(I424,0,1,0)/(B424*$H$15*SQRT($J$15)) * $P$15</f>
        <v/>
      </c>
      <c r="E424" s="139">
        <f>IF($O$15="sell",-1,1) * (B424*NORMDIST(I424,0,1,0)*SQRT($J$15)/365) * $P$15</f>
        <v/>
      </c>
      <c r="F424" s="139">
        <f>IF($O$15="sell",-1,1) * (-(B424*NORMDIST(I424,0,1,0)*$H$15)/(2*SQRT($J$15))/365) *$P$15</f>
        <v/>
      </c>
      <c r="G424" s="139">
        <f>IF($O$15="buy",1,-1)*( IF($K$15="call",B424*NORMDIST(I424,0,1,1) - $B$15*NORMDIST(J424,0,1,1),$B$15*NORMDIST(-J424,0,1,1) - B424*NORMDIST(-I424,0,1,1) ) - $G$15) * $P$15</f>
        <v/>
      </c>
      <c r="I424" s="140">
        <f>(LN(B424/$B$15)+($H$15^2/2)*($J$15))/($H$15*SQRT($J$15))</f>
        <v/>
      </c>
      <c r="J424" s="143">
        <f>I424 - $H$15*SQRT($J$15)</f>
        <v/>
      </c>
    </row>
    <row r="425" ht="13.5" customHeight="1" s="116">
      <c r="B425" s="144">
        <f>B395</f>
        <v/>
      </c>
      <c r="C425" s="139">
        <f>IF($O$15="sell",-1,1) *  IF($K$15="call",  NORMDIST(I425,0,1,1),  NORMDIST(I425,0,1,1)-1  ) * $P$15</f>
        <v/>
      </c>
      <c r="D425" s="139">
        <f>IF($O$15="sell",-1,1) * NORMDIST(I425,0,1,0)/(B425*$H$15*SQRT($J$15)) * $P$15</f>
        <v/>
      </c>
      <c r="E425" s="139">
        <f>IF($O$15="sell",-1,1) * (B425*NORMDIST(I425,0,1,0)*SQRT($J$15)/365) * $P$15</f>
        <v/>
      </c>
      <c r="F425" s="139">
        <f>IF($O$15="sell",-1,1) * (-(B425*NORMDIST(I425,0,1,0)*$H$15)/(2*SQRT($J$15))/365) *$P$15</f>
        <v/>
      </c>
      <c r="G425" s="139">
        <f>IF($O$15="buy",1,-1)*( IF($K$15="call",B425*NORMDIST(I425,0,1,1) - $B$15*NORMDIST(J425,0,1,1),$B$15*NORMDIST(-J425,0,1,1) - B425*NORMDIST(-I425,0,1,1) ) - $G$15) * $P$15</f>
        <v/>
      </c>
      <c r="I425" s="140">
        <f>(LN(B425/$B$15)+($H$15^2/2)*($J$15))/($H$15*SQRT($J$15))</f>
        <v/>
      </c>
      <c r="J425" s="143">
        <f>I425 - $H$15*SQRT($J$15)</f>
        <v/>
      </c>
    </row>
    <row r="426" ht="13.5" customHeight="1" s="116">
      <c r="B426" s="144">
        <f>B396</f>
        <v/>
      </c>
      <c r="C426" s="139">
        <f>IF($O$15="sell",-1,1) *  IF($K$15="call",  NORMDIST(I426,0,1,1),  NORMDIST(I426,0,1,1)-1  ) * $P$15</f>
        <v/>
      </c>
      <c r="D426" s="139">
        <f>IF($O$15="sell",-1,1) * NORMDIST(I426,0,1,0)/(B426*$H$15*SQRT($J$15)) * $P$15</f>
        <v/>
      </c>
      <c r="E426" s="139">
        <f>IF($O$15="sell",-1,1) * (B426*NORMDIST(I426,0,1,0)*SQRT($J$15)/365) * $P$15</f>
        <v/>
      </c>
      <c r="F426" s="139">
        <f>IF($O$15="sell",-1,1) * (-(B426*NORMDIST(I426,0,1,0)*$H$15)/(2*SQRT($J$15))/365) *$P$15</f>
        <v/>
      </c>
      <c r="G426" s="139">
        <f>IF($O$15="buy",1,-1)*( IF($K$15="call",B426*NORMDIST(I426,0,1,1) - $B$15*NORMDIST(J426,0,1,1),$B$15*NORMDIST(-J426,0,1,1) - B426*NORMDIST(-I426,0,1,1) ) - $G$15) * $P$15</f>
        <v/>
      </c>
      <c r="I426" s="140">
        <f>(LN(B426/$B$15)+($H$15^2/2)*($J$15))/($H$15*SQRT($J$15))</f>
        <v/>
      </c>
      <c r="J426" s="143">
        <f>I426 - $H$15*SQRT($J$15)</f>
        <v/>
      </c>
    </row>
    <row r="427" ht="13.5" customHeight="1" s="116">
      <c r="B427" s="144">
        <f>B397</f>
        <v/>
      </c>
      <c r="C427" s="139">
        <f>IF($O$15="sell",-1,1) *  IF($K$15="call",  NORMDIST(I427,0,1,1),  NORMDIST(I427,0,1,1)-1  ) * $P$15</f>
        <v/>
      </c>
      <c r="D427" s="139">
        <f>IF($O$15="sell",-1,1) * NORMDIST(I427,0,1,0)/(B427*$H$15*SQRT($J$15)) * $P$15</f>
        <v/>
      </c>
      <c r="E427" s="139">
        <f>IF($O$15="sell",-1,1) * (B427*NORMDIST(I427,0,1,0)*SQRT($J$15)/365) * $P$15</f>
        <v/>
      </c>
      <c r="F427" s="139">
        <f>IF($O$15="sell",-1,1) * (-(B427*NORMDIST(I427,0,1,0)*$H$15)/(2*SQRT($J$15))/365) *$P$15</f>
        <v/>
      </c>
      <c r="G427" s="139">
        <f>IF($O$15="buy",1,-1)*( IF($K$15="call",B427*NORMDIST(I427,0,1,1) - $B$15*NORMDIST(J427,0,1,1),$B$15*NORMDIST(-J427,0,1,1) - B427*NORMDIST(-I427,0,1,1) ) - $G$15) * $P$15</f>
        <v/>
      </c>
      <c r="I427" s="140">
        <f>(LN(B427/$B$15)+($H$15^2/2)*($J$15))/($H$15*SQRT($J$15))</f>
        <v/>
      </c>
      <c r="J427" s="143">
        <f>I427 - $H$15*SQRT($J$15)</f>
        <v/>
      </c>
    </row>
    <row r="428" ht="13.5" customHeight="1" s="116">
      <c r="B428" s="144">
        <f>B398</f>
        <v/>
      </c>
      <c r="C428" s="139">
        <f>IF($O$15="sell",-1,1) *  IF($K$15="call",  NORMDIST(I428,0,1,1),  NORMDIST(I428,0,1,1)-1  ) * $P$15</f>
        <v/>
      </c>
      <c r="D428" s="139">
        <f>IF($O$15="sell",-1,1) * NORMDIST(I428,0,1,0)/(B428*$H$15*SQRT($J$15)) * $P$15</f>
        <v/>
      </c>
      <c r="E428" s="139">
        <f>IF($O$15="sell",-1,1) * (B428*NORMDIST(I428,0,1,0)*SQRT($J$15)/365) * $P$15</f>
        <v/>
      </c>
      <c r="F428" s="139">
        <f>IF($O$15="sell",-1,1) * (-(B428*NORMDIST(I428,0,1,0)*$H$15)/(2*SQRT($J$15))/365) *$P$15</f>
        <v/>
      </c>
      <c r="G428" s="139">
        <f>IF($O$15="buy",1,-1)*( IF($K$15="call",B428*NORMDIST(I428,0,1,1) - $B$15*NORMDIST(J428,0,1,1),$B$15*NORMDIST(-J428,0,1,1) - B428*NORMDIST(-I428,0,1,1) ) - $G$15) * $P$15</f>
        <v/>
      </c>
      <c r="I428" s="140">
        <f>(LN(B428/$B$15)+($H$15^2/2)*($J$15))/($H$15*SQRT($J$15))</f>
        <v/>
      </c>
      <c r="J428" s="143">
        <f>I428 - $H$15*SQRT($J$15)</f>
        <v/>
      </c>
    </row>
    <row r="429" ht="13.5" customHeight="1" s="116">
      <c r="B429" s="144">
        <f>B399</f>
        <v/>
      </c>
      <c r="C429" s="139">
        <f>IF($O$15="sell",-1,1) *  IF($K$15="call",  NORMDIST(I429,0,1,1),  NORMDIST(I429,0,1,1)-1  ) * $P$15</f>
        <v/>
      </c>
      <c r="D429" s="139">
        <f>IF($O$15="sell",-1,1) * NORMDIST(I429,0,1,0)/(B429*$H$15*SQRT($J$15)) * $P$15</f>
        <v/>
      </c>
      <c r="E429" s="139">
        <f>IF($O$15="sell",-1,1) * (B429*NORMDIST(I429,0,1,0)*SQRT($J$15)/365) * $P$15</f>
        <v/>
      </c>
      <c r="F429" s="139">
        <f>IF($O$15="sell",-1,1) * (-(B429*NORMDIST(I429,0,1,0)*$H$15)/(2*SQRT($J$15))/365) *$P$15</f>
        <v/>
      </c>
      <c r="G429" s="139">
        <f>IF($O$15="buy",1,-1)*( IF($K$15="call",B429*NORMDIST(I429,0,1,1) - $B$15*NORMDIST(J429,0,1,1),$B$15*NORMDIST(-J429,0,1,1) - B429*NORMDIST(-I429,0,1,1) ) - $G$15) * $P$15</f>
        <v/>
      </c>
      <c r="I429" s="140">
        <f>(LN(B429/$B$15)+($H$15^2/2)*($J$15))/($H$15*SQRT($J$15))</f>
        <v/>
      </c>
      <c r="J429" s="143">
        <f>I429 - $H$15*SQRT($J$15)</f>
        <v/>
      </c>
    </row>
    <row r="430" ht="13.5" customHeight="1" s="116">
      <c r="B430" s="144">
        <f>B400</f>
        <v/>
      </c>
      <c r="C430" s="139">
        <f>IF($O$15="sell",-1,1) *  IF($K$15="call",  NORMDIST(I430,0,1,1),  NORMDIST(I430,0,1,1)-1  ) * $P$15</f>
        <v/>
      </c>
      <c r="D430" s="139">
        <f>IF($O$15="sell",-1,1) * NORMDIST(I430,0,1,0)/(B430*$H$15*SQRT($J$15)) * $P$15</f>
        <v/>
      </c>
      <c r="E430" s="139">
        <f>IF($O$15="sell",-1,1) * (B430*NORMDIST(I430,0,1,0)*SQRT($J$15)/365) * $P$15</f>
        <v/>
      </c>
      <c r="F430" s="139">
        <f>IF($O$15="sell",-1,1) * (-(B430*NORMDIST(I430,0,1,0)*$H$15)/(2*SQRT($J$15))/365) *$P$15</f>
        <v/>
      </c>
      <c r="G430" s="139">
        <f>IF($O$15="buy",1,-1)*( IF($K$15="call",B430*NORMDIST(I430,0,1,1) - $B$15*NORMDIST(J430,0,1,1),$B$15*NORMDIST(-J430,0,1,1) - B430*NORMDIST(-I430,0,1,1) ) - $G$15) * $P$15</f>
        <v/>
      </c>
      <c r="I430" s="140">
        <f>(LN(B430/$B$15)+($H$15^2/2)*($J$15))/($H$15*SQRT($J$15))</f>
        <v/>
      </c>
      <c r="J430" s="143">
        <f>I430 - $H$15*SQRT($J$15)</f>
        <v/>
      </c>
    </row>
    <row r="431" ht="13.5" customHeight="1" s="116">
      <c r="B431" s="144">
        <f>B401</f>
        <v/>
      </c>
      <c r="C431" s="139">
        <f>IF($O$15="sell",-1,1) *  IF($K$15="call",  NORMDIST(I431,0,1,1),  NORMDIST(I431,0,1,1)-1  ) * $P$15</f>
        <v/>
      </c>
      <c r="D431" s="139">
        <f>IF($O$15="sell",-1,1) * NORMDIST(I431,0,1,0)/(B431*$H$15*SQRT($J$15)) * $P$15</f>
        <v/>
      </c>
      <c r="E431" s="139">
        <f>IF($O$15="sell",-1,1) * (B431*NORMDIST(I431,0,1,0)*SQRT($J$15)/365) * $P$15</f>
        <v/>
      </c>
      <c r="F431" s="139">
        <f>IF($O$15="sell",-1,1) * (-(B431*NORMDIST(I431,0,1,0)*$H$15)/(2*SQRT($J$15))/365) *$P$15</f>
        <v/>
      </c>
      <c r="G431" s="139">
        <f>IF($O$15="buy",1,-1)*( IF($K$15="call",B431*NORMDIST(I431,0,1,1) - $B$15*NORMDIST(J431,0,1,1),$B$15*NORMDIST(-J431,0,1,1) - B431*NORMDIST(-I431,0,1,1) ) - $G$15) * $P$15</f>
        <v/>
      </c>
      <c r="I431" s="140">
        <f>(LN(B431/$B$15)+($H$15^2/2)*($J$15))/($H$15*SQRT($J$15))</f>
        <v/>
      </c>
      <c r="J431" s="143">
        <f>I431 - $H$15*SQRT($J$15)</f>
        <v/>
      </c>
    </row>
    <row r="432" ht="13.5" customHeight="1" s="116">
      <c r="B432" s="144">
        <f>B402</f>
        <v/>
      </c>
      <c r="C432" s="139">
        <f>IF($O$15="sell",-1,1) *  IF($K$15="call",  NORMDIST(I432,0,1,1),  NORMDIST(I432,0,1,1)-1  ) * $P$15</f>
        <v/>
      </c>
      <c r="D432" s="139">
        <f>IF($O$15="sell",-1,1) * NORMDIST(I432,0,1,0)/(B432*$H$15*SQRT($J$15)) * $P$15</f>
        <v/>
      </c>
      <c r="E432" s="139">
        <f>IF($O$15="sell",-1,1) * (B432*NORMDIST(I432,0,1,0)*SQRT($J$15)/365) * $P$15</f>
        <v/>
      </c>
      <c r="F432" s="139">
        <f>IF($O$15="sell",-1,1) * (-(B432*NORMDIST(I432,0,1,0)*$H$15)/(2*SQRT($J$15))/365) *$P$15</f>
        <v/>
      </c>
      <c r="G432" s="139">
        <f>IF($O$15="buy",1,-1)*( IF($K$15="call",B432*NORMDIST(I432,0,1,1) - $B$15*NORMDIST(J432,0,1,1),$B$15*NORMDIST(-J432,0,1,1) - B432*NORMDIST(-I432,0,1,1) ) - $G$15) * $P$15</f>
        <v/>
      </c>
      <c r="I432" s="140">
        <f>(LN(B432/$B$15)+($H$15^2/2)*($J$15))/($H$15*SQRT($J$15))</f>
        <v/>
      </c>
      <c r="J432" s="143">
        <f>I432 - $H$15*SQRT($J$15)</f>
        <v/>
      </c>
    </row>
    <row r="433" ht="13.5" customHeight="1" s="116">
      <c r="B433" s="144">
        <f>B403</f>
        <v/>
      </c>
      <c r="C433" s="139">
        <f>IF($O$15="sell",-1,1) *  IF($K$15="call",  NORMDIST(I433,0,1,1),  NORMDIST(I433,0,1,1)-1  ) * $P$15</f>
        <v/>
      </c>
      <c r="D433" s="139">
        <f>IF($O$15="sell",-1,1) * NORMDIST(I433,0,1,0)/(B433*$H$15*SQRT($J$15)) * $P$15</f>
        <v/>
      </c>
      <c r="E433" s="139">
        <f>IF($O$15="sell",-1,1) * (B433*NORMDIST(I433,0,1,0)*SQRT($J$15)/365) * $P$15</f>
        <v/>
      </c>
      <c r="F433" s="139">
        <f>IF($O$15="sell",-1,1) * (-(B433*NORMDIST(I433,0,1,0)*$H$15)/(2*SQRT($J$15))/365) *$P$15</f>
        <v/>
      </c>
      <c r="G433" s="139">
        <f>IF($O$15="buy",1,-1)*( IF($K$15="call",B433*NORMDIST(I433,0,1,1) - $B$15*NORMDIST(J433,0,1,1),$B$15*NORMDIST(-J433,0,1,1) - B433*NORMDIST(-I433,0,1,1) ) - $G$15) * $P$15</f>
        <v/>
      </c>
      <c r="I433" s="140">
        <f>(LN(B433/$B$15)+($H$15^2/2)*($J$15))/($H$15*SQRT($J$15))</f>
        <v/>
      </c>
      <c r="J433" s="143">
        <f>I433 - $H$15*SQRT($J$15)</f>
        <v/>
      </c>
    </row>
    <row r="434" ht="13.5" customHeight="1" s="116">
      <c r="B434" s="144">
        <f>B404</f>
        <v/>
      </c>
      <c r="C434" s="139">
        <f>IF($O$15="sell",-1,1) *  IF($K$15="call",  NORMDIST(I434,0,1,1),  NORMDIST(I434,0,1,1)-1  ) * $P$15</f>
        <v/>
      </c>
      <c r="D434" s="139">
        <f>IF($O$15="sell",-1,1) * NORMDIST(I434,0,1,0)/(B434*$H$15*SQRT($J$15)) * $P$15</f>
        <v/>
      </c>
      <c r="E434" s="139">
        <f>IF($O$15="sell",-1,1) * (B434*NORMDIST(I434,0,1,0)*SQRT($J$15)/365) * $P$15</f>
        <v/>
      </c>
      <c r="F434" s="139">
        <f>IF($O$15="sell",-1,1) * (-(B434*NORMDIST(I434,0,1,0)*$H$15)/(2*SQRT($J$15))/365) *$P$15</f>
        <v/>
      </c>
      <c r="G434" s="139">
        <f>IF($O$15="buy",1,-1)*( IF($K$15="call",B434*NORMDIST(I434,0,1,1) - $B$15*NORMDIST(J434,0,1,1),$B$15*NORMDIST(-J434,0,1,1) - B434*NORMDIST(-I434,0,1,1) ) - $G$15) * $P$15</f>
        <v/>
      </c>
      <c r="I434" s="140">
        <f>(LN(B434/$B$15)+($H$15^2/2)*($J$15))/($H$15*SQRT($J$15))</f>
        <v/>
      </c>
      <c r="J434" s="143">
        <f>I434 - $H$15*SQRT($J$15)</f>
        <v/>
      </c>
    </row>
    <row r="435" ht="13.5" customHeight="1" s="116">
      <c r="B435" s="145" t="n"/>
      <c r="C435" s="136" t="n"/>
      <c r="D435" s="136" t="n"/>
      <c r="E435" s="136" t="n"/>
      <c r="F435" s="136" t="n"/>
      <c r="G435" s="136" t="n"/>
      <c r="I435" s="146" t="n"/>
      <c r="J435" s="146" t="n"/>
    </row>
    <row r="436" ht="13.5" customHeight="1" s="116">
      <c r="B436" s="145" t="n"/>
      <c r="C436" s="136" t="n"/>
      <c r="D436" s="136" t="n"/>
      <c r="E436" s="136" t="n"/>
      <c r="F436" s="136" t="n"/>
      <c r="G436" s="136" t="n"/>
      <c r="I436" s="146" t="n"/>
      <c r="J436" s="146" t="n"/>
    </row>
    <row r="437" ht="17.25" customHeight="1" s="116">
      <c r="A437" s="117" t="inlineStr">
        <is>
          <t>Total_Greeks</t>
        </is>
      </c>
      <c r="B437" s="137" t="n"/>
      <c r="C437" s="133" t="inlineStr">
        <is>
          <t>delta</t>
        </is>
      </c>
      <c r="D437" s="133" t="inlineStr">
        <is>
          <t>gamma</t>
        </is>
      </c>
      <c r="E437" s="133" t="inlineStr">
        <is>
          <t>vega</t>
        </is>
      </c>
      <c r="F437" s="133" t="inlineStr">
        <is>
          <t>theta</t>
        </is>
      </c>
      <c r="G437" s="133" t="inlineStr">
        <is>
          <t>mark_price</t>
        </is>
      </c>
    </row>
    <row r="438" ht="13.5" customHeight="1" s="116">
      <c r="B438" s="144">
        <f>B21</f>
        <v/>
      </c>
      <c r="C438" s="139">
        <f>C21+C50+C79+C108+C138+C168+C198+C228+C258+C288+C318+C348+C378+C408</f>
        <v/>
      </c>
      <c r="D438" s="139">
        <f>D21+D50+D79+D108+D138+D168+D198+D228+D258+D288+D318+D348+D378+D408</f>
        <v/>
      </c>
      <c r="E438" s="139">
        <f>E21+E50+E79+E108+E138+E168+E198+E228+E258+E288+E318+E348+E378+E408</f>
        <v/>
      </c>
      <c r="F438" s="139">
        <f>F21+F50+F79+F108+F138+F168+F198+F228+F258+F288+F318+F348+F378+F408</f>
        <v/>
      </c>
      <c r="G438" s="139">
        <f>G21+G50+G79+G108+G138+G168+G198+G228+G258+G288+G318+G348+G378+G408</f>
        <v/>
      </c>
    </row>
    <row r="439" ht="13.5" customHeight="1" s="116">
      <c r="B439" s="144">
        <f>B22</f>
        <v/>
      </c>
      <c r="C439" s="139">
        <f>C22+C51+C80+C109+C139+C169+C199+C229+C259+C289+C319+C349+C379+C409</f>
        <v/>
      </c>
      <c r="D439" s="139">
        <f>D22+D51+D80+D109+D139+D169+D199+D229+D259+D289+D319+D349+D379+D409</f>
        <v/>
      </c>
      <c r="E439" s="139">
        <f>E22+E51+E80+E109+E139+E169+E199+E229+E259+E289+E319+E349+E379+E409</f>
        <v/>
      </c>
      <c r="F439" s="139">
        <f>F22+F51+F80+F109+F139+F169+F199+F229+F259+F289+F319+F349+F379+F409</f>
        <v/>
      </c>
      <c r="G439" s="139">
        <f>G22+G51+G80+G109+G139+G169+G199+G229+G259+G289+G319+G349+G379+G409</f>
        <v/>
      </c>
    </row>
    <row r="440" ht="13.5" customHeight="1" s="116">
      <c r="B440" s="144">
        <f>B23</f>
        <v/>
      </c>
      <c r="C440" s="139">
        <f>C23+C52+C81+C110+C140+C170+C200+C230+C260+C290+C320+C350+C380+C410</f>
        <v/>
      </c>
      <c r="D440" s="139">
        <f>D23+D52+D81+D110+D140+D170+D200+D230+D260+D290+D320+D350+D380+D410</f>
        <v/>
      </c>
      <c r="E440" s="139">
        <f>E23+E52+E81+E110+E140+E170+E200+E230+E260+E290+E320+E350+E380+E410</f>
        <v/>
      </c>
      <c r="F440" s="139">
        <f>F23+F52+F81+F110+F140+F170+F200+F230+F260+F290+F320+F350+F380+F410</f>
        <v/>
      </c>
      <c r="G440" s="139">
        <f>G23+G52+G81+G110+G140+G170+G200+G230+G260+G290+G320+G350+G380+G410</f>
        <v/>
      </c>
    </row>
    <row r="441" ht="13.5" customHeight="1" s="116">
      <c r="B441" s="144">
        <f>B24</f>
        <v/>
      </c>
      <c r="C441" s="139">
        <f>C24+C53+C82+C111+C141+C171+C201+C231+C261+C291+C321+C351+C381+C411</f>
        <v/>
      </c>
      <c r="D441" s="139">
        <f>D24+D53+D82+D111+D141+D171+D201+D231+D261+D291+D321+D351+D381+D411</f>
        <v/>
      </c>
      <c r="E441" s="139">
        <f>E24+E53+E82+E111+E141+E171+E201+E231+E261+E291+E321+E351+E381+E411</f>
        <v/>
      </c>
      <c r="F441" s="139">
        <f>F24+F53+F82+F111+F141+F171+F201+F231+F261+F291+F321+F351+F381+F411</f>
        <v/>
      </c>
      <c r="G441" s="139">
        <f>G24+G53+G82+G111+G141+G171+G201+G231+G261+G291+G321+G351+G381+G411</f>
        <v/>
      </c>
    </row>
    <row r="442" ht="13.5" customHeight="1" s="116">
      <c r="B442" s="144">
        <f>B25</f>
        <v/>
      </c>
      <c r="C442" s="139">
        <f>C25+C54+C83+C112+C142+C172+C202+C232+C262+C292+C322+C352+C382+C412</f>
        <v/>
      </c>
      <c r="D442" s="139">
        <f>D25+D54+D83+D112+D142+D172+D202+D232+D262+D292+D322+D352+D382+D412</f>
        <v/>
      </c>
      <c r="E442" s="139">
        <f>E25+E54+E83+E112+E142+E172+E202+E232+E262+E292+E322+E352+E382+E412</f>
        <v/>
      </c>
      <c r="F442" s="139">
        <f>F25+F54+F83+F112+F142+F172+F202+F232+F262+F292+F322+F352+F382+F412</f>
        <v/>
      </c>
      <c r="G442" s="139">
        <f>G25+G54+G83+G112+G142+G172+G202+G232+G262+G292+G322+G352+G382+G412</f>
        <v/>
      </c>
    </row>
    <row r="443" ht="13.5" customHeight="1" s="116">
      <c r="B443" s="144">
        <f>B26</f>
        <v/>
      </c>
      <c r="C443" s="139">
        <f>C26+C55+C84+C113+C143+C173+C203+C233+C263+C293+C323+C353+C383+C413</f>
        <v/>
      </c>
      <c r="D443" s="139">
        <f>D26+D55+D84+D113+D143+D173+D203+D233+D263+D293+D323+D353+D383+D413</f>
        <v/>
      </c>
      <c r="E443" s="139">
        <f>E26+E55+E84+E113+E143+E173+E203+E233+E263+E293+E323+E353+E383+E413</f>
        <v/>
      </c>
      <c r="F443" s="139">
        <f>F26+F55+F84+F113+F143+F173+F203+F233+F263+F293+F323+F353+F383+F413</f>
        <v/>
      </c>
      <c r="G443" s="139">
        <f>G26+G55+G84+G113+G143+G173+G203+G233+G263+G293+G323+G353+G383+G413</f>
        <v/>
      </c>
    </row>
    <row r="444" ht="13.5" customHeight="1" s="116">
      <c r="B444" s="144">
        <f>B27</f>
        <v/>
      </c>
      <c r="C444" s="139">
        <f>C27+C56+C85+C114+C144+C174+C204+C234+C264+C294+C324+C354+C384+C414</f>
        <v/>
      </c>
      <c r="D444" s="139">
        <f>D27+D56+D85+D114+D144+D174+D204+D234+D264+D294+D324+D354+D384+D414</f>
        <v/>
      </c>
      <c r="E444" s="139">
        <f>E27+E56+E85+E114+E144+E174+E204+E234+E264+E294+E324+E354+E384+E414</f>
        <v/>
      </c>
      <c r="F444" s="139">
        <f>F27+F56+F85+F114+F144+F174+F204+F234+F264+F294+F324+F354+F384+F414</f>
        <v/>
      </c>
      <c r="G444" s="139">
        <f>G27+G56+G85+G114+G144+G174+G204+G234+G264+G294+G324+G354+G384+G414</f>
        <v/>
      </c>
    </row>
    <row r="445" ht="13.5" customHeight="1" s="116">
      <c r="B445" s="144">
        <f>B28</f>
        <v/>
      </c>
      <c r="C445" s="139">
        <f>C28+C57+C86+C115+C145+C175+C205+C235+C265+C295+C325+C355+C385+C415</f>
        <v/>
      </c>
      <c r="D445" s="139">
        <f>D28+D57+D86+D115+D145+D175+D205+D235+D265+D295+D325+D355+D385+D415</f>
        <v/>
      </c>
      <c r="E445" s="139">
        <f>E28+E57+E86+E115+E145+E175+E205+E235+E265+E295+E325+E355+E385+E415</f>
        <v/>
      </c>
      <c r="F445" s="139">
        <f>F28+F57+F86+F115+F145+F175+F205+F235+F265+F295+F325+F355+F385+F415</f>
        <v/>
      </c>
      <c r="G445" s="139">
        <f>G28+G57+G86+G115+G145+G175+G205+G235+G265+G295+G325+G355+G385+G415</f>
        <v/>
      </c>
    </row>
    <row r="446" ht="13.5" customHeight="1" s="116">
      <c r="B446" s="144">
        <f>B29</f>
        <v/>
      </c>
      <c r="C446" s="139">
        <f>C29+C58+C87+C116+C146+C176+C206+C236+C266+C296+C326+C356+C386+C416</f>
        <v/>
      </c>
      <c r="D446" s="139">
        <f>D29+D58+D87+D116+D146+D176+D206+D236+D266+D296+D326+D356+D386+D416</f>
        <v/>
      </c>
      <c r="E446" s="139">
        <f>E29+E58+E87+E116+E146+E176+E206+E236+E266+E296+E326+E356+E386+E416</f>
        <v/>
      </c>
      <c r="F446" s="139">
        <f>F29+F58+F87+F116+F146+F176+F206+F236+F266+F296+F326+F356+F386+F416</f>
        <v/>
      </c>
      <c r="G446" s="139">
        <f>G29+G58+G87+G116+G146+G176+G206+G236+G266+G296+G326+G356+G386+G416</f>
        <v/>
      </c>
    </row>
    <row r="447" ht="13.5" customHeight="1" s="116">
      <c r="B447" s="144">
        <f>B30</f>
        <v/>
      </c>
      <c r="C447" s="139">
        <f>C30+C59+C88+C117+C147+C177+C207+C237+C267+C297+C327+C357+C387+C417</f>
        <v/>
      </c>
      <c r="D447" s="139">
        <f>D30+D59+D88+D117+D147+D177+D207+D237+D267+D297+D327+D357+D387+D417</f>
        <v/>
      </c>
      <c r="E447" s="139">
        <f>E30+E59+E88+E117+E147+E177+E207+E237+E267+E297+E327+E357+E387+E417</f>
        <v/>
      </c>
      <c r="F447" s="139">
        <f>F30+F59+F88+F117+F147+F177+F207+F237+F267+F297+F327+F357+F387+F417</f>
        <v/>
      </c>
      <c r="G447" s="139">
        <f>G30+G59+G88+G117+G147+G177+G207+G237+G267+G297+G327+G357+G387+G417</f>
        <v/>
      </c>
    </row>
    <row r="448" ht="13.5" customHeight="1" s="116">
      <c r="B448" s="144">
        <f>B31</f>
        <v/>
      </c>
      <c r="C448" s="139">
        <f>C31+C60+C89+C118+C148+C178+C208+C238+C268+C298+C328+C358+C388+C418</f>
        <v/>
      </c>
      <c r="D448" s="139">
        <f>D31+D60+D89+D118+D148+D178+D208+D238+D268+D298+D328+D358+D388+D418</f>
        <v/>
      </c>
      <c r="E448" s="139">
        <f>E31+E60+E89+E118+E148+E178+E208+E238+E268+E298+E328+E358+E388+E418</f>
        <v/>
      </c>
      <c r="F448" s="139">
        <f>F31+F60+F89+F118+F148+F178+F208+F238+F268+F298+F328+F358+F388+F418</f>
        <v/>
      </c>
      <c r="G448" s="139">
        <f>G31+G60+G89+G118+G148+G178+G208+G238+G268+G298+G328+G358+G388+G418</f>
        <v/>
      </c>
    </row>
    <row r="449" ht="13.5" customHeight="1" s="116">
      <c r="B449" s="144">
        <f>B32</f>
        <v/>
      </c>
      <c r="C449" s="139">
        <f>C32+C61+C90+C119+C149+C179+C209+C239+C269+C299+C329+C359+C389+C419</f>
        <v/>
      </c>
      <c r="D449" s="139">
        <f>D32+D61+D90+D119+D149+D179+D209+D239+D269+D299+D329+D359+D389+D419</f>
        <v/>
      </c>
      <c r="E449" s="139">
        <f>E32+E61+E90+E119+E149+E179+E209+E239+E269+E299+E329+E359+E389+E419</f>
        <v/>
      </c>
      <c r="F449" s="139">
        <f>F32+F61+F90+F119+F149+F179+F209+F239+F269+F299+F329+F359+F389+F419</f>
        <v/>
      </c>
      <c r="G449" s="139">
        <f>G32+G61+G90+G119+G149+G179+G209+G239+G269+G299+G329+G359+G389+G419</f>
        <v/>
      </c>
    </row>
    <row r="450" ht="13.5" customHeight="1" s="116">
      <c r="B450" s="144">
        <f>B33</f>
        <v/>
      </c>
      <c r="C450" s="139">
        <f>C33+C62+C91+C120+C150+C180+C210+C240+C270+C300+C330+C360+C390+C420</f>
        <v/>
      </c>
      <c r="D450" s="139">
        <f>D33+D62+D91+D120+D150+D180+D210+D240+D270+D300+D330+D360+D390+D420</f>
        <v/>
      </c>
      <c r="E450" s="139">
        <f>E33+E62+E91+E120+E150+E180+E210+E240+E270+E300+E330+E360+E390+E420</f>
        <v/>
      </c>
      <c r="F450" s="139">
        <f>F33+F62+F91+F120+F150+F180+F210+F240+F270+F300+F330+F360+F390+F420</f>
        <v/>
      </c>
      <c r="G450" s="139">
        <f>G33+G62+G91+G120+G150+G180+G210+G240+G270+G300+G330+G360+G390+G420</f>
        <v/>
      </c>
    </row>
    <row r="451" ht="13.5" customHeight="1" s="116">
      <c r="B451" s="144">
        <f>B34</f>
        <v/>
      </c>
      <c r="C451" s="139">
        <f>C34+C63+C92+C121+C151+C181+C211+C241+C271+C301+C331+C361+C391+C421</f>
        <v/>
      </c>
      <c r="D451" s="139">
        <f>D34+D63+D92+D121+D151+D181+D211+D241+D271+D301+D331+D361+D391+D421</f>
        <v/>
      </c>
      <c r="E451" s="139">
        <f>E34+E63+E92+E121+E151+E181+E211+E241+E271+E301+E331+E361+E391+E421</f>
        <v/>
      </c>
      <c r="F451" s="139">
        <f>F34+F63+F92+F121+F151+F181+F211+F241+F271+F301+F331+F361+F391+F421</f>
        <v/>
      </c>
      <c r="G451" s="139">
        <f>G34+G63+G92+G121+G151+G181+G211+G241+G271+G301+G331+G361+G391+G421</f>
        <v/>
      </c>
    </row>
    <row r="452" ht="13.5" customHeight="1" s="116">
      <c r="B452" s="144">
        <f>B35</f>
        <v/>
      </c>
      <c r="C452" s="139">
        <f>C35+C64+C93+C122+C152+C182+C212+C242+C272+C302+C332+C362+C392+C422</f>
        <v/>
      </c>
      <c r="D452" s="139">
        <f>D35+D64+D93+D122+D152+D182+D212+D242+D272+D302+D332+D362+D392+D422</f>
        <v/>
      </c>
      <c r="E452" s="139">
        <f>E35+E64+E93+E122+E152+E182+E212+E242+E272+E302+E332+E362+E392+E422</f>
        <v/>
      </c>
      <c r="F452" s="139">
        <f>F35+F64+F93+F122+F152+F182+F212+F242+F272+F302+F332+F362+F392+F422</f>
        <v/>
      </c>
      <c r="G452" s="139">
        <f>G35+G64+G93+G122+G152+G182+G212+G242+G272+G302+G332+G362+G392+G422</f>
        <v/>
      </c>
    </row>
    <row r="453" ht="13.5" customHeight="1" s="116">
      <c r="B453" s="144">
        <f>B36</f>
        <v/>
      </c>
      <c r="C453" s="139">
        <f>C36+C65+C94+C123+C153+C183+C213+C243+C273+C303+C333+C363+C393+C423</f>
        <v/>
      </c>
      <c r="D453" s="139">
        <f>D36+D65+D94+D123+D153+D183+D213+D243+D273+D303+D333+D363+D393+D423</f>
        <v/>
      </c>
      <c r="E453" s="139">
        <f>E36+E65+E94+E123+E153+E183+E213+E243+E273+E303+E333+E363+E393+E423</f>
        <v/>
      </c>
      <c r="F453" s="139">
        <f>F36+F65+F94+F123+F153+F183+F213+F243+F273+F303+F333+F363+F393+F423</f>
        <v/>
      </c>
      <c r="G453" s="139">
        <f>G36+G65+G94+G123+G153+G183+G213+G243+G273+G303+G333+G363+G393+G423</f>
        <v/>
      </c>
    </row>
    <row r="454" ht="13.5" customHeight="1" s="116">
      <c r="B454" s="144">
        <f>B37</f>
        <v/>
      </c>
      <c r="C454" s="139">
        <f>C37+C66+C95+C124+C154+C184+C214+C244+C274+C304+C334+C364+C394+C424</f>
        <v/>
      </c>
      <c r="D454" s="139">
        <f>D37+D66+D95+D124+D154+D184+D214+D244+D274+D304+D334+D364+D394+D424</f>
        <v/>
      </c>
      <c r="E454" s="139">
        <f>E37+E66+E95+E124+E154+E184+E214+E244+E274+E304+E334+E364+E394+E424</f>
        <v/>
      </c>
      <c r="F454" s="139">
        <f>F37+F66+F95+F124+F154+F184+F214+F244+F274+F304+F334+F364+F394+F424</f>
        <v/>
      </c>
      <c r="G454" s="139">
        <f>G37+G66+G95+G124+G154+G184+G214+G244+G274+G304+G334+G364+G394+G424</f>
        <v/>
      </c>
    </row>
    <row r="455" ht="13.5" customHeight="1" s="116">
      <c r="B455" s="144">
        <f>B38</f>
        <v/>
      </c>
      <c r="C455" s="139">
        <f>C38+C67+C96+C125+C155+C185+C215+C245+C275+C305+C335+C365+C395+C425</f>
        <v/>
      </c>
      <c r="D455" s="139">
        <f>D38+D67+D96+D125+D155+D185+D215+D245+D275+D305+D335+D365+D395+D425</f>
        <v/>
      </c>
      <c r="E455" s="139">
        <f>E38+E67+E96+E125+E155+E185+E215+E245+E275+E305+E335+E365+E395+E425</f>
        <v/>
      </c>
      <c r="F455" s="139">
        <f>F38+F67+F96+F125+F155+F185+F215+F245+F275+F305+F335+F365+F395+F425</f>
        <v/>
      </c>
      <c r="G455" s="139">
        <f>G38+G67+G96+G125+G155+G185+G215+G245+G275+G305+G335+G365+G395+G425</f>
        <v/>
      </c>
    </row>
    <row r="456" ht="13.5" customHeight="1" s="116">
      <c r="B456" s="144">
        <f>B39</f>
        <v/>
      </c>
      <c r="C456" s="139">
        <f>C39+C68+C97+C126+C156+C186+C216+C246+C276+C306+C336+C366+C396+C426</f>
        <v/>
      </c>
      <c r="D456" s="139">
        <f>D39+D68+D97+D126+D156+D186+D216+D246+D276+D306+D336+D366+D396+D426</f>
        <v/>
      </c>
      <c r="E456" s="139">
        <f>E39+E68+E97+E126+E156+E186+E216+E246+E276+E306+E336+E366+E396+E426</f>
        <v/>
      </c>
      <c r="F456" s="139">
        <f>F39+F68+F97+F126+F156+F186+F216+F246+F276+F306+F336+F366+F396+F426</f>
        <v/>
      </c>
      <c r="G456" s="139">
        <f>G39+G68+G97+G126+G156+G186+G216+G246+G276+G306+G336+G366+G396+G426</f>
        <v/>
      </c>
    </row>
    <row r="457" ht="13.5" customHeight="1" s="116">
      <c r="B457" s="144">
        <f>B40</f>
        <v/>
      </c>
      <c r="C457" s="139">
        <f>C40+C69+C98+C127+C157+C187+C217+C247+C277+C307+C337+C367+C397+C427</f>
        <v/>
      </c>
      <c r="D457" s="139">
        <f>D40+D69+D98+D127+D157+D187+D217+D247+D277+D307+D337+D367+D397+D427</f>
        <v/>
      </c>
      <c r="E457" s="139">
        <f>E40+E69+E98+E127+E157+E187+E217+E247+E277+E307+E337+E367+E397+E427</f>
        <v/>
      </c>
      <c r="F457" s="139">
        <f>F40+F69+F98+F127+F157+F187+F217+F247+F277+F307+F337+F367+F397+F427</f>
        <v/>
      </c>
      <c r="G457" s="139">
        <f>G40+G69+G98+G127+G157+G187+G217+G247+G277+G307+G337+G367+G397+G427</f>
        <v/>
      </c>
    </row>
    <row r="458" ht="13.5" customHeight="1" s="116">
      <c r="B458" s="144">
        <f>B41</f>
        <v/>
      </c>
      <c r="C458" s="139">
        <f>C41+C70+C99+C128+C158+C188+C218+C248+C278+C308+C338+C368+C398+C428</f>
        <v/>
      </c>
      <c r="D458" s="139">
        <f>D41+D70+D99+D128+D158+D188+D218+D248+D278+D308+D338+D368+D398+D428</f>
        <v/>
      </c>
      <c r="E458" s="139">
        <f>E41+E70+E99+E128+E158+E188+E218+E248+E278+E308+E338+E368+E398+E428</f>
        <v/>
      </c>
      <c r="F458" s="139">
        <f>F41+F70+F99+F128+F158+F188+F218+F248+F278+F308+F338+F368+F398+F428</f>
        <v/>
      </c>
      <c r="G458" s="139">
        <f>G41+G70+G99+G128+G158+G188+G218+G248+G278+G308+G338+G368+G398+G428</f>
        <v/>
      </c>
    </row>
    <row r="459" ht="13.5" customHeight="1" s="116">
      <c r="B459" s="144">
        <f>B42</f>
        <v/>
      </c>
      <c r="C459" s="139">
        <f>C42+C71+C100+C129+C159+C189+C219+C249+C279+C309+C339+C369+C399+C429</f>
        <v/>
      </c>
      <c r="D459" s="139">
        <f>D42+D71+D100+D129+D159+D189+D219+D249+D279+D309+D339+D369+D399+D429</f>
        <v/>
      </c>
      <c r="E459" s="139">
        <f>E42+E71+E100+E129+E159+E189+E219+E249+E279+E309+E339+E369+E399+E429</f>
        <v/>
      </c>
      <c r="F459" s="139">
        <f>F42+F71+F100+F129+F159+F189+F219+F249+F279+F309+F339+F369+F399+F429</f>
        <v/>
      </c>
      <c r="G459" s="139">
        <f>G42+G71+G100+G129+G159+G189+G219+G249+G279+G309+G339+G369+G399+G429</f>
        <v/>
      </c>
    </row>
    <row r="460" ht="13.5" customHeight="1" s="116">
      <c r="B460" s="144">
        <f>B43</f>
        <v/>
      </c>
      <c r="C460" s="139">
        <f>C43+C72+C101+C130+C160+C190+C220+C250+C280+C310+C340+C370+C400+C430</f>
        <v/>
      </c>
      <c r="D460" s="139">
        <f>D43+D72+D101+D130+D160+D190+D220+D250+D280+D310+D340+D370+D400+D430</f>
        <v/>
      </c>
      <c r="E460" s="139">
        <f>E43+E72+E101+E130+E160+E190+E220+E250+E280+E310+E340+E370+E400+E430</f>
        <v/>
      </c>
      <c r="F460" s="139">
        <f>F43+F72+F101+F130+F160+F190+F220+F250+F280+F310+F340+F370+F400+F430</f>
        <v/>
      </c>
      <c r="G460" s="139">
        <f>G43+G72+G101+G130+G160+G190+G220+G250+G280+G310+G340+G370+G400+G430</f>
        <v/>
      </c>
    </row>
    <row r="461" ht="13.5" customHeight="1" s="116">
      <c r="B461" s="144">
        <f>B44</f>
        <v/>
      </c>
      <c r="C461" s="139">
        <f>C44+C73+C102+C131+C161+C191+C221+C251+C281+C311+C341+C371+C401+C431</f>
        <v/>
      </c>
      <c r="D461" s="139">
        <f>D44+D73+D102+D131+D161+D191+D221+D251+D281+D311+D341+D371+D401+D431</f>
        <v/>
      </c>
      <c r="E461" s="139">
        <f>E44+E73+E102+E131+E161+E191+E221+E251+E281+E311+E341+E371+E401+E431</f>
        <v/>
      </c>
      <c r="F461" s="139">
        <f>F44+F73+F102+F131+F161+F191+F221+F251+F281+F311+F341+F371+F401+F431</f>
        <v/>
      </c>
      <c r="G461" s="139">
        <f>G44+G73+G102+G131+G161+G191+G221+G251+G281+G311+G341+G371+G401+G431</f>
        <v/>
      </c>
    </row>
    <row r="462" ht="13.5" customHeight="1" s="116">
      <c r="B462" s="144">
        <f>B45</f>
        <v/>
      </c>
      <c r="C462" s="139">
        <f>C45+C74+C103+C132+C162+C192+C222+C252+C282+C312+C342+C372+C402+C432</f>
        <v/>
      </c>
      <c r="D462" s="139">
        <f>D45+D74+D103+D132+D162+D192+D222+D252+D282+D312+D342+D372+D402+D432</f>
        <v/>
      </c>
      <c r="E462" s="139">
        <f>E45+E74+E103+E132+E162+E192+E222+E252+E282+E312+E342+E372+E402+E432</f>
        <v/>
      </c>
      <c r="F462" s="139">
        <f>F45+F74+F103+F132+F162+F192+F222+F252+F282+F312+F342+F372+F402+F432</f>
        <v/>
      </c>
      <c r="G462" s="139">
        <f>G45+G74+G103+G132+G162+G192+G222+G252+G282+G312+G342+G372+G402+G432</f>
        <v/>
      </c>
    </row>
    <row r="463" ht="13.5" customHeight="1" s="116">
      <c r="B463" s="144">
        <f>B46</f>
        <v/>
      </c>
      <c r="C463" s="139">
        <f>C46+C75+C104+C133+C163+C193+C223+C253+C283+C313+C343+C373+C403+C433</f>
        <v/>
      </c>
      <c r="D463" s="139">
        <f>D46+D75+D104+D133+D163+D193+D223+D253+D283+D313+D343+D373+D403+D433</f>
        <v/>
      </c>
      <c r="E463" s="139">
        <f>E46+E75+E104+E133+E163+E193+E223+E253+E283+E313+E343+E373+E403+E433</f>
        <v/>
      </c>
      <c r="F463" s="139">
        <f>F46+F75+F104+F133+F163+F193+F223+F253+F283+F313+F343+F373+F403+F433</f>
        <v/>
      </c>
      <c r="G463" s="139">
        <f>G46+G75+G104+G133+G163+G193+G223+G253+G283+G313+G343+G373+G403+G433</f>
        <v/>
      </c>
    </row>
    <row r="464" ht="13.5" customHeight="1" s="116">
      <c r="B464" s="144">
        <f>B47</f>
        <v/>
      </c>
      <c r="C464" s="139">
        <f>C47+C76+C105+C134+C164+C194+C224+C254+C284+C314+C344+C374+C404+C434</f>
        <v/>
      </c>
      <c r="D464" s="139">
        <f>D47+D76+D105+D134+D164+D194+D224+D254+D284+D314+D344+D374+D404+D434</f>
        <v/>
      </c>
      <c r="E464" s="139">
        <f>E47+E76+E105+E134+E164+E194+E224+E254+E284+E314+E344+E374+E404+E434</f>
        <v/>
      </c>
      <c r="F464" s="139">
        <f>F47+F76+F105+F134+F164+F194+F224+F254+F284+F314+F344+F374+F404+F434</f>
        <v/>
      </c>
      <c r="G464" s="139">
        <f>G47+G76+G105+G134+G164+G194+G224+G254+G284+G314+G344+G374+G404+G434</f>
        <v/>
      </c>
    </row>
    <row r="1048566" ht="12.75" customHeight="1" s="116"/>
    <row r="1048567" ht="12.75" customHeight="1" s="116"/>
    <row r="1048568" ht="12.75" customHeight="1" s="116"/>
    <row r="1048569" ht="12.75" customHeight="1" s="116"/>
    <row r="1048570" ht="12.75" customHeight="1" s="116"/>
    <row r="1048571" ht="12.75" customHeight="1" s="116"/>
    <row r="1048572" ht="12.75" customHeight="1" s="116"/>
    <row r="1048573" ht="12.75" customHeight="1" s="116"/>
    <row r="1048574" ht="12.75" customHeight="1" s="116"/>
    <row r="1048575" ht="12.75" customHeight="1" s="116"/>
    <row r="1048576" ht="12.75" customHeight="1" s="116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T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60" activeCellId="0" sqref="P60"/>
    </sheetView>
  </sheetViews>
  <sheetFormatPr baseColWidth="8" defaultColWidth="11.53515625" defaultRowHeight="14.25" zeroHeight="0" outlineLevelRow="0"/>
  <cols>
    <col width="4.31" customWidth="1" style="117" min="1" max="1"/>
    <col width="22.76" customWidth="1" style="117" min="2" max="2"/>
    <col width="13.95" customWidth="1" style="117" min="3" max="3"/>
    <col width="13.03" customWidth="1" style="117" min="4" max="4"/>
    <col width="9.529999999999999" customWidth="1" style="117" min="5" max="5"/>
    <col width="10.76" customWidth="1" style="117" min="6" max="6"/>
    <col width="7.65" customWidth="1" style="117" min="7" max="7"/>
    <col width="23.97" customWidth="1" style="117" min="8" max="8"/>
    <col width="8.800000000000001" customWidth="1" style="117" min="9" max="10"/>
    <col width="9.359999999999999" customWidth="1" style="117" min="11" max="11"/>
    <col width="9.08" customWidth="1" style="117" min="12" max="12"/>
    <col width="9.529999999999999" customWidth="1" style="117" min="13" max="13"/>
    <col width="10.76" customWidth="1" style="117" min="14" max="15"/>
    <col width="11.03" customWidth="1" style="117" min="16" max="16"/>
    <col width="7.09" customWidth="1" style="117" min="17" max="17"/>
    <col width="7.69" customWidth="1" style="117" min="18" max="19"/>
    <col width="7.27" customWidth="1" style="117" min="20" max="20"/>
    <col width="7.69" customWidth="1" style="117" min="21" max="22"/>
    <col width="7.27" customWidth="1" style="117" min="23" max="24"/>
    <col width="7.69" customWidth="1" style="117" min="25" max="36"/>
    <col width="6.58" customWidth="1" style="117" min="37" max="38"/>
    <col width="7.69" customWidth="1" style="117" min="39" max="46"/>
  </cols>
  <sheetData>
    <row r="1" ht="12.75" customHeight="1" s="116">
      <c r="L1" s="147" t="n"/>
      <c r="R1" s="119" t="n"/>
      <c r="T1" s="118" t="n"/>
    </row>
    <row r="2" ht="13.5" customHeight="1" s="116">
      <c r="J2" s="118" t="inlineStr">
        <is>
          <t>DTE</t>
        </is>
      </c>
      <c r="K2" s="119" t="inlineStr">
        <is>
          <t>% просадки</t>
        </is>
      </c>
      <c r="R2" s="119" t="n"/>
      <c r="W2" s="148" t="n"/>
      <c r="X2" s="148" t="n"/>
      <c r="Y2" s="148" t="n"/>
      <c r="Z2" s="148" t="n"/>
      <c r="AA2" s="148" t="n"/>
      <c r="AB2" s="148" t="n"/>
      <c r="AC2" s="148" t="n"/>
      <c r="AD2" s="148" t="n"/>
    </row>
    <row r="3" ht="14.25" customHeight="1" s="116">
      <c r="B3" s="149" t="inlineStr">
        <is>
          <t>Текущая дата</t>
        </is>
      </c>
      <c r="C3" s="149" t="inlineStr">
        <is>
          <t xml:space="preserve">Текущая цена </t>
        </is>
      </c>
      <c r="H3" s="150" t="inlineStr">
        <is>
          <t>Ближний слой</t>
        </is>
      </c>
      <c r="J3" s="149" t="inlineStr">
        <is>
          <t>5-10</t>
        </is>
      </c>
      <c r="K3" s="151" t="n">
        <v>0</v>
      </c>
      <c r="L3" s="151" t="n">
        <v>0.05</v>
      </c>
      <c r="R3" s="119" t="n"/>
    </row>
    <row r="4" ht="16.5" customHeight="1" s="116">
      <c r="B4" s="125">
        <f>TODAY()</f>
        <v/>
      </c>
      <c r="C4" s="127">
        <f>OptionBoard!L2</f>
        <v/>
      </c>
      <c r="H4" s="150" t="inlineStr">
        <is>
          <t>Средний слой</t>
        </is>
      </c>
      <c r="J4" s="149" t="inlineStr">
        <is>
          <t>10-20</t>
        </is>
      </c>
      <c r="K4" s="151" t="n">
        <v>0.05</v>
      </c>
      <c r="L4" s="151" t="n">
        <v>0.15</v>
      </c>
      <c r="R4" s="119" t="n"/>
      <c r="S4" s="119" t="n"/>
    </row>
    <row r="5" ht="13.5" customHeight="1" s="116">
      <c r="H5" s="150" t="inlineStr">
        <is>
          <t>Дальный слой</t>
        </is>
      </c>
      <c r="J5" s="149" t="inlineStr">
        <is>
          <t>20-40</t>
        </is>
      </c>
      <c r="K5" s="151" t="n">
        <v>0.16</v>
      </c>
      <c r="L5" s="151" t="inlineStr">
        <is>
          <t>выше</t>
        </is>
      </c>
      <c r="W5" s="152" t="n"/>
      <c r="X5" s="152" t="n"/>
      <c r="Y5" s="152" t="n"/>
      <c r="Z5" s="152" t="n"/>
      <c r="AA5" s="152" t="n"/>
      <c r="AB5" s="152" t="n"/>
      <c r="AC5" s="152" t="n"/>
      <c r="AD5" s="152" t="n"/>
    </row>
    <row r="6" ht="13.5" customHeight="1" s="116">
      <c r="H6" s="119" t="n"/>
      <c r="I6" s="118" t="n"/>
      <c r="K6" s="119" t="n"/>
      <c r="L6" s="119" t="n"/>
      <c r="W6" s="152" t="n"/>
      <c r="X6" s="152" t="n"/>
      <c r="Y6" s="152" t="n"/>
      <c r="Z6" s="152" t="n"/>
      <c r="AA6" s="152" t="n"/>
      <c r="AB6" s="152" t="n"/>
      <c r="AC6" s="152" t="n"/>
      <c r="AD6" s="152" t="n"/>
    </row>
    <row r="7" ht="18.75" customHeight="1" s="116">
      <c r="A7" s="120" t="inlineStr">
        <is>
          <t>Информация по портфелю</t>
        </is>
      </c>
      <c r="G7" s="120" t="n"/>
      <c r="L7" s="120" t="n"/>
      <c r="M7" s="120" t="n"/>
      <c r="N7" s="120" t="n"/>
      <c r="O7" s="120" t="n"/>
      <c r="P7" s="120" t="n"/>
      <c r="Q7" s="120" t="n"/>
      <c r="S7" s="120" t="n"/>
      <c r="T7" s="120" t="n"/>
      <c r="U7" s="120" t="n"/>
      <c r="V7" s="120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3.5" customHeight="1" s="116"/>
    <row r="9" ht="16.5" customHeight="1" s="116">
      <c r="A9" s="121" t="inlineStr">
        <is>
          <t>№</t>
        </is>
      </c>
      <c r="B9" s="121" t="inlineStr">
        <is>
          <t>Актив</t>
        </is>
      </c>
      <c r="C9" s="121" t="inlineStr">
        <is>
          <t>Количество</t>
        </is>
      </c>
      <c r="D9" s="121" t="inlineStr">
        <is>
          <t>Ср.Цена</t>
        </is>
      </c>
      <c r="E9" s="121" t="inlineStr">
        <is>
          <t>Pnl</t>
        </is>
      </c>
      <c r="F9" s="121" t="inlineStr">
        <is>
          <t>Нач. Стои</t>
        </is>
      </c>
      <c r="G9" s="123" t="n"/>
      <c r="H9" s="133" t="inlineStr">
        <is>
          <t>symbol</t>
        </is>
      </c>
      <c r="I9" s="133" t="inlineStr">
        <is>
          <t>кол</t>
        </is>
      </c>
      <c r="J9" s="133" t="inlineStr">
        <is>
          <t>cost</t>
        </is>
      </c>
      <c r="K9" s="133" t="inlineStr">
        <is>
          <t>strike</t>
        </is>
      </c>
      <c r="L9" s="149" t="inlineStr">
        <is>
          <t>DTE</t>
        </is>
      </c>
      <c r="M9" s="133" t="inlineStr">
        <is>
          <t>layer</t>
        </is>
      </c>
      <c r="N9" s="148" t="n"/>
      <c r="O9" s="148" t="n"/>
      <c r="Q9" s="123" t="n"/>
      <c r="S9" s="153" t="n"/>
      <c r="T9" s="154" t="n"/>
      <c r="U9" s="123" t="n"/>
      <c r="V9" s="123" t="n"/>
    </row>
    <row r="10" ht="16.5" customHeight="1" s="116">
      <c r="A10" s="155" t="n">
        <v>1</v>
      </c>
      <c r="B10" s="155" t="inlineStr">
        <is>
          <t>SOL</t>
        </is>
      </c>
      <c r="C10" s="155">
        <f>Actives!D13</f>
        <v/>
      </c>
      <c r="D10" s="156">
        <f>Actives!E13</f>
        <v/>
      </c>
      <c r="E10" s="156">
        <f>Actives!H13</f>
        <v/>
      </c>
      <c r="F10" s="156">
        <f>Actives!F13</f>
        <v/>
      </c>
      <c r="G10" s="118" t="n"/>
      <c r="H10" s="157">
        <f>Far_laeyr!B59</f>
        <v/>
      </c>
      <c r="I10" s="158">
        <f>Far_laeyr!G59</f>
        <v/>
      </c>
      <c r="J10" s="159">
        <f>Far_laeyr!H59</f>
        <v/>
      </c>
      <c r="K10" s="158">
        <f>VLOOKUP(H10,OptionBoard!$A$2:$B$73,2,0)</f>
        <v/>
      </c>
      <c r="L10" s="158">
        <f>VLOOKUP(H10,OptionBoard!$A$2:$I$72,9,0)</f>
        <v/>
      </c>
      <c r="M10" s="158" t="n">
        <v>3</v>
      </c>
      <c r="P10" s="160" t="n"/>
      <c r="Q10" s="128" t="n"/>
      <c r="S10" s="153" t="n"/>
      <c r="T10" s="154" t="n"/>
      <c r="U10" s="128" t="n"/>
      <c r="V10" s="128" t="n"/>
    </row>
    <row r="11" ht="16.5" customHeight="1" s="116">
      <c r="A11" s="161" t="n"/>
      <c r="B11" s="162" t="n"/>
      <c r="C11" s="154" t="n"/>
      <c r="D11" s="154" t="n"/>
      <c r="G11" s="118" t="n"/>
      <c r="H11" s="157">
        <f>Far_laeyr!B60</f>
        <v/>
      </c>
      <c r="I11" s="158">
        <f>Far_laeyr!G60</f>
        <v/>
      </c>
      <c r="J11" s="159">
        <f>Far_laeyr!H60</f>
        <v/>
      </c>
      <c r="K11" s="158">
        <f>VLOOKUP(H11,OptionBoard!$A$2:$B$73,2,0)</f>
        <v/>
      </c>
      <c r="L11" s="158">
        <f>VLOOKUP(H11,OptionBoard!$A$2:$I$72,9,0)</f>
        <v/>
      </c>
      <c r="M11" s="158" t="n">
        <v>3</v>
      </c>
      <c r="P11" s="160" t="n"/>
      <c r="Q11" s="128" t="n"/>
      <c r="S11" s="153" t="n"/>
      <c r="T11" s="154" t="n"/>
      <c r="U11" s="128" t="n"/>
      <c r="V11" s="128" t="n"/>
    </row>
    <row r="12" ht="16.5" customHeight="1" s="116">
      <c r="A12" s="163" t="n"/>
      <c r="B12" s="121" t="inlineStr">
        <is>
          <t>Лимит</t>
        </is>
      </c>
      <c r="C12" s="164">
        <f>F10*0.05</f>
        <v/>
      </c>
      <c r="D12" s="165" t="n"/>
      <c r="F12" s="128" t="n"/>
      <c r="G12" s="118" t="n"/>
      <c r="H12" s="157">
        <f>Far_laeyr!B61</f>
        <v/>
      </c>
      <c r="I12" s="158">
        <f>Far_laeyr!G61</f>
        <v/>
      </c>
      <c r="J12" s="159">
        <f>Far_laeyr!H61</f>
        <v/>
      </c>
      <c r="K12" s="158">
        <f>VLOOKUP(H12,OptionBoard!$A$2:$B$73,2,0)</f>
        <v/>
      </c>
      <c r="L12" s="158">
        <f>VLOOKUP(H12,OptionBoard!$A$2:$I$72,9,0)</f>
        <v/>
      </c>
      <c r="M12" s="158" t="n">
        <v>3</v>
      </c>
      <c r="P12" s="160" t="n"/>
      <c r="Q12" s="128" t="n"/>
      <c r="S12" s="153" t="n"/>
      <c r="T12" s="128" t="n"/>
      <c r="U12" s="128" t="n"/>
      <c r="V12" s="128" t="n"/>
    </row>
    <row r="13" ht="16.5" customHeight="1" s="116">
      <c r="B13" s="166" t="inlineStr">
        <is>
          <t>Ближний слой</t>
        </is>
      </c>
      <c r="C13" s="132">
        <f>SUMIF(M$10:M$23,"=1",J$10:J$23)</f>
        <v/>
      </c>
      <c r="D13" s="132">
        <f>0.1*$C$12</f>
        <v/>
      </c>
      <c r="E13" s="132">
        <f>0.2*$C$12</f>
        <v/>
      </c>
      <c r="G13" s="118" t="n"/>
      <c r="H13" s="157">
        <f>Far_laeyr!B62</f>
        <v/>
      </c>
      <c r="I13" s="158">
        <f>Far_laeyr!G62</f>
        <v/>
      </c>
      <c r="J13" s="159">
        <f>Far_laeyr!H62</f>
        <v/>
      </c>
      <c r="K13" s="158">
        <f>VLOOKUP(H13,OptionBoard!$A$2:$B$73,2,0)</f>
        <v/>
      </c>
      <c r="L13" s="158">
        <f>VLOOKUP(H13,OptionBoard!$A$2:$I$72,9,0)</f>
        <v/>
      </c>
      <c r="M13" s="158" t="n">
        <v>3</v>
      </c>
      <c r="P13" s="160" t="n"/>
      <c r="Q13" s="128" t="n"/>
      <c r="S13" s="153" t="n"/>
      <c r="T13" s="154" t="n"/>
      <c r="U13" s="128" t="n"/>
      <c r="V13" s="128" t="n"/>
    </row>
    <row r="14" ht="16.5" customHeight="1" s="116">
      <c r="B14" s="166" t="inlineStr">
        <is>
          <t>Средний слой</t>
        </is>
      </c>
      <c r="C14" s="132">
        <f>SUMIF(M$10:M$23,"=2",J$10:J$23)</f>
        <v/>
      </c>
      <c r="D14" s="132">
        <f>0.3*$C$12</f>
        <v/>
      </c>
      <c r="E14" s="132">
        <f>0.4*$C$12</f>
        <v/>
      </c>
      <c r="G14" s="118" t="n"/>
      <c r="H14" s="157">
        <f>Far_laeyr!B63</f>
        <v/>
      </c>
      <c r="I14" s="158">
        <f>Far_laeyr!G63</f>
        <v/>
      </c>
      <c r="J14" s="159">
        <f>Far_laeyr!H63</f>
        <v/>
      </c>
      <c r="K14" s="158">
        <f>VLOOKUP(H14,OptionBoard!$A$2:$B$73,2,0)</f>
        <v/>
      </c>
      <c r="L14" s="158">
        <f>VLOOKUP(H14,OptionBoard!$A$2:$I$72,9,0)</f>
        <v/>
      </c>
      <c r="M14" s="158" t="n">
        <v>3</v>
      </c>
      <c r="P14" s="160" t="n"/>
      <c r="Q14" s="128" t="n"/>
      <c r="S14" s="153" t="n"/>
      <c r="T14" s="154" t="n"/>
      <c r="U14" s="128" t="n"/>
      <c r="V14" s="128" t="n"/>
    </row>
    <row r="15" ht="14.25" customHeight="1" s="116">
      <c r="A15" s="123" t="n"/>
      <c r="B15" s="166" t="inlineStr">
        <is>
          <t>Дальный слой</t>
        </is>
      </c>
      <c r="C15" s="132">
        <f>SUMIF(M$10:M$23,"=3",J$10:J$23)</f>
        <v/>
      </c>
      <c r="D15" s="132">
        <f>0.4*$C$12</f>
        <v/>
      </c>
      <c r="E15" s="132">
        <f>0.5*$C$12</f>
        <v/>
      </c>
      <c r="G15" s="118" t="n"/>
      <c r="H15" s="157">
        <f>Far_laeyr!B64</f>
        <v/>
      </c>
      <c r="I15" s="158">
        <f>Far_laeyr!G64</f>
        <v/>
      </c>
      <c r="J15" s="159">
        <f>Far_laeyr!H64</f>
        <v/>
      </c>
      <c r="K15" s="158">
        <f>VLOOKUP(H15,OptionBoard!$A$2:$B$73,2,0)</f>
        <v/>
      </c>
      <c r="L15" s="158">
        <f>VLOOKUP(H15,OptionBoard!$A$2:$I$72,9,0)</f>
        <v/>
      </c>
      <c r="M15" s="158" t="n">
        <v>3</v>
      </c>
      <c r="P15" s="160" t="n"/>
      <c r="Q15" s="128" t="n"/>
      <c r="S15" s="153" t="n"/>
      <c r="T15" s="154" t="n"/>
      <c r="U15" s="128" t="n"/>
      <c r="V15" s="128" t="n"/>
    </row>
    <row r="16" ht="14.25" customHeight="1" s="116">
      <c r="B16" s="121" t="inlineStr">
        <is>
          <t>Стоимость хэджа</t>
        </is>
      </c>
      <c r="C16" s="167">
        <f>SUM(C13:C15)</f>
        <v/>
      </c>
      <c r="G16" s="118" t="n"/>
      <c r="H16" s="157">
        <f>Far_laeyr!B65</f>
        <v/>
      </c>
      <c r="I16" s="158">
        <f>Far_laeyr!G65</f>
        <v/>
      </c>
      <c r="J16" s="159">
        <f>Far_laeyr!H65</f>
        <v/>
      </c>
      <c r="K16" s="158">
        <f>VLOOKUP(H16,OptionBoard!$A$2:$B$73,2,0)</f>
        <v/>
      </c>
      <c r="L16" s="158">
        <f>VLOOKUP(H16,OptionBoard!$A$2:$I$72,9,0)</f>
        <v/>
      </c>
      <c r="M16" s="158" t="n">
        <v>3</v>
      </c>
      <c r="P16" s="160" t="n"/>
      <c r="Q16" s="128" t="n"/>
      <c r="S16" s="153" t="n"/>
      <c r="T16" s="154" t="n"/>
      <c r="U16" s="128" t="n"/>
      <c r="V16" s="128" t="n"/>
    </row>
    <row r="17" ht="13.5" customHeight="1" s="116">
      <c r="B17" s="121" t="inlineStr">
        <is>
          <t>Запас</t>
        </is>
      </c>
      <c r="C17" s="168">
        <f>C12-C16</f>
        <v/>
      </c>
      <c r="G17" s="118" t="n"/>
      <c r="H17" s="169">
        <f>MID_laeyr!B62</f>
        <v/>
      </c>
      <c r="I17" s="170">
        <f>MID_laeyr!G62</f>
        <v/>
      </c>
      <c r="J17" s="171">
        <f>MID_laeyr!H62</f>
        <v/>
      </c>
      <c r="K17" s="170">
        <f>VLOOKUP(H17,OptionBoard!$A$2:$B$73,2,0)</f>
        <v/>
      </c>
      <c r="L17" s="170">
        <f>VLOOKUP(H17,OptionBoard!$A$2:$I$72,9,0)</f>
        <v/>
      </c>
      <c r="M17" s="170" t="n">
        <v>2</v>
      </c>
      <c r="P17" s="160" t="n"/>
    </row>
    <row r="18" ht="13.5" customHeight="1" s="116">
      <c r="G18" s="118" t="n"/>
      <c r="H18" s="169">
        <f>MID_laeyr!B63</f>
        <v/>
      </c>
      <c r="I18" s="170">
        <f>MID_laeyr!G63</f>
        <v/>
      </c>
      <c r="J18" s="171">
        <f>MID_laeyr!H63</f>
        <v/>
      </c>
      <c r="K18" s="170">
        <f>VLOOKUP(H18,OptionBoard!$A$2:$B$73,2,0)</f>
        <v/>
      </c>
      <c r="L18" s="170">
        <f>VLOOKUP(H18,OptionBoard!$A$2:$I$72,9,0)</f>
        <v/>
      </c>
      <c r="M18" s="170" t="n">
        <v>2</v>
      </c>
      <c r="P18" s="160" t="n"/>
    </row>
    <row r="19" ht="13.5" customHeight="1" s="116">
      <c r="B19" s="121" t="inlineStr">
        <is>
          <t>Доходный Pnl</t>
        </is>
      </c>
      <c r="C19" s="168">
        <f>Actives!D36</f>
        <v/>
      </c>
      <c r="G19" s="118" t="n"/>
      <c r="H19" s="169">
        <f>MID_laeyr!B64</f>
        <v/>
      </c>
      <c r="I19" s="170">
        <f>MID_laeyr!G64</f>
        <v/>
      </c>
      <c r="J19" s="171">
        <f>MID_laeyr!H64</f>
        <v/>
      </c>
      <c r="K19" s="170">
        <f>VLOOKUP(H19,OptionBoard!$A$2:$B$73,2,0)</f>
        <v/>
      </c>
      <c r="L19" s="170">
        <f>VLOOKUP(H19,OptionBoard!$A$2:$I$72,9,0)</f>
        <v/>
      </c>
      <c r="M19" s="170" t="n">
        <v>2</v>
      </c>
      <c r="P19" s="160" t="n"/>
    </row>
    <row r="20" ht="13.5" customHeight="1" s="116">
      <c r="B20" s="123" t="n"/>
      <c r="C20" s="172" t="n"/>
      <c r="G20" s="118" t="n"/>
      <c r="H20" s="169" t="inlineStr">
        <is>
          <t>SOL-17APR26-72-P-USDT</t>
        </is>
      </c>
      <c r="I20" s="170" t="n">
        <v>3</v>
      </c>
      <c r="J20" s="171">
        <f>Hedge_Total!N12</f>
        <v/>
      </c>
      <c r="K20" s="170">
        <f>VLOOKUP(H20,OptionBoard!$A$2:$B$73,2,0)</f>
        <v/>
      </c>
      <c r="L20" s="170">
        <f>VLOOKUP(H20,OptionBoard!$A$2:$I$72,9,0)</f>
        <v/>
      </c>
      <c r="M20" s="170" t="n">
        <v>1</v>
      </c>
      <c r="P20" s="160" t="n"/>
    </row>
    <row r="21" ht="13.5" customHeight="1" s="116">
      <c r="B21" s="123" t="n"/>
      <c r="C21" s="172" t="n"/>
      <c r="G21" s="118" t="n"/>
      <c r="H21" s="169" t="inlineStr">
        <is>
          <t>SOL-17APR26-75-P-USDT</t>
        </is>
      </c>
      <c r="I21" s="170" t="n">
        <v>4</v>
      </c>
      <c r="J21" s="171">
        <f>Hedge_Total!N13</f>
        <v/>
      </c>
      <c r="K21" s="170">
        <f>VLOOKUP(H21,OptionBoard!$A$2:$B$73,2,0)</f>
        <v/>
      </c>
      <c r="L21" s="170">
        <f>VLOOKUP(H21,OptionBoard!$A$2:$I$72,9,0)</f>
        <v/>
      </c>
      <c r="M21" s="170" t="n">
        <v>1</v>
      </c>
      <c r="P21" s="160" t="n"/>
    </row>
    <row r="22" ht="13.5" customHeight="1" s="116">
      <c r="G22" s="118" t="n"/>
      <c r="H22" s="173" t="inlineStr">
        <is>
          <t>SOL-17APR26-78-P-USDT</t>
        </is>
      </c>
      <c r="I22" s="174" t="n">
        <v>4</v>
      </c>
      <c r="J22" s="175">
        <f>Hedge_Total!N14</f>
        <v/>
      </c>
      <c r="K22" s="174">
        <f>VLOOKUP(H22,OptionBoard!$A$2:$B$73,2,0)</f>
        <v/>
      </c>
      <c r="L22" s="174">
        <f>VLOOKUP(H22,OptionBoard!$A$2:$I$72,9,0)</f>
        <v/>
      </c>
      <c r="M22" s="174" t="n">
        <v>1</v>
      </c>
      <c r="P22" s="160" t="n"/>
    </row>
    <row r="23" ht="13.5" customHeight="1" s="116">
      <c r="G23" s="118" t="n"/>
      <c r="H23" s="173" t="inlineStr">
        <is>
          <t>SOL-17APR26-80-P-USDT</t>
        </is>
      </c>
      <c r="I23" s="174" t="n">
        <v>2</v>
      </c>
      <c r="J23" s="175">
        <f>Hedge_Total!N15</f>
        <v/>
      </c>
      <c r="K23" s="174">
        <f>VLOOKUP(H23,OptionBoard!$A$2:$B$73,2,0)</f>
        <v/>
      </c>
      <c r="L23" s="174">
        <f>VLOOKUP(H23,OptionBoard!$A$2:$I$72,9,0)</f>
        <v/>
      </c>
      <c r="M23" s="174" t="n">
        <v>1</v>
      </c>
      <c r="P23" s="160" t="n"/>
    </row>
    <row r="24" ht="17.25" customHeight="1" s="116">
      <c r="G24" s="118" t="n"/>
      <c r="J24" s="176">
        <f>SUM(J10:J23)</f>
        <v/>
      </c>
    </row>
    <row r="25" ht="13.5" customHeight="1" s="116">
      <c r="U25" s="119" t="n"/>
    </row>
    <row r="26" ht="14.25" customHeight="1" s="116">
      <c r="B26" s="177" t="inlineStr">
        <is>
          <t>Activ</t>
        </is>
      </c>
      <c r="C26" s="178" t="n"/>
      <c r="D26" s="178" t="n"/>
      <c r="E26" s="178" t="n"/>
      <c r="F26" s="179" t="n"/>
      <c r="H26" s="177" t="inlineStr">
        <is>
          <t>Total Options</t>
        </is>
      </c>
      <c r="I26" s="178" t="n"/>
      <c r="J26" s="178" t="n"/>
      <c r="K26" s="178" t="n"/>
      <c r="L26" s="178" t="n"/>
      <c r="M26" s="178" t="n"/>
      <c r="N26" s="178" t="n"/>
      <c r="O26" s="179" t="n"/>
      <c r="P26" s="180" t="n"/>
      <c r="S26" s="181">
        <f>H10</f>
        <v/>
      </c>
      <c r="T26" s="179" t="n"/>
      <c r="U26" s="181">
        <f>H11</f>
        <v/>
      </c>
      <c r="V26" s="179" t="n"/>
      <c r="W26" s="181">
        <f>H12</f>
        <v/>
      </c>
      <c r="X26" s="179" t="n"/>
      <c r="Y26" s="181">
        <f>H13</f>
        <v/>
      </c>
      <c r="Z26" s="179" t="n"/>
      <c r="AA26" s="181">
        <f>H14</f>
        <v/>
      </c>
      <c r="AB26" s="179" t="n"/>
      <c r="AC26" s="181">
        <f>H15</f>
        <v/>
      </c>
      <c r="AD26" s="179" t="n"/>
      <c r="AE26" s="181">
        <f>H16</f>
        <v/>
      </c>
      <c r="AF26" s="179" t="n"/>
      <c r="AG26" s="181">
        <f>H17</f>
        <v/>
      </c>
      <c r="AH26" s="179" t="n"/>
      <c r="AI26" s="181">
        <f>H18</f>
        <v/>
      </c>
      <c r="AJ26" s="179" t="n"/>
      <c r="AK26" s="181">
        <f>H19</f>
        <v/>
      </c>
      <c r="AL26" s="179" t="n"/>
      <c r="AM26" s="181">
        <f>H20</f>
        <v/>
      </c>
      <c r="AN26" s="179" t="n"/>
      <c r="AO26" s="181">
        <f>H21</f>
        <v/>
      </c>
      <c r="AP26" s="179" t="n"/>
      <c r="AQ26" s="181">
        <f>H22</f>
        <v/>
      </c>
      <c r="AR26" s="179" t="n"/>
      <c r="AS26" s="181">
        <f>H23</f>
        <v/>
      </c>
      <c r="AT26" s="179" t="n"/>
    </row>
    <row r="27" ht="14.25" customHeight="1" s="116">
      <c r="B27" s="149" t="inlineStr">
        <is>
          <t>Price</t>
        </is>
      </c>
      <c r="C27" s="149" t="inlineStr">
        <is>
          <t>Efficien Pnl</t>
        </is>
      </c>
      <c r="D27" s="149" t="inlineStr">
        <is>
          <t>Efficien Intr</t>
        </is>
      </c>
      <c r="E27" s="149" t="inlineStr">
        <is>
          <t>Pnl</t>
        </is>
      </c>
      <c r="F27" s="149" t="inlineStr">
        <is>
          <t>%loss</t>
        </is>
      </c>
      <c r="H27" s="149" t="inlineStr">
        <is>
          <t>Price</t>
        </is>
      </c>
      <c r="I27" s="149" t="inlineStr">
        <is>
          <t>Delta</t>
        </is>
      </c>
      <c r="J27" s="149" t="inlineStr">
        <is>
          <t>Pnl</t>
        </is>
      </c>
      <c r="K27" s="149" t="inlineStr">
        <is>
          <t>Intrin</t>
        </is>
      </c>
      <c r="L27" s="149" t="inlineStr">
        <is>
          <t>Pnl %loss</t>
        </is>
      </c>
      <c r="M27" s="149" t="inlineStr">
        <is>
          <t>Int %loss</t>
        </is>
      </c>
      <c r="N27" s="149" t="inlineStr">
        <is>
          <t>Pnl_loss</t>
        </is>
      </c>
      <c r="O27" s="149" t="inlineStr">
        <is>
          <t>Intrin_Loss</t>
        </is>
      </c>
      <c r="P27" s="149" t="n"/>
      <c r="R27" s="149" t="inlineStr">
        <is>
          <t>Price</t>
        </is>
      </c>
      <c r="S27" s="182" t="inlineStr">
        <is>
          <t>Pnl</t>
        </is>
      </c>
      <c r="T27" s="182" t="inlineStr">
        <is>
          <t>Intrin</t>
        </is>
      </c>
      <c r="U27" s="182" t="inlineStr">
        <is>
          <t>Pnl</t>
        </is>
      </c>
      <c r="V27" s="182" t="inlineStr">
        <is>
          <t>Intrin</t>
        </is>
      </c>
      <c r="W27" s="182" t="inlineStr">
        <is>
          <t>Pnl</t>
        </is>
      </c>
      <c r="X27" s="182" t="inlineStr">
        <is>
          <t>Intrin</t>
        </is>
      </c>
      <c r="Y27" s="182" t="inlineStr">
        <is>
          <t>Pnl</t>
        </is>
      </c>
      <c r="Z27" s="182" t="inlineStr">
        <is>
          <t>Intrin</t>
        </is>
      </c>
      <c r="AA27" s="182" t="inlineStr">
        <is>
          <t>Pnl</t>
        </is>
      </c>
      <c r="AB27" s="182" t="inlineStr">
        <is>
          <t>Intrin</t>
        </is>
      </c>
      <c r="AC27" s="182" t="inlineStr">
        <is>
          <t>Pnl</t>
        </is>
      </c>
      <c r="AD27" s="182" t="inlineStr">
        <is>
          <t>Intrin</t>
        </is>
      </c>
      <c r="AE27" s="182" t="inlineStr">
        <is>
          <t>Pnl</t>
        </is>
      </c>
      <c r="AF27" s="182" t="inlineStr">
        <is>
          <t>Intrin</t>
        </is>
      </c>
      <c r="AG27" s="182" t="inlineStr">
        <is>
          <t>Pnl</t>
        </is>
      </c>
      <c r="AH27" s="182" t="inlineStr">
        <is>
          <t>Intrin</t>
        </is>
      </c>
      <c r="AI27" s="182" t="inlineStr">
        <is>
          <t>Pnl</t>
        </is>
      </c>
      <c r="AJ27" s="182" t="inlineStr">
        <is>
          <t>Intrin</t>
        </is>
      </c>
      <c r="AK27" s="182" t="inlineStr">
        <is>
          <t>Pnl</t>
        </is>
      </c>
      <c r="AL27" s="182" t="inlineStr">
        <is>
          <t>Intrin</t>
        </is>
      </c>
      <c r="AM27" s="182" t="inlineStr">
        <is>
          <t>Pnl</t>
        </is>
      </c>
      <c r="AN27" s="182" t="inlineStr">
        <is>
          <t>Intrin</t>
        </is>
      </c>
      <c r="AO27" s="182" t="inlineStr">
        <is>
          <t>Pnl</t>
        </is>
      </c>
      <c r="AP27" s="182" t="inlineStr">
        <is>
          <t>Intrin</t>
        </is>
      </c>
      <c r="AQ27" s="182" t="inlineStr">
        <is>
          <t>Pnl</t>
        </is>
      </c>
      <c r="AR27" s="182" t="inlineStr">
        <is>
          <t>Intrin</t>
        </is>
      </c>
      <c r="AS27" s="182" t="inlineStr">
        <is>
          <t>Pnl</t>
        </is>
      </c>
      <c r="AT27" s="182" t="inlineStr">
        <is>
          <t>Intrin</t>
        </is>
      </c>
    </row>
    <row r="28" ht="14.25" customHeight="1" s="116">
      <c r="B28" s="183">
        <f>ROUND(D10,0)</f>
        <v/>
      </c>
      <c r="C28" s="184">
        <f>J28/$C$16</f>
        <v/>
      </c>
      <c r="D28" s="184">
        <f>K28/$C$16</f>
        <v/>
      </c>
      <c r="E28" s="130">
        <f>($C$10*B28)-$F$10</f>
        <v/>
      </c>
      <c r="F28" s="185">
        <f>(E28/$F$10)</f>
        <v/>
      </c>
      <c r="H28" s="183">
        <f>B28</f>
        <v/>
      </c>
      <c r="I28" s="184">
        <f>Hedge_Total!C438</f>
        <v/>
      </c>
      <c r="J28" s="130">
        <f>Hedge_Total!G438</f>
        <v/>
      </c>
      <c r="K28" s="130">
        <f>T28+V28+X28+Z28+AB28+AD28+AF28+AH28+AJ28+AL28+AN28+AP28+AR28+AT28</f>
        <v/>
      </c>
      <c r="L28" s="185">
        <f>N28/$F$10</f>
        <v/>
      </c>
      <c r="M28" s="185">
        <f>O28/$F$10</f>
        <v/>
      </c>
      <c r="N28" s="130">
        <f>E28+J28</f>
        <v/>
      </c>
      <c r="O28" s="130">
        <f>E28+K28</f>
        <v/>
      </c>
      <c r="P28" s="130" t="n"/>
      <c r="R28" s="183">
        <f>B28</f>
        <v/>
      </c>
      <c r="S28" s="130">
        <f>Hedge_Total!G21</f>
        <v/>
      </c>
      <c r="T28" s="130">
        <f>IF(B28&gt;$K$10,-1*$J$10,(($K$10-B28)*$I$10)-$J$10)</f>
        <v/>
      </c>
      <c r="U28" s="130">
        <f>Hedge_Total!G50</f>
        <v/>
      </c>
      <c r="V28" s="130">
        <f>IF(B28&gt;$K$11,-1*$J$11,(($K$11-B28)*$I$11)-$J$11)</f>
        <v/>
      </c>
      <c r="W28" s="130">
        <f>Hedge_Total!G79</f>
        <v/>
      </c>
      <c r="X28" s="130">
        <f>IF(B28&gt;$K$12,-1*$J$12,(($K$12-B28)*$I$12)-$J$12)</f>
        <v/>
      </c>
      <c r="Y28" s="130">
        <f>Hedge_Total!G108</f>
        <v/>
      </c>
      <c r="Z28" s="130">
        <f>IF(B28&gt;$K$13,-1*$J$13,(($K$13-B28)*$I$13)-$J$13)</f>
        <v/>
      </c>
      <c r="AA28" s="130">
        <f>Hedge_Total!G138</f>
        <v/>
      </c>
      <c r="AB28" s="130">
        <f>IF(B28&gt;$K$14,-1*$J$14,(($K$14-B28)*$I$14)-$J$14)</f>
        <v/>
      </c>
      <c r="AC28" s="130">
        <f>Hedge_Total!G168</f>
        <v/>
      </c>
      <c r="AD28" s="130">
        <f>IF(B28&gt;$K$15,-1*$J$15,(($K$15-B28)*$I$15)-$J$15)</f>
        <v/>
      </c>
      <c r="AE28" s="130">
        <f>Hedge_Total!G198</f>
        <v/>
      </c>
      <c r="AF28" s="130">
        <f>IF(B28&gt;$K$16,-1*$J$16,(($K$16-B28)*$I$16)-$J$16)</f>
        <v/>
      </c>
      <c r="AG28" s="130">
        <f>Hedge_Total!G228</f>
        <v/>
      </c>
      <c r="AH28" s="130">
        <f>IF(B28&gt;$K$17,-1*$J$17,(($K$17-B28)*$I$17)-$J$17)</f>
        <v/>
      </c>
      <c r="AI28" s="130">
        <f>Hedge_Total!G258</f>
        <v/>
      </c>
      <c r="AJ28" s="130">
        <f>IF(B28&gt;$K$18,-1*$J$18,(($K$18-B28)*$I$18)-$J$18)</f>
        <v/>
      </c>
      <c r="AK28" s="130">
        <f>Hedge_Total!G288</f>
        <v/>
      </c>
      <c r="AL28" s="130">
        <f>IF(B28&gt;$K$19,-1*$J$19,(($K$19-B28)*$I$19)-$J$19)</f>
        <v/>
      </c>
      <c r="AM28" s="130">
        <f>Hedge_Total!G318</f>
        <v/>
      </c>
      <c r="AN28" s="130">
        <f>IF(B28&gt;$K$20,-1*$J$20,(($K$20-B28)*$I$20)-$J$20)</f>
        <v/>
      </c>
      <c r="AO28" s="130">
        <f>Hedge_Total!G348</f>
        <v/>
      </c>
      <c r="AP28" s="130">
        <f>IF(B28&gt;$K$21,-1*$J$21,(($K$21-B28)*$I$21)-$J$21)</f>
        <v/>
      </c>
      <c r="AQ28" s="130">
        <f>Hedge_Total!G378</f>
        <v/>
      </c>
      <c r="AR28" s="130">
        <f>IF(B28&gt;$K$22,-1*$J$22,(($K$22-B28)*$I$22)-$J$22)</f>
        <v/>
      </c>
      <c r="AS28" s="130">
        <f>Hedge_Total!G408</f>
        <v/>
      </c>
      <c r="AT28" s="130">
        <f>IF(B28&gt;$K$23,-1*$J$23,(($K$23-B28)*$I$23)-$J$23)</f>
        <v/>
      </c>
    </row>
    <row r="29" ht="14.25" customHeight="1" s="116">
      <c r="B29" s="183">
        <f>B28-1</f>
        <v/>
      </c>
      <c r="C29" s="184">
        <f>J29/$C$16</f>
        <v/>
      </c>
      <c r="D29" s="184">
        <f>K29/$C$16</f>
        <v/>
      </c>
      <c r="E29" s="130">
        <f>($C$10*B29)-$F$10</f>
        <v/>
      </c>
      <c r="F29" s="185">
        <f>(E29/$F$10)</f>
        <v/>
      </c>
      <c r="H29" s="183">
        <f>H28-1</f>
        <v/>
      </c>
      <c r="I29" s="184">
        <f>Hedge_Total!C439</f>
        <v/>
      </c>
      <c r="J29" s="130">
        <f>Hedge_Total!G439</f>
        <v/>
      </c>
      <c r="K29" s="130">
        <f>T29+V29+X29+Z29+AB29+AD29+AF29+AH29+AJ29+AL29+AN29+AP29+AR29+AT29</f>
        <v/>
      </c>
      <c r="L29" s="185">
        <f>N29/$F$10</f>
        <v/>
      </c>
      <c r="M29" s="185">
        <f>O29/$F$10</f>
        <v/>
      </c>
      <c r="N29" s="130">
        <f>E29+J29</f>
        <v/>
      </c>
      <c r="O29" s="130">
        <f>E29+K29</f>
        <v/>
      </c>
      <c r="P29" s="186">
        <f>J30-2*J29+J28</f>
        <v/>
      </c>
      <c r="Q29" s="187" t="n"/>
      <c r="R29" s="183">
        <f>R28-1</f>
        <v/>
      </c>
      <c r="S29" s="130">
        <f>Hedge_Total!G22</f>
        <v/>
      </c>
      <c r="T29" s="130">
        <f>IF(B29&gt;$K$10,-1*$J$10,(($K$10-B29)*$I$10)-$J$10)</f>
        <v/>
      </c>
      <c r="U29" s="130">
        <f>Hedge_Total!G51</f>
        <v/>
      </c>
      <c r="V29" s="130">
        <f>IF(B29&gt;$K$11,-1*$J$11,(($K$11-B29)*$I$11)-$J$11)</f>
        <v/>
      </c>
      <c r="W29" s="130">
        <f>Hedge_Total!G80</f>
        <v/>
      </c>
      <c r="X29" s="130">
        <f>IF(B29&gt;$K$12,-1*$J$12,(($K$12-B29)*$I$12)-$J$12)</f>
        <v/>
      </c>
      <c r="Y29" s="130">
        <f>Hedge_Total!G109</f>
        <v/>
      </c>
      <c r="Z29" s="130">
        <f>IF(B29&gt;$K$13,-1*$J$13,(($K$13-B29)*$I$13)-$J$13)</f>
        <v/>
      </c>
      <c r="AA29" s="130">
        <f>Hedge_Total!G139</f>
        <v/>
      </c>
      <c r="AB29" s="130">
        <f>IF(B29&gt;$K$14,-1*$J$14,(($K$14-B29)*$I$14)-$J$14)</f>
        <v/>
      </c>
      <c r="AC29" s="130">
        <f>Hedge_Total!G169</f>
        <v/>
      </c>
      <c r="AD29" s="130">
        <f>IF(B29&gt;$K$15,-1*$J$15,(($K$15-B29)*$I$15)-$J$15)</f>
        <v/>
      </c>
      <c r="AE29" s="130">
        <f>Hedge_Total!G199</f>
        <v/>
      </c>
      <c r="AF29" s="130">
        <f>IF(B29&gt;$K$16,-1*$J$16,(($K$16-B29)*$I$16)-$J$16)</f>
        <v/>
      </c>
      <c r="AG29" s="130">
        <f>Hedge_Total!G229</f>
        <v/>
      </c>
      <c r="AH29" s="130">
        <f>IF(B29&gt;$K$17,-1*$J$17,(($K$17-B29)*$I$17)-$J$17)</f>
        <v/>
      </c>
      <c r="AI29" s="130">
        <f>Hedge_Total!G259</f>
        <v/>
      </c>
      <c r="AJ29" s="130">
        <f>IF(B29&gt;$K$18,-1*$J$18,(($K$18-B29)*$I$18)-$J$18)</f>
        <v/>
      </c>
      <c r="AK29" s="130">
        <f>Hedge_Total!G289</f>
        <v/>
      </c>
      <c r="AL29" s="130">
        <f>IF(B29&gt;$K$19,-1*$J$19,(($K$19-B29)*$I$19)-$J$19)</f>
        <v/>
      </c>
      <c r="AM29" s="130">
        <f>Hedge_Total!G319</f>
        <v/>
      </c>
      <c r="AN29" s="130">
        <f>IF(B29&gt;$K$20,-1*$J$20,(($K$20-B29)*$I$20)-$J$20)</f>
        <v/>
      </c>
      <c r="AO29" s="130">
        <f>Hedge_Total!G349</f>
        <v/>
      </c>
      <c r="AP29" s="130">
        <f>IF(B29&gt;$K$21,-1*$J$21,(($K$21-B29)*$I$21)-$J$21)</f>
        <v/>
      </c>
      <c r="AQ29" s="130">
        <f>Hedge_Total!G379</f>
        <v/>
      </c>
      <c r="AR29" s="130">
        <f>IF(B29&gt;$K$22,-1*$J$22,(($K$22-B29)*$I$22)-$J$22)</f>
        <v/>
      </c>
      <c r="AS29" s="130">
        <f>Hedge_Total!G409</f>
        <v/>
      </c>
      <c r="AT29" s="130">
        <f>IF(B29&gt;$K$23,-1*$J$23,(($K$23-B29)*$I$23)-$J$23)</f>
        <v/>
      </c>
    </row>
    <row r="30" ht="14.25" customHeight="1" s="116">
      <c r="B30" s="183">
        <f>B29-1</f>
        <v/>
      </c>
      <c r="C30" s="184">
        <f>J30/$C$16</f>
        <v/>
      </c>
      <c r="D30" s="184">
        <f>K30/$C$16</f>
        <v/>
      </c>
      <c r="E30" s="130">
        <f>($C$10*B30)-$F$10</f>
        <v/>
      </c>
      <c r="F30" s="185">
        <f>(E30/$F$10)</f>
        <v/>
      </c>
      <c r="H30" s="183">
        <f>H29-1</f>
        <v/>
      </c>
      <c r="I30" s="184">
        <f>Hedge_Total!C440</f>
        <v/>
      </c>
      <c r="J30" s="130">
        <f>Hedge_Total!G440</f>
        <v/>
      </c>
      <c r="K30" s="130">
        <f>T30+V30+X30+Z30+AB30+AD30+AF30+AH30+AJ30+AL30+AN30+AP30+AR30+AT30</f>
        <v/>
      </c>
      <c r="L30" s="185">
        <f>N30/$F$10</f>
        <v/>
      </c>
      <c r="M30" s="185">
        <f>O30/$F$10</f>
        <v/>
      </c>
      <c r="N30" s="130">
        <f>E30+J30</f>
        <v/>
      </c>
      <c r="O30" s="130">
        <f>E30+K30</f>
        <v/>
      </c>
      <c r="P30" s="186">
        <f>J31-2*J30+J29</f>
        <v/>
      </c>
      <c r="Q30" s="187" t="n"/>
      <c r="R30" s="183">
        <f>R29-1</f>
        <v/>
      </c>
      <c r="S30" s="130">
        <f>Hedge_Total!G23</f>
        <v/>
      </c>
      <c r="T30" s="130">
        <f>IF(B30&gt;$K$10,-1*$J$10,(($K$10-B30)*$I$10)-$J$10)</f>
        <v/>
      </c>
      <c r="U30" s="130">
        <f>Hedge_Total!G52</f>
        <v/>
      </c>
      <c r="V30" s="130">
        <f>IF(B30&gt;$K$11,-1*$J$11,(($K$11-B30)*$I$11)-$J$11)</f>
        <v/>
      </c>
      <c r="W30" s="130">
        <f>Hedge_Total!G81</f>
        <v/>
      </c>
      <c r="X30" s="130">
        <f>IF(B30&gt;$K$12,-1*$J$12,(($K$12-B30)*$I$12)-$J$12)</f>
        <v/>
      </c>
      <c r="Y30" s="130">
        <f>Hedge_Total!G110</f>
        <v/>
      </c>
      <c r="Z30" s="130">
        <f>IF(B30&gt;$K$13,-1*$J$13,(($K$13-B30)*$I$13)-$J$13)</f>
        <v/>
      </c>
      <c r="AA30" s="130">
        <f>Hedge_Total!G140</f>
        <v/>
      </c>
      <c r="AB30" s="130">
        <f>IF(B30&gt;$K$14,-1*$J$14,(($K$14-B30)*$I$14)-$J$14)</f>
        <v/>
      </c>
      <c r="AC30" s="130">
        <f>Hedge_Total!G170</f>
        <v/>
      </c>
      <c r="AD30" s="130">
        <f>IF(B30&gt;$K$15,-1*$J$15,(($K$15-B30)*$I$15)-$J$15)</f>
        <v/>
      </c>
      <c r="AE30" s="130">
        <f>Hedge_Total!G200</f>
        <v/>
      </c>
      <c r="AF30" s="130">
        <f>IF(B30&gt;$K$16,-1*$J$16,(($K$16-B30)*$I$16)-$J$16)</f>
        <v/>
      </c>
      <c r="AG30" s="130">
        <f>Hedge_Total!G230</f>
        <v/>
      </c>
      <c r="AH30" s="130">
        <f>IF(B30&gt;$K$17,-1*$J$17,(($K$17-B30)*$I$17)-$J$17)</f>
        <v/>
      </c>
      <c r="AI30" s="130">
        <f>Hedge_Total!G260</f>
        <v/>
      </c>
      <c r="AJ30" s="130">
        <f>IF(B30&gt;$K$18,-1*$J$18,(($K$18-B30)*$I$18)-$J$18)</f>
        <v/>
      </c>
      <c r="AK30" s="130">
        <f>Hedge_Total!G290</f>
        <v/>
      </c>
      <c r="AL30" s="130">
        <f>IF(B30&gt;$K$19,-1*$J$19,(($K$19-B30)*$I$19)-$J$19)</f>
        <v/>
      </c>
      <c r="AM30" s="130">
        <f>Hedge_Total!G320</f>
        <v/>
      </c>
      <c r="AN30" s="130">
        <f>IF(B30&gt;$K$20,-1*$J$20,(($K$20-B30)*$I$20)-$J$20)</f>
        <v/>
      </c>
      <c r="AO30" s="130">
        <f>Hedge_Total!G350</f>
        <v/>
      </c>
      <c r="AP30" s="130">
        <f>IF(B30&gt;$K$21,-1*$J$21,(($K$21-B30)*$I$21)-$J$21)</f>
        <v/>
      </c>
      <c r="AQ30" s="130">
        <f>Hedge_Total!G380</f>
        <v/>
      </c>
      <c r="AR30" s="130">
        <f>IF(B30&gt;$K$22,-1*$J$22,(($K$22-B30)*$I$22)-$J$22)</f>
        <v/>
      </c>
      <c r="AS30" s="130">
        <f>Hedge_Total!G410</f>
        <v/>
      </c>
      <c r="AT30" s="130">
        <f>IF(B30&gt;$K$23,-1*$J$23,(($K$23-B30)*$I$23)-$J$23)</f>
        <v/>
      </c>
    </row>
    <row r="31" ht="14.25" customHeight="1" s="116">
      <c r="B31" s="183">
        <f>B30-1</f>
        <v/>
      </c>
      <c r="C31" s="184">
        <f>J31/$C$16</f>
        <v/>
      </c>
      <c r="D31" s="184">
        <f>K31/$C$16</f>
        <v/>
      </c>
      <c r="E31" s="130">
        <f>($C$10*B31)-$F$10</f>
        <v/>
      </c>
      <c r="F31" s="185">
        <f>(E31/$F$10)</f>
        <v/>
      </c>
      <c r="H31" s="183">
        <f>H30-1</f>
        <v/>
      </c>
      <c r="I31" s="184">
        <f>Hedge_Total!C441</f>
        <v/>
      </c>
      <c r="J31" s="130">
        <f>Hedge_Total!G441</f>
        <v/>
      </c>
      <c r="K31" s="130">
        <f>T31+V31+X31+Z31+AB31+AD31+AF31+AH31+AJ31+AL31+AN31+AP31+AR31+AT31</f>
        <v/>
      </c>
      <c r="L31" s="185">
        <f>N31/$F$10</f>
        <v/>
      </c>
      <c r="M31" s="185">
        <f>O31/$F$10</f>
        <v/>
      </c>
      <c r="N31" s="130">
        <f>E31+J31</f>
        <v/>
      </c>
      <c r="O31" s="130">
        <f>E31+K31</f>
        <v/>
      </c>
      <c r="P31" s="186">
        <f>J32-2*J31+J30</f>
        <v/>
      </c>
      <c r="Q31" s="187" t="n"/>
      <c r="R31" s="183">
        <f>R30-1</f>
        <v/>
      </c>
      <c r="S31" s="130">
        <f>Hedge_Total!G24</f>
        <v/>
      </c>
      <c r="T31" s="130">
        <f>IF(B31&gt;$K$10,-1*$J$10,(($K$10-B31)*$I$10)-$J$10)</f>
        <v/>
      </c>
      <c r="U31" s="130">
        <f>Hedge_Total!G53</f>
        <v/>
      </c>
      <c r="V31" s="130">
        <f>IF(B31&gt;$K$11,-1*$J$11,(($K$11-B31)*$I$11)-$J$11)</f>
        <v/>
      </c>
      <c r="W31" s="130">
        <f>Hedge_Total!G82</f>
        <v/>
      </c>
      <c r="X31" s="130">
        <f>IF(B31&gt;$K$12,-1*$J$12,(($K$12-B31)*$I$12)-$J$12)</f>
        <v/>
      </c>
      <c r="Y31" s="130">
        <f>Hedge_Total!G111</f>
        <v/>
      </c>
      <c r="Z31" s="130">
        <f>IF(B31&gt;$K$13,-1*$J$13,(($K$13-B31)*$I$13)-$J$13)</f>
        <v/>
      </c>
      <c r="AA31" s="130">
        <f>Hedge_Total!G141</f>
        <v/>
      </c>
      <c r="AB31" s="130">
        <f>IF(B31&gt;$K$14,-1*$J$14,(($K$14-B31)*$I$14)-$J$14)</f>
        <v/>
      </c>
      <c r="AC31" s="130">
        <f>Hedge_Total!G171</f>
        <v/>
      </c>
      <c r="AD31" s="130">
        <f>IF(B31&gt;$K$15,-1*$J$15,(($K$15-B31)*$I$15)-$J$15)</f>
        <v/>
      </c>
      <c r="AE31" s="130">
        <f>Hedge_Total!G201</f>
        <v/>
      </c>
      <c r="AF31" s="130">
        <f>IF(B31&gt;$K$16,-1*$J$16,(($K$16-B31)*$I$16)-$J$16)</f>
        <v/>
      </c>
      <c r="AG31" s="130">
        <f>Hedge_Total!G231</f>
        <v/>
      </c>
      <c r="AH31" s="130">
        <f>IF(B31&gt;$K$17,-1*$J$17,(($K$17-B31)*$I$17)-$J$17)</f>
        <v/>
      </c>
      <c r="AI31" s="130">
        <f>Hedge_Total!G261</f>
        <v/>
      </c>
      <c r="AJ31" s="130">
        <f>IF(B31&gt;$K$18,-1*$J$18,(($K$18-B31)*$I$18)-$J$18)</f>
        <v/>
      </c>
      <c r="AK31" s="130">
        <f>Hedge_Total!G291</f>
        <v/>
      </c>
      <c r="AL31" s="130">
        <f>IF(B31&gt;$K$19,-1*$J$19,(($K$19-B31)*$I$19)-$J$19)</f>
        <v/>
      </c>
      <c r="AM31" s="130">
        <f>Hedge_Total!G321</f>
        <v/>
      </c>
      <c r="AN31" s="130">
        <f>IF(B31&gt;$K$20,-1*$J$20,(($K$20-B31)*$I$20)-$J$20)</f>
        <v/>
      </c>
      <c r="AO31" s="130">
        <f>Hedge_Total!G351</f>
        <v/>
      </c>
      <c r="AP31" s="130">
        <f>IF(B31&gt;$K$21,-1*$J$21,(($K$21-B31)*$I$21)-$J$21)</f>
        <v/>
      </c>
      <c r="AQ31" s="130">
        <f>Hedge_Total!G381</f>
        <v/>
      </c>
      <c r="AR31" s="130">
        <f>IF(B31&gt;$K$22,-1*$J$22,(($K$22-B31)*$I$22)-$J$22)</f>
        <v/>
      </c>
      <c r="AS31" s="130">
        <f>Hedge_Total!G411</f>
        <v/>
      </c>
      <c r="AT31" s="130">
        <f>IF(B31&gt;$K$23,-1*$J$23,(($K$23-B31)*$I$23)-$J$23)</f>
        <v/>
      </c>
    </row>
    <row r="32" ht="14.25" customHeight="1" s="116">
      <c r="B32" s="183">
        <f>B31-1</f>
        <v/>
      </c>
      <c r="C32" s="184">
        <f>J32/$C$16</f>
        <v/>
      </c>
      <c r="D32" s="184">
        <f>K32/$C$16</f>
        <v/>
      </c>
      <c r="E32" s="130">
        <f>($C$10*B32)-$F$10</f>
        <v/>
      </c>
      <c r="F32" s="185">
        <f>(E32/$F$10)</f>
        <v/>
      </c>
      <c r="H32" s="183">
        <f>H31-1</f>
        <v/>
      </c>
      <c r="I32" s="184">
        <f>Hedge_Total!C442</f>
        <v/>
      </c>
      <c r="J32" s="130">
        <f>Hedge_Total!G442</f>
        <v/>
      </c>
      <c r="K32" s="130">
        <f>T32+V32+X32+Z32+AB32+AD32+AF32+AH32+AJ32+AL32+AN32+AP32+AR32+AT32</f>
        <v/>
      </c>
      <c r="L32" s="185">
        <f>N32/$F$10</f>
        <v/>
      </c>
      <c r="M32" s="185">
        <f>O32/$F$10</f>
        <v/>
      </c>
      <c r="N32" s="130">
        <f>E32+J32</f>
        <v/>
      </c>
      <c r="O32" s="130">
        <f>E32+K32</f>
        <v/>
      </c>
      <c r="P32" s="186">
        <f>J33-2*J32+J31</f>
        <v/>
      </c>
      <c r="Q32" s="187" t="n"/>
      <c r="R32" s="183">
        <f>R31-1</f>
        <v/>
      </c>
      <c r="S32" s="130">
        <f>Hedge_Total!G25</f>
        <v/>
      </c>
      <c r="T32" s="130">
        <f>IF(B32&gt;$K$10,-1*$J$10,(($K$10-B32)*$I$10)-$J$10)</f>
        <v/>
      </c>
      <c r="U32" s="130">
        <f>Hedge_Total!G54</f>
        <v/>
      </c>
      <c r="V32" s="130">
        <f>IF(B32&gt;$K$11,-1*$J$11,(($K$11-B32)*$I$11)-$J$11)</f>
        <v/>
      </c>
      <c r="W32" s="130">
        <f>Hedge_Total!G83</f>
        <v/>
      </c>
      <c r="X32" s="130">
        <f>IF(B32&gt;$K$12,-1*$J$12,(($K$12-B32)*$I$12)-$J$12)</f>
        <v/>
      </c>
      <c r="Y32" s="130">
        <f>Hedge_Total!G112</f>
        <v/>
      </c>
      <c r="Z32" s="130">
        <f>IF(B32&gt;$K$13,-1*$J$13,(($K$13-B32)*$I$13)-$J$13)</f>
        <v/>
      </c>
      <c r="AA32" s="130">
        <f>Hedge_Total!G142</f>
        <v/>
      </c>
      <c r="AB32" s="130">
        <f>IF(B32&gt;$K$14,-1*$J$14,(($K$14-B32)*$I$14)-$J$14)</f>
        <v/>
      </c>
      <c r="AC32" s="130">
        <f>Hedge_Total!G172</f>
        <v/>
      </c>
      <c r="AD32" s="130">
        <f>IF(B32&gt;$K$15,-1*$J$15,(($K$15-B32)*$I$15)-$J$15)</f>
        <v/>
      </c>
      <c r="AE32" s="130">
        <f>Hedge_Total!G202</f>
        <v/>
      </c>
      <c r="AF32" s="130">
        <f>IF(B32&gt;$K$16,-1*$J$16,(($K$16-B32)*$I$16)-$J$16)</f>
        <v/>
      </c>
      <c r="AG32" s="130">
        <f>Hedge_Total!G232</f>
        <v/>
      </c>
      <c r="AH32" s="130">
        <f>IF(B32&gt;$K$17,-1*$J$17,(($K$17-B32)*$I$17)-$J$17)</f>
        <v/>
      </c>
      <c r="AI32" s="130">
        <f>Hedge_Total!G262</f>
        <v/>
      </c>
      <c r="AJ32" s="130">
        <f>IF(B32&gt;$K$18,-1*$J$18,(($K$18-B32)*$I$18)-$J$18)</f>
        <v/>
      </c>
      <c r="AK32" s="130">
        <f>Hedge_Total!G292</f>
        <v/>
      </c>
      <c r="AL32" s="130">
        <f>IF(B32&gt;$K$19,-1*$J$19,(($K$19-B32)*$I$19)-$J$19)</f>
        <v/>
      </c>
      <c r="AM32" s="130">
        <f>Hedge_Total!G322</f>
        <v/>
      </c>
      <c r="AN32" s="130">
        <f>IF(B32&gt;$K$20,-1*$J$20,(($K$20-B32)*$I$20)-$J$20)</f>
        <v/>
      </c>
      <c r="AO32" s="130">
        <f>Hedge_Total!G352</f>
        <v/>
      </c>
      <c r="AP32" s="130">
        <f>IF(B32&gt;$K$21,-1*$J$21,(($K$21-B32)*$I$21)-$J$21)</f>
        <v/>
      </c>
      <c r="AQ32" s="130">
        <f>Hedge_Total!G382</f>
        <v/>
      </c>
      <c r="AR32" s="130">
        <f>IF(B32&gt;$K$22,-1*$J$22,(($K$22-B32)*$I$22)-$J$22)</f>
        <v/>
      </c>
      <c r="AS32" s="130">
        <f>Hedge_Total!G412</f>
        <v/>
      </c>
      <c r="AT32" s="130">
        <f>IF(B32&gt;$K$23,-1*$J$23,(($K$23-B32)*$I$23)-$J$23)</f>
        <v/>
      </c>
    </row>
    <row r="33" ht="14.25" customHeight="1" s="116">
      <c r="B33" s="183">
        <f>B32-1</f>
        <v/>
      </c>
      <c r="C33" s="184">
        <f>J33/$C$16</f>
        <v/>
      </c>
      <c r="D33" s="184">
        <f>K33/$C$16</f>
        <v/>
      </c>
      <c r="E33" s="130">
        <f>($C$10*B33)-$F$10</f>
        <v/>
      </c>
      <c r="F33" s="185">
        <f>(E33/$F$10)</f>
        <v/>
      </c>
      <c r="H33" s="183">
        <f>H32-1</f>
        <v/>
      </c>
      <c r="I33" s="184">
        <f>Hedge_Total!C443</f>
        <v/>
      </c>
      <c r="J33" s="130">
        <f>Hedge_Total!G443</f>
        <v/>
      </c>
      <c r="K33" s="130">
        <f>T33+V33+X33+Z33+AB33+AD33+AF33+AH33+AJ33+AL33+AN33+AP33+AR33+AT33</f>
        <v/>
      </c>
      <c r="L33" s="185">
        <f>N33/$F$10</f>
        <v/>
      </c>
      <c r="M33" s="185">
        <f>O33/$F$10</f>
        <v/>
      </c>
      <c r="N33" s="130">
        <f>E33+J33</f>
        <v/>
      </c>
      <c r="O33" s="130">
        <f>E33+K33</f>
        <v/>
      </c>
      <c r="P33" s="186">
        <f>J34-2*J33+J32</f>
        <v/>
      </c>
      <c r="Q33" s="187" t="n"/>
      <c r="R33" s="183">
        <f>R32-1</f>
        <v/>
      </c>
      <c r="S33" s="130">
        <f>Hedge_Total!G26</f>
        <v/>
      </c>
      <c r="T33" s="130">
        <f>IF(B33&gt;$K$10,-1*$J$10,(($K$10-B33)*$I$10)-$J$10)</f>
        <v/>
      </c>
      <c r="U33" s="130">
        <f>Hedge_Total!G55</f>
        <v/>
      </c>
      <c r="V33" s="130">
        <f>IF(B33&gt;$K$11,-1*$J$11,(($K$11-B33)*$I$11)-$J$11)</f>
        <v/>
      </c>
      <c r="W33" s="130">
        <f>Hedge_Total!G84</f>
        <v/>
      </c>
      <c r="X33" s="130">
        <f>IF(B33&gt;$K$12,-1*$J$12,(($K$12-B33)*$I$12)-$J$12)</f>
        <v/>
      </c>
      <c r="Y33" s="130">
        <f>Hedge_Total!G113</f>
        <v/>
      </c>
      <c r="Z33" s="130">
        <f>IF(B33&gt;$K$13,-1*$J$13,(($K$13-B33)*$I$13)-$J$13)</f>
        <v/>
      </c>
      <c r="AA33" s="130">
        <f>Hedge_Total!G143</f>
        <v/>
      </c>
      <c r="AB33" s="130">
        <f>IF(B33&gt;$K$14,-1*$J$14,(($K$14-B33)*$I$14)-$J$14)</f>
        <v/>
      </c>
      <c r="AC33" s="130">
        <f>Hedge_Total!G173</f>
        <v/>
      </c>
      <c r="AD33" s="130">
        <f>IF(B33&gt;$K$15,-1*$J$15,(($K$15-B33)*$I$15)-$J$15)</f>
        <v/>
      </c>
      <c r="AE33" s="130">
        <f>Hedge_Total!G203</f>
        <v/>
      </c>
      <c r="AF33" s="130">
        <f>IF(B33&gt;$K$16,-1*$J$16,(($K$16-B33)*$I$16)-$J$16)</f>
        <v/>
      </c>
      <c r="AG33" s="130">
        <f>Hedge_Total!G233</f>
        <v/>
      </c>
      <c r="AH33" s="130">
        <f>IF(B33&gt;$K$17,-1*$J$17,(($K$17-B33)*$I$17)-$J$17)</f>
        <v/>
      </c>
      <c r="AI33" s="130">
        <f>Hedge_Total!G263</f>
        <v/>
      </c>
      <c r="AJ33" s="130">
        <f>IF(B33&gt;$K$18,-1*$J$18,(($K$18-B33)*$I$18)-$J$18)</f>
        <v/>
      </c>
      <c r="AK33" s="130">
        <f>Hedge_Total!G293</f>
        <v/>
      </c>
      <c r="AL33" s="130">
        <f>IF(B33&gt;$K$19,-1*$J$19,(($K$19-B33)*$I$19)-$J$19)</f>
        <v/>
      </c>
      <c r="AM33" s="130">
        <f>Hedge_Total!G323</f>
        <v/>
      </c>
      <c r="AN33" s="130">
        <f>IF(B33&gt;$K$20,-1*$J$20,(($K$20-B33)*$I$20)-$J$20)</f>
        <v/>
      </c>
      <c r="AO33" s="130">
        <f>Hedge_Total!G353</f>
        <v/>
      </c>
      <c r="AP33" s="130">
        <f>IF(B33&gt;$K$21,-1*$J$21,(($K$21-B33)*$I$21)-$J$21)</f>
        <v/>
      </c>
      <c r="AQ33" s="130">
        <f>Hedge_Total!G383</f>
        <v/>
      </c>
      <c r="AR33" s="130">
        <f>IF(B33&gt;$K$22,-1*$J$22,(($K$22-B33)*$I$22)-$J$22)</f>
        <v/>
      </c>
      <c r="AS33" s="130">
        <f>Hedge_Total!G413</f>
        <v/>
      </c>
      <c r="AT33" s="130">
        <f>IF(B33&gt;$K$23,-1*$J$23,(($K$23-B33)*$I$23)-$J$23)</f>
        <v/>
      </c>
    </row>
    <row r="34" ht="14.25" customHeight="1" s="116">
      <c r="B34" s="183">
        <f>B33-1</f>
        <v/>
      </c>
      <c r="C34" s="184">
        <f>J34/$C$16</f>
        <v/>
      </c>
      <c r="D34" s="184">
        <f>K34/$C$16</f>
        <v/>
      </c>
      <c r="E34" s="130">
        <f>($C$10*B34)-$F$10</f>
        <v/>
      </c>
      <c r="F34" s="185">
        <f>(E34/$F$10)</f>
        <v/>
      </c>
      <c r="H34" s="183">
        <f>H33-1</f>
        <v/>
      </c>
      <c r="I34" s="184">
        <f>Hedge_Total!C444</f>
        <v/>
      </c>
      <c r="J34" s="130">
        <f>Hedge_Total!G444</f>
        <v/>
      </c>
      <c r="K34" s="130">
        <f>T34+V34+X34+Z34+AB34+AD34+AF34+AH34+AJ34+AL34+AN34+AP34+AR34+AT34</f>
        <v/>
      </c>
      <c r="L34" s="185">
        <f>N34/$F$10</f>
        <v/>
      </c>
      <c r="M34" s="185">
        <f>O34/$F$10</f>
        <v/>
      </c>
      <c r="N34" s="130">
        <f>E34+J34</f>
        <v/>
      </c>
      <c r="O34" s="130">
        <f>E34+K34</f>
        <v/>
      </c>
      <c r="P34" s="186">
        <f>J35-2*J34+J33</f>
        <v/>
      </c>
      <c r="Q34" s="187" t="n"/>
      <c r="R34" s="183">
        <f>R33-1</f>
        <v/>
      </c>
      <c r="S34" s="130">
        <f>Hedge_Total!G27</f>
        <v/>
      </c>
      <c r="T34" s="130">
        <f>IF(B34&gt;$K$10,-1*$J$10,(($K$10-B34)*$I$10)-$J$10)</f>
        <v/>
      </c>
      <c r="U34" s="130">
        <f>Hedge_Total!G56</f>
        <v/>
      </c>
      <c r="V34" s="130">
        <f>IF(B34&gt;$K$11,-1*$J$11,(($K$11-B34)*$I$11)-$J$11)</f>
        <v/>
      </c>
      <c r="W34" s="130">
        <f>Hedge_Total!G85</f>
        <v/>
      </c>
      <c r="X34" s="130">
        <f>IF(B34&gt;$K$12,-1*$J$12,(($K$12-B34)*$I$12)-$J$12)</f>
        <v/>
      </c>
      <c r="Y34" s="130">
        <f>Hedge_Total!G114</f>
        <v/>
      </c>
      <c r="Z34" s="130">
        <f>IF(B34&gt;$K$13,-1*$J$13,(($K$13-B34)*$I$13)-$J$13)</f>
        <v/>
      </c>
      <c r="AA34" s="130">
        <f>Hedge_Total!G144</f>
        <v/>
      </c>
      <c r="AB34" s="130">
        <f>IF(B34&gt;$K$14,-1*$J$14,(($K$14-B34)*$I$14)-$J$14)</f>
        <v/>
      </c>
      <c r="AC34" s="130">
        <f>Hedge_Total!G174</f>
        <v/>
      </c>
      <c r="AD34" s="130">
        <f>IF(B34&gt;$K$15,-1*$J$15,(($K$15-B34)*$I$15)-$J$15)</f>
        <v/>
      </c>
      <c r="AE34" s="130">
        <f>Hedge_Total!G204</f>
        <v/>
      </c>
      <c r="AF34" s="130">
        <f>IF(B34&gt;$K$16,-1*$J$16,(($K$16-B34)*$I$16)-$J$16)</f>
        <v/>
      </c>
      <c r="AG34" s="130">
        <f>Hedge_Total!G234</f>
        <v/>
      </c>
      <c r="AH34" s="130">
        <f>IF(B34&gt;$K$17,-1*$J$17,(($K$17-B34)*$I$17)-$J$17)</f>
        <v/>
      </c>
      <c r="AI34" s="130">
        <f>Hedge_Total!G264</f>
        <v/>
      </c>
      <c r="AJ34" s="130">
        <f>IF(B34&gt;$K$18,-1*$J$18,(($K$18-B34)*$I$18)-$J$18)</f>
        <v/>
      </c>
      <c r="AK34" s="130">
        <f>Hedge_Total!G294</f>
        <v/>
      </c>
      <c r="AL34" s="130">
        <f>IF(B34&gt;$K$19,-1*$J$19,(($K$19-B34)*$I$19)-$J$19)</f>
        <v/>
      </c>
      <c r="AM34" s="130">
        <f>Hedge_Total!G324</f>
        <v/>
      </c>
      <c r="AN34" s="130">
        <f>IF(B34&gt;$K$20,-1*$J$20,(($K$20-B34)*$I$20)-$J$20)</f>
        <v/>
      </c>
      <c r="AO34" s="130">
        <f>Hedge_Total!G354</f>
        <v/>
      </c>
      <c r="AP34" s="130">
        <f>IF(B34&gt;$K$21,-1*$J$21,(($K$21-B34)*$I$21)-$J$21)</f>
        <v/>
      </c>
      <c r="AQ34" s="130">
        <f>Hedge_Total!G384</f>
        <v/>
      </c>
      <c r="AR34" s="130">
        <f>IF(B34&gt;$K$22,-1*$J$22,(($K$22-B34)*$I$22)-$J$22)</f>
        <v/>
      </c>
      <c r="AS34" s="130">
        <f>Hedge_Total!G414</f>
        <v/>
      </c>
      <c r="AT34" s="130">
        <f>IF(B34&gt;$K$23,-1*$J$23,(($K$23-B34)*$I$23)-$J$23)</f>
        <v/>
      </c>
    </row>
    <row r="35" ht="14.25" customHeight="1" s="116">
      <c r="B35" s="183">
        <f>B34-1</f>
        <v/>
      </c>
      <c r="C35" s="184">
        <f>J35/$C$16</f>
        <v/>
      </c>
      <c r="D35" s="184">
        <f>K35/$C$16</f>
        <v/>
      </c>
      <c r="E35" s="130">
        <f>($C$10*B35)-$F$10</f>
        <v/>
      </c>
      <c r="F35" s="185">
        <f>(E35/$F$10)</f>
        <v/>
      </c>
      <c r="H35" s="183">
        <f>H34-1</f>
        <v/>
      </c>
      <c r="I35" s="184">
        <f>Hedge_Total!C445</f>
        <v/>
      </c>
      <c r="J35" s="130">
        <f>Hedge_Total!G445</f>
        <v/>
      </c>
      <c r="K35" s="130">
        <f>T35+V35+X35+Z35+AB35+AD35+AF35+AH35+AJ35+AL35+AN35+AP35+AR35+AT35</f>
        <v/>
      </c>
      <c r="L35" s="185">
        <f>N35/$F$10</f>
        <v/>
      </c>
      <c r="M35" s="185">
        <f>O35/$F$10</f>
        <v/>
      </c>
      <c r="N35" s="130">
        <f>E35+J35</f>
        <v/>
      </c>
      <c r="O35" s="130">
        <f>E35+K35</f>
        <v/>
      </c>
      <c r="P35" s="186">
        <f>J36-2*J35+J34</f>
        <v/>
      </c>
      <c r="Q35" s="187" t="n"/>
      <c r="R35" s="183">
        <f>R34-1</f>
        <v/>
      </c>
      <c r="S35" s="130">
        <f>Hedge_Total!G28</f>
        <v/>
      </c>
      <c r="T35" s="130">
        <f>IF(B35&gt;$K$10,-1*$J$10,(($K$10-B35)*$I$10)-$J$10)</f>
        <v/>
      </c>
      <c r="U35" s="130">
        <f>Hedge_Total!G57</f>
        <v/>
      </c>
      <c r="V35" s="130">
        <f>IF(B35&gt;$K$11,-1*$J$11,(($K$11-B35)*$I$11)-$J$11)</f>
        <v/>
      </c>
      <c r="W35" s="130">
        <f>Hedge_Total!G86</f>
        <v/>
      </c>
      <c r="X35" s="130">
        <f>IF(B35&gt;$K$12,-1*$J$12,(($K$12-B35)*$I$12)-$J$12)</f>
        <v/>
      </c>
      <c r="Y35" s="130">
        <f>Hedge_Total!G115</f>
        <v/>
      </c>
      <c r="Z35" s="130">
        <f>IF(B35&gt;$K$13,-1*$J$13,(($K$13-B35)*$I$13)-$J$13)</f>
        <v/>
      </c>
      <c r="AA35" s="130">
        <f>Hedge_Total!G145</f>
        <v/>
      </c>
      <c r="AB35" s="130">
        <f>IF(B35&gt;$K$14,-1*$J$14,(($K$14-B35)*$I$14)-$J$14)</f>
        <v/>
      </c>
      <c r="AC35" s="130">
        <f>Hedge_Total!G175</f>
        <v/>
      </c>
      <c r="AD35" s="130">
        <f>IF(B35&gt;$K$15,-1*$J$15,(($K$15-B35)*$I$15)-$J$15)</f>
        <v/>
      </c>
      <c r="AE35" s="130">
        <f>Hedge_Total!G205</f>
        <v/>
      </c>
      <c r="AF35" s="130">
        <f>IF(B35&gt;$K$16,-1*$J$16,(($K$16-B35)*$I$16)-$J$16)</f>
        <v/>
      </c>
      <c r="AG35" s="130">
        <f>Hedge_Total!G235</f>
        <v/>
      </c>
      <c r="AH35" s="130">
        <f>IF(B35&gt;$K$17,-1*$J$17,(($K$17-B35)*$I$17)-$J$17)</f>
        <v/>
      </c>
      <c r="AI35" s="130">
        <f>Hedge_Total!G265</f>
        <v/>
      </c>
      <c r="AJ35" s="130">
        <f>IF(B35&gt;$K$18,-1*$J$18,(($K$18-B35)*$I$18)-$J$18)</f>
        <v/>
      </c>
      <c r="AK35" s="130">
        <f>Hedge_Total!G295</f>
        <v/>
      </c>
      <c r="AL35" s="130">
        <f>IF(B35&gt;$K$19,-1*$J$19,(($K$19-B35)*$I$19)-$J$19)</f>
        <v/>
      </c>
      <c r="AM35" s="130">
        <f>Hedge_Total!G325</f>
        <v/>
      </c>
      <c r="AN35" s="130">
        <f>IF(B35&gt;$K$20,-1*$J$20,(($K$20-B35)*$I$20)-$J$20)</f>
        <v/>
      </c>
      <c r="AO35" s="130">
        <f>Hedge_Total!G355</f>
        <v/>
      </c>
      <c r="AP35" s="130">
        <f>IF(B35&gt;$K$21,-1*$J$21,(($K$21-B35)*$I$21)-$J$21)</f>
        <v/>
      </c>
      <c r="AQ35" s="130">
        <f>Hedge_Total!G385</f>
        <v/>
      </c>
      <c r="AR35" s="130">
        <f>IF(B35&gt;$K$22,-1*$J$22,(($K$22-B35)*$I$22)-$J$22)</f>
        <v/>
      </c>
      <c r="AS35" s="130">
        <f>Hedge_Total!G415</f>
        <v/>
      </c>
      <c r="AT35" s="130">
        <f>IF(B35&gt;$K$23,-1*$J$23,(($K$23-B35)*$I$23)-$J$23)</f>
        <v/>
      </c>
    </row>
    <row r="36" ht="14.25" customHeight="1" s="116">
      <c r="B36" s="183">
        <f>B35-1</f>
        <v/>
      </c>
      <c r="C36" s="184">
        <f>J36/$C$16</f>
        <v/>
      </c>
      <c r="D36" s="184">
        <f>K36/$C$16</f>
        <v/>
      </c>
      <c r="E36" s="130">
        <f>($C$10*B36)-$F$10</f>
        <v/>
      </c>
      <c r="F36" s="185">
        <f>(E36/$F$10)</f>
        <v/>
      </c>
      <c r="H36" s="183">
        <f>H35-1</f>
        <v/>
      </c>
      <c r="I36" s="184">
        <f>Hedge_Total!C446</f>
        <v/>
      </c>
      <c r="J36" s="130">
        <f>Hedge_Total!G446</f>
        <v/>
      </c>
      <c r="K36" s="130">
        <f>T36+V36+X36+Z36+AB36+AD36+AF36+AH36+AJ36+AL36+AN36+AP36+AR36+AT36</f>
        <v/>
      </c>
      <c r="L36" s="185">
        <f>N36/$F$10</f>
        <v/>
      </c>
      <c r="M36" s="185">
        <f>O36/$F$10</f>
        <v/>
      </c>
      <c r="N36" s="130">
        <f>E36+J36</f>
        <v/>
      </c>
      <c r="O36" s="130">
        <f>E36+K36</f>
        <v/>
      </c>
      <c r="P36" s="186">
        <f>J37-2*J36+J35</f>
        <v/>
      </c>
      <c r="Q36" s="187" t="n"/>
      <c r="R36" s="183">
        <f>R35-1</f>
        <v/>
      </c>
      <c r="S36" s="130">
        <f>Hedge_Total!G29</f>
        <v/>
      </c>
      <c r="T36" s="130">
        <f>IF(B36&gt;$K$10,-1*$J$10,(($K$10-B36)*$I$10)-$J$10)</f>
        <v/>
      </c>
      <c r="U36" s="130">
        <f>Hedge_Total!G58</f>
        <v/>
      </c>
      <c r="V36" s="130">
        <f>IF(B36&gt;$K$11,-1*$J$11,(($K$11-B36)*$I$11)-$J$11)</f>
        <v/>
      </c>
      <c r="W36" s="130">
        <f>Hedge_Total!G87</f>
        <v/>
      </c>
      <c r="X36" s="130">
        <f>IF(B36&gt;$K$12,-1*$J$12,(($K$12-B36)*$I$12)-$J$12)</f>
        <v/>
      </c>
      <c r="Y36" s="130">
        <f>Hedge_Total!G116</f>
        <v/>
      </c>
      <c r="Z36" s="130">
        <f>IF(B36&gt;$K$13,-1*$J$13,(($K$13-B36)*$I$13)-$J$13)</f>
        <v/>
      </c>
      <c r="AA36" s="130">
        <f>Hedge_Total!G146</f>
        <v/>
      </c>
      <c r="AB36" s="130">
        <f>IF(B36&gt;$K$14,-1*$J$14,(($K$14-B36)*$I$14)-$J$14)</f>
        <v/>
      </c>
      <c r="AC36" s="130">
        <f>Hedge_Total!G176</f>
        <v/>
      </c>
      <c r="AD36" s="130">
        <f>IF(B36&gt;$K$15,-1*$J$15,(($K$15-B36)*$I$15)-$J$15)</f>
        <v/>
      </c>
      <c r="AE36" s="130">
        <f>Hedge_Total!G206</f>
        <v/>
      </c>
      <c r="AF36" s="130">
        <f>IF(B36&gt;$K$16,-1*$J$16,(($K$16-B36)*$I$16)-$J$16)</f>
        <v/>
      </c>
      <c r="AG36" s="130">
        <f>Hedge_Total!G236</f>
        <v/>
      </c>
      <c r="AH36" s="130">
        <f>IF(B36&gt;$K$17,-1*$J$17,(($K$17-B36)*$I$17)-$J$17)</f>
        <v/>
      </c>
      <c r="AI36" s="130">
        <f>Hedge_Total!G266</f>
        <v/>
      </c>
      <c r="AJ36" s="130">
        <f>IF(B36&gt;$K$18,-1*$J$18,(($K$18-B36)*$I$18)-$J$18)</f>
        <v/>
      </c>
      <c r="AK36" s="130">
        <f>Hedge_Total!G296</f>
        <v/>
      </c>
      <c r="AL36" s="130">
        <f>IF(B36&gt;$K$19,-1*$J$19,(($K$19-B36)*$I$19)-$J$19)</f>
        <v/>
      </c>
      <c r="AM36" s="130">
        <f>Hedge_Total!G326</f>
        <v/>
      </c>
      <c r="AN36" s="130">
        <f>IF(B36&gt;$K$20,-1*$J$20,(($K$20-B36)*$I$20)-$J$20)</f>
        <v/>
      </c>
      <c r="AO36" s="130">
        <f>Hedge_Total!G356</f>
        <v/>
      </c>
      <c r="AP36" s="130">
        <f>IF(B36&gt;$K$21,-1*$J$21,(($K$21-B36)*$I$21)-$J$21)</f>
        <v/>
      </c>
      <c r="AQ36" s="130">
        <f>Hedge_Total!G386</f>
        <v/>
      </c>
      <c r="AR36" s="130">
        <f>IF(B36&gt;$K$22,-1*$J$22,(($K$22-B36)*$I$22)-$J$22)</f>
        <v/>
      </c>
      <c r="AS36" s="130">
        <f>Hedge_Total!G416</f>
        <v/>
      </c>
      <c r="AT36" s="130">
        <f>IF(B36&gt;$K$23,-1*$J$23,(($K$23-B36)*$I$23)-$J$23)</f>
        <v/>
      </c>
    </row>
    <row r="37" ht="14.25" customHeight="1" s="116">
      <c r="B37" s="183">
        <f>B36-1</f>
        <v/>
      </c>
      <c r="C37" s="184">
        <f>J37/$C$16</f>
        <v/>
      </c>
      <c r="D37" s="184">
        <f>K37/$C$16</f>
        <v/>
      </c>
      <c r="E37" s="130">
        <f>($C$10*B37)-$F$10</f>
        <v/>
      </c>
      <c r="F37" s="185">
        <f>(E37/$F$10)</f>
        <v/>
      </c>
      <c r="H37" s="183">
        <f>H36-1</f>
        <v/>
      </c>
      <c r="I37" s="184">
        <f>Hedge_Total!C447</f>
        <v/>
      </c>
      <c r="J37" s="130">
        <f>Hedge_Total!G447</f>
        <v/>
      </c>
      <c r="K37" s="130">
        <f>T37+V37+X37+Z37+AB37+AD37+AF37+AH37+AJ37+AL37+AN37+AP37+AR37+AT37</f>
        <v/>
      </c>
      <c r="L37" s="185">
        <f>N37/$F$10</f>
        <v/>
      </c>
      <c r="M37" s="185">
        <f>O37/$F$10</f>
        <v/>
      </c>
      <c r="N37" s="130">
        <f>E37+J37</f>
        <v/>
      </c>
      <c r="O37" s="130">
        <f>E37+K37</f>
        <v/>
      </c>
      <c r="P37" s="186">
        <f>J38-2*J37+J36</f>
        <v/>
      </c>
      <c r="Q37" s="187" t="n"/>
      <c r="R37" s="183">
        <f>R36-1</f>
        <v/>
      </c>
      <c r="S37" s="130">
        <f>Hedge_Total!G30</f>
        <v/>
      </c>
      <c r="T37" s="130">
        <f>IF(B37&gt;$K$10,-1*$J$10,(($K$10-B37)*$I$10)-$J$10)</f>
        <v/>
      </c>
      <c r="U37" s="130">
        <f>Hedge_Total!G59</f>
        <v/>
      </c>
      <c r="V37" s="130">
        <f>IF(B37&gt;$K$11,-1*$J$11,(($K$11-B37)*$I$11)-$J$11)</f>
        <v/>
      </c>
      <c r="W37" s="130">
        <f>Hedge_Total!G88</f>
        <v/>
      </c>
      <c r="X37" s="130">
        <f>IF(B37&gt;$K$12,-1*$J$12,(($K$12-B37)*$I$12)-$J$12)</f>
        <v/>
      </c>
      <c r="Y37" s="130">
        <f>Hedge_Total!G117</f>
        <v/>
      </c>
      <c r="Z37" s="130">
        <f>IF(B37&gt;$K$13,-1*$J$13,(($K$13-B37)*$I$13)-$J$13)</f>
        <v/>
      </c>
      <c r="AA37" s="130">
        <f>Hedge_Total!G147</f>
        <v/>
      </c>
      <c r="AB37" s="130">
        <f>IF(B37&gt;$K$14,-1*$J$14,(($K$14-B37)*$I$14)-$J$14)</f>
        <v/>
      </c>
      <c r="AC37" s="130">
        <f>Hedge_Total!G177</f>
        <v/>
      </c>
      <c r="AD37" s="130">
        <f>IF(B37&gt;$K$15,-1*$J$15,(($K$15-B37)*$I$15)-$J$15)</f>
        <v/>
      </c>
      <c r="AE37" s="130">
        <f>Hedge_Total!G207</f>
        <v/>
      </c>
      <c r="AF37" s="130">
        <f>IF(B37&gt;$K$16,-1*$J$16,(($K$16-B37)*$I$16)-$J$16)</f>
        <v/>
      </c>
      <c r="AG37" s="130">
        <f>Hedge_Total!G237</f>
        <v/>
      </c>
      <c r="AH37" s="130">
        <f>IF(B37&gt;$K$17,-1*$J$17,(($K$17-B37)*$I$17)-$J$17)</f>
        <v/>
      </c>
      <c r="AI37" s="130">
        <f>Hedge_Total!G267</f>
        <v/>
      </c>
      <c r="AJ37" s="130">
        <f>IF(B37&gt;$K$18,-1*$J$18,(($K$18-B37)*$I$18)-$J$18)</f>
        <v/>
      </c>
      <c r="AK37" s="130">
        <f>Hedge_Total!G297</f>
        <v/>
      </c>
      <c r="AL37" s="130">
        <f>IF(B37&gt;$K$19,-1*$J$19,(($K$19-B37)*$I$19)-$J$19)</f>
        <v/>
      </c>
      <c r="AM37" s="130">
        <f>Hedge_Total!G327</f>
        <v/>
      </c>
      <c r="AN37" s="130">
        <f>IF(B37&gt;$K$20,-1*$J$20,(($K$20-B37)*$I$20)-$J$20)</f>
        <v/>
      </c>
      <c r="AO37" s="130">
        <f>Hedge_Total!G357</f>
        <v/>
      </c>
      <c r="AP37" s="130">
        <f>IF(B37&gt;$K$21,-1*$J$21,(($K$21-B37)*$I$21)-$J$21)</f>
        <v/>
      </c>
      <c r="AQ37" s="130">
        <f>Hedge_Total!G387</f>
        <v/>
      </c>
      <c r="AR37" s="130">
        <f>IF(B37&gt;$K$22,-1*$J$22,(($K$22-B37)*$I$22)-$J$22)</f>
        <v/>
      </c>
      <c r="AS37" s="130">
        <f>Hedge_Total!G417</f>
        <v/>
      </c>
      <c r="AT37" s="130">
        <f>IF(B37&gt;$K$23,-1*$J$23,(($K$23-B37)*$I$23)-$J$23)</f>
        <v/>
      </c>
    </row>
    <row r="38" ht="14.25" customHeight="1" s="116">
      <c r="B38" s="183">
        <f>B37-1</f>
        <v/>
      </c>
      <c r="C38" s="184">
        <f>J38/$C$16</f>
        <v/>
      </c>
      <c r="D38" s="184">
        <f>K38/$C$16</f>
        <v/>
      </c>
      <c r="E38" s="130">
        <f>($C$10*B38)-$F$10</f>
        <v/>
      </c>
      <c r="F38" s="185">
        <f>(E38/$F$10)</f>
        <v/>
      </c>
      <c r="H38" s="183">
        <f>H37-1</f>
        <v/>
      </c>
      <c r="I38" s="184">
        <f>Hedge_Total!C448</f>
        <v/>
      </c>
      <c r="J38" s="130">
        <f>Hedge_Total!G448</f>
        <v/>
      </c>
      <c r="K38" s="130">
        <f>T38+V38+X38+Z38+AB38+AD38+AF38+AH38+AJ38+AL38+AN38+AP38+AR38+AT38</f>
        <v/>
      </c>
      <c r="L38" s="185">
        <f>N38/$F$10</f>
        <v/>
      </c>
      <c r="M38" s="185">
        <f>O38/$F$10</f>
        <v/>
      </c>
      <c r="N38" s="130">
        <f>E38+J38</f>
        <v/>
      </c>
      <c r="O38" s="130">
        <f>E38+K38</f>
        <v/>
      </c>
      <c r="P38" s="186">
        <f>J39-2*J38+J37</f>
        <v/>
      </c>
      <c r="Q38" s="187" t="n"/>
      <c r="R38" s="183">
        <f>R37-1</f>
        <v/>
      </c>
      <c r="S38" s="130">
        <f>Hedge_Total!G31</f>
        <v/>
      </c>
      <c r="T38" s="130">
        <f>IF(B38&gt;$K$10,-1*$J$10,(($K$10-B38)*$I$10)-$J$10)</f>
        <v/>
      </c>
      <c r="U38" s="130">
        <f>Hedge_Total!G60</f>
        <v/>
      </c>
      <c r="V38" s="130">
        <f>IF(B38&gt;$K$11,-1*$J$11,(($K$11-B38)*$I$11)-$J$11)</f>
        <v/>
      </c>
      <c r="W38" s="130">
        <f>Hedge_Total!G89</f>
        <v/>
      </c>
      <c r="X38" s="130">
        <f>IF(B38&gt;$K$12,-1*$J$12,(($K$12-B38)*$I$12)-$J$12)</f>
        <v/>
      </c>
      <c r="Y38" s="130">
        <f>Hedge_Total!G118</f>
        <v/>
      </c>
      <c r="Z38" s="130">
        <f>IF(B38&gt;$K$13,-1*$J$13,(($K$13-B38)*$I$13)-$J$13)</f>
        <v/>
      </c>
      <c r="AA38" s="130">
        <f>Hedge_Total!G148</f>
        <v/>
      </c>
      <c r="AB38" s="130">
        <f>IF(B38&gt;$K$14,-1*$J$14,(($K$14-B38)*$I$14)-$J$14)</f>
        <v/>
      </c>
      <c r="AC38" s="130">
        <f>Hedge_Total!G178</f>
        <v/>
      </c>
      <c r="AD38" s="130">
        <f>IF(B38&gt;$K$15,-1*$J$15,(($K$15-B38)*$I$15)-$J$15)</f>
        <v/>
      </c>
      <c r="AE38" s="130">
        <f>Hedge_Total!G208</f>
        <v/>
      </c>
      <c r="AF38" s="130">
        <f>IF(B38&gt;$K$16,-1*$J$16,(($K$16-B38)*$I$16)-$J$16)</f>
        <v/>
      </c>
      <c r="AG38" s="130">
        <f>Hedge_Total!G238</f>
        <v/>
      </c>
      <c r="AH38" s="130">
        <f>IF(B38&gt;$K$17,-1*$J$17,(($K$17-B38)*$I$17)-$J$17)</f>
        <v/>
      </c>
      <c r="AI38" s="130">
        <f>Hedge_Total!G268</f>
        <v/>
      </c>
      <c r="AJ38" s="130">
        <f>IF(B38&gt;$K$18,-1*$J$18,(($K$18-B38)*$I$18)-$J$18)</f>
        <v/>
      </c>
      <c r="AK38" s="130">
        <f>Hedge_Total!G298</f>
        <v/>
      </c>
      <c r="AL38" s="130">
        <f>IF(B38&gt;$K$19,-1*$J$19,(($K$19-B38)*$I$19)-$J$19)</f>
        <v/>
      </c>
      <c r="AM38" s="130">
        <f>Hedge_Total!G328</f>
        <v/>
      </c>
      <c r="AN38" s="130">
        <f>IF(B38&gt;$K$20,-1*$J$20,(($K$20-B38)*$I$20)-$J$20)</f>
        <v/>
      </c>
      <c r="AO38" s="130">
        <f>Hedge_Total!G358</f>
        <v/>
      </c>
      <c r="AP38" s="130">
        <f>IF(B38&gt;$K$21,-1*$J$21,(($K$21-B38)*$I$21)-$J$21)</f>
        <v/>
      </c>
      <c r="AQ38" s="130">
        <f>Hedge_Total!G388</f>
        <v/>
      </c>
      <c r="AR38" s="130">
        <f>IF(B38&gt;$K$22,-1*$J$22,(($K$22-B38)*$I$22)-$J$22)</f>
        <v/>
      </c>
      <c r="AS38" s="130">
        <f>Hedge_Total!G418</f>
        <v/>
      </c>
      <c r="AT38" s="130">
        <f>IF(B38&gt;$K$23,-1*$J$23,(($K$23-B38)*$I$23)-$J$23)</f>
        <v/>
      </c>
    </row>
    <row r="39" ht="14.25" customHeight="1" s="116">
      <c r="B39" s="183">
        <f>B38-1</f>
        <v/>
      </c>
      <c r="C39" s="184">
        <f>J39/$C$16</f>
        <v/>
      </c>
      <c r="D39" s="184">
        <f>K39/$C$16</f>
        <v/>
      </c>
      <c r="E39" s="130">
        <f>($C$10*B39)-$F$10</f>
        <v/>
      </c>
      <c r="F39" s="185">
        <f>(E39/$F$10)</f>
        <v/>
      </c>
      <c r="H39" s="183">
        <f>H38-1</f>
        <v/>
      </c>
      <c r="I39" s="184">
        <f>Hedge_Total!C449</f>
        <v/>
      </c>
      <c r="J39" s="130">
        <f>Hedge_Total!G449</f>
        <v/>
      </c>
      <c r="K39" s="130">
        <f>T39+V39+X39+Z39+AB39+AD39+AF39+AH39+AJ39+AL39+AN39+AP39+AR39+AT39</f>
        <v/>
      </c>
      <c r="L39" s="185">
        <f>N39/$F$10</f>
        <v/>
      </c>
      <c r="M39" s="185">
        <f>O39/$F$10</f>
        <v/>
      </c>
      <c r="N39" s="130">
        <f>E39+J39</f>
        <v/>
      </c>
      <c r="O39" s="130">
        <f>E39+K39</f>
        <v/>
      </c>
      <c r="P39" s="186">
        <f>J40-2*J39+J38</f>
        <v/>
      </c>
      <c r="Q39" s="187" t="n"/>
      <c r="R39" s="183">
        <f>R38-1</f>
        <v/>
      </c>
      <c r="S39" s="130">
        <f>Hedge_Total!G32</f>
        <v/>
      </c>
      <c r="T39" s="130">
        <f>IF(B39&gt;$K$10,-1*$J$10,(($K$10-B39)*$I$10)-$J$10)</f>
        <v/>
      </c>
      <c r="U39" s="130">
        <f>Hedge_Total!G61</f>
        <v/>
      </c>
      <c r="V39" s="130">
        <f>IF(B39&gt;$K$11,-1*$J$11,(($K$11-B39)*$I$11)-$J$11)</f>
        <v/>
      </c>
      <c r="W39" s="130">
        <f>Hedge_Total!G90</f>
        <v/>
      </c>
      <c r="X39" s="130">
        <f>IF(B39&gt;$K$12,-1*$J$12,(($K$12-B39)*$I$12)-$J$12)</f>
        <v/>
      </c>
      <c r="Y39" s="130">
        <f>Hedge_Total!G119</f>
        <v/>
      </c>
      <c r="Z39" s="130">
        <f>IF(B39&gt;$K$13,-1*$J$13,(($K$13-B39)*$I$13)-$J$13)</f>
        <v/>
      </c>
      <c r="AA39" s="130">
        <f>Hedge_Total!G149</f>
        <v/>
      </c>
      <c r="AB39" s="130">
        <f>IF(B39&gt;$K$14,-1*$J$14,(($K$14-B39)*$I$14)-$J$14)</f>
        <v/>
      </c>
      <c r="AC39" s="130">
        <f>Hedge_Total!G179</f>
        <v/>
      </c>
      <c r="AD39" s="130">
        <f>IF(B39&gt;$K$15,-1*$J$15,(($K$15-B39)*$I$15)-$J$15)</f>
        <v/>
      </c>
      <c r="AE39" s="130">
        <f>Hedge_Total!G209</f>
        <v/>
      </c>
      <c r="AF39" s="130">
        <f>IF(B39&gt;$K$16,-1*$J$16,(($K$16-B39)*$I$16)-$J$16)</f>
        <v/>
      </c>
      <c r="AG39" s="130">
        <f>Hedge_Total!G239</f>
        <v/>
      </c>
      <c r="AH39" s="130">
        <f>IF(B39&gt;$K$17,-1*$J$17,(($K$17-B39)*$I$17)-$J$17)</f>
        <v/>
      </c>
      <c r="AI39" s="130">
        <f>Hedge_Total!G269</f>
        <v/>
      </c>
      <c r="AJ39" s="130">
        <f>IF(B39&gt;$K$18,-1*$J$18,(($K$18-B39)*$I$18)-$J$18)</f>
        <v/>
      </c>
      <c r="AK39" s="130">
        <f>Hedge_Total!G299</f>
        <v/>
      </c>
      <c r="AL39" s="130">
        <f>IF(B39&gt;$K$19,-1*$J$19,(($K$19-B39)*$I$19)-$J$19)</f>
        <v/>
      </c>
      <c r="AM39" s="130">
        <f>Hedge_Total!G329</f>
        <v/>
      </c>
      <c r="AN39" s="130">
        <f>IF(B39&gt;$K$20,-1*$J$20,(($K$20-B39)*$I$20)-$J$20)</f>
        <v/>
      </c>
      <c r="AO39" s="130">
        <f>Hedge_Total!G359</f>
        <v/>
      </c>
      <c r="AP39" s="130">
        <f>IF(B39&gt;$K$21,-1*$J$21,(($K$21-B39)*$I$21)-$J$21)</f>
        <v/>
      </c>
      <c r="AQ39" s="130">
        <f>Hedge_Total!G389</f>
        <v/>
      </c>
      <c r="AR39" s="130">
        <f>IF(B39&gt;$K$22,-1*$J$22,(($K$22-B39)*$I$22)-$J$22)</f>
        <v/>
      </c>
      <c r="AS39" s="130">
        <f>Hedge_Total!G419</f>
        <v/>
      </c>
      <c r="AT39" s="130">
        <f>IF(B39&gt;$K$23,-1*$J$23,(($K$23-B39)*$I$23)-$J$23)</f>
        <v/>
      </c>
    </row>
    <row r="40" ht="14.25" customHeight="1" s="116">
      <c r="B40" s="183">
        <f>B39-1</f>
        <v/>
      </c>
      <c r="C40" s="184">
        <f>J40/$C$16</f>
        <v/>
      </c>
      <c r="D40" s="184">
        <f>K40/$C$16</f>
        <v/>
      </c>
      <c r="E40" s="130">
        <f>($C$10*B40)-$F$10</f>
        <v/>
      </c>
      <c r="F40" s="185">
        <f>(E40/$F$10)</f>
        <v/>
      </c>
      <c r="H40" s="183">
        <f>H39-1</f>
        <v/>
      </c>
      <c r="I40" s="184">
        <f>Hedge_Total!C450</f>
        <v/>
      </c>
      <c r="J40" s="130">
        <f>Hedge_Total!G450</f>
        <v/>
      </c>
      <c r="K40" s="130">
        <f>T40+V40+X40+Z40+AB40+AD40+AF40+AH40+AJ40+AL40+AN40+AP40+AR40+AT40</f>
        <v/>
      </c>
      <c r="L40" s="185">
        <f>N40/$F$10</f>
        <v/>
      </c>
      <c r="M40" s="185">
        <f>O40/$F$10</f>
        <v/>
      </c>
      <c r="N40" s="130">
        <f>E40+J40</f>
        <v/>
      </c>
      <c r="O40" s="130">
        <f>E40+K40</f>
        <v/>
      </c>
      <c r="P40" s="186">
        <f>J41-2*J40+J39</f>
        <v/>
      </c>
      <c r="Q40" s="187" t="n"/>
      <c r="R40" s="183">
        <f>R39-1</f>
        <v/>
      </c>
      <c r="S40" s="130">
        <f>Hedge_Total!G33</f>
        <v/>
      </c>
      <c r="T40" s="130">
        <f>IF(B40&gt;$K$10,-1*$J$10,(($K$10-B40)*$I$10)-$J$10)</f>
        <v/>
      </c>
      <c r="U40" s="130">
        <f>Hedge_Total!G62</f>
        <v/>
      </c>
      <c r="V40" s="130">
        <f>IF(B40&gt;$K$11,-1*$J$11,(($K$11-B40)*$I$11)-$J$11)</f>
        <v/>
      </c>
      <c r="W40" s="130">
        <f>Hedge_Total!G91</f>
        <v/>
      </c>
      <c r="X40" s="130">
        <f>IF(B40&gt;$K$12,-1*$J$12,(($K$12-B40)*$I$12)-$J$12)</f>
        <v/>
      </c>
      <c r="Y40" s="130">
        <f>Hedge_Total!G120</f>
        <v/>
      </c>
      <c r="Z40" s="130">
        <f>IF(B40&gt;$K$13,-1*$J$13,(($K$13-B40)*$I$13)-$J$13)</f>
        <v/>
      </c>
      <c r="AA40" s="130">
        <f>Hedge_Total!G150</f>
        <v/>
      </c>
      <c r="AB40" s="130">
        <f>IF(B40&gt;$K$14,-1*$J$14,(($K$14-B40)*$I$14)-$J$14)</f>
        <v/>
      </c>
      <c r="AC40" s="130">
        <f>Hedge_Total!G180</f>
        <v/>
      </c>
      <c r="AD40" s="130">
        <f>IF(B40&gt;$K$15,-1*$J$15,(($K$15-B40)*$I$15)-$J$15)</f>
        <v/>
      </c>
      <c r="AE40" s="130">
        <f>Hedge_Total!G210</f>
        <v/>
      </c>
      <c r="AF40" s="130">
        <f>IF(B40&gt;$K$16,-1*$J$16,(($K$16-B40)*$I$16)-$J$16)</f>
        <v/>
      </c>
      <c r="AG40" s="130">
        <f>Hedge_Total!G240</f>
        <v/>
      </c>
      <c r="AH40" s="130">
        <f>IF(B40&gt;$K$17,-1*$J$17,(($K$17-B40)*$I$17)-$J$17)</f>
        <v/>
      </c>
      <c r="AI40" s="130">
        <f>Hedge_Total!G270</f>
        <v/>
      </c>
      <c r="AJ40" s="130">
        <f>IF(B40&gt;$K$18,-1*$J$18,(($K$18-B40)*$I$18)-$J$18)</f>
        <v/>
      </c>
      <c r="AK40" s="130">
        <f>Hedge_Total!G300</f>
        <v/>
      </c>
      <c r="AL40" s="130">
        <f>IF(B40&gt;$K$19,-1*$J$19,(($K$19-B40)*$I$19)-$J$19)</f>
        <v/>
      </c>
      <c r="AM40" s="130">
        <f>Hedge_Total!G330</f>
        <v/>
      </c>
      <c r="AN40" s="130">
        <f>IF(B40&gt;$K$20,-1*$J$20,(($K$20-B40)*$I$20)-$J$20)</f>
        <v/>
      </c>
      <c r="AO40" s="130">
        <f>Hedge_Total!G360</f>
        <v/>
      </c>
      <c r="AP40" s="130">
        <f>IF(B40&gt;$K$21,-1*$J$21,(($K$21-B40)*$I$21)-$J$21)</f>
        <v/>
      </c>
      <c r="AQ40" s="130">
        <f>Hedge_Total!G390</f>
        <v/>
      </c>
      <c r="AR40" s="130">
        <f>IF(B40&gt;$K$22,-1*$J$22,(($K$22-B40)*$I$22)-$J$22)</f>
        <v/>
      </c>
      <c r="AS40" s="130">
        <f>Hedge_Total!G420</f>
        <v/>
      </c>
      <c r="AT40" s="130">
        <f>IF(B40&gt;$K$23,-1*$J$23,(($K$23-B40)*$I$23)-$J$23)</f>
        <v/>
      </c>
    </row>
    <row r="41" ht="14.25" customHeight="1" s="116">
      <c r="B41" s="183">
        <f>B40-1</f>
        <v/>
      </c>
      <c r="C41" s="184">
        <f>J41/$C$16</f>
        <v/>
      </c>
      <c r="D41" s="184">
        <f>K41/$C$16</f>
        <v/>
      </c>
      <c r="E41" s="130">
        <f>($C$10*B41)-$F$10</f>
        <v/>
      </c>
      <c r="F41" s="185">
        <f>(E41/$F$10)</f>
        <v/>
      </c>
      <c r="H41" s="183">
        <f>H40-1</f>
        <v/>
      </c>
      <c r="I41" s="184">
        <f>Hedge_Total!C451</f>
        <v/>
      </c>
      <c r="J41" s="130">
        <f>Hedge_Total!G451</f>
        <v/>
      </c>
      <c r="K41" s="130">
        <f>T41+V41+X41+Z41+AB41+AD41+AF41+AH41+AJ41+AL41+AN41+AP41+AR41+AT41</f>
        <v/>
      </c>
      <c r="L41" s="185">
        <f>N41/$F$10</f>
        <v/>
      </c>
      <c r="M41" s="185">
        <f>O41/$F$10</f>
        <v/>
      </c>
      <c r="N41" s="130">
        <f>E41+J41</f>
        <v/>
      </c>
      <c r="O41" s="130">
        <f>E41+K41</f>
        <v/>
      </c>
      <c r="P41" s="186">
        <f>J42-2*J41+J40</f>
        <v/>
      </c>
      <c r="Q41" s="187" t="n"/>
      <c r="R41" s="183">
        <f>R40-1</f>
        <v/>
      </c>
      <c r="S41" s="130">
        <f>Hedge_Total!G34</f>
        <v/>
      </c>
      <c r="T41" s="130">
        <f>IF(B41&gt;$K$10,-1*$J$10,(($K$10-B41)*$I$10)-$J$10)</f>
        <v/>
      </c>
      <c r="U41" s="130">
        <f>Hedge_Total!G63</f>
        <v/>
      </c>
      <c r="V41" s="130">
        <f>IF(B41&gt;$K$11,-1*$J$11,(($K$11-B41)*$I$11)-$J$11)</f>
        <v/>
      </c>
      <c r="W41" s="130">
        <f>Hedge_Total!G92</f>
        <v/>
      </c>
      <c r="X41" s="130">
        <f>IF(B41&gt;$K$12,-1*$J$12,(($K$12-B41)*$I$12)-$J$12)</f>
        <v/>
      </c>
      <c r="Y41" s="130">
        <f>Hedge_Total!G121</f>
        <v/>
      </c>
      <c r="Z41" s="130">
        <f>IF(B41&gt;$K$13,-1*$J$13,(($K$13-B41)*$I$13)-$J$13)</f>
        <v/>
      </c>
      <c r="AA41" s="130">
        <f>Hedge_Total!G151</f>
        <v/>
      </c>
      <c r="AB41" s="130">
        <f>IF(B41&gt;$K$14,-1*$J$14,(($K$14-B41)*$I$14)-$J$14)</f>
        <v/>
      </c>
      <c r="AC41" s="130">
        <f>Hedge_Total!G181</f>
        <v/>
      </c>
      <c r="AD41" s="130">
        <f>IF(B41&gt;$K$15,-1*$J$15,(($K$15-B41)*$I$15)-$J$15)</f>
        <v/>
      </c>
      <c r="AE41" s="130">
        <f>Hedge_Total!G211</f>
        <v/>
      </c>
      <c r="AF41" s="130">
        <f>IF(B41&gt;$K$16,-1*$J$16,(($K$16-B41)*$I$16)-$J$16)</f>
        <v/>
      </c>
      <c r="AG41" s="130">
        <f>Hedge_Total!G241</f>
        <v/>
      </c>
      <c r="AH41" s="130">
        <f>IF(B41&gt;$K$17,-1*$J$17,(($K$17-B41)*$I$17)-$J$17)</f>
        <v/>
      </c>
      <c r="AI41" s="130">
        <f>Hedge_Total!G271</f>
        <v/>
      </c>
      <c r="AJ41" s="130">
        <f>IF(B41&gt;$K$18,-1*$J$18,(($K$18-B41)*$I$18)-$J$18)</f>
        <v/>
      </c>
      <c r="AK41" s="130">
        <f>Hedge_Total!G301</f>
        <v/>
      </c>
      <c r="AL41" s="130">
        <f>IF(B41&gt;$K$19,-1*$J$19,(($K$19-B41)*$I$19)-$J$19)</f>
        <v/>
      </c>
      <c r="AM41" s="130">
        <f>Hedge_Total!G331</f>
        <v/>
      </c>
      <c r="AN41" s="130">
        <f>IF(B41&gt;$K$20,-1*$J$20,(($K$20-B41)*$I$20)-$J$20)</f>
        <v/>
      </c>
      <c r="AO41" s="130">
        <f>Hedge_Total!G361</f>
        <v/>
      </c>
      <c r="AP41" s="130">
        <f>IF(B41&gt;$K$21,-1*$J$21,(($K$21-B41)*$I$21)-$J$21)</f>
        <v/>
      </c>
      <c r="AQ41" s="130">
        <f>Hedge_Total!G391</f>
        <v/>
      </c>
      <c r="AR41" s="130">
        <f>IF(B41&gt;$K$22,-1*$J$22,(($K$22-B41)*$I$22)-$J$22)</f>
        <v/>
      </c>
      <c r="AS41" s="130">
        <f>Hedge_Total!G421</f>
        <v/>
      </c>
      <c r="AT41" s="130">
        <f>IF(B41&gt;$K$23,-1*$J$23,(($K$23-B41)*$I$23)-$J$23)</f>
        <v/>
      </c>
    </row>
    <row r="42" ht="14.25" customHeight="1" s="116">
      <c r="B42" s="183">
        <f>B41-1</f>
        <v/>
      </c>
      <c r="C42" s="184">
        <f>J42/$C$16</f>
        <v/>
      </c>
      <c r="D42" s="184">
        <f>K42/$C$16</f>
        <v/>
      </c>
      <c r="E42" s="130">
        <f>($C$10*B42)-$F$10</f>
        <v/>
      </c>
      <c r="F42" s="185">
        <f>(E42/$F$10)</f>
        <v/>
      </c>
      <c r="H42" s="183">
        <f>H41-1</f>
        <v/>
      </c>
      <c r="I42" s="184">
        <f>Hedge_Total!C452</f>
        <v/>
      </c>
      <c r="J42" s="130">
        <f>Hedge_Total!G452</f>
        <v/>
      </c>
      <c r="K42" s="130">
        <f>T42+V42+X42+Z42+AB42+AD42+AF42+AH42+AJ42+AL42+AN42+AP42+AR42+AT42</f>
        <v/>
      </c>
      <c r="L42" s="185">
        <f>N42/$F$10</f>
        <v/>
      </c>
      <c r="M42" s="185">
        <f>O42/$F$10</f>
        <v/>
      </c>
      <c r="N42" s="130">
        <f>E42+J42</f>
        <v/>
      </c>
      <c r="O42" s="130">
        <f>E42+K42</f>
        <v/>
      </c>
      <c r="P42" s="186">
        <f>J43-2*J42+J41</f>
        <v/>
      </c>
      <c r="Q42" s="187" t="n"/>
      <c r="R42" s="183">
        <f>R41-1</f>
        <v/>
      </c>
      <c r="S42" s="130">
        <f>Hedge_Total!G35</f>
        <v/>
      </c>
      <c r="T42" s="130">
        <f>IF(B42&gt;$K$10,-1*$J$10,(($K$10-B42)*$I$10)-$J$10)</f>
        <v/>
      </c>
      <c r="U42" s="130">
        <f>Hedge_Total!G64</f>
        <v/>
      </c>
      <c r="V42" s="130">
        <f>IF(B42&gt;$K$11,-1*$J$11,(($K$11-B42)*$I$11)-$J$11)</f>
        <v/>
      </c>
      <c r="W42" s="130">
        <f>Hedge_Total!G93</f>
        <v/>
      </c>
      <c r="X42" s="130">
        <f>IF(B42&gt;$K$12,-1*$J$12,(($K$12-B42)*$I$12)-$J$12)</f>
        <v/>
      </c>
      <c r="Y42" s="130">
        <f>Hedge_Total!G122</f>
        <v/>
      </c>
      <c r="Z42" s="130">
        <f>IF(B42&gt;$K$13,-1*$J$13,(($K$13-B42)*$I$13)-$J$13)</f>
        <v/>
      </c>
      <c r="AA42" s="130">
        <f>Hedge_Total!G152</f>
        <v/>
      </c>
      <c r="AB42" s="130">
        <f>IF(B42&gt;$K$14,-1*$J$14,(($K$14-B42)*$I$14)-$J$14)</f>
        <v/>
      </c>
      <c r="AC42" s="130">
        <f>Hedge_Total!G182</f>
        <v/>
      </c>
      <c r="AD42" s="130">
        <f>IF(B42&gt;$K$15,-1*$J$15,(($K$15-B42)*$I$15)-$J$15)</f>
        <v/>
      </c>
      <c r="AE42" s="130">
        <f>Hedge_Total!G212</f>
        <v/>
      </c>
      <c r="AF42" s="130">
        <f>IF(B42&gt;$K$16,-1*$J$16,(($K$16-B42)*$I$16)-$J$16)</f>
        <v/>
      </c>
      <c r="AG42" s="130">
        <f>Hedge_Total!G242</f>
        <v/>
      </c>
      <c r="AH42" s="130">
        <f>IF(B42&gt;$K$17,-1*$J$17,(($K$17-B42)*$I$17)-$J$17)</f>
        <v/>
      </c>
      <c r="AI42" s="130">
        <f>Hedge_Total!G272</f>
        <v/>
      </c>
      <c r="AJ42" s="130">
        <f>IF(B42&gt;$K$18,-1*$J$18,(($K$18-B42)*$I$18)-$J$18)</f>
        <v/>
      </c>
      <c r="AK42" s="130">
        <f>Hedge_Total!G302</f>
        <v/>
      </c>
      <c r="AL42" s="130">
        <f>IF(B42&gt;$K$19,-1*$J$19,(($K$19-B42)*$I$19)-$J$19)</f>
        <v/>
      </c>
      <c r="AM42" s="130">
        <f>Hedge_Total!G332</f>
        <v/>
      </c>
      <c r="AN42" s="130">
        <f>IF(B42&gt;$K$20,-1*$J$20,(($K$20-B42)*$I$20)-$J$20)</f>
        <v/>
      </c>
      <c r="AO42" s="130">
        <f>Hedge_Total!G362</f>
        <v/>
      </c>
      <c r="AP42" s="130">
        <f>IF(B42&gt;$K$21,-1*$J$21,(($K$21-B42)*$I$21)-$J$21)</f>
        <v/>
      </c>
      <c r="AQ42" s="130">
        <f>Hedge_Total!G392</f>
        <v/>
      </c>
      <c r="AR42" s="130">
        <f>IF(B42&gt;$K$22,-1*$J$22,(($K$22-B42)*$I$22)-$J$22)</f>
        <v/>
      </c>
      <c r="AS42" s="130">
        <f>Hedge_Total!G422</f>
        <v/>
      </c>
      <c r="AT42" s="130">
        <f>IF(B42&gt;$K$23,-1*$J$23,(($K$23-B42)*$I$23)-$J$23)</f>
        <v/>
      </c>
    </row>
    <row r="43" ht="14.25" customHeight="1" s="116">
      <c r="B43" s="183">
        <f>B42-1</f>
        <v/>
      </c>
      <c r="C43" s="184">
        <f>J43/$C$16</f>
        <v/>
      </c>
      <c r="D43" s="184">
        <f>K43/$C$16</f>
        <v/>
      </c>
      <c r="E43" s="130">
        <f>($C$10*B43)-$F$10</f>
        <v/>
      </c>
      <c r="F43" s="185">
        <f>(E43/$F$10)</f>
        <v/>
      </c>
      <c r="H43" s="183">
        <f>H42-1</f>
        <v/>
      </c>
      <c r="I43" s="184">
        <f>Hedge_Total!C453</f>
        <v/>
      </c>
      <c r="J43" s="130">
        <f>Hedge_Total!G453</f>
        <v/>
      </c>
      <c r="K43" s="130">
        <f>T43+V43+X43+Z43+AB43+AD43+AF43+AH43+AJ43+AL43+AN43+AP43+AR43+AT43</f>
        <v/>
      </c>
      <c r="L43" s="185">
        <f>N43/$F$10</f>
        <v/>
      </c>
      <c r="M43" s="185">
        <f>O43/$F$10</f>
        <v/>
      </c>
      <c r="N43" s="130">
        <f>E43+J43</f>
        <v/>
      </c>
      <c r="O43" s="130">
        <f>E43+K43</f>
        <v/>
      </c>
      <c r="P43" s="186">
        <f>J44-2*J43+J42</f>
        <v/>
      </c>
      <c r="Q43" s="187" t="n"/>
      <c r="R43" s="183">
        <f>R42-1</f>
        <v/>
      </c>
      <c r="S43" s="130">
        <f>Hedge_Total!G36</f>
        <v/>
      </c>
      <c r="T43" s="130">
        <f>IF(B43&gt;$K$10,-1*$J$10,(($K$10-B43)*$I$10)-$J$10)</f>
        <v/>
      </c>
      <c r="U43" s="130">
        <f>Hedge_Total!G65</f>
        <v/>
      </c>
      <c r="V43" s="130">
        <f>IF(B43&gt;$K$11,-1*$J$11,(($K$11-B43)*$I$11)-$J$11)</f>
        <v/>
      </c>
      <c r="W43" s="130">
        <f>Hedge_Total!G94</f>
        <v/>
      </c>
      <c r="X43" s="130">
        <f>IF(B43&gt;$K$12,-1*$J$12,(($K$12-B43)*$I$12)-$J$12)</f>
        <v/>
      </c>
      <c r="Y43" s="130">
        <f>Hedge_Total!G123</f>
        <v/>
      </c>
      <c r="Z43" s="130">
        <f>IF(B43&gt;$K$13,-1*$J$13,(($K$13-B43)*$I$13)-$J$13)</f>
        <v/>
      </c>
      <c r="AA43" s="130">
        <f>Hedge_Total!G153</f>
        <v/>
      </c>
      <c r="AB43" s="130">
        <f>IF(B43&gt;$K$14,-1*$J$14,(($K$14-B43)*$I$14)-$J$14)</f>
        <v/>
      </c>
      <c r="AC43" s="130">
        <f>Hedge_Total!G183</f>
        <v/>
      </c>
      <c r="AD43" s="130">
        <f>IF(B43&gt;$K$15,-1*$J$15,(($K$15-B43)*$I$15)-$J$15)</f>
        <v/>
      </c>
      <c r="AE43" s="130">
        <f>Hedge_Total!G213</f>
        <v/>
      </c>
      <c r="AF43" s="130">
        <f>IF(B43&gt;$K$16,-1*$J$16,(($K$16-B43)*$I$16)-$J$16)</f>
        <v/>
      </c>
      <c r="AG43" s="130">
        <f>Hedge_Total!G243</f>
        <v/>
      </c>
      <c r="AH43" s="130">
        <f>IF(B43&gt;$K$17,-1*$J$17,(($K$17-B43)*$I$17)-$J$17)</f>
        <v/>
      </c>
      <c r="AI43" s="130">
        <f>Hedge_Total!G273</f>
        <v/>
      </c>
      <c r="AJ43" s="130">
        <f>IF(B43&gt;$K$18,-1*$J$18,(($K$18-B43)*$I$18)-$J$18)</f>
        <v/>
      </c>
      <c r="AK43" s="130">
        <f>Hedge_Total!G303</f>
        <v/>
      </c>
      <c r="AL43" s="130">
        <f>IF(B43&gt;$K$19,-1*$J$19,(($K$19-B43)*$I$19)-$J$19)</f>
        <v/>
      </c>
      <c r="AM43" s="130">
        <f>Hedge_Total!G333</f>
        <v/>
      </c>
      <c r="AN43" s="130">
        <f>IF(B43&gt;$K$20,-1*$J$20,(($K$20-B43)*$I$20)-$J$20)</f>
        <v/>
      </c>
      <c r="AO43" s="130">
        <f>Hedge_Total!G363</f>
        <v/>
      </c>
      <c r="AP43" s="130">
        <f>IF(B43&gt;$K$21,-1*$J$21,(($K$21-B43)*$I$21)-$J$21)</f>
        <v/>
      </c>
      <c r="AQ43" s="130">
        <f>Hedge_Total!G393</f>
        <v/>
      </c>
      <c r="AR43" s="130">
        <f>IF(B43&gt;$K$22,-1*$J$22,(($K$22-B43)*$I$22)-$J$22)</f>
        <v/>
      </c>
      <c r="AS43" s="130">
        <f>Hedge_Total!G423</f>
        <v/>
      </c>
      <c r="AT43" s="130">
        <f>IF(B43&gt;$K$23,-1*$J$23,(($K$23-B43)*$I$23)-$J$23)</f>
        <v/>
      </c>
    </row>
    <row r="44" ht="14.25" customHeight="1" s="116">
      <c r="B44" s="183">
        <f>B43-1</f>
        <v/>
      </c>
      <c r="C44" s="184">
        <f>J44/$C$16</f>
        <v/>
      </c>
      <c r="D44" s="184">
        <f>K44/$C$16</f>
        <v/>
      </c>
      <c r="E44" s="130">
        <f>($C$10*B44)-$F$10</f>
        <v/>
      </c>
      <c r="F44" s="185">
        <f>(E44/$F$10)</f>
        <v/>
      </c>
      <c r="H44" s="183">
        <f>H43-1</f>
        <v/>
      </c>
      <c r="I44" s="184">
        <f>Hedge_Total!C454</f>
        <v/>
      </c>
      <c r="J44" s="130">
        <f>Hedge_Total!G454</f>
        <v/>
      </c>
      <c r="K44" s="130">
        <f>T44+V44+X44+Z44+AB44+AD44+AF44+AH44+AJ44+AL44+AN44+AP44+AR44+AT44</f>
        <v/>
      </c>
      <c r="L44" s="185">
        <f>N44/$F$10</f>
        <v/>
      </c>
      <c r="M44" s="185">
        <f>O44/$F$10</f>
        <v/>
      </c>
      <c r="N44" s="130">
        <f>E44+J44</f>
        <v/>
      </c>
      <c r="O44" s="130">
        <f>E44+K44</f>
        <v/>
      </c>
      <c r="P44" s="186">
        <f>J45-2*J44+J43</f>
        <v/>
      </c>
      <c r="Q44" s="187" t="n"/>
      <c r="R44" s="183">
        <f>R43-1</f>
        <v/>
      </c>
      <c r="S44" s="130">
        <f>Hedge_Total!G37</f>
        <v/>
      </c>
      <c r="T44" s="130">
        <f>IF(B44&gt;$K$10,-1*$J$10,(($K$10-B44)*$I$10)-$J$10)</f>
        <v/>
      </c>
      <c r="U44" s="130">
        <f>Hedge_Total!G66</f>
        <v/>
      </c>
      <c r="V44" s="130">
        <f>IF(B44&gt;$K$11,-1*$J$11,(($K$11-B44)*$I$11)-$J$11)</f>
        <v/>
      </c>
      <c r="W44" s="130">
        <f>Hedge_Total!G95</f>
        <v/>
      </c>
      <c r="X44" s="130">
        <f>IF(B44&gt;$K$12,-1*$J$12,(($K$12-B44)*$I$12)-$J$12)</f>
        <v/>
      </c>
      <c r="Y44" s="130">
        <f>Hedge_Total!G124</f>
        <v/>
      </c>
      <c r="Z44" s="130">
        <f>IF(B44&gt;$K$13,-1*$J$13,(($K$13-B44)*$I$13)-$J$13)</f>
        <v/>
      </c>
      <c r="AA44" s="130">
        <f>Hedge_Total!G154</f>
        <v/>
      </c>
      <c r="AB44" s="130">
        <f>IF(B44&gt;$K$14,-1*$J$14,(($K$14-B44)*$I$14)-$J$14)</f>
        <v/>
      </c>
      <c r="AC44" s="130">
        <f>Hedge_Total!G184</f>
        <v/>
      </c>
      <c r="AD44" s="130">
        <f>IF(B44&gt;$K$15,-1*$J$15,(($K$15-B44)*$I$15)-$J$15)</f>
        <v/>
      </c>
      <c r="AE44" s="130">
        <f>Hedge_Total!G214</f>
        <v/>
      </c>
      <c r="AF44" s="130">
        <f>IF(B44&gt;$K$16,-1*$J$16,(($K$16-B44)*$I$16)-$J$16)</f>
        <v/>
      </c>
      <c r="AG44" s="130">
        <f>Hedge_Total!G244</f>
        <v/>
      </c>
      <c r="AH44" s="130">
        <f>IF(B44&gt;$K$17,-1*$J$17,(($K$17-B44)*$I$17)-$J$17)</f>
        <v/>
      </c>
      <c r="AI44" s="130">
        <f>Hedge_Total!G274</f>
        <v/>
      </c>
      <c r="AJ44" s="130">
        <f>IF(B44&gt;$K$18,-1*$J$18,(($K$18-B44)*$I$18)-$J$18)</f>
        <v/>
      </c>
      <c r="AK44" s="130">
        <f>Hedge_Total!G304</f>
        <v/>
      </c>
      <c r="AL44" s="130">
        <f>IF(B44&gt;$K$19,-1*$J$19,(($K$19-B44)*$I$19)-$J$19)</f>
        <v/>
      </c>
      <c r="AM44" s="130">
        <f>Hedge_Total!G334</f>
        <v/>
      </c>
      <c r="AN44" s="130">
        <f>IF(B44&gt;$K$20,-1*$J$20,(($K$20-B44)*$I$20)-$J$20)</f>
        <v/>
      </c>
      <c r="AO44" s="130">
        <f>Hedge_Total!G364</f>
        <v/>
      </c>
      <c r="AP44" s="130">
        <f>IF(B44&gt;$K$21,-1*$J$21,(($K$21-B44)*$I$21)-$J$21)</f>
        <v/>
      </c>
      <c r="AQ44" s="130">
        <f>Hedge_Total!G394</f>
        <v/>
      </c>
      <c r="AR44" s="130">
        <f>IF(B44&gt;$K$22,-1*$J$22,(($K$22-B44)*$I$22)-$J$22)</f>
        <v/>
      </c>
      <c r="AS44" s="130">
        <f>Hedge_Total!G424</f>
        <v/>
      </c>
      <c r="AT44" s="130">
        <f>IF(B44&gt;$K$23,-1*$J$23,(($K$23-B44)*$I$23)-$J$23)</f>
        <v/>
      </c>
    </row>
    <row r="45" ht="14.25" customHeight="1" s="116">
      <c r="B45" s="183">
        <f>B44-1</f>
        <v/>
      </c>
      <c r="C45" s="184">
        <f>J45/$C$16</f>
        <v/>
      </c>
      <c r="D45" s="184">
        <f>K45/$C$16</f>
        <v/>
      </c>
      <c r="E45" s="130">
        <f>($C$10*B45)-$F$10</f>
        <v/>
      </c>
      <c r="F45" s="185">
        <f>(E45/$F$10)</f>
        <v/>
      </c>
      <c r="H45" s="183">
        <f>H44-1</f>
        <v/>
      </c>
      <c r="I45" s="184">
        <f>Hedge_Total!C455</f>
        <v/>
      </c>
      <c r="J45" s="130">
        <f>Hedge_Total!G455</f>
        <v/>
      </c>
      <c r="K45" s="130">
        <f>T45+V45+X45+Z45+AB45+AD45+AF45+AH45+AJ45+AL45+AN45+AP45+AR45+AT45</f>
        <v/>
      </c>
      <c r="L45" s="185">
        <f>N45/$F$10</f>
        <v/>
      </c>
      <c r="M45" s="185">
        <f>O45/$F$10</f>
        <v/>
      </c>
      <c r="N45" s="130">
        <f>E45+J45</f>
        <v/>
      </c>
      <c r="O45" s="130">
        <f>E45+K45</f>
        <v/>
      </c>
      <c r="P45" s="186">
        <f>J46-2*J45+J44</f>
        <v/>
      </c>
      <c r="Q45" s="187" t="n"/>
      <c r="R45" s="183">
        <f>R44-1</f>
        <v/>
      </c>
      <c r="S45" s="130">
        <f>Hedge_Total!G38</f>
        <v/>
      </c>
      <c r="T45" s="130">
        <f>IF(B45&gt;$K$10,-1*$J$10,(($K$10-B45)*$I$10)-$J$10)</f>
        <v/>
      </c>
      <c r="U45" s="130">
        <f>Hedge_Total!G67</f>
        <v/>
      </c>
      <c r="V45" s="130">
        <f>IF(B45&gt;$K$11,-1*$J$11,(($K$11-B45)*$I$11)-$J$11)</f>
        <v/>
      </c>
      <c r="W45" s="130">
        <f>Hedge_Total!G96</f>
        <v/>
      </c>
      <c r="X45" s="130">
        <f>IF(B45&gt;$K$12,-1*$J$12,(($K$12-B45)*$I$12)-$J$12)</f>
        <v/>
      </c>
      <c r="Y45" s="130">
        <f>Hedge_Total!G125</f>
        <v/>
      </c>
      <c r="Z45" s="130">
        <f>IF(B45&gt;$K$13,-1*$J$13,(($K$13-B45)*$I$13)-$J$13)</f>
        <v/>
      </c>
      <c r="AA45" s="130">
        <f>Hedge_Total!G155</f>
        <v/>
      </c>
      <c r="AB45" s="130">
        <f>IF(B45&gt;$K$14,-1*$J$14,(($K$14-B45)*$I$14)-$J$14)</f>
        <v/>
      </c>
      <c r="AC45" s="130">
        <f>Hedge_Total!G185</f>
        <v/>
      </c>
      <c r="AD45" s="130">
        <f>IF(B45&gt;$K$15,-1*$J$15,(($K$15-B45)*$I$15)-$J$15)</f>
        <v/>
      </c>
      <c r="AE45" s="130">
        <f>Hedge_Total!G215</f>
        <v/>
      </c>
      <c r="AF45" s="130">
        <f>IF(B45&gt;$K$16,-1*$J$16,(($K$16-B45)*$I$16)-$J$16)</f>
        <v/>
      </c>
      <c r="AG45" s="130">
        <f>Hedge_Total!G245</f>
        <v/>
      </c>
      <c r="AH45" s="130">
        <f>IF(B45&gt;$K$17,-1*$J$17,(($K$17-B45)*$I$17)-$J$17)</f>
        <v/>
      </c>
      <c r="AI45" s="130">
        <f>Hedge_Total!G275</f>
        <v/>
      </c>
      <c r="AJ45" s="130">
        <f>IF(B45&gt;$K$18,-1*$J$18,(($K$18-B45)*$I$18)-$J$18)</f>
        <v/>
      </c>
      <c r="AK45" s="130">
        <f>Hedge_Total!G305</f>
        <v/>
      </c>
      <c r="AL45" s="130">
        <f>IF(B45&gt;$K$19,-1*$J$19,(($K$19-B45)*$I$19)-$J$19)</f>
        <v/>
      </c>
      <c r="AM45" s="130">
        <f>Hedge_Total!G335</f>
        <v/>
      </c>
      <c r="AN45" s="130">
        <f>IF(B45&gt;$K$20,-1*$J$20,(($K$20-B45)*$I$20)-$J$20)</f>
        <v/>
      </c>
      <c r="AO45" s="130">
        <f>Hedge_Total!G365</f>
        <v/>
      </c>
      <c r="AP45" s="130">
        <f>IF(B45&gt;$K$21,-1*$J$21,(($K$21-B45)*$I$21)-$J$21)</f>
        <v/>
      </c>
      <c r="AQ45" s="130">
        <f>Hedge_Total!G395</f>
        <v/>
      </c>
      <c r="AR45" s="130">
        <f>IF(B45&gt;$K$22,-1*$J$22,(($K$22-B45)*$I$22)-$J$22)</f>
        <v/>
      </c>
      <c r="AS45" s="130">
        <f>Hedge_Total!G425</f>
        <v/>
      </c>
      <c r="AT45" s="130">
        <f>IF(B45&gt;$K$23,-1*$J$23,(($K$23-B45)*$I$23)-$J$23)</f>
        <v/>
      </c>
    </row>
    <row r="46" ht="14.25" customHeight="1" s="116">
      <c r="B46" s="183">
        <f>B45-1</f>
        <v/>
      </c>
      <c r="C46" s="184">
        <f>J46/$C$16</f>
        <v/>
      </c>
      <c r="D46" s="184">
        <f>K46/$C$16</f>
        <v/>
      </c>
      <c r="E46" s="130">
        <f>($C$10*B46)-$F$10</f>
        <v/>
      </c>
      <c r="F46" s="185">
        <f>(E46/$F$10)</f>
        <v/>
      </c>
      <c r="H46" s="183">
        <f>H45-1</f>
        <v/>
      </c>
      <c r="I46" s="184">
        <f>Hedge_Total!C456</f>
        <v/>
      </c>
      <c r="J46" s="130">
        <f>Hedge_Total!G456</f>
        <v/>
      </c>
      <c r="K46" s="130">
        <f>T46+V46+X46+Z46+AB46+AD46+AF46+AH46+AJ46+AL46+AN46+AP46+AR46+AT46</f>
        <v/>
      </c>
      <c r="L46" s="185">
        <f>N46/$F$10</f>
        <v/>
      </c>
      <c r="M46" s="185">
        <f>O46/$F$10</f>
        <v/>
      </c>
      <c r="N46" s="130">
        <f>E46+J46</f>
        <v/>
      </c>
      <c r="O46" s="130">
        <f>E46+K46</f>
        <v/>
      </c>
      <c r="P46" s="186">
        <f>J47-2*J46+J45</f>
        <v/>
      </c>
      <c r="Q46" s="187" t="n"/>
      <c r="R46" s="183">
        <f>R45-1</f>
        <v/>
      </c>
      <c r="S46" s="130">
        <f>Hedge_Total!G39</f>
        <v/>
      </c>
      <c r="T46" s="130">
        <f>IF(B46&gt;$K$10,-1*$J$10,(($K$10-B46)*$I$10)-$J$10)</f>
        <v/>
      </c>
      <c r="U46" s="130">
        <f>Hedge_Total!G68</f>
        <v/>
      </c>
      <c r="V46" s="130">
        <f>IF(B46&gt;$K$11,-1*$J$11,(($K$11-B46)*$I$11)-$J$11)</f>
        <v/>
      </c>
      <c r="W46" s="130">
        <f>Hedge_Total!G97</f>
        <v/>
      </c>
      <c r="X46" s="130">
        <f>IF(B46&gt;$K$12,-1*$J$12,(($K$12-B46)*$I$12)-$J$12)</f>
        <v/>
      </c>
      <c r="Y46" s="130">
        <f>Hedge_Total!G126</f>
        <v/>
      </c>
      <c r="Z46" s="130">
        <f>IF(B46&gt;$K$13,-1*$J$13,(($K$13-B46)*$I$13)-$J$13)</f>
        <v/>
      </c>
      <c r="AA46" s="130">
        <f>Hedge_Total!G156</f>
        <v/>
      </c>
      <c r="AB46" s="130">
        <f>IF(B46&gt;$K$14,-1*$J$14,(($K$14-B46)*$I$14)-$J$14)</f>
        <v/>
      </c>
      <c r="AC46" s="130">
        <f>Hedge_Total!G186</f>
        <v/>
      </c>
      <c r="AD46" s="130">
        <f>IF(B46&gt;$K$15,-1*$J$15,(($K$15-B46)*$I$15)-$J$15)</f>
        <v/>
      </c>
      <c r="AE46" s="130">
        <f>Hedge_Total!G216</f>
        <v/>
      </c>
      <c r="AF46" s="130">
        <f>IF(B46&gt;$K$16,-1*$J$16,(($K$16-B46)*$I$16)-$J$16)</f>
        <v/>
      </c>
      <c r="AG46" s="130">
        <f>Hedge_Total!G246</f>
        <v/>
      </c>
      <c r="AH46" s="130">
        <f>IF(B46&gt;$K$17,-1*$J$17,(($K$17-B46)*$I$17)-$J$17)</f>
        <v/>
      </c>
      <c r="AI46" s="130">
        <f>Hedge_Total!G276</f>
        <v/>
      </c>
      <c r="AJ46" s="130">
        <f>IF(B46&gt;$K$18,-1*$J$18,(($K$18-B46)*$I$18)-$J$18)</f>
        <v/>
      </c>
      <c r="AK46" s="130">
        <f>Hedge_Total!G306</f>
        <v/>
      </c>
      <c r="AL46" s="130">
        <f>IF(B46&gt;$K$19,-1*$J$19,(($K$19-B46)*$I$19)-$J$19)</f>
        <v/>
      </c>
      <c r="AM46" s="130">
        <f>Hedge_Total!G336</f>
        <v/>
      </c>
      <c r="AN46" s="130">
        <f>IF(B46&gt;$K$20,-1*$J$20,(($K$20-B46)*$I$20)-$J$20)</f>
        <v/>
      </c>
      <c r="AO46" s="130">
        <f>Hedge_Total!G366</f>
        <v/>
      </c>
      <c r="AP46" s="130">
        <f>IF(B46&gt;$K$21,-1*$J$21,(($K$21-B46)*$I$21)-$J$21)</f>
        <v/>
      </c>
      <c r="AQ46" s="130">
        <f>Hedge_Total!G396</f>
        <v/>
      </c>
      <c r="AR46" s="130">
        <f>IF(B46&gt;$K$22,-1*$J$22,(($K$22-B46)*$I$22)-$J$22)</f>
        <v/>
      </c>
      <c r="AS46" s="130">
        <f>Hedge_Total!G426</f>
        <v/>
      </c>
      <c r="AT46" s="130">
        <f>IF(B46&gt;$K$23,-1*$J$23,(($K$23-B46)*$I$23)-$J$23)</f>
        <v/>
      </c>
    </row>
    <row r="47" ht="14.25" customHeight="1" s="116">
      <c r="B47" s="183">
        <f>B46-1</f>
        <v/>
      </c>
      <c r="C47" s="184">
        <f>J47/$C$16</f>
        <v/>
      </c>
      <c r="D47" s="184">
        <f>K47/$C$16</f>
        <v/>
      </c>
      <c r="E47" s="130">
        <f>($C$10*B47)-$F$10</f>
        <v/>
      </c>
      <c r="F47" s="185">
        <f>(E47/$F$10)</f>
        <v/>
      </c>
      <c r="H47" s="183">
        <f>H46-1</f>
        <v/>
      </c>
      <c r="I47" s="184">
        <f>Hedge_Total!C457</f>
        <v/>
      </c>
      <c r="J47" s="130">
        <f>Hedge_Total!G457</f>
        <v/>
      </c>
      <c r="K47" s="130">
        <f>T47+V47+X47+Z47+AB47+AD47+AF47+AH47+AJ47+AL47+AN47+AP47+AR47+AT47</f>
        <v/>
      </c>
      <c r="L47" s="185">
        <f>N47/$F$10</f>
        <v/>
      </c>
      <c r="M47" s="185">
        <f>O47/$F$10</f>
        <v/>
      </c>
      <c r="N47" s="130">
        <f>E47+J47</f>
        <v/>
      </c>
      <c r="O47" s="130">
        <f>E47+K47</f>
        <v/>
      </c>
      <c r="P47" s="186">
        <f>J48-2*J47+J46</f>
        <v/>
      </c>
      <c r="Q47" s="187" t="n"/>
      <c r="R47" s="183">
        <f>R46-1</f>
        <v/>
      </c>
      <c r="S47" s="130">
        <f>Hedge_Total!G40</f>
        <v/>
      </c>
      <c r="T47" s="130">
        <f>IF(B47&gt;$K$10,-1*$J$10,(($K$10-B47)*$I$10)-$J$10)</f>
        <v/>
      </c>
      <c r="U47" s="130">
        <f>Hedge_Total!G69</f>
        <v/>
      </c>
      <c r="V47" s="130">
        <f>IF(B47&gt;$K$11,-1*$J$11,(($K$11-B47)*$I$11)-$J$11)</f>
        <v/>
      </c>
      <c r="W47" s="130">
        <f>Hedge_Total!G98</f>
        <v/>
      </c>
      <c r="X47" s="130">
        <f>IF(B47&gt;$K$12,-1*$J$12,(($K$12-B47)*$I$12)-$J$12)</f>
        <v/>
      </c>
      <c r="Y47" s="130">
        <f>Hedge_Total!G127</f>
        <v/>
      </c>
      <c r="Z47" s="130">
        <f>IF(B47&gt;$K$13,-1*$J$13,(($K$13-B47)*$I$13)-$J$13)</f>
        <v/>
      </c>
      <c r="AA47" s="130">
        <f>Hedge_Total!G157</f>
        <v/>
      </c>
      <c r="AB47" s="130">
        <f>IF(B47&gt;$K$14,-1*$J$14,(($K$14-B47)*$I$14)-$J$14)</f>
        <v/>
      </c>
      <c r="AC47" s="130">
        <f>Hedge_Total!G187</f>
        <v/>
      </c>
      <c r="AD47" s="130">
        <f>IF(B47&gt;$K$15,-1*$J$15,(($K$15-B47)*$I$15)-$J$15)</f>
        <v/>
      </c>
      <c r="AE47" s="130">
        <f>Hedge_Total!G217</f>
        <v/>
      </c>
      <c r="AF47" s="130">
        <f>IF(B47&gt;$K$16,-1*$J$16,(($K$16-B47)*$I$16)-$J$16)</f>
        <v/>
      </c>
      <c r="AG47" s="130">
        <f>Hedge_Total!G247</f>
        <v/>
      </c>
      <c r="AH47" s="130">
        <f>IF(B47&gt;$K$17,-1*$J$17,(($K$17-B47)*$I$17)-$J$17)</f>
        <v/>
      </c>
      <c r="AI47" s="130">
        <f>Hedge_Total!G277</f>
        <v/>
      </c>
      <c r="AJ47" s="130">
        <f>IF(B47&gt;$K$18,-1*$J$18,(($K$18-B47)*$I$18)-$J$18)</f>
        <v/>
      </c>
      <c r="AK47" s="130">
        <f>Hedge_Total!G307</f>
        <v/>
      </c>
      <c r="AL47" s="130">
        <f>IF(B47&gt;$K$19,-1*$J$19,(($K$19-B47)*$I$19)-$J$19)</f>
        <v/>
      </c>
      <c r="AM47" s="130">
        <f>Hedge_Total!G337</f>
        <v/>
      </c>
      <c r="AN47" s="130">
        <f>IF(B47&gt;$K$20,-1*$J$20,(($K$20-B47)*$I$20)-$J$20)</f>
        <v/>
      </c>
      <c r="AO47" s="130">
        <f>Hedge_Total!G367</f>
        <v/>
      </c>
      <c r="AP47" s="130">
        <f>IF(B47&gt;$K$21,-1*$J$21,(($K$21-B47)*$I$21)-$J$21)</f>
        <v/>
      </c>
      <c r="AQ47" s="130">
        <f>Hedge_Total!G397</f>
        <v/>
      </c>
      <c r="AR47" s="130">
        <f>IF(B47&gt;$K$22,-1*$J$22,(($K$22-B47)*$I$22)-$J$22)</f>
        <v/>
      </c>
      <c r="AS47" s="130">
        <f>Hedge_Total!G427</f>
        <v/>
      </c>
      <c r="AT47" s="130">
        <f>IF(B47&gt;$K$23,-1*$J$23,(($K$23-B47)*$I$23)-$J$23)</f>
        <v/>
      </c>
    </row>
    <row r="48" ht="14.25" customHeight="1" s="116">
      <c r="B48" s="183">
        <f>B47-1</f>
        <v/>
      </c>
      <c r="C48" s="184">
        <f>J48/$C$16</f>
        <v/>
      </c>
      <c r="D48" s="184">
        <f>K48/$C$16</f>
        <v/>
      </c>
      <c r="E48" s="130">
        <f>($C$10*B48)-$F$10</f>
        <v/>
      </c>
      <c r="F48" s="185">
        <f>(E48/$F$10)</f>
        <v/>
      </c>
      <c r="H48" s="183">
        <f>H47-1</f>
        <v/>
      </c>
      <c r="I48" s="184">
        <f>Hedge_Total!C458</f>
        <v/>
      </c>
      <c r="J48" s="130">
        <f>Hedge_Total!G458</f>
        <v/>
      </c>
      <c r="K48" s="130">
        <f>T48+V48+X48+Z48+AB48+AD48+AF48+AH48+AJ48+AL48+AN48+AP48+AR48+AT48</f>
        <v/>
      </c>
      <c r="L48" s="185">
        <f>N48/$F$10</f>
        <v/>
      </c>
      <c r="M48" s="185">
        <f>O48/$F$10</f>
        <v/>
      </c>
      <c r="N48" s="130">
        <f>E48+J48</f>
        <v/>
      </c>
      <c r="O48" s="130">
        <f>E48+K48</f>
        <v/>
      </c>
      <c r="P48" s="186">
        <f>J49-2*J48+J47</f>
        <v/>
      </c>
      <c r="Q48" s="187" t="n"/>
      <c r="R48" s="183">
        <f>R47-1</f>
        <v/>
      </c>
      <c r="S48" s="130">
        <f>Hedge_Total!G41</f>
        <v/>
      </c>
      <c r="T48" s="130">
        <f>IF(B48&gt;$K$10,-1*$J$10,(($K$10-B48)*$I$10)-$J$10)</f>
        <v/>
      </c>
      <c r="U48" s="130">
        <f>Hedge_Total!G70</f>
        <v/>
      </c>
      <c r="V48" s="130">
        <f>IF(B48&gt;$K$11,-1*$J$11,(($K$11-B48)*$I$11)-$J$11)</f>
        <v/>
      </c>
      <c r="W48" s="130">
        <f>Hedge_Total!G99</f>
        <v/>
      </c>
      <c r="X48" s="130">
        <f>IF(B48&gt;$K$12,-1*$J$12,(($K$12-B48)*$I$12)-$J$12)</f>
        <v/>
      </c>
      <c r="Y48" s="130">
        <f>Hedge_Total!G128</f>
        <v/>
      </c>
      <c r="Z48" s="130">
        <f>IF(B48&gt;$K$13,-1*$J$13,(($K$13-B48)*$I$13)-$J$13)</f>
        <v/>
      </c>
      <c r="AA48" s="130">
        <f>Hedge_Total!G158</f>
        <v/>
      </c>
      <c r="AB48" s="130">
        <f>IF(B48&gt;$K$14,-1*$J$14,(($K$14-B48)*$I$14)-$J$14)</f>
        <v/>
      </c>
      <c r="AC48" s="130">
        <f>Hedge_Total!G188</f>
        <v/>
      </c>
      <c r="AD48" s="130">
        <f>IF(B48&gt;$K$15,-1*$J$15,(($K$15-B48)*$I$15)-$J$15)</f>
        <v/>
      </c>
      <c r="AE48" s="130">
        <f>Hedge_Total!G218</f>
        <v/>
      </c>
      <c r="AF48" s="130">
        <f>IF(B48&gt;$K$16,-1*$J$16,(($K$16-B48)*$I$16)-$J$16)</f>
        <v/>
      </c>
      <c r="AG48" s="130">
        <f>Hedge_Total!G248</f>
        <v/>
      </c>
      <c r="AH48" s="130">
        <f>IF(B48&gt;$K$17,-1*$J$17,(($K$17-B48)*$I$17)-$J$17)</f>
        <v/>
      </c>
      <c r="AI48" s="130">
        <f>Hedge_Total!G278</f>
        <v/>
      </c>
      <c r="AJ48" s="130">
        <f>IF(B48&gt;$K$18,-1*$J$18,(($K$18-B48)*$I$18)-$J$18)</f>
        <v/>
      </c>
      <c r="AK48" s="130">
        <f>Hedge_Total!G308</f>
        <v/>
      </c>
      <c r="AL48" s="130">
        <f>IF(B48&gt;$K$19,-1*$J$19,(($K$19-B48)*$I$19)-$J$19)</f>
        <v/>
      </c>
      <c r="AM48" s="130">
        <f>Hedge_Total!G338</f>
        <v/>
      </c>
      <c r="AN48" s="130">
        <f>IF(B48&gt;$K$20,-1*$J$20,(($K$20-B48)*$I$20)-$J$20)</f>
        <v/>
      </c>
      <c r="AO48" s="130">
        <f>Hedge_Total!G368</f>
        <v/>
      </c>
      <c r="AP48" s="130">
        <f>IF(B48&gt;$K$21,-1*$J$21,(($K$21-B48)*$I$21)-$J$21)</f>
        <v/>
      </c>
      <c r="AQ48" s="130">
        <f>Hedge_Total!G398</f>
        <v/>
      </c>
      <c r="AR48" s="130">
        <f>IF(B48&gt;$K$22,-1*$J$22,(($K$22-B48)*$I$22)-$J$22)</f>
        <v/>
      </c>
      <c r="AS48" s="130">
        <f>Hedge_Total!G428</f>
        <v/>
      </c>
      <c r="AT48" s="130">
        <f>IF(B48&gt;$K$23,-1*$J$23,(($K$23-B48)*$I$23)-$J$23)</f>
        <v/>
      </c>
    </row>
    <row r="49" ht="14.25" customHeight="1" s="116">
      <c r="B49" s="183">
        <f>B48-1</f>
        <v/>
      </c>
      <c r="C49" s="184">
        <f>J49/$C$16</f>
        <v/>
      </c>
      <c r="D49" s="184">
        <f>K49/$C$16</f>
        <v/>
      </c>
      <c r="E49" s="130">
        <f>($C$10*B49)-$F$10</f>
        <v/>
      </c>
      <c r="F49" s="185">
        <f>(E49/$F$10)</f>
        <v/>
      </c>
      <c r="H49" s="183">
        <f>H48-1</f>
        <v/>
      </c>
      <c r="I49" s="184">
        <f>Hedge_Total!C459</f>
        <v/>
      </c>
      <c r="J49" s="130">
        <f>Hedge_Total!G459</f>
        <v/>
      </c>
      <c r="K49" s="130">
        <f>T49+V49+X49+Z49+AB49+AD49+AF49+AH49+AJ49+AL49+AN49+AP49+AR49+AT49</f>
        <v/>
      </c>
      <c r="L49" s="185">
        <f>N49/$F$10</f>
        <v/>
      </c>
      <c r="M49" s="185">
        <f>O49/$F$10</f>
        <v/>
      </c>
      <c r="N49" s="130">
        <f>E49+J49</f>
        <v/>
      </c>
      <c r="O49" s="130">
        <f>E49+K49</f>
        <v/>
      </c>
      <c r="P49" s="186">
        <f>J50-2*J49+J48</f>
        <v/>
      </c>
      <c r="Q49" s="187" t="n"/>
      <c r="R49" s="183">
        <f>R48-1</f>
        <v/>
      </c>
      <c r="S49" s="130">
        <f>Hedge_Total!G42</f>
        <v/>
      </c>
      <c r="T49" s="130">
        <f>IF(B49&gt;$K$10,-1*$J$10,(($K$10-B49)*$I$10)-$J$10)</f>
        <v/>
      </c>
      <c r="U49" s="130">
        <f>Hedge_Total!G71</f>
        <v/>
      </c>
      <c r="V49" s="130">
        <f>IF(B49&gt;$K$11,-1*$J$11,(($K$11-B49)*$I$11)-$J$11)</f>
        <v/>
      </c>
      <c r="W49" s="130">
        <f>Hedge_Total!G100</f>
        <v/>
      </c>
      <c r="X49" s="130">
        <f>IF(B49&gt;$K$12,-1*$J$12,(($K$12-B49)*$I$12)-$J$12)</f>
        <v/>
      </c>
      <c r="Y49" s="130">
        <f>Hedge_Total!G129</f>
        <v/>
      </c>
      <c r="Z49" s="130">
        <f>IF(B49&gt;$K$13,-1*$J$13,(($K$13-B49)*$I$13)-$J$13)</f>
        <v/>
      </c>
      <c r="AA49" s="130">
        <f>Hedge_Total!G159</f>
        <v/>
      </c>
      <c r="AB49" s="130">
        <f>IF(B49&gt;$K$14,-1*$J$14,(($K$14-B49)*$I$14)-$J$14)</f>
        <v/>
      </c>
      <c r="AC49" s="130">
        <f>Hedge_Total!G189</f>
        <v/>
      </c>
      <c r="AD49" s="130">
        <f>IF(B49&gt;$K$15,-1*$J$15,(($K$15-B49)*$I$15)-$J$15)</f>
        <v/>
      </c>
      <c r="AE49" s="130">
        <f>Hedge_Total!G219</f>
        <v/>
      </c>
      <c r="AF49" s="130">
        <f>IF(B49&gt;$K$16,-1*$J$16,(($K$16-B49)*$I$16)-$J$16)</f>
        <v/>
      </c>
      <c r="AG49" s="130">
        <f>Hedge_Total!G249</f>
        <v/>
      </c>
      <c r="AH49" s="130">
        <f>IF(B49&gt;$K$17,-1*$J$17,(($K$17-B49)*$I$17)-$J$17)</f>
        <v/>
      </c>
      <c r="AI49" s="130">
        <f>Hedge_Total!G279</f>
        <v/>
      </c>
      <c r="AJ49" s="130">
        <f>IF(B49&gt;$K$18,-1*$J$18,(($K$18-B49)*$I$18)-$J$18)</f>
        <v/>
      </c>
      <c r="AK49" s="130">
        <f>Hedge_Total!G309</f>
        <v/>
      </c>
      <c r="AL49" s="130">
        <f>IF(B49&gt;$K$19,-1*$J$19,(($K$19-B49)*$I$19)-$J$19)</f>
        <v/>
      </c>
      <c r="AM49" s="130">
        <f>Hedge_Total!G339</f>
        <v/>
      </c>
      <c r="AN49" s="130">
        <f>IF(B49&gt;$K$20,-1*$J$20,(($K$20-B49)*$I$20)-$J$20)</f>
        <v/>
      </c>
      <c r="AO49" s="130">
        <f>Hedge_Total!G369</f>
        <v/>
      </c>
      <c r="AP49" s="130">
        <f>IF(B49&gt;$K$21,-1*$J$21,(($K$21-B49)*$I$21)-$J$21)</f>
        <v/>
      </c>
      <c r="AQ49" s="130">
        <f>Hedge_Total!G399</f>
        <v/>
      </c>
      <c r="AR49" s="130">
        <f>IF(B49&gt;$K$22,-1*$J$22,(($K$22-B49)*$I$22)-$J$22)</f>
        <v/>
      </c>
      <c r="AS49" s="130">
        <f>Hedge_Total!G429</f>
        <v/>
      </c>
      <c r="AT49" s="130">
        <f>IF(B49&gt;$K$23,-1*$J$23,(($K$23-B49)*$I$23)-$J$23)</f>
        <v/>
      </c>
    </row>
    <row r="50" ht="14.25" customHeight="1" s="116">
      <c r="B50" s="183">
        <f>B49-1</f>
        <v/>
      </c>
      <c r="C50" s="184">
        <f>J50/$C$16</f>
        <v/>
      </c>
      <c r="D50" s="184">
        <f>K50/$C$16</f>
        <v/>
      </c>
      <c r="E50" s="130">
        <f>($C$10*B50)-$F$10</f>
        <v/>
      </c>
      <c r="F50" s="185">
        <f>(E50/$F$10)</f>
        <v/>
      </c>
      <c r="H50" s="183">
        <f>H49-1</f>
        <v/>
      </c>
      <c r="I50" s="184">
        <f>Hedge_Total!C460</f>
        <v/>
      </c>
      <c r="J50" s="130">
        <f>Hedge_Total!G460</f>
        <v/>
      </c>
      <c r="K50" s="130">
        <f>T50+V50+X50+Z50+AB50+AD50+AF50+AH50+AJ50+AL50+AN50+AP50+AR50+AT50</f>
        <v/>
      </c>
      <c r="L50" s="185">
        <f>N50/$F$10</f>
        <v/>
      </c>
      <c r="M50" s="185">
        <f>O50/$F$10</f>
        <v/>
      </c>
      <c r="N50" s="130">
        <f>E50+J50</f>
        <v/>
      </c>
      <c r="O50" s="130">
        <f>E50+K50</f>
        <v/>
      </c>
      <c r="P50" s="186">
        <f>J51-2*J50+J49</f>
        <v/>
      </c>
      <c r="Q50" s="187" t="n"/>
      <c r="R50" s="183">
        <f>R49-1</f>
        <v/>
      </c>
      <c r="S50" s="130">
        <f>Hedge_Total!G43</f>
        <v/>
      </c>
      <c r="T50" s="130">
        <f>IF(B50&gt;$K$10,-1*$J$10,(($K$10-B50)*$I$10)-$J$10)</f>
        <v/>
      </c>
      <c r="U50" s="130">
        <f>Hedge_Total!G72</f>
        <v/>
      </c>
      <c r="V50" s="130">
        <f>IF(B50&gt;$K$11,-1*$J$11,(($K$11-B50)*$I$11)-$J$11)</f>
        <v/>
      </c>
      <c r="W50" s="130">
        <f>Hedge_Total!G101</f>
        <v/>
      </c>
      <c r="X50" s="130">
        <f>IF(B50&gt;$K$12,-1*$J$12,(($K$12-B50)*$I$12)-$J$12)</f>
        <v/>
      </c>
      <c r="Y50" s="130">
        <f>Hedge_Total!G130</f>
        <v/>
      </c>
      <c r="Z50" s="130">
        <f>IF(B50&gt;$K$13,-1*$J$13,(($K$13-B50)*$I$13)-$J$13)</f>
        <v/>
      </c>
      <c r="AA50" s="130">
        <f>Hedge_Total!G160</f>
        <v/>
      </c>
      <c r="AB50" s="130">
        <f>IF(B50&gt;$K$14,-1*$J$14,(($K$14-B50)*$I$14)-$J$14)</f>
        <v/>
      </c>
      <c r="AC50" s="130">
        <f>Hedge_Total!G190</f>
        <v/>
      </c>
      <c r="AD50" s="130">
        <f>IF(B50&gt;$K$15,-1*$J$15,(($K$15-B50)*$I$15)-$J$15)</f>
        <v/>
      </c>
      <c r="AE50" s="130">
        <f>Hedge_Total!G220</f>
        <v/>
      </c>
      <c r="AF50" s="130">
        <f>IF(B50&gt;$K$16,-1*$J$16,(($K$16-B50)*$I$16)-$J$16)</f>
        <v/>
      </c>
      <c r="AG50" s="130">
        <f>Hedge_Total!G250</f>
        <v/>
      </c>
      <c r="AH50" s="130">
        <f>IF(B50&gt;$K$17,-1*$J$17,(($K$17-B50)*$I$17)-$J$17)</f>
        <v/>
      </c>
      <c r="AI50" s="130">
        <f>Hedge_Total!G280</f>
        <v/>
      </c>
      <c r="AJ50" s="130">
        <f>IF(B50&gt;$K$18,-1*$J$18,(($K$18-B50)*$I$18)-$J$18)</f>
        <v/>
      </c>
      <c r="AK50" s="130">
        <f>Hedge_Total!G310</f>
        <v/>
      </c>
      <c r="AL50" s="130">
        <f>IF(B50&gt;$K$19,-1*$J$19,(($K$19-B50)*$I$19)-$J$19)</f>
        <v/>
      </c>
      <c r="AM50" s="130">
        <f>Hedge_Total!G340</f>
        <v/>
      </c>
      <c r="AN50" s="130">
        <f>IF(B50&gt;$K$20,-1*$J$20,(($K$20-B50)*$I$20)-$J$20)</f>
        <v/>
      </c>
      <c r="AO50" s="130">
        <f>Hedge_Total!G370</f>
        <v/>
      </c>
      <c r="AP50" s="130">
        <f>IF(B50&gt;$K$21,-1*$J$21,(($K$21-B50)*$I$21)-$J$21)</f>
        <v/>
      </c>
      <c r="AQ50" s="130">
        <f>Hedge_Total!G400</f>
        <v/>
      </c>
      <c r="AR50" s="130">
        <f>IF(B50&gt;$K$22,-1*$J$22,(($K$22-B50)*$I$22)-$J$22)</f>
        <v/>
      </c>
      <c r="AS50" s="130">
        <f>Hedge_Total!G430</f>
        <v/>
      </c>
      <c r="AT50" s="130">
        <f>IF(B50&gt;$K$23,-1*$J$23,(($K$23-B50)*$I$23)-$J$23)</f>
        <v/>
      </c>
    </row>
    <row r="51" ht="14.25" customHeight="1" s="116">
      <c r="B51" s="183">
        <f>B50-1</f>
        <v/>
      </c>
      <c r="C51" s="184">
        <f>J51/$C$16</f>
        <v/>
      </c>
      <c r="D51" s="184">
        <f>K51/$C$16</f>
        <v/>
      </c>
      <c r="E51" s="130">
        <f>($C$10*B51)-$F$10</f>
        <v/>
      </c>
      <c r="F51" s="185">
        <f>(E51/$F$10)</f>
        <v/>
      </c>
      <c r="H51" s="183">
        <f>H50-1</f>
        <v/>
      </c>
      <c r="I51" s="184">
        <f>Hedge_Total!C461</f>
        <v/>
      </c>
      <c r="J51" s="130">
        <f>Hedge_Total!G461</f>
        <v/>
      </c>
      <c r="K51" s="130">
        <f>T51+V51+X51+Z51+AB51+AD51+AF51+AH51+AJ51+AL51+AN51+AP51+AR51+AT51</f>
        <v/>
      </c>
      <c r="L51" s="185">
        <f>N51/$F$10</f>
        <v/>
      </c>
      <c r="M51" s="185">
        <f>O51/$F$10</f>
        <v/>
      </c>
      <c r="N51" s="130">
        <f>E51+J51</f>
        <v/>
      </c>
      <c r="O51" s="130">
        <f>E51+K51</f>
        <v/>
      </c>
      <c r="P51" s="186">
        <f>J52-2*J51+J50</f>
        <v/>
      </c>
      <c r="Q51" s="187" t="n"/>
      <c r="R51" s="183">
        <f>R50-1</f>
        <v/>
      </c>
      <c r="S51" s="130">
        <f>Hedge_Total!G44</f>
        <v/>
      </c>
      <c r="T51" s="130">
        <f>IF(B51&gt;$K$10,-1*$J$10,(($K$10-B51)*$I$10)-$J$10)</f>
        <v/>
      </c>
      <c r="U51" s="130">
        <f>Hedge_Total!G73</f>
        <v/>
      </c>
      <c r="V51" s="130">
        <f>IF(B51&gt;$K$11,-1*$J$11,(($K$11-B51)*$I$11)-$J$11)</f>
        <v/>
      </c>
      <c r="W51" s="130">
        <f>Hedge_Total!G102</f>
        <v/>
      </c>
      <c r="X51" s="130">
        <f>IF(B51&gt;$K$12,-1*$J$12,(($K$12-B51)*$I$12)-$J$12)</f>
        <v/>
      </c>
      <c r="Y51" s="130">
        <f>Hedge_Total!G131</f>
        <v/>
      </c>
      <c r="Z51" s="130">
        <f>IF(B51&gt;$K$13,-1*$J$13,(($K$13-B51)*$I$13)-$J$13)</f>
        <v/>
      </c>
      <c r="AA51" s="130">
        <f>Hedge_Total!G161</f>
        <v/>
      </c>
      <c r="AB51" s="130">
        <f>IF(B51&gt;$K$14,-1*$J$14,(($K$14-B51)*$I$14)-$J$14)</f>
        <v/>
      </c>
      <c r="AC51" s="130">
        <f>Hedge_Total!G191</f>
        <v/>
      </c>
      <c r="AD51" s="130">
        <f>IF(B51&gt;$K$15,-1*$J$15,(($K$15-B51)*$I$15)-$J$15)</f>
        <v/>
      </c>
      <c r="AE51" s="130">
        <f>Hedge_Total!G221</f>
        <v/>
      </c>
      <c r="AF51" s="130">
        <f>IF(B51&gt;$K$16,-1*$J$16,(($K$16-B51)*$I$16)-$J$16)</f>
        <v/>
      </c>
      <c r="AG51" s="130">
        <f>Hedge_Total!G251</f>
        <v/>
      </c>
      <c r="AH51" s="130">
        <f>IF(B51&gt;$K$17,-1*$J$17,(($K$17-B51)*$I$17)-$J$17)</f>
        <v/>
      </c>
      <c r="AI51" s="130">
        <f>Hedge_Total!G281</f>
        <v/>
      </c>
      <c r="AJ51" s="130">
        <f>IF(B51&gt;$K$18,-1*$J$18,(($K$18-B51)*$I$18)-$J$18)</f>
        <v/>
      </c>
      <c r="AK51" s="130">
        <f>Hedge_Total!G311</f>
        <v/>
      </c>
      <c r="AL51" s="130">
        <f>IF(B51&gt;$K$19,-1*$J$19,(($K$19-B51)*$I$19)-$J$19)</f>
        <v/>
      </c>
      <c r="AM51" s="130">
        <f>Hedge_Total!G341</f>
        <v/>
      </c>
      <c r="AN51" s="130">
        <f>IF(B51&gt;$K$20,-1*$J$20,(($K$20-B51)*$I$20)-$J$20)</f>
        <v/>
      </c>
      <c r="AO51" s="130">
        <f>Hedge_Total!G371</f>
        <v/>
      </c>
      <c r="AP51" s="130">
        <f>IF(B51&gt;$K$21,-1*$J$21,(($K$21-B51)*$I$21)-$J$21)</f>
        <v/>
      </c>
      <c r="AQ51" s="130">
        <f>Hedge_Total!G401</f>
        <v/>
      </c>
      <c r="AR51" s="130">
        <f>IF(B51&gt;$K$22,-1*$J$22,(($K$22-B51)*$I$22)-$J$22)</f>
        <v/>
      </c>
      <c r="AS51" s="130">
        <f>Hedge_Total!G431</f>
        <v/>
      </c>
      <c r="AT51" s="130">
        <f>IF(B51&gt;$K$23,-1*$J$23,(($K$23-B51)*$I$23)-$J$23)</f>
        <v/>
      </c>
    </row>
    <row r="52" ht="14.25" customHeight="1" s="116">
      <c r="B52" s="183">
        <f>B51-1</f>
        <v/>
      </c>
      <c r="C52" s="184">
        <f>J52/$C$16</f>
        <v/>
      </c>
      <c r="D52" s="184">
        <f>K52/$C$16</f>
        <v/>
      </c>
      <c r="E52" s="130">
        <f>($C$10*B52)-$F$10</f>
        <v/>
      </c>
      <c r="F52" s="185">
        <f>(E52/$F$10)</f>
        <v/>
      </c>
      <c r="H52" s="183">
        <f>H51-1</f>
        <v/>
      </c>
      <c r="I52" s="184">
        <f>Hedge_Total!C462</f>
        <v/>
      </c>
      <c r="J52" s="130">
        <f>Hedge_Total!G462</f>
        <v/>
      </c>
      <c r="K52" s="130">
        <f>T52+V52+X52+Z52+AB52+AD52+AF52+AH52+AJ52+AL52+AN52+AP52+AR52+AT52</f>
        <v/>
      </c>
      <c r="L52" s="185">
        <f>N52/$F$10</f>
        <v/>
      </c>
      <c r="M52" s="185">
        <f>O52/$F$10</f>
        <v/>
      </c>
      <c r="N52" s="130">
        <f>E52+J52</f>
        <v/>
      </c>
      <c r="O52" s="130">
        <f>E52+K52</f>
        <v/>
      </c>
      <c r="P52" s="186">
        <f>J53-2*J52+J51</f>
        <v/>
      </c>
      <c r="Q52" s="187" t="n"/>
      <c r="R52" s="183">
        <f>R51-1</f>
        <v/>
      </c>
      <c r="S52" s="130">
        <f>Hedge_Total!G45</f>
        <v/>
      </c>
      <c r="T52" s="130">
        <f>IF(B52&gt;$K$10,-1*$J$10,(($K$10-B52)*$I$10)-$J$10)</f>
        <v/>
      </c>
      <c r="U52" s="130">
        <f>Hedge_Total!G74</f>
        <v/>
      </c>
      <c r="V52" s="130">
        <f>IF(B52&gt;$K$11,-1*$J$11,(($K$11-B52)*$I$11)-$J$11)</f>
        <v/>
      </c>
      <c r="W52" s="130">
        <f>Hedge_Total!G103</f>
        <v/>
      </c>
      <c r="X52" s="130">
        <f>IF(B52&gt;$K$12,-1*$J$12,(($K$12-B52)*$I$12)-$J$12)</f>
        <v/>
      </c>
      <c r="Y52" s="130">
        <f>Hedge_Total!G132</f>
        <v/>
      </c>
      <c r="Z52" s="130">
        <f>IF(B52&gt;$K$13,-1*$J$13,(($K$13-B52)*$I$13)-$J$13)</f>
        <v/>
      </c>
      <c r="AA52" s="130">
        <f>Hedge_Total!G162</f>
        <v/>
      </c>
      <c r="AB52" s="130">
        <f>IF(B52&gt;$K$14,-1*$J$14,(($K$14-B52)*$I$14)-$J$14)</f>
        <v/>
      </c>
      <c r="AC52" s="130">
        <f>Hedge_Total!G192</f>
        <v/>
      </c>
      <c r="AD52" s="130">
        <f>IF(B52&gt;$K$15,-1*$J$15,(($K$15-B52)*$I$15)-$J$15)</f>
        <v/>
      </c>
      <c r="AE52" s="130">
        <f>Hedge_Total!G222</f>
        <v/>
      </c>
      <c r="AF52" s="130">
        <f>IF(B52&gt;$K$16,-1*$J$16,(($K$16-B52)*$I$16)-$J$16)</f>
        <v/>
      </c>
      <c r="AG52" s="130">
        <f>Hedge_Total!G252</f>
        <v/>
      </c>
      <c r="AH52" s="130">
        <f>IF(B52&gt;$K$17,-1*$J$17,(($K$17-B52)*$I$17)-$J$17)</f>
        <v/>
      </c>
      <c r="AI52" s="130">
        <f>Hedge_Total!G282</f>
        <v/>
      </c>
      <c r="AJ52" s="130">
        <f>IF(B52&gt;$K$18,-1*$J$18,(($K$18-B52)*$I$18)-$J$18)</f>
        <v/>
      </c>
      <c r="AK52" s="130">
        <f>Hedge_Total!G312</f>
        <v/>
      </c>
      <c r="AL52" s="130">
        <f>IF(B52&gt;$K$19,-1*$J$19,(($K$19-B52)*$I$19)-$J$19)</f>
        <v/>
      </c>
      <c r="AM52" s="130">
        <f>Hedge_Total!G342</f>
        <v/>
      </c>
      <c r="AN52" s="130">
        <f>IF(B52&gt;$K$20,-1*$J$20,(($K$20-B52)*$I$20)-$J$20)</f>
        <v/>
      </c>
      <c r="AO52" s="130">
        <f>Hedge_Total!G372</f>
        <v/>
      </c>
      <c r="AP52" s="130">
        <f>IF(B52&gt;$K$21,-1*$J$21,(($K$21-B52)*$I$21)-$J$21)</f>
        <v/>
      </c>
      <c r="AQ52" s="130">
        <f>Hedge_Total!G402</f>
        <v/>
      </c>
      <c r="AR52" s="130">
        <f>IF(B52&gt;$K$22,-1*$J$22,(($K$22-B52)*$I$22)-$J$22)</f>
        <v/>
      </c>
      <c r="AS52" s="130">
        <f>Hedge_Total!G432</f>
        <v/>
      </c>
      <c r="AT52" s="130">
        <f>IF(B52&gt;$K$23,-1*$J$23,(($K$23-B52)*$I$23)-$J$23)</f>
        <v/>
      </c>
    </row>
    <row r="53" ht="14.25" customHeight="1" s="116">
      <c r="B53" s="183">
        <f>B52-1</f>
        <v/>
      </c>
      <c r="C53" s="184">
        <f>J53/$C$16</f>
        <v/>
      </c>
      <c r="D53" s="184">
        <f>K53/$C$16</f>
        <v/>
      </c>
      <c r="E53" s="130">
        <f>($C$10*B53)-$F$10</f>
        <v/>
      </c>
      <c r="F53" s="185">
        <f>(E53/$F$10)</f>
        <v/>
      </c>
      <c r="H53" s="183">
        <f>H52-1</f>
        <v/>
      </c>
      <c r="I53" s="184">
        <f>Hedge_Total!C463</f>
        <v/>
      </c>
      <c r="J53" s="130">
        <f>Hedge_Total!G463</f>
        <v/>
      </c>
      <c r="K53" s="130">
        <f>T53+V53+X53+Z53+AB53+AD53+AF53+AH53+AJ53+AL53+AN53+AP53+AR53+AT53</f>
        <v/>
      </c>
      <c r="L53" s="185">
        <f>N53/$F$10</f>
        <v/>
      </c>
      <c r="M53" s="185">
        <f>O53/$F$10</f>
        <v/>
      </c>
      <c r="N53" s="130">
        <f>E53+J53</f>
        <v/>
      </c>
      <c r="O53" s="130">
        <f>E53+K53</f>
        <v/>
      </c>
      <c r="P53" s="186">
        <f>J54-2*J53+J52</f>
        <v/>
      </c>
      <c r="Q53" s="187" t="n"/>
      <c r="R53" s="183">
        <f>R52-1</f>
        <v/>
      </c>
      <c r="S53" s="130">
        <f>Hedge_Total!G46</f>
        <v/>
      </c>
      <c r="T53" s="130">
        <f>IF(B53&gt;$K$10,-1*$J$10,(($K$10-B53)*$I$10)-$J$10)</f>
        <v/>
      </c>
      <c r="U53" s="130">
        <f>Hedge_Total!G75</f>
        <v/>
      </c>
      <c r="V53" s="130">
        <f>IF(B53&gt;$K$11,-1*$J$11,(($K$11-B53)*$I$11)-$J$11)</f>
        <v/>
      </c>
      <c r="W53" s="130">
        <f>Hedge_Total!G104</f>
        <v/>
      </c>
      <c r="X53" s="130">
        <f>IF(B53&gt;$K$12,-1*$J$12,(($K$12-B53)*$I$12)-$J$12)</f>
        <v/>
      </c>
      <c r="Y53" s="130">
        <f>Hedge_Total!G133</f>
        <v/>
      </c>
      <c r="Z53" s="130">
        <f>IF(B53&gt;$K$13,-1*$J$13,(($K$13-B53)*$I$13)-$J$13)</f>
        <v/>
      </c>
      <c r="AA53" s="130">
        <f>Hedge_Total!G163</f>
        <v/>
      </c>
      <c r="AB53" s="130">
        <f>IF(B53&gt;$K$14,-1*$J$14,(($K$14-B53)*$I$14)-$J$14)</f>
        <v/>
      </c>
      <c r="AC53" s="130">
        <f>Hedge_Total!G193</f>
        <v/>
      </c>
      <c r="AD53" s="130">
        <f>IF(B53&gt;$K$15,-1*$J$15,(($K$15-B53)*$I$15)-$J$15)</f>
        <v/>
      </c>
      <c r="AE53" s="130">
        <f>Hedge_Total!G223</f>
        <v/>
      </c>
      <c r="AF53" s="130">
        <f>IF(B53&gt;$K$16,-1*$J$16,(($K$16-B53)*$I$16)-$J$16)</f>
        <v/>
      </c>
      <c r="AG53" s="130">
        <f>Hedge_Total!G253</f>
        <v/>
      </c>
      <c r="AH53" s="130">
        <f>IF(B53&gt;$K$17,-1*$J$17,(($K$17-B53)*$I$17)-$J$17)</f>
        <v/>
      </c>
      <c r="AI53" s="130">
        <f>Hedge_Total!G283</f>
        <v/>
      </c>
      <c r="AJ53" s="130">
        <f>IF(B53&gt;$K$18,-1*$J$18,(($K$18-B53)*$I$18)-$J$18)</f>
        <v/>
      </c>
      <c r="AK53" s="130">
        <f>Hedge_Total!G313</f>
        <v/>
      </c>
      <c r="AL53" s="130">
        <f>IF(B53&gt;$K$19,-1*$J$19,(($K$19-B53)*$I$19)-$J$19)</f>
        <v/>
      </c>
      <c r="AM53" s="130">
        <f>Hedge_Total!G343</f>
        <v/>
      </c>
      <c r="AN53" s="130">
        <f>IF(B53&gt;$K$20,-1*$J$20,(($K$20-B53)*$I$20)-$J$20)</f>
        <v/>
      </c>
      <c r="AO53" s="130">
        <f>Hedge_Total!G373</f>
        <v/>
      </c>
      <c r="AP53" s="130">
        <f>IF(B53&gt;$K$21,-1*$J$21,(($K$21-B53)*$I$21)-$J$21)</f>
        <v/>
      </c>
      <c r="AQ53" s="130">
        <f>Hedge_Total!G403</f>
        <v/>
      </c>
      <c r="AR53" s="130">
        <f>IF(B53&gt;$K$22,-1*$J$22,(($K$22-B53)*$I$22)-$J$22)</f>
        <v/>
      </c>
      <c r="AS53" s="130">
        <f>Hedge_Total!G433</f>
        <v/>
      </c>
      <c r="AT53" s="130">
        <f>IF(B53&gt;$K$23,-1*$J$23,(($K$23-B53)*$I$23)-$J$23)</f>
        <v/>
      </c>
    </row>
    <row r="54" ht="14.25" customHeight="1" s="116">
      <c r="B54" s="183">
        <f>B53-1</f>
        <v/>
      </c>
      <c r="C54" s="184">
        <f>J54/$C$16</f>
        <v/>
      </c>
      <c r="D54" s="184">
        <f>K54/$C$16</f>
        <v/>
      </c>
      <c r="E54" s="130">
        <f>($C$10*B54)-$F$10</f>
        <v/>
      </c>
      <c r="F54" s="185">
        <f>(E54/$F$10)</f>
        <v/>
      </c>
      <c r="H54" s="183">
        <f>H53-1</f>
        <v/>
      </c>
      <c r="I54" s="184">
        <f>Hedge_Total!C464</f>
        <v/>
      </c>
      <c r="J54" s="130">
        <f>Hedge_Total!G464</f>
        <v/>
      </c>
      <c r="K54" s="130">
        <f>T54+V54+X54+Z54+AB54+AD54+AF54+AH54+AJ54+AL54+AN54+AP54+AR54+AT54</f>
        <v/>
      </c>
      <c r="L54" s="185">
        <f>N54/$F$10</f>
        <v/>
      </c>
      <c r="M54" s="185">
        <f>O54/$F$10</f>
        <v/>
      </c>
      <c r="N54" s="130">
        <f>E54+J54</f>
        <v/>
      </c>
      <c r="O54" s="130">
        <f>E54+K54</f>
        <v/>
      </c>
      <c r="P54" s="129" t="n"/>
      <c r="R54" s="183">
        <f>R53-1</f>
        <v/>
      </c>
      <c r="S54" s="130">
        <f>Hedge_Total!G47</f>
        <v/>
      </c>
      <c r="T54" s="130">
        <f>IF(B54&gt;$K$10,-1*$J$10,(($K$10-B54)*$I$10)-$J$10)</f>
        <v/>
      </c>
      <c r="U54" s="130">
        <f>Hedge_Total!G76</f>
        <v/>
      </c>
      <c r="V54" s="130">
        <f>IF(B54&gt;$K$11,-1*$J$11,(($K$11-B54)*$I$11)-$J$11)</f>
        <v/>
      </c>
      <c r="W54" s="130">
        <f>Hedge_Total!G105</f>
        <v/>
      </c>
      <c r="X54" s="130">
        <f>IF(B54&gt;$K$12,-1*$J$12,(($K$12-B54)*$I$12)-$J$12)</f>
        <v/>
      </c>
      <c r="Y54" s="130">
        <f>Hedge_Total!G134</f>
        <v/>
      </c>
      <c r="Z54" s="130">
        <f>IF(B54&gt;$K$13,-1*$J$13,(($K$13-B54)*$I$13)-$J$13)</f>
        <v/>
      </c>
      <c r="AA54" s="130">
        <f>Hedge_Total!G164</f>
        <v/>
      </c>
      <c r="AB54" s="130">
        <f>IF(B54&gt;$K$14,-1*$J$14,(($K$14-B54)*$I$14)-$J$14)</f>
        <v/>
      </c>
      <c r="AC54" s="130">
        <f>Hedge_Total!G194</f>
        <v/>
      </c>
      <c r="AD54" s="130">
        <f>IF(B54&gt;$K$15,-1*$J$15,(($K$15-B54)*$I$15)-$J$15)</f>
        <v/>
      </c>
      <c r="AE54" s="130">
        <f>Hedge_Total!G224</f>
        <v/>
      </c>
      <c r="AF54" s="130">
        <f>IF(B54&gt;$K$16,-1*$J$16,(($K$16-B54)*$I$16)-$J$16)</f>
        <v/>
      </c>
      <c r="AG54" s="130">
        <f>Hedge_Total!G254</f>
        <v/>
      </c>
      <c r="AH54" s="130">
        <f>IF(B54&gt;$K$17,-1*$J$17,(($K$17-B54)*$I$17)-$J$17)</f>
        <v/>
      </c>
      <c r="AI54" s="130">
        <f>Hedge_Total!G284</f>
        <v/>
      </c>
      <c r="AJ54" s="130">
        <f>IF(B54&gt;$K$18,-1*$J$18,(($K$18-B54)*$I$18)-$J$18)</f>
        <v/>
      </c>
      <c r="AK54" s="130">
        <f>Hedge_Total!G314</f>
        <v/>
      </c>
      <c r="AL54" s="130">
        <f>IF(B54&gt;$K$19,-1*$J$19,(($K$19-B54)*$I$19)-$J$19)</f>
        <v/>
      </c>
      <c r="AM54" s="130">
        <f>Hedge_Total!G344</f>
        <v/>
      </c>
      <c r="AN54" s="130">
        <f>IF(B54&gt;$K$20,-1*$J$20,(($K$20-B54)*$I$20)-$J$20)</f>
        <v/>
      </c>
      <c r="AO54" s="130">
        <f>Hedge_Total!G374</f>
        <v/>
      </c>
      <c r="AP54" s="130">
        <f>IF(B54&gt;$K$21,-1*$J$21,(($K$21-B54)*$I$21)-$J$21)</f>
        <v/>
      </c>
      <c r="AQ54" s="130">
        <f>Hedge_Total!G404</f>
        <v/>
      </c>
      <c r="AR54" s="130">
        <f>IF(B54&gt;$K$22,-1*$J$22,(($K$22-B54)*$I$22)-$J$22)</f>
        <v/>
      </c>
      <c r="AS54" s="130">
        <f>Hedge_Total!G434</f>
        <v/>
      </c>
      <c r="AT54" s="130">
        <f>IF(B54&gt;$K$23,-1*$J$23,(($K$23-B54)*$I$23)-$J$23)</f>
        <v/>
      </c>
    </row>
    <row r="55" ht="14.25" customHeight="1" s="116"/>
    <row r="56" ht="14.25" customHeight="1" s="116"/>
    <row r="57" ht="14.25" customHeight="1" s="116">
      <c r="B57" s="148" t="n"/>
      <c r="C57" s="148" t="n"/>
      <c r="E57" s="188" t="n"/>
      <c r="F57" s="188" t="n"/>
    </row>
    <row r="58" ht="14.25" customHeight="1" s="116">
      <c r="C58" s="118" t="n"/>
    </row>
    <row r="59" ht="14.25" customHeight="1" s="116">
      <c r="C59" s="118" t="n"/>
    </row>
    <row r="60" ht="14.25" customHeight="1" s="116"/>
    <row r="61" ht="14.25" customHeight="1" s="116"/>
    <row r="62" ht="14.25" customHeight="1" s="116">
      <c r="B62" s="148" t="n"/>
      <c r="C62" s="148" t="n"/>
      <c r="E62" s="188" t="n"/>
      <c r="F62" s="188" t="n"/>
    </row>
    <row r="63" ht="14.25" customHeight="1" s="116">
      <c r="C63" s="118" t="n"/>
    </row>
    <row r="64" ht="14.25" customHeight="1" s="116">
      <c r="C64" s="118" t="n"/>
    </row>
    <row r="65" ht="14.25" customHeight="1" s="116"/>
    <row r="1048512" ht="12.75" customHeight="1" s="116"/>
    <row r="1048513" ht="12.75" customHeight="1" s="116"/>
    <row r="1048514" ht="12.75" customHeight="1" s="116"/>
    <row r="1048515" ht="12.75" customHeight="1" s="116"/>
    <row r="1048516" ht="12.75" customHeight="1" s="116"/>
    <row r="1048517" ht="12.75" customHeight="1" s="116"/>
    <row r="1048518" ht="12.75" customHeight="1" s="116"/>
    <row r="1048519" ht="12.75" customHeight="1" s="116"/>
    <row r="1048520" ht="12.75" customHeight="1" s="116"/>
    <row r="1048521" ht="12.75" customHeight="1" s="116"/>
    <row r="1048522" ht="12.75" customHeight="1" s="116"/>
    <row r="1048523" ht="12.75" customHeight="1" s="116"/>
    <row r="1048524" ht="12.75" customHeight="1" s="116"/>
    <row r="1048525" ht="12.75" customHeight="1" s="116"/>
    <row r="1048526" ht="12.75" customHeight="1" s="116"/>
    <row r="1048527" ht="12.75" customHeight="1" s="116"/>
    <row r="1048528" ht="12.75" customHeight="1" s="116"/>
    <row r="1048529" ht="12.75" customHeight="1" s="116"/>
    <row r="1048530" ht="12.75" customHeight="1" s="116"/>
    <row r="1048531" ht="12.75" customHeight="1" s="116"/>
    <row r="1048532" ht="12.75" customHeight="1" s="116"/>
    <row r="1048533" ht="12.75" customHeight="1" s="116"/>
    <row r="1048534" ht="12.75" customHeight="1" s="116"/>
    <row r="1048535" ht="12.75" customHeight="1" s="116"/>
    <row r="1048536" ht="12.75" customHeight="1" s="116"/>
    <row r="1048537" ht="12.75" customHeight="1" s="116"/>
    <row r="1048538" ht="12.75" customHeight="1" s="116"/>
    <row r="1048539" ht="12.75" customHeight="1" s="116"/>
    <row r="1048540" ht="12.75" customHeight="1" s="116"/>
    <row r="1048541" ht="12.75" customHeight="1" s="116"/>
    <row r="1048542" ht="12.75" customHeight="1" s="116"/>
    <row r="1048543" ht="12.75" customHeight="1" s="116"/>
    <row r="1048544" ht="12.75" customHeight="1" s="116"/>
    <row r="1048545" ht="12.75" customHeight="1" s="116"/>
    <row r="1048546" ht="12.75" customHeight="1" s="116"/>
    <row r="1048547" ht="12.75" customHeight="1" s="116"/>
    <row r="1048548" ht="12.75" customHeight="1" s="116"/>
    <row r="1048549" ht="12.75" customHeight="1" s="116"/>
    <row r="1048550" ht="12.75" customHeight="1" s="116"/>
    <row r="1048551" ht="12.75" customHeight="1" s="116"/>
    <row r="1048552" ht="12.75" customHeight="1" s="116"/>
    <row r="1048553" ht="12.75" customHeight="1" s="116"/>
    <row r="1048554" ht="12.75" customHeight="1" s="116"/>
    <row r="1048555" ht="12.75" customHeight="1" s="116"/>
    <row r="1048556" ht="12.75" customHeight="1" s="116"/>
    <row r="1048557" ht="12.75" customHeight="1" s="116"/>
    <row r="1048558" ht="12.75" customHeight="1" s="116"/>
    <row r="1048559" ht="12.75" customHeight="1" s="116"/>
    <row r="1048560" ht="12.75" customHeight="1" s="116"/>
    <row r="1048561" ht="12.75" customHeight="1" s="116"/>
    <row r="1048562" ht="12.75" customHeight="1" s="116"/>
    <row r="1048563" ht="12.75" customHeight="1" s="116"/>
    <row r="1048564" ht="12.75" customHeight="1" s="116"/>
    <row r="1048565" ht="12.75" customHeight="1" s="116"/>
    <row r="1048566" ht="12.75" customHeight="1" s="116"/>
    <row r="1048567" ht="12.75" customHeight="1" s="116"/>
    <row r="1048568" ht="12.75" customHeight="1" s="116"/>
    <row r="1048569" ht="12.75" customHeight="1" s="116"/>
    <row r="1048570" ht="12.75" customHeight="1" s="116"/>
    <row r="1048571" ht="12.75" customHeight="1" s="116"/>
    <row r="1048572" ht="12.75" customHeight="1" s="116"/>
    <row r="1048573" ht="12.75" customHeight="1" s="116"/>
    <row r="1048574" ht="12.75" customHeight="1" s="116"/>
    <row r="1048575" ht="12.75" customHeight="1" s="116"/>
    <row r="1048576" ht="12.75" customHeight="1" s="116"/>
  </sheetData>
  <mergeCells count="21">
    <mergeCell ref="AE26:AF26"/>
    <mergeCell ref="AG26:AH26"/>
    <mergeCell ref="AM26:AN26"/>
    <mergeCell ref="AS26:AT26"/>
    <mergeCell ref="H26:O26"/>
    <mergeCell ref="AQ26:AR26"/>
    <mergeCell ref="W26:X26"/>
    <mergeCell ref="R1:S1"/>
    <mergeCell ref="Y26:Z26"/>
    <mergeCell ref="AA26:AB26"/>
    <mergeCell ref="AC26:AD26"/>
    <mergeCell ref="AI26:AJ26"/>
    <mergeCell ref="AK26:AL26"/>
    <mergeCell ref="K2:L2"/>
    <mergeCell ref="R3:S3"/>
    <mergeCell ref="AO26:AP26"/>
    <mergeCell ref="R2:S2"/>
    <mergeCell ref="S26:T26"/>
    <mergeCell ref="U26:V26"/>
    <mergeCell ref="B26:F26"/>
    <mergeCell ref="A7:F7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U3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R2" activeCellId="0" sqref="R2"/>
    </sheetView>
  </sheetViews>
  <sheetFormatPr baseColWidth="8" defaultColWidth="11.53515625" defaultRowHeight="13.5" zeroHeight="0" outlineLevelRow="0"/>
  <cols>
    <col width="23.97" customWidth="1" style="117" min="1" max="1"/>
    <col width="19.73" customWidth="1" style="117" min="13" max="13"/>
  </cols>
  <sheetData>
    <row r="1" ht="15" customHeight="1" s="116">
      <c r="A1" s="133" t="inlineStr">
        <is>
          <t>symbol</t>
        </is>
      </c>
      <c r="B1" s="133" t="inlineStr">
        <is>
          <t>strike</t>
        </is>
      </c>
      <c r="C1" s="133" t="inlineStr">
        <is>
          <t>delta</t>
        </is>
      </c>
      <c r="D1" s="133" t="inlineStr">
        <is>
          <t>gamma</t>
        </is>
      </c>
      <c r="E1" s="133" t="inlineStr">
        <is>
          <t>vega</t>
        </is>
      </c>
      <c r="F1" s="133" t="inlineStr">
        <is>
          <t>theta</t>
        </is>
      </c>
      <c r="G1" s="133" t="inlineStr">
        <is>
          <t>mark_price</t>
        </is>
      </c>
      <c r="H1" s="133" t="inlineStr">
        <is>
          <t>iv</t>
        </is>
      </c>
      <c r="I1" s="133" t="inlineStr">
        <is>
          <t>dte</t>
        </is>
      </c>
      <c r="J1" s="133" t="inlineStr">
        <is>
          <t>T</t>
        </is>
      </c>
      <c r="K1" s="133" t="inlineStr">
        <is>
          <t>type</t>
        </is>
      </c>
      <c r="L1" s="133" t="inlineStr">
        <is>
          <t>spot_price</t>
        </is>
      </c>
      <c r="M1" s="133" t="inlineStr">
        <is>
          <t>hedge_cost_per_day</t>
        </is>
      </c>
      <c r="N1" s="133" t="inlineStr">
        <is>
          <t>total_price</t>
        </is>
      </c>
      <c r="O1" s="133" t="inlineStr">
        <is>
          <t>position</t>
        </is>
      </c>
      <c r="P1" s="133" t="inlineStr">
        <is>
          <t>contracts</t>
        </is>
      </c>
      <c r="R1" s="117" t="inlineStr">
        <is>
          <t>Start</t>
        </is>
      </c>
      <c r="S1" s="117" t="inlineStr">
        <is>
          <t>Current</t>
        </is>
      </c>
    </row>
    <row r="2" ht="13.5" customHeight="1" s="116">
      <c r="A2" s="117">
        <f>Far_laeyr!B20</f>
        <v/>
      </c>
      <c r="B2" s="117">
        <f>VLOOKUP(A2,OptionBoard!$A$2:$M$86,2,FALSE())</f>
        <v/>
      </c>
      <c r="C2" s="117">
        <f>VLOOKUP(A2,OptionBoard!$A$2:$M$86,3,0)</f>
        <v/>
      </c>
      <c r="D2" s="117">
        <f>VLOOKUP(A2,OptionBoard!$A$2:$M$86,4,0)</f>
        <v/>
      </c>
      <c r="E2" s="117">
        <f>VLOOKUP(A2,OptionBoard!$A$2:$M$86,5,0)</f>
        <v/>
      </c>
      <c r="F2" s="117">
        <f>VLOOKUP(A2,OptionBoard!$A$2:$M$86,6,0)</f>
        <v/>
      </c>
      <c r="G2" s="117">
        <f>VLOOKUP(A2,Far_laeyr!$B$9:$H$16,7,0)</f>
        <v/>
      </c>
      <c r="H2" s="117">
        <f>VLOOKUP(A2,OptionBoard!$A$2:$M$86,8,0)</f>
        <v/>
      </c>
      <c r="I2" s="117">
        <f>VLOOKUP(A2,OptionBoard!$A$2:$M$86,9,0)</f>
        <v/>
      </c>
      <c r="J2" s="117">
        <f>VLOOKUP(A2,OptionBoard!$A$2:$M$86,10,0)</f>
        <v/>
      </c>
      <c r="K2" s="117">
        <f>VLOOKUP(A2,OptionBoard!$A$2:$M$86,11,FALSE())</f>
        <v/>
      </c>
      <c r="L2" s="117">
        <f>VLOOKUP(A2,OptionBoard!$A$2:$M$86,12,0)</f>
        <v/>
      </c>
      <c r="M2" s="117">
        <f>VLOOKUP(A2,OptionBoard!$A$2:$M$86,13,0)</f>
        <v/>
      </c>
      <c r="N2" s="134">
        <f>G2*P2</f>
        <v/>
      </c>
      <c r="O2" s="135" t="inlineStr">
        <is>
          <t>buy</t>
        </is>
      </c>
      <c r="P2" s="135">
        <f>Far_laeyr!G20</f>
        <v/>
      </c>
      <c r="R2" s="117">
        <f>G2</f>
        <v/>
      </c>
      <c r="S2" s="117">
        <f>VLOOKUP(A2,OptionBoard!$A$2:$G$93,7,FALSE())</f>
        <v/>
      </c>
      <c r="U2" s="117">
        <f>R2-S2</f>
        <v/>
      </c>
    </row>
    <row r="3" ht="13.5" customHeight="1" s="116">
      <c r="A3" s="117">
        <f>Far_laeyr!B21</f>
        <v/>
      </c>
      <c r="B3" s="117">
        <f>VLOOKUP(A3,OptionBoard!$A$2:$M$86,2,FALSE())</f>
        <v/>
      </c>
      <c r="C3" s="117">
        <f>VLOOKUP(A3,OptionBoard!$A$2:$M$86,3,0)</f>
        <v/>
      </c>
      <c r="D3" s="117">
        <f>VLOOKUP(A3,OptionBoard!$A$2:$M$86,4,0)</f>
        <v/>
      </c>
      <c r="E3" s="117">
        <f>VLOOKUP(A3,OptionBoard!$A$2:$M$86,5,0)</f>
        <v/>
      </c>
      <c r="F3" s="117">
        <f>VLOOKUP(A3,OptionBoard!$A$2:$M$86,6,0)</f>
        <v/>
      </c>
      <c r="G3" s="117">
        <f>VLOOKUP(A3,Far_laeyr!$B$9:$H$16,7,0)</f>
        <v/>
      </c>
      <c r="H3" s="117">
        <f>VLOOKUP(A3,OptionBoard!$A$2:$M$86,8,0)</f>
        <v/>
      </c>
      <c r="I3" s="117">
        <f>VLOOKUP(A3,OptionBoard!$A$2:$M$86,9,0)</f>
        <v/>
      </c>
      <c r="J3" s="117">
        <f>VLOOKUP(A3,OptionBoard!$A$2:$M$86,10,0)</f>
        <v/>
      </c>
      <c r="K3" s="117">
        <f>VLOOKUP(A3,OptionBoard!$A$2:$M$86,11,FALSE())</f>
        <v/>
      </c>
      <c r="L3" s="117">
        <f>VLOOKUP(A3,OptionBoard!$A$2:$M$86,12,0)</f>
        <v/>
      </c>
      <c r="M3" s="117">
        <f>VLOOKUP(A3,OptionBoard!$A$2:$M$86,13,0)</f>
        <v/>
      </c>
      <c r="N3" s="134">
        <f>G3*P3</f>
        <v/>
      </c>
      <c r="O3" s="135" t="inlineStr">
        <is>
          <t>buy</t>
        </is>
      </c>
      <c r="P3" s="135">
        <f>Far_laeyr!G21</f>
        <v/>
      </c>
      <c r="R3" s="117">
        <f>G3</f>
        <v/>
      </c>
      <c r="S3" s="117">
        <f>VLOOKUP(A3,OptionBoard!$A$2:$G$93,7,FALSE())</f>
        <v/>
      </c>
      <c r="U3" s="117">
        <f>R3-S3</f>
        <v/>
      </c>
    </row>
    <row r="4" ht="13.5" customHeight="1" s="116">
      <c r="A4" s="117">
        <f>Far_laeyr!B22</f>
        <v/>
      </c>
      <c r="B4" s="117">
        <f>VLOOKUP(A4,OptionBoard!$A$2:$M$86,2,FALSE())</f>
        <v/>
      </c>
      <c r="C4" s="117">
        <f>VLOOKUP(A4,OptionBoard!$A$2:$M$86,3,0)</f>
        <v/>
      </c>
      <c r="D4" s="117">
        <f>VLOOKUP(A4,OptionBoard!$A$2:$M$86,4,0)</f>
        <v/>
      </c>
      <c r="E4" s="117">
        <f>VLOOKUP(A4,OptionBoard!$A$2:$M$86,5,0)</f>
        <v/>
      </c>
      <c r="F4" s="117">
        <f>VLOOKUP(A4,OptionBoard!$A$2:$M$86,6,0)</f>
        <v/>
      </c>
      <c r="G4" s="117">
        <f>VLOOKUP(A4,Far_laeyr!$B$9:$H$16,7,0)</f>
        <v/>
      </c>
      <c r="H4" s="117">
        <f>VLOOKUP(A4,OptionBoard!$A$2:$M$86,8,0)</f>
        <v/>
      </c>
      <c r="I4" s="117">
        <f>VLOOKUP(A4,OptionBoard!$A$2:$M$86,9,0)</f>
        <v/>
      </c>
      <c r="J4" s="117">
        <f>VLOOKUP(A4,OptionBoard!$A$2:$M$86,10,0)</f>
        <v/>
      </c>
      <c r="K4" s="117">
        <f>VLOOKUP(A4,OptionBoard!$A$2:$M$86,11,FALSE())</f>
        <v/>
      </c>
      <c r="L4" s="117">
        <f>VLOOKUP(A4,OptionBoard!$A$2:$M$86,12,0)</f>
        <v/>
      </c>
      <c r="M4" s="117">
        <f>VLOOKUP(A4,OptionBoard!$A$2:$M$86,13,0)</f>
        <v/>
      </c>
      <c r="N4" s="134">
        <f>G4*P4</f>
        <v/>
      </c>
      <c r="O4" s="135" t="inlineStr">
        <is>
          <t>buy</t>
        </is>
      </c>
      <c r="P4" s="135">
        <f>Far_laeyr!G22</f>
        <v/>
      </c>
      <c r="R4" s="117" t="n">
        <v>1.4</v>
      </c>
      <c r="S4" s="117">
        <f>VLOOKUP(A4,OptionBoard!$A$2:$G$93,7,FALSE())</f>
        <v/>
      </c>
      <c r="U4" s="117">
        <f>R4-S4</f>
        <v/>
      </c>
    </row>
    <row r="5" ht="13.5" customHeight="1" s="116">
      <c r="A5" s="117">
        <f>Far_laeyr!B23</f>
        <v/>
      </c>
      <c r="B5" s="117">
        <f>VLOOKUP(A5,OptionBoard!$A$2:$M$86,2,FALSE())</f>
        <v/>
      </c>
      <c r="C5" s="117">
        <f>VLOOKUP(A5,OptionBoard!$A$2:$M$86,3,0)</f>
        <v/>
      </c>
      <c r="D5" s="117">
        <f>VLOOKUP(A5,OptionBoard!$A$2:$M$86,4,0)</f>
        <v/>
      </c>
      <c r="E5" s="117">
        <f>VLOOKUP(A5,OptionBoard!$A$2:$M$86,5,0)</f>
        <v/>
      </c>
      <c r="F5" s="117">
        <f>VLOOKUP(A5,OptionBoard!$A$2:$M$86,6,0)</f>
        <v/>
      </c>
      <c r="G5" s="117">
        <f>VLOOKUP(A5,Far_laeyr!$B$9:$H$16,7,0)</f>
        <v/>
      </c>
      <c r="H5" s="117">
        <f>VLOOKUP(A5,OptionBoard!$A$2:$M$86,8,0)</f>
        <v/>
      </c>
      <c r="I5" s="117">
        <f>VLOOKUP(A5,OptionBoard!$A$2:$M$86,9,0)</f>
        <v/>
      </c>
      <c r="J5" s="117">
        <f>VLOOKUP(A5,OptionBoard!$A$2:$M$86,10,0)</f>
        <v/>
      </c>
      <c r="K5" s="117">
        <f>VLOOKUP(A5,OptionBoard!$A$2:$M$86,11,FALSE())</f>
        <v/>
      </c>
      <c r="L5" s="117">
        <f>VLOOKUP(A5,OptionBoard!$A$2:$M$86,12,0)</f>
        <v/>
      </c>
      <c r="M5" s="117">
        <f>VLOOKUP(A5,OptionBoard!$A$2:$M$86,13,0)</f>
        <v/>
      </c>
      <c r="N5" s="134">
        <f>G5*P5</f>
        <v/>
      </c>
      <c r="O5" s="135" t="inlineStr">
        <is>
          <t>buy</t>
        </is>
      </c>
      <c r="P5" s="135">
        <f>Far_laeyr!G23</f>
        <v/>
      </c>
      <c r="R5" s="117">
        <f>G5</f>
        <v/>
      </c>
      <c r="S5" s="117">
        <f>VLOOKUP(A5,OptionBoard!$A$2:$G$93,7,FALSE())</f>
        <v/>
      </c>
      <c r="U5" s="117">
        <f>R5-S5</f>
        <v/>
      </c>
    </row>
    <row r="6" ht="13.5" customHeight="1" s="116">
      <c r="A6" s="117">
        <f>Far_laeyr!B24</f>
        <v/>
      </c>
      <c r="B6" s="117">
        <f>VLOOKUP(A6,OptionBoard!$A$2:$M$86,2,FALSE())</f>
        <v/>
      </c>
      <c r="C6" s="117">
        <f>VLOOKUP(A6,OptionBoard!$A$2:$M$86,3,0)</f>
        <v/>
      </c>
      <c r="D6" s="117">
        <f>VLOOKUP(A6,OptionBoard!$A$2:$M$86,4,0)</f>
        <v/>
      </c>
      <c r="E6" s="117">
        <f>VLOOKUP(A6,OptionBoard!$A$2:$M$86,5,0)</f>
        <v/>
      </c>
      <c r="F6" s="117">
        <f>VLOOKUP(A6,OptionBoard!$A$2:$M$86,6,0)</f>
        <v/>
      </c>
      <c r="G6" s="117">
        <f>VLOOKUP(A6,Far_laeyr!$B$9:$H$16,7,0)</f>
        <v/>
      </c>
      <c r="H6" s="117">
        <f>VLOOKUP(A6,OptionBoard!$A$2:$M$86,8,0)</f>
        <v/>
      </c>
      <c r="I6" s="117">
        <f>VLOOKUP(A6,OptionBoard!$A$2:$M$86,9,0)</f>
        <v/>
      </c>
      <c r="J6" s="117">
        <f>VLOOKUP(A6,OptionBoard!$A$2:$M$86,10,0)</f>
        <v/>
      </c>
      <c r="K6" s="117">
        <f>VLOOKUP(A6,OptionBoard!$A$2:$M$86,11,FALSE())</f>
        <v/>
      </c>
      <c r="L6" s="117">
        <f>VLOOKUP(A6,OptionBoard!$A$2:$M$86,12,0)</f>
        <v/>
      </c>
      <c r="M6" s="117">
        <f>VLOOKUP(A6,OptionBoard!$A$2:$M$86,13,0)</f>
        <v/>
      </c>
      <c r="N6" s="134">
        <f>G6*P6</f>
        <v/>
      </c>
      <c r="O6" s="135" t="inlineStr">
        <is>
          <t>buy</t>
        </is>
      </c>
      <c r="P6" s="135">
        <f>Far_laeyr!G24</f>
        <v/>
      </c>
      <c r="R6" s="117">
        <f>G6</f>
        <v/>
      </c>
      <c r="S6" s="117">
        <f>VLOOKUP(A6,OptionBoard!$A$2:$G$93,7,FALSE())</f>
        <v/>
      </c>
      <c r="U6" s="117">
        <f>R6-S6</f>
        <v/>
      </c>
    </row>
    <row r="7" ht="13.5" customHeight="1" s="116">
      <c r="A7" s="117">
        <f>Far_laeyr!B25</f>
        <v/>
      </c>
      <c r="B7" s="117">
        <f>VLOOKUP(A7,OptionBoard!$A$2:$M$86,2,FALSE())</f>
        <v/>
      </c>
      <c r="C7" s="117">
        <f>VLOOKUP(A7,OptionBoard!$A$2:$M$86,3,0)</f>
        <v/>
      </c>
      <c r="D7" s="117">
        <f>VLOOKUP(A7,OptionBoard!$A$2:$M$86,4,0)</f>
        <v/>
      </c>
      <c r="E7" s="117">
        <f>VLOOKUP(A7,OptionBoard!$A$2:$M$86,5,0)</f>
        <v/>
      </c>
      <c r="F7" s="117">
        <f>VLOOKUP(A7,OptionBoard!$A$2:$M$86,6,0)</f>
        <v/>
      </c>
      <c r="G7" s="117">
        <f>VLOOKUP(A7,Far_laeyr!$B$9:$H$16,7,0)</f>
        <v/>
      </c>
      <c r="H7" s="117">
        <f>VLOOKUP(A7,OptionBoard!$A$2:$M$86,8,0)</f>
        <v/>
      </c>
      <c r="I7" s="117">
        <f>VLOOKUP(A7,OptionBoard!$A$2:$M$86,9,0)</f>
        <v/>
      </c>
      <c r="J7" s="117">
        <f>VLOOKUP(A7,OptionBoard!$A$2:$M$86,10,0)</f>
        <v/>
      </c>
      <c r="K7" s="117">
        <f>VLOOKUP(A7,OptionBoard!$A$2:$M$86,11,FALSE())</f>
        <v/>
      </c>
      <c r="L7" s="117">
        <f>VLOOKUP(A7,OptionBoard!$A$2:$M$86,12,0)</f>
        <v/>
      </c>
      <c r="M7" s="117">
        <f>VLOOKUP(A7,OptionBoard!$A$2:$M$86,13,0)</f>
        <v/>
      </c>
      <c r="N7" s="134">
        <f>G7*P7</f>
        <v/>
      </c>
      <c r="O7" s="135" t="inlineStr">
        <is>
          <t>buy</t>
        </is>
      </c>
      <c r="P7" s="135">
        <f>Far_laeyr!G25</f>
        <v/>
      </c>
      <c r="R7" s="117">
        <f>G7</f>
        <v/>
      </c>
      <c r="S7" s="117">
        <f>VLOOKUP(A7,OptionBoard!$A$2:$G$93,7,FALSE())</f>
        <v/>
      </c>
      <c r="U7" s="117">
        <f>R7-S7</f>
        <v/>
      </c>
    </row>
    <row r="8" ht="13.5" customHeight="1" s="116">
      <c r="A8" s="117">
        <f>Far_laeyr!B26</f>
        <v/>
      </c>
      <c r="B8" s="117">
        <f>VLOOKUP(A8,OptionBoard!$A$2:$M$86,2,FALSE())</f>
        <v/>
      </c>
      <c r="C8" s="117">
        <f>VLOOKUP(A8,OptionBoard!$A$2:$M$86,3,0)</f>
        <v/>
      </c>
      <c r="D8" s="117">
        <f>VLOOKUP(A8,OptionBoard!$A$2:$M$86,4,0)</f>
        <v/>
      </c>
      <c r="E8" s="117">
        <f>VLOOKUP(A8,OptionBoard!$A$2:$M$86,5,0)</f>
        <v/>
      </c>
      <c r="F8" s="117">
        <f>VLOOKUP(A8,OptionBoard!$A$2:$M$86,6,0)</f>
        <v/>
      </c>
      <c r="G8" s="117">
        <f>VLOOKUP(A8,Far_laeyr!$B$9:$H$16,7,0)</f>
        <v/>
      </c>
      <c r="H8" s="117">
        <f>VLOOKUP(A8,OptionBoard!$A$2:$M$86,8,0)</f>
        <v/>
      </c>
      <c r="I8" s="117">
        <f>VLOOKUP(A8,OptionBoard!$A$2:$M$86,9,0)</f>
        <v/>
      </c>
      <c r="J8" s="117">
        <f>VLOOKUP(A8,OptionBoard!$A$2:$M$86,10,0)</f>
        <v/>
      </c>
      <c r="K8" s="117">
        <f>VLOOKUP(A8,OptionBoard!$A$2:$M$86,11,FALSE())</f>
        <v/>
      </c>
      <c r="L8" s="117">
        <f>VLOOKUP(A8,OptionBoard!$A$2:$M$86,12,0)</f>
        <v/>
      </c>
      <c r="M8" s="117">
        <f>VLOOKUP(A8,OptionBoard!$A$2:$M$86,13,0)</f>
        <v/>
      </c>
      <c r="N8" s="134">
        <f>G8*P8</f>
        <v/>
      </c>
      <c r="O8" s="135" t="inlineStr">
        <is>
          <t>buy</t>
        </is>
      </c>
      <c r="P8" s="135">
        <f>Far_laeyr!G26</f>
        <v/>
      </c>
      <c r="R8" s="117" t="n"/>
      <c r="S8" s="117">
        <f>VLOOKUP(A8,OptionBoard!$A$2:$G$93,7,FALSE())</f>
        <v/>
      </c>
      <c r="U8" s="117">
        <f>R8-S8</f>
        <v/>
      </c>
    </row>
    <row r="9" ht="13.5" customHeight="1" s="116">
      <c r="A9" s="117">
        <f>Far_laeyr!B27</f>
        <v/>
      </c>
      <c r="B9" s="117">
        <f>VLOOKUP(A9,OptionBoard!$A$2:$M$86,2,FALSE())</f>
        <v/>
      </c>
      <c r="C9" s="117">
        <f>VLOOKUP(A9,OptionBoard!$A$2:$M$86,3,0)</f>
        <v/>
      </c>
      <c r="D9" s="117">
        <f>VLOOKUP(A9,OptionBoard!$A$2:$M$86,4,0)</f>
        <v/>
      </c>
      <c r="E9" s="117">
        <f>VLOOKUP(A9,OptionBoard!$A$2:$M$86,5,0)</f>
        <v/>
      </c>
      <c r="F9" s="117">
        <f>VLOOKUP(A9,OptionBoard!$A$2:$M$86,6,0)</f>
        <v/>
      </c>
      <c r="G9" s="117">
        <f>VLOOKUP(A9,Far_laeyr!$B$9:$H$16,7,0)</f>
        <v/>
      </c>
      <c r="H9" s="117">
        <f>VLOOKUP(A9,OptionBoard!$A$2:$M$86,8,0)</f>
        <v/>
      </c>
      <c r="I9" s="117">
        <f>VLOOKUP(A9,OptionBoard!$A$2:$M$86,9,0)</f>
        <v/>
      </c>
      <c r="J9" s="117">
        <f>VLOOKUP(A9,OptionBoard!$A$2:$M$86,10,0)</f>
        <v/>
      </c>
      <c r="K9" s="117">
        <f>VLOOKUP(A9,OptionBoard!$A$2:$M$86,11,FALSE())</f>
        <v/>
      </c>
      <c r="L9" s="117">
        <f>VLOOKUP(A9,OptionBoard!$A$2:$M$86,12,0)</f>
        <v/>
      </c>
      <c r="M9" s="117">
        <f>VLOOKUP(A9,OptionBoard!$A$2:$M$86,13,0)</f>
        <v/>
      </c>
      <c r="N9" s="134">
        <f>G9*P9</f>
        <v/>
      </c>
      <c r="O9" s="135" t="inlineStr">
        <is>
          <t>buy</t>
        </is>
      </c>
      <c r="P9" s="135">
        <f>Far_laeyr!G27</f>
        <v/>
      </c>
      <c r="R9" s="117" t="n"/>
      <c r="S9" s="117">
        <f>VLOOKUP(A9,OptionBoard!$A$2:$G$93,7,FALSE())</f>
        <v/>
      </c>
      <c r="U9" s="117">
        <f>R9-S9</f>
        <v/>
      </c>
    </row>
    <row r="10" ht="13.5" customHeight="1" s="116">
      <c r="A10" s="117">
        <f>Far_laeyr!B28</f>
        <v/>
      </c>
      <c r="B10" s="117">
        <f>VLOOKUP(A10,OptionBoard!$A$2:$M$86,2,FALSE())</f>
        <v/>
      </c>
      <c r="C10" s="117">
        <f>VLOOKUP(A10,OptionBoard!$A$2:$M$86,3,0)</f>
        <v/>
      </c>
      <c r="D10" s="117">
        <f>VLOOKUP(A10,OptionBoard!$A$2:$M$86,4,0)</f>
        <v/>
      </c>
      <c r="E10" s="117">
        <f>VLOOKUP(A10,OptionBoard!$A$2:$M$86,5,0)</f>
        <v/>
      </c>
      <c r="F10" s="117">
        <f>VLOOKUP(A10,OptionBoard!$A$2:$M$86,6,0)</f>
        <v/>
      </c>
      <c r="G10" s="117">
        <f>VLOOKUP(A10,Far_laeyr!$B$9:$H$16,7,0)</f>
        <v/>
      </c>
      <c r="H10" s="117">
        <f>VLOOKUP(A10,OptionBoard!$A$2:$M$86,8,0)</f>
        <v/>
      </c>
      <c r="I10" s="117">
        <f>VLOOKUP(A10,OptionBoard!$A$2:$M$86,9,0)</f>
        <v/>
      </c>
      <c r="J10" s="117">
        <f>VLOOKUP(A10,OptionBoard!$A$2:$M$86,10,0)</f>
        <v/>
      </c>
      <c r="K10" s="117">
        <f>VLOOKUP(A10,OptionBoard!$A$2:$M$86,11,FALSE())</f>
        <v/>
      </c>
      <c r="L10" s="117">
        <f>VLOOKUP(A10,OptionBoard!$A$2:$M$86,12,0)</f>
        <v/>
      </c>
      <c r="M10" s="117">
        <f>VLOOKUP(A10,OptionBoard!$A$2:$M$86,13,0)</f>
        <v/>
      </c>
      <c r="N10" s="134">
        <f>G10*P10</f>
        <v/>
      </c>
      <c r="O10" s="135" t="inlineStr">
        <is>
          <t>buy</t>
        </is>
      </c>
      <c r="P10" s="135">
        <f>Far_laeyr!G28</f>
        <v/>
      </c>
      <c r="R10" s="117" t="n"/>
      <c r="S10" s="117">
        <f>VLOOKUP(A10,OptionBoard!$A$2:$G$93,7,FALSE())</f>
        <v/>
      </c>
      <c r="U10" s="117">
        <f>R10-S10</f>
        <v/>
      </c>
    </row>
    <row r="11" ht="13.5" customHeight="1" s="116">
      <c r="A11" s="117">
        <f>Far_laeyr!B29</f>
        <v/>
      </c>
      <c r="B11" s="117">
        <f>VLOOKUP(A11,OptionBoard!$A$2:$M$86,2,FALSE())</f>
        <v/>
      </c>
      <c r="C11" s="117">
        <f>VLOOKUP(A11,OptionBoard!$A$2:$M$86,3,0)</f>
        <v/>
      </c>
      <c r="D11" s="117">
        <f>VLOOKUP(A11,OptionBoard!$A$2:$M$86,4,0)</f>
        <v/>
      </c>
      <c r="E11" s="117">
        <f>VLOOKUP(A11,OptionBoard!$A$2:$M$86,5,0)</f>
        <v/>
      </c>
      <c r="F11" s="117">
        <f>VLOOKUP(A11,OptionBoard!$A$2:$M$86,6,0)</f>
        <v/>
      </c>
      <c r="G11" s="117">
        <f>VLOOKUP(A11,Far_laeyr!$B$9:$H$16,7,0)</f>
        <v/>
      </c>
      <c r="H11" s="117">
        <f>VLOOKUP(A11,OptionBoard!$A$2:$M$86,8,0)</f>
        <v/>
      </c>
      <c r="I11" s="117">
        <f>VLOOKUP(A11,OptionBoard!$A$2:$M$86,9,0)</f>
        <v/>
      </c>
      <c r="J11" s="117">
        <f>VLOOKUP(A11,OptionBoard!$A$2:$M$86,10,0)</f>
        <v/>
      </c>
      <c r="K11" s="117">
        <f>VLOOKUP(A11,OptionBoard!$A$2:$M$86,11,FALSE())</f>
        <v/>
      </c>
      <c r="L11" s="117">
        <f>VLOOKUP(A11,OptionBoard!$A$2:$M$86,12,0)</f>
        <v/>
      </c>
      <c r="M11" s="117">
        <f>VLOOKUP(A11,OptionBoard!$A$2:$M$86,13,0)</f>
        <v/>
      </c>
      <c r="N11" s="134">
        <f>G11*P11</f>
        <v/>
      </c>
      <c r="O11" s="135" t="inlineStr">
        <is>
          <t>buy</t>
        </is>
      </c>
      <c r="P11" s="135">
        <f>Far_laeyr!G29</f>
        <v/>
      </c>
      <c r="R11" s="117" t="n"/>
      <c r="S11" s="117">
        <f>VLOOKUP(A11,OptionBoard!$A$2:$G$93,7,FALSE())</f>
        <v/>
      </c>
      <c r="U11" s="117">
        <f>R11-S11</f>
        <v/>
      </c>
    </row>
    <row r="12" ht="13.5" customHeight="1" s="116">
      <c r="N12" s="134" t="n"/>
      <c r="O12" s="135" t="n"/>
      <c r="P12" s="135" t="n"/>
    </row>
    <row r="13" ht="13.5" customHeight="1" s="116">
      <c r="B13" s="118" t="n"/>
      <c r="C13" s="136" t="n"/>
      <c r="D13" s="136" t="n"/>
      <c r="E13" s="136" t="n"/>
      <c r="F13" s="136" t="n"/>
      <c r="G13" s="136" t="n"/>
      <c r="H13" s="118" t="n"/>
      <c r="I13" s="118" t="n"/>
      <c r="J13" s="136" t="n"/>
      <c r="K13" s="118" t="n"/>
      <c r="L13" s="118" t="n"/>
      <c r="M13" s="118" t="n"/>
      <c r="N13" s="118" t="n"/>
      <c r="O13" s="118" t="n"/>
      <c r="P13" s="118" t="n"/>
    </row>
    <row r="14" ht="13.5" customHeight="1" s="116">
      <c r="A14" s="117" t="inlineStr">
        <is>
          <t>Now_Greeks</t>
        </is>
      </c>
      <c r="C14" s="117">
        <f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</f>
        <v/>
      </c>
      <c r="D14" s="117">
        <f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</f>
        <v/>
      </c>
      <c r="E14" s="117">
        <f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</f>
        <v/>
      </c>
      <c r="F14" s="117">
        <f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</f>
        <v/>
      </c>
      <c r="G14" s="117">
        <f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</f>
        <v/>
      </c>
      <c r="H14" s="117" t="n"/>
      <c r="M14" s="117">
        <f>M2*P2+M3*P3+M5*P5+M4*P4+M6*P6+M7*P7+M8*P8+M9*P9+M10*P10</f>
        <v/>
      </c>
      <c r="S14" s="117">
        <f>F14/C14</f>
        <v/>
      </c>
    </row>
    <row r="16" ht="17.25" customHeight="1" s="116">
      <c r="A16" s="117">
        <f>A2</f>
        <v/>
      </c>
      <c r="B16" s="137" t="n"/>
      <c r="C16" s="133" t="inlineStr">
        <is>
          <t>delta</t>
        </is>
      </c>
      <c r="D16" s="133" t="inlineStr">
        <is>
          <t>gamma</t>
        </is>
      </c>
      <c r="E16" s="133" t="inlineStr">
        <is>
          <t>vega</t>
        </is>
      </c>
      <c r="F16" s="133" t="inlineStr">
        <is>
          <t>theta</t>
        </is>
      </c>
      <c r="G16" s="133" t="inlineStr">
        <is>
          <t>mark_price</t>
        </is>
      </c>
      <c r="I16" s="133" t="inlineStr">
        <is>
          <t>d1</t>
        </is>
      </c>
      <c r="J16" s="133" t="inlineStr">
        <is>
          <t>d2</t>
        </is>
      </c>
    </row>
    <row r="17" ht="13.5" customHeight="1" s="116">
      <c r="B17" s="138">
        <f>Portfolio!B28</f>
        <v/>
      </c>
      <c r="C17" s="139">
        <f>IF($O$2="sell",-1,1) *  IF($K$2="call",  NORMDIST(I17,0,1,1),  NORMDIST(I17,0,1,1)-1  ) * $P$2</f>
        <v/>
      </c>
      <c r="D17" s="139">
        <f>IF($O$2="sell",-1,1) * NORMDIST(I17,0,1,0)/(B17*$H$2*SQRT($J$2)) * $P$2</f>
        <v/>
      </c>
      <c r="E17" s="139">
        <f>IF($O$2="sell",-1,1) * (B17*NORMDIST(I17,0,1,0)*SQRT($J$2)/365) * $P$2</f>
        <v/>
      </c>
      <c r="F17" s="139">
        <f>IF($O$2="sell",-1,1) * (-(B17*NORMDIST(I17,0,1,0)*$H$2)/(2*SQRT($J$2))/365) *$P$2</f>
        <v/>
      </c>
      <c r="G17" s="139">
        <f>IF($O$2="buy",1,-1)*( IF($K$2="call",B17*NORMDIST(I17,0,1,1) - $B$2*NORMDIST(J17,0,1,1),$B$2*NORMDIST(-J17,0,1,1) - B17*NORMDIST(-I17,0,1,1) ) - $G$2) * $P$2</f>
        <v/>
      </c>
      <c r="I17" s="140">
        <f>(LN(B17/$B$2)+($H$2^2/2)*($J$2))/($H$2*SQRT($J$2))</f>
        <v/>
      </c>
      <c r="J17" s="140">
        <f>I17 - $H$2*SQRT($J$2)</f>
        <v/>
      </c>
    </row>
    <row r="18" ht="13.5" customHeight="1" s="116">
      <c r="B18" s="138">
        <f>Portfolio!B29</f>
        <v/>
      </c>
      <c r="C18" s="139">
        <f>IF($O$2="sell",-1,1) *  IF($K$2="call",  NORMDIST(I18,0,1,1),  NORMDIST(I18,0,1,1)-1  ) * $P$2</f>
        <v/>
      </c>
      <c r="D18" s="139">
        <f>IF($O$2="sell",-1,1) * NORMDIST(I18,0,1,0)/(B18*$H$2*SQRT($J$2)) * $P$2</f>
        <v/>
      </c>
      <c r="E18" s="139">
        <f>IF($O$2="sell",-1,1) * (B18*NORMDIST(I18,0,1,0)*SQRT($J$2)/365) * $P$2</f>
        <v/>
      </c>
      <c r="F18" s="139">
        <f>IF($O$2="sell",-1,1) * (-(B18*NORMDIST(I18,0,1,0)*$H$2)/(2*SQRT($J$2))/365) *$P$2</f>
        <v/>
      </c>
      <c r="G18" s="139">
        <f>IF($O$2="buy",1,-1)*( IF($K$2="call",B18*NORMDIST(I18,0,1,1) - $B$2*NORMDIST(J18,0,1,1),$B$2*NORMDIST(-J18,0,1,1) - B18*NORMDIST(-I18,0,1,1) ) - $G$2) * $P$2</f>
        <v/>
      </c>
      <c r="I18" s="140">
        <f>(LN(B18/$B$2)+($H$2^2/2)*($J$2))/($H$2*SQRT($J$2))</f>
        <v/>
      </c>
      <c r="J18" s="140">
        <f>I18 - $H$2*SQRT($J$2)</f>
        <v/>
      </c>
      <c r="L18" s="117" t="n"/>
    </row>
    <row r="19" ht="13.5" customHeight="1" s="116">
      <c r="B19" s="138">
        <f>Portfolio!B30</f>
        <v/>
      </c>
      <c r="C19" s="139">
        <f>IF($O$2="sell",-1,1) *  IF($K$2="call",  NORMDIST(I19,0,1,1),  NORMDIST(I19,0,1,1)-1  ) * $P$2</f>
        <v/>
      </c>
      <c r="D19" s="139">
        <f>IF($O$2="sell",-1,1) * NORMDIST(I19,0,1,0)/(B19*$H$2*SQRT($J$2)) * $P$2</f>
        <v/>
      </c>
      <c r="E19" s="139">
        <f>IF($O$2="sell",-1,1) * (B19*NORMDIST(I19,0,1,0)*SQRT($J$2)/365) * $P$2</f>
        <v/>
      </c>
      <c r="F19" s="139">
        <f>IF($O$2="sell",-1,1) * (-(B19*NORMDIST(I19,0,1,0)*$H$2)/(2*SQRT($J$2))/365) *$P$2</f>
        <v/>
      </c>
      <c r="G19" s="139">
        <f>IF($O$2="buy",1,-1)*( IF($K$2="call",B19*NORMDIST(I19,0,1,1) - $B$2*NORMDIST(J19,0,1,1),$B$2*NORMDIST(-J19,0,1,1) - B19*NORMDIST(-I19,0,1,1) ) - $G$2) * $P$2</f>
        <v/>
      </c>
      <c r="I19" s="140">
        <f>(LN(B19/$B$2)+($H$2^2/2)*($J$2))/($H$2*SQRT($J$2))</f>
        <v/>
      </c>
      <c r="J19" s="140">
        <f>I19 - $H$2*SQRT($J$2)</f>
        <v/>
      </c>
      <c r="L19" s="117" t="n"/>
      <c r="M19" s="141" t="n"/>
    </row>
    <row r="20" ht="13.5" customHeight="1" s="116">
      <c r="B20" s="138">
        <f>Portfolio!B31</f>
        <v/>
      </c>
      <c r="C20" s="139">
        <f>IF($O$2="sell",-1,1) *  IF($K$2="call",  NORMDIST(I20,0,1,1),  NORMDIST(I20,0,1,1)-1  ) * $P$2</f>
        <v/>
      </c>
      <c r="D20" s="139">
        <f>IF($O$2="sell",-1,1) * NORMDIST(I20,0,1,0)/(B20*$H$2*SQRT($J$2)) * $P$2</f>
        <v/>
      </c>
      <c r="E20" s="139">
        <f>IF($O$2="sell",-1,1) * (B20*NORMDIST(I20,0,1,0)*SQRT($J$2)/365) * $P$2</f>
        <v/>
      </c>
      <c r="F20" s="139">
        <f>IF($O$2="sell",-1,1) * (-(B20*NORMDIST(I20,0,1,0)*$H$2)/(2*SQRT($J$2))/365) *$P$2</f>
        <v/>
      </c>
      <c r="G20" s="139">
        <f>IF($O$2="buy",1,-1)*( IF($K$2="call",B20*NORMDIST(I20,0,1,1) - $B$2*NORMDIST(J20,0,1,1),$B$2*NORMDIST(-J20,0,1,1) - B20*NORMDIST(-I20,0,1,1) ) - $G$2) * $P$2</f>
        <v/>
      </c>
      <c r="I20" s="140">
        <f>(LN(B20/$B$2)+($H$2^2/2)*($J$2))/($H$2*SQRT($J$2))</f>
        <v/>
      </c>
      <c r="J20" s="140">
        <f>I20 - $H$2*SQRT($J$2)</f>
        <v/>
      </c>
      <c r="L20" s="117" t="n"/>
      <c r="M20" s="141" t="n"/>
      <c r="N20" s="141" t="n"/>
    </row>
    <row r="21" ht="13.5" customHeight="1" s="116">
      <c r="B21" s="138">
        <f>Portfolio!B32</f>
        <v/>
      </c>
      <c r="C21" s="139">
        <f>IF($O$2="sell",-1,1) *  IF($K$2="call",  NORMDIST(I21,0,1,1),  NORMDIST(I21,0,1,1)-1  ) * $P$2</f>
        <v/>
      </c>
      <c r="D21" s="139">
        <f>IF($O$2="sell",-1,1) * NORMDIST(I21,0,1,0)/(B21*$H$2*SQRT($J$2)) * $P$2</f>
        <v/>
      </c>
      <c r="E21" s="139">
        <f>IF($O$2="sell",-1,1) * (B21*NORMDIST(I21,0,1,0)*SQRT($J$2)/365) * $P$2</f>
        <v/>
      </c>
      <c r="F21" s="139">
        <f>IF($O$2="sell",-1,1) * (-(B21*NORMDIST(I21,0,1,0)*$H$2)/(2*SQRT($J$2))/365) *$P$2</f>
        <v/>
      </c>
      <c r="G21" s="139">
        <f>IF($O$2="buy",1,-1)*( IF($K$2="call",B21*NORMDIST(I21,0,1,1) - $B$2*NORMDIST(J21,0,1,1),$B$2*NORMDIST(-J21,0,1,1) - B21*NORMDIST(-I21,0,1,1) ) - $G$2) * $P$2</f>
        <v/>
      </c>
      <c r="I21" s="140">
        <f>(LN(B21/$B$2)+($H$2^2/2)*($J$2))/($H$2*SQRT($J$2))</f>
        <v/>
      </c>
      <c r="J21" s="140">
        <f>I21 - $H$2*SQRT($J$2)</f>
        <v/>
      </c>
      <c r="L21" s="117" t="n"/>
      <c r="M21" s="141" t="n"/>
      <c r="N21" s="141" t="n"/>
    </row>
    <row r="22" ht="13.5" customHeight="1" s="116">
      <c r="B22" s="138">
        <f>Portfolio!B33</f>
        <v/>
      </c>
      <c r="C22" s="139">
        <f>IF($O$2="sell",-1,1) *  IF($K$2="call",  NORMDIST(I22,0,1,1),  NORMDIST(I22,0,1,1)-1  ) * $P$2</f>
        <v/>
      </c>
      <c r="D22" s="139">
        <f>IF($O$2="sell",-1,1) * NORMDIST(I22,0,1,0)/(B22*$H$2*SQRT($J$2)) * $P$2</f>
        <v/>
      </c>
      <c r="E22" s="139">
        <f>IF($O$2="sell",-1,1) * (B22*NORMDIST(I22,0,1,0)*SQRT($J$2)/365) * $P$2</f>
        <v/>
      </c>
      <c r="F22" s="139">
        <f>IF($O$2="sell",-1,1) * (-(B22*NORMDIST(I22,0,1,0)*$H$2)/(2*SQRT($J$2))/365) *$P$2</f>
        <v/>
      </c>
      <c r="G22" s="139">
        <f>IF($O$2="buy",1,-1)*( IF($K$2="call",B22*NORMDIST(I22,0,1,1) - $B$2*NORMDIST(J22,0,1,1),$B$2*NORMDIST(-J22,0,1,1) - B22*NORMDIST(-I22,0,1,1) ) - $G$2) * $P$2</f>
        <v/>
      </c>
      <c r="I22" s="140">
        <f>(LN(B22/$B$2)+($H$2^2/2)*($J$2))/($H$2*SQRT($J$2))</f>
        <v/>
      </c>
      <c r="J22" s="140">
        <f>I22 - $H$2*SQRT($J$2)</f>
        <v/>
      </c>
      <c r="L22" s="117" t="n"/>
      <c r="M22" s="141" t="n"/>
      <c r="N22" s="141" t="n"/>
    </row>
    <row r="23" ht="13.5" customHeight="1" s="116">
      <c r="B23" s="138">
        <f>Portfolio!B34</f>
        <v/>
      </c>
      <c r="C23" s="139">
        <f>IF($O$2="sell",-1,1) *  IF($K$2="call",  NORMDIST(I23,0,1,1),  NORMDIST(I23,0,1,1)-1  ) * $P$2</f>
        <v/>
      </c>
      <c r="D23" s="139">
        <f>IF($O$2="sell",-1,1) * NORMDIST(I23,0,1,0)/(B23*$H$2*SQRT($J$2)) * $P$2</f>
        <v/>
      </c>
      <c r="E23" s="139">
        <f>IF($O$2="sell",-1,1) * (B23*NORMDIST(I23,0,1,0)*SQRT($J$2)/365) * $P$2</f>
        <v/>
      </c>
      <c r="F23" s="139">
        <f>IF($O$2="sell",-1,1) * (-(B23*NORMDIST(I23,0,1,0)*$H$2)/(2*SQRT($J$2))/365) *$P$2</f>
        <v/>
      </c>
      <c r="G23" s="139">
        <f>IF($O$2="buy",1,-1)*( IF($K$2="call",B23*NORMDIST(I23,0,1,1) - $B$2*NORMDIST(J23,0,1,1),$B$2*NORMDIST(-J23,0,1,1) - B23*NORMDIST(-I23,0,1,1) ) - $G$2) * $P$2</f>
        <v/>
      </c>
      <c r="I23" s="140">
        <f>(LN(B23/$B$2)+($H$2^2/2)*($J$2))/($H$2*SQRT($J$2))</f>
        <v/>
      </c>
      <c r="J23" s="140">
        <f>I23 - $H$2*SQRT($J$2)</f>
        <v/>
      </c>
      <c r="L23" s="117" t="n"/>
      <c r="M23" s="141" t="n"/>
      <c r="N23" s="141" t="n"/>
    </row>
    <row r="24" ht="13.5" customHeight="1" s="116">
      <c r="B24" s="138">
        <f>Portfolio!B35</f>
        <v/>
      </c>
      <c r="C24" s="139">
        <f>IF($O$2="sell",-1,1) *  IF($K$2="call",  NORMDIST(I24,0,1,1),  NORMDIST(I24,0,1,1)-1  ) * $P$2</f>
        <v/>
      </c>
      <c r="D24" s="139">
        <f>IF($O$2="sell",-1,1) * NORMDIST(I24,0,1,0)/(B24*$H$2*SQRT($J$2)) * $P$2</f>
        <v/>
      </c>
      <c r="E24" s="139">
        <f>IF($O$2="sell",-1,1) * (B24*NORMDIST(I24,0,1,0)*SQRT($J$2)/365) * $P$2</f>
        <v/>
      </c>
      <c r="F24" s="139">
        <f>IF($O$2="sell",-1,1) * (-(B24*NORMDIST(I24,0,1,0)*$H$2)/(2*SQRT($J$2))/365) *$P$2</f>
        <v/>
      </c>
      <c r="G24" s="139">
        <f>IF($O$2="buy",1,-1)*( IF($K$2="call",B24*NORMDIST(I24,0,1,1) - $B$2*NORMDIST(J24,0,1,1),$B$2*NORMDIST(-J24,0,1,1) - B24*NORMDIST(-I24,0,1,1) ) - $G$2) * $P$2</f>
        <v/>
      </c>
      <c r="I24" s="140">
        <f>(LN(B24/$B$2)+($H$2^2/2)*($J$2))/($H$2*SQRT($J$2))</f>
        <v/>
      </c>
      <c r="J24" s="140">
        <f>I24 - $H$2*SQRT($J$2)</f>
        <v/>
      </c>
      <c r="L24" s="117" t="n"/>
      <c r="M24" s="141" t="n"/>
      <c r="N24" s="141" t="n"/>
    </row>
    <row r="25" ht="13.5" customHeight="1" s="116">
      <c r="B25" s="138">
        <f>Portfolio!B36</f>
        <v/>
      </c>
      <c r="C25" s="139">
        <f>IF($O$2="sell",-1,1) *  IF($K$2="call",  NORMDIST(I25,0,1,1),  NORMDIST(I25,0,1,1)-1  ) * $P$2</f>
        <v/>
      </c>
      <c r="D25" s="139">
        <f>IF($O$2="sell",-1,1) * NORMDIST(I25,0,1,0)/(B25*$H$2*SQRT($J$2)) * $P$2</f>
        <v/>
      </c>
      <c r="E25" s="139">
        <f>IF($O$2="sell",-1,1) * (B25*NORMDIST(I25,0,1,0)*SQRT($J$2)/365) * $P$2</f>
        <v/>
      </c>
      <c r="F25" s="139">
        <f>IF($O$2="sell",-1,1) * (-(B25*NORMDIST(I25,0,1,0)*$H$2)/(2*SQRT($J$2))/365) *$P$2</f>
        <v/>
      </c>
      <c r="G25" s="139">
        <f>IF($O$2="buy",1,-1)*( IF($K$2="call",B25*NORMDIST(I25,0,1,1) - $B$2*NORMDIST(J25,0,1,1),$B$2*NORMDIST(-J25,0,1,1) - B25*NORMDIST(-I25,0,1,1) ) - $G$2) * $P$2</f>
        <v/>
      </c>
      <c r="I25" s="140">
        <f>(LN(B25/$B$2)+($H$2^2/2)*($J$2))/($H$2*SQRT($J$2))</f>
        <v/>
      </c>
      <c r="J25" s="140">
        <f>I25 - $H$2*SQRT($J$2)</f>
        <v/>
      </c>
      <c r="L25" s="117" t="n"/>
      <c r="M25" s="141" t="n"/>
      <c r="N25" s="141" t="n"/>
    </row>
    <row r="26" ht="13.5" customHeight="1" s="116">
      <c r="B26" s="138">
        <f>Portfolio!B37</f>
        <v/>
      </c>
      <c r="C26" s="139">
        <f>IF($O$2="sell",-1,1) *  IF($K$2="call",  NORMDIST(I26,0,1,1),  NORMDIST(I26,0,1,1)-1  ) * $P$2</f>
        <v/>
      </c>
      <c r="D26" s="139">
        <f>IF($O$2="sell",-1,1) * NORMDIST(I26,0,1,0)/(B26*$H$2*SQRT($J$2)) * $P$2</f>
        <v/>
      </c>
      <c r="E26" s="139">
        <f>IF($O$2="sell",-1,1) * (B26*NORMDIST(I26,0,1,0)*SQRT($J$2)/365) * $P$2</f>
        <v/>
      </c>
      <c r="F26" s="139">
        <f>IF($O$2="sell",-1,1) * (-(B26*NORMDIST(I26,0,1,0)*$H$2)/(2*SQRT($J$2))/365) *$P$2</f>
        <v/>
      </c>
      <c r="G26" s="139">
        <f>IF($O$2="buy",1,-1)*( IF($K$2="call",B26*NORMDIST(I26,0,1,1) - $B$2*NORMDIST(J26,0,1,1),$B$2*NORMDIST(-J26,0,1,1) - B26*NORMDIST(-I26,0,1,1) ) - $G$2) * $P$2</f>
        <v/>
      </c>
      <c r="I26" s="140">
        <f>(LN(B26/$B$2)+($H$2^2/2)*($J$2))/($H$2*SQRT($J$2))</f>
        <v/>
      </c>
      <c r="J26" s="140">
        <f>I26 - $H$2*SQRT($J$2)</f>
        <v/>
      </c>
      <c r="L26" s="117" t="n"/>
      <c r="M26" s="141" t="n"/>
      <c r="N26" s="141" t="n"/>
    </row>
    <row r="27" ht="13.5" customHeight="1" s="116">
      <c r="B27" s="138">
        <f>Portfolio!B38</f>
        <v/>
      </c>
      <c r="C27" s="139">
        <f>IF($O$2="sell",-1,1) *  IF($K$2="call",  NORMDIST(I27,0,1,1),  NORMDIST(I27,0,1,1)-1  ) * $P$2</f>
        <v/>
      </c>
      <c r="D27" s="139">
        <f>IF($O$2="sell",-1,1) * NORMDIST(I27,0,1,0)/(B27*$H$2*SQRT($J$2)) * $P$2</f>
        <v/>
      </c>
      <c r="E27" s="139">
        <f>IF($O$2="sell",-1,1) * (B27*NORMDIST(I27,0,1,0)*SQRT($J$2)/365) * $P$2</f>
        <v/>
      </c>
      <c r="F27" s="139">
        <f>IF($O$2="sell",-1,1) * (-(B27*NORMDIST(I27,0,1,0)*$H$2)/(2*SQRT($J$2))/365) *$P$2</f>
        <v/>
      </c>
      <c r="G27" s="139">
        <f>IF($O$2="buy",1,-1)*( IF($K$2="call",B27*NORMDIST(I27,0,1,1) - $B$2*NORMDIST(J27,0,1,1),$B$2*NORMDIST(-J27,0,1,1) - B27*NORMDIST(-I27,0,1,1) ) - $G$2) * $P$2</f>
        <v/>
      </c>
      <c r="I27" s="140">
        <f>(LN(B27/$B$2)+($H$2^2/2)*($J$2))/($H$2*SQRT($J$2))</f>
        <v/>
      </c>
      <c r="J27" s="140">
        <f>I27 - $H$2*SQRT($J$2)</f>
        <v/>
      </c>
      <c r="L27" s="117" t="n"/>
      <c r="M27" s="141" t="n"/>
      <c r="N27" s="141" t="n"/>
    </row>
    <row r="28" ht="13.5" customHeight="1" s="116">
      <c r="B28" s="138">
        <f>Portfolio!B39</f>
        <v/>
      </c>
      <c r="C28" s="139">
        <f>IF($O$2="sell",-1,1) *  IF($K$2="call",  NORMDIST(I28,0,1,1),  NORMDIST(I28,0,1,1)-1  ) * $P$2</f>
        <v/>
      </c>
      <c r="D28" s="139">
        <f>IF($O$2="sell",-1,1) * NORMDIST(I28,0,1,0)/(B28*$H$2*SQRT($J$2)) * $P$2</f>
        <v/>
      </c>
      <c r="E28" s="139">
        <f>IF($O$2="sell",-1,1) * (B28*NORMDIST(I28,0,1,0)*SQRT($J$2)/365) * $P$2</f>
        <v/>
      </c>
      <c r="F28" s="139">
        <f>IF($O$2="sell",-1,1) * (-(B28*NORMDIST(I28,0,1,0)*$H$2)/(2*SQRT($J$2))/365) *$P$2</f>
        <v/>
      </c>
      <c r="G28" s="139">
        <f>IF($O$2="buy",1,-1)*( IF($K$2="call",B28*NORMDIST(I28,0,1,1) - $B$2*NORMDIST(J28,0,1,1),$B$2*NORMDIST(-J28,0,1,1) - B28*NORMDIST(-I28,0,1,1) ) - $G$2) * $P$2</f>
        <v/>
      </c>
      <c r="I28" s="140">
        <f>(LN(B28/$B$2)+($H$2^2/2)*($J$2))/($H$2*SQRT($J$2))</f>
        <v/>
      </c>
      <c r="J28" s="140">
        <f>I28 - $H$2*SQRT($J$2)</f>
        <v/>
      </c>
      <c r="L28" s="117" t="n"/>
      <c r="M28" s="141" t="n"/>
      <c r="N28" s="141" t="n"/>
    </row>
    <row r="29" ht="13.5" customHeight="1" s="116">
      <c r="B29" s="138">
        <f>Portfolio!B40</f>
        <v/>
      </c>
      <c r="C29" s="139">
        <f>IF($O$2="sell",-1,1) *  IF($K$2="call",  NORMDIST(I29,0,1,1),  NORMDIST(I29,0,1,1)-1  ) * $P$2</f>
        <v/>
      </c>
      <c r="D29" s="139">
        <f>IF($O$2="sell",-1,1) * NORMDIST(I29,0,1,0)/(B29*$H$2*SQRT($J$2)) * $P$2</f>
        <v/>
      </c>
      <c r="E29" s="139">
        <f>IF($O$2="sell",-1,1) * (B29*NORMDIST(I29,0,1,0)*SQRT($J$2)/365) * $P$2</f>
        <v/>
      </c>
      <c r="F29" s="139">
        <f>IF($O$2="sell",-1,1) * (-(B29*NORMDIST(I29,0,1,0)*$H$2)/(2*SQRT($J$2))/365) *$P$2</f>
        <v/>
      </c>
      <c r="G29" s="139">
        <f>IF($O$2="buy",1,-1)*( IF($K$2="call",B29*NORMDIST(I29,0,1,1) - $B$2*NORMDIST(J29,0,1,1),$B$2*NORMDIST(-J29,0,1,1) - B29*NORMDIST(-I29,0,1,1) ) - $G$2) * $P$2</f>
        <v/>
      </c>
      <c r="I29" s="140">
        <f>(LN(B29/$B$2)+($H$2^2/2)*($J$2))/($H$2*SQRT($J$2))</f>
        <v/>
      </c>
      <c r="J29" s="140">
        <f>I29 - $H$2*SQRT($J$2)</f>
        <v/>
      </c>
      <c r="L29" s="117" t="n"/>
      <c r="M29" s="141" t="n"/>
      <c r="N29" s="141" t="n"/>
    </row>
    <row r="30" ht="13.5" customHeight="1" s="116">
      <c r="B30" s="138">
        <f>Portfolio!B41</f>
        <v/>
      </c>
      <c r="C30" s="139">
        <f>IF($O$2="sell",-1,1) *  IF($K$2="call",  NORMDIST(I30,0,1,1),  NORMDIST(I30,0,1,1)-1  ) * $P$2</f>
        <v/>
      </c>
      <c r="D30" s="139">
        <f>IF($O$2="sell",-1,1) * NORMDIST(I30,0,1,0)/(B30*$H$2*SQRT($J$2)) * $P$2</f>
        <v/>
      </c>
      <c r="E30" s="139">
        <f>IF($O$2="sell",-1,1) * (B30*NORMDIST(I30,0,1,0)*SQRT($J$2)/365) * $P$2</f>
        <v/>
      </c>
      <c r="F30" s="139">
        <f>IF($O$2="sell",-1,1) * (-(B30*NORMDIST(I30,0,1,0)*$H$2)/(2*SQRT($J$2))/365) *$P$2</f>
        <v/>
      </c>
      <c r="G30" s="139">
        <f>IF($O$2="buy",1,-1)*( IF($K$2="call",B30*NORMDIST(I30,0,1,1) - $B$2*NORMDIST(J30,0,1,1),$B$2*NORMDIST(-J30,0,1,1) - B30*NORMDIST(-I30,0,1,1) ) - $G$2) * $P$2</f>
        <v/>
      </c>
      <c r="I30" s="140">
        <f>(LN(B30/$B$2)+($H$2^2/2)*($J$2))/($H$2*SQRT($J$2))</f>
        <v/>
      </c>
      <c r="J30" s="140">
        <f>I30 - $H$2*SQRT($J$2)</f>
        <v/>
      </c>
      <c r="L30" s="117" t="n"/>
      <c r="M30" s="141" t="n"/>
      <c r="N30" s="141" t="n"/>
    </row>
    <row r="31" ht="13.5" customHeight="1" s="116">
      <c r="B31" s="138">
        <f>Portfolio!B42</f>
        <v/>
      </c>
      <c r="C31" s="139">
        <f>IF($O$2="sell",-1,1) *  IF($K$2="call",  NORMDIST(I31,0,1,1),  NORMDIST(I31,0,1,1)-1  ) * $P$2</f>
        <v/>
      </c>
      <c r="D31" s="139">
        <f>IF($O$2="sell",-1,1) * NORMDIST(I31,0,1,0)/(B31*$H$2*SQRT($J$2)) * $P$2</f>
        <v/>
      </c>
      <c r="E31" s="139">
        <f>IF($O$2="sell",-1,1) * (B31*NORMDIST(I31,0,1,0)*SQRT($J$2)/365) * $P$2</f>
        <v/>
      </c>
      <c r="F31" s="139">
        <f>IF($O$2="sell",-1,1) * (-(B31*NORMDIST(I31,0,1,0)*$H$2)/(2*SQRT($J$2))/365) *$P$2</f>
        <v/>
      </c>
      <c r="G31" s="139">
        <f>IF($O$2="buy",1,-1)*( IF($K$2="call",B31*NORMDIST(I31,0,1,1) - $B$2*NORMDIST(J31,0,1,1),$B$2*NORMDIST(-J31,0,1,1) - B31*NORMDIST(-I31,0,1,1) ) - $G$2) * $P$2</f>
        <v/>
      </c>
      <c r="I31" s="140">
        <f>(LN(B31/$B$2)+($H$2^2/2)*($J$2))/($H$2*SQRT($J$2))</f>
        <v/>
      </c>
      <c r="J31" s="140">
        <f>I31 - $H$2*SQRT($J$2)</f>
        <v/>
      </c>
      <c r="L31" s="117" t="n"/>
      <c r="M31" s="141" t="n"/>
      <c r="N31" s="141" t="n"/>
    </row>
    <row r="32" ht="13.5" customHeight="1" s="116">
      <c r="B32" s="138">
        <f>Portfolio!B43</f>
        <v/>
      </c>
      <c r="C32" s="139">
        <f>IF($O$2="sell",-1,1) *  IF($K$2="call",  NORMDIST(I32,0,1,1),  NORMDIST(I32,0,1,1)-1  ) * $P$2</f>
        <v/>
      </c>
      <c r="D32" s="139">
        <f>IF($O$2="sell",-1,1) * NORMDIST(I32,0,1,0)/(B32*$H$2*SQRT($J$2)) * $P$2</f>
        <v/>
      </c>
      <c r="E32" s="139">
        <f>IF($O$2="sell",-1,1) * (B32*NORMDIST(I32,0,1,0)*SQRT($J$2)/365) * $P$2</f>
        <v/>
      </c>
      <c r="F32" s="139">
        <f>IF($O$2="sell",-1,1) * (-(B32*NORMDIST(I32,0,1,0)*$H$2)/(2*SQRT($J$2))/365) *$P$2</f>
        <v/>
      </c>
      <c r="G32" s="139">
        <f>IF($O$2="buy",1,-1)*( IF($K$2="call",B32*NORMDIST(I32,0,1,1) - $B$2*NORMDIST(J32,0,1,1),$B$2*NORMDIST(-J32,0,1,1) - B32*NORMDIST(-I32,0,1,1) ) - $G$2) * $P$2</f>
        <v/>
      </c>
      <c r="I32" s="140">
        <f>(LN(B32/$B$2)+($H$2^2/2)*($J$2))/($H$2*SQRT($J$2))</f>
        <v/>
      </c>
      <c r="J32" s="140">
        <f>I32 - $H$2*SQRT($J$2)</f>
        <v/>
      </c>
      <c r="L32" s="117" t="n"/>
      <c r="M32" s="141" t="n"/>
      <c r="N32" s="141" t="n"/>
    </row>
    <row r="33" ht="13.5" customHeight="1" s="116">
      <c r="B33" s="138">
        <f>Portfolio!B44</f>
        <v/>
      </c>
      <c r="C33" s="139">
        <f>IF($O$2="sell",-1,1) *  IF($K$2="call",  NORMDIST(I33,0,1,1),  NORMDIST(I33,0,1,1)-1  ) * $P$2</f>
        <v/>
      </c>
      <c r="D33" s="139">
        <f>IF($O$2="sell",-1,1) * NORMDIST(I33,0,1,0)/(B33*$H$2*SQRT($J$2)) * $P$2</f>
        <v/>
      </c>
      <c r="E33" s="139">
        <f>IF($O$2="sell",-1,1) * (B33*NORMDIST(I33,0,1,0)*SQRT($J$2)/365) * $P$2</f>
        <v/>
      </c>
      <c r="F33" s="139">
        <f>IF($O$2="sell",-1,1) * (-(B33*NORMDIST(I33,0,1,0)*$H$2)/(2*SQRT($J$2))/365) *$P$2</f>
        <v/>
      </c>
      <c r="G33" s="139">
        <f>IF($O$2="buy",1,-1)*( IF($K$2="call",B33*NORMDIST(I33,0,1,1) - $B$2*NORMDIST(J33,0,1,1),$B$2*NORMDIST(-J33,0,1,1) - B33*NORMDIST(-I33,0,1,1) ) - $G$2) * $P$2</f>
        <v/>
      </c>
      <c r="I33" s="140">
        <f>(LN(B33/$B$2)+($H$2^2/2)*($J$2))/($H$2*SQRT($J$2))</f>
        <v/>
      </c>
      <c r="J33" s="140">
        <f>I33 - $H$2*SQRT($J$2)</f>
        <v/>
      </c>
      <c r="L33" s="117" t="n"/>
      <c r="M33" s="141" t="n"/>
      <c r="N33" s="141" t="n"/>
    </row>
    <row r="34" ht="13.5" customHeight="1" s="116">
      <c r="B34" s="138">
        <f>Portfolio!B45</f>
        <v/>
      </c>
      <c r="C34" s="139">
        <f>IF($O$2="sell",-1,1) *  IF($K$2="call",  NORMDIST(I34,0,1,1),  NORMDIST(I34,0,1,1)-1  ) * $P$2</f>
        <v/>
      </c>
      <c r="D34" s="139">
        <f>IF($O$2="sell",-1,1) * NORMDIST(I34,0,1,0)/(B34*$H$2*SQRT($J$2)) * $P$2</f>
        <v/>
      </c>
      <c r="E34" s="139">
        <f>IF($O$2="sell",-1,1) * (B34*NORMDIST(I34,0,1,0)*SQRT($J$2)/365) * $P$2</f>
        <v/>
      </c>
      <c r="F34" s="139">
        <f>IF($O$2="sell",-1,1) * (-(B34*NORMDIST(I34,0,1,0)*$H$2)/(2*SQRT($J$2))/365) *$P$2</f>
        <v/>
      </c>
      <c r="G34" s="139">
        <f>IF($O$2="buy",1,-1)*( IF($K$2="call",B34*NORMDIST(I34,0,1,1) - $B$2*NORMDIST(J34,0,1,1),$B$2*NORMDIST(-J34,0,1,1) - B34*NORMDIST(-I34,0,1,1) ) - $G$2) * $P$2</f>
        <v/>
      </c>
      <c r="I34" s="140">
        <f>(LN(B34/$B$2)+($H$2^2/2)*($J$2))/($H$2*SQRT($J$2))</f>
        <v/>
      </c>
      <c r="J34" s="140">
        <f>I34 - $H$2*SQRT($J$2)</f>
        <v/>
      </c>
      <c r="L34" s="117" t="n"/>
      <c r="M34" s="141" t="n"/>
      <c r="N34" s="141" t="n"/>
    </row>
    <row r="35" ht="13.5" customHeight="1" s="116">
      <c r="B35" s="138">
        <f>Portfolio!B46</f>
        <v/>
      </c>
      <c r="C35" s="139">
        <f>IF($O$2="sell",-1,1) *  IF($K$2="call",  NORMDIST(I35,0,1,1),  NORMDIST(I35,0,1,1)-1  ) * $P$2</f>
        <v/>
      </c>
      <c r="D35" s="139">
        <f>IF($O$2="sell",-1,1) * NORMDIST(I35,0,1,0)/(B35*$H$2*SQRT($J$2)) * $P$2</f>
        <v/>
      </c>
      <c r="E35" s="139">
        <f>IF($O$2="sell",-1,1) * (B35*NORMDIST(I35,0,1,0)*SQRT($J$2)/365) * $P$2</f>
        <v/>
      </c>
      <c r="F35" s="139">
        <f>IF($O$2="sell",-1,1) * (-(B35*NORMDIST(I35,0,1,0)*$H$2)/(2*SQRT($J$2))/365) *$P$2</f>
        <v/>
      </c>
      <c r="G35" s="139">
        <f>IF($O$2="buy",1,-1)*( IF($K$2="call",B35*NORMDIST(I35,0,1,1) - $B$2*NORMDIST(J35,0,1,1),$B$2*NORMDIST(-J35,0,1,1) - B35*NORMDIST(-I35,0,1,1) ) - $G$2) * $P$2</f>
        <v/>
      </c>
      <c r="I35" s="140">
        <f>(LN(B35/$B$2)+($H$2^2/2)*($J$2))/($H$2*SQRT($J$2))</f>
        <v/>
      </c>
      <c r="J35" s="140">
        <f>I35 - $H$2*SQRT($J$2)</f>
        <v/>
      </c>
      <c r="L35" s="117" t="n"/>
      <c r="M35" s="141" t="n"/>
      <c r="N35" s="141" t="n"/>
    </row>
    <row r="36" ht="13.5" customHeight="1" s="116">
      <c r="B36" s="138">
        <f>Portfolio!B47</f>
        <v/>
      </c>
      <c r="C36" s="139">
        <f>IF($O$2="sell",-1,1) *  IF($K$2="call",  NORMDIST(I36,0,1,1),  NORMDIST(I36,0,1,1)-1  ) * $P$2</f>
        <v/>
      </c>
      <c r="D36" s="139">
        <f>IF($O$2="sell",-1,1) * NORMDIST(I36,0,1,0)/(B36*$H$2*SQRT($J$2)) * $P$2</f>
        <v/>
      </c>
      <c r="E36" s="139">
        <f>IF($O$2="sell",-1,1) * (B36*NORMDIST(I36,0,1,0)*SQRT($J$2)/365) * $P$2</f>
        <v/>
      </c>
      <c r="F36" s="139">
        <f>IF($O$2="sell",-1,1) * (-(B36*NORMDIST(I36,0,1,0)*$H$2)/(2*SQRT($J$2))/365) *$P$2</f>
        <v/>
      </c>
      <c r="G36" s="139">
        <f>IF($O$2="buy",1,-1)*( IF($K$2="call",B36*NORMDIST(I36,0,1,1) - $B$2*NORMDIST(J36,0,1,1),$B$2*NORMDIST(-J36,0,1,1) - B36*NORMDIST(-I36,0,1,1) ) - $G$2) * $P$2</f>
        <v/>
      </c>
      <c r="I36" s="140">
        <f>(LN(B36/$B$2)+($H$2^2/2)*($J$2))/($H$2*SQRT($J$2))</f>
        <v/>
      </c>
      <c r="J36" s="140">
        <f>I36 - $H$2*SQRT($J$2)</f>
        <v/>
      </c>
      <c r="L36" s="117" t="n"/>
      <c r="M36" s="141" t="n"/>
      <c r="N36" s="141" t="n"/>
    </row>
    <row r="37" ht="13.5" customHeight="1" s="116">
      <c r="B37" s="138">
        <f>Portfolio!B48</f>
        <v/>
      </c>
      <c r="C37" s="139">
        <f>IF($O$2="sell",-1,1) *  IF($K$2="call",  NORMDIST(I37,0,1,1),  NORMDIST(I37,0,1,1)-1  ) * $P$2</f>
        <v/>
      </c>
      <c r="D37" s="139">
        <f>IF($O$2="sell",-1,1) * NORMDIST(I37,0,1,0)/(B37*$H$2*SQRT($J$2)) * $P$2</f>
        <v/>
      </c>
      <c r="E37" s="139">
        <f>IF($O$2="sell",-1,1) * (B37*NORMDIST(I37,0,1,0)*SQRT($J$2)/365) * $P$2</f>
        <v/>
      </c>
      <c r="F37" s="139">
        <f>IF($O$2="sell",-1,1) * (-(B37*NORMDIST(I37,0,1,0)*$H$2)/(2*SQRT($J$2))/365) *$P$2</f>
        <v/>
      </c>
      <c r="G37" s="139">
        <f>IF($O$2="buy",1,-1)*( IF($K$2="call",B37*NORMDIST(I37,0,1,1) - $B$2*NORMDIST(J37,0,1,1),$B$2*NORMDIST(-J37,0,1,1) - B37*NORMDIST(-I37,0,1,1) ) - $G$2) * $P$2</f>
        <v/>
      </c>
      <c r="I37" s="140">
        <f>(LN(B37/$B$2)+($H$2^2/2)*($J$2))/($H$2*SQRT($J$2))</f>
        <v/>
      </c>
      <c r="J37" s="140">
        <f>I37 - $H$2*SQRT($J$2)</f>
        <v/>
      </c>
      <c r="L37" s="117" t="n"/>
      <c r="M37" s="141" t="n"/>
      <c r="N37" s="141" t="n"/>
    </row>
    <row r="38" ht="13.5" customHeight="1" s="116">
      <c r="B38" s="138">
        <f>Portfolio!B49</f>
        <v/>
      </c>
      <c r="C38" s="139">
        <f>IF($O$2="sell",-1,1) *  IF($K$2="call",  NORMDIST(I38,0,1,1),  NORMDIST(I38,0,1,1)-1  ) * $P$2</f>
        <v/>
      </c>
      <c r="D38" s="139">
        <f>IF($O$2="sell",-1,1) * NORMDIST(I38,0,1,0)/(B38*$H$2*SQRT($J$2)) * $P$2</f>
        <v/>
      </c>
      <c r="E38" s="139">
        <f>IF($O$2="sell",-1,1) * (B38*NORMDIST(I38,0,1,0)*SQRT($J$2)/365) * $P$2</f>
        <v/>
      </c>
      <c r="F38" s="139">
        <f>IF($O$2="sell",-1,1) * (-(B38*NORMDIST(I38,0,1,0)*$H$2)/(2*SQRT($J$2))/365) *$P$2</f>
        <v/>
      </c>
      <c r="G38" s="139">
        <f>IF($O$2="buy",1,-1)*( IF($K$2="call",B38*NORMDIST(I38,0,1,1) - $B$2*NORMDIST(J38,0,1,1),$B$2*NORMDIST(-J38,0,1,1) - B38*NORMDIST(-I38,0,1,1) ) - $G$2) * $P$2</f>
        <v/>
      </c>
      <c r="I38" s="140">
        <f>(LN(B38/$B$2)+($H$2^2/2)*($J$2))/($H$2*SQRT($J$2))</f>
        <v/>
      </c>
      <c r="J38" s="140">
        <f>I38 - $H$2*SQRT($J$2)</f>
        <v/>
      </c>
      <c r="L38" s="117" t="n"/>
      <c r="M38" s="141" t="n"/>
      <c r="N38" s="141" t="n"/>
    </row>
    <row r="39" ht="13.5" customHeight="1" s="116">
      <c r="B39" s="138">
        <f>Portfolio!B50</f>
        <v/>
      </c>
      <c r="C39" s="139">
        <f>IF($O$2="sell",-1,1) *  IF($K$2="call",  NORMDIST(I39,0,1,1),  NORMDIST(I39,0,1,1)-1  ) * $P$2</f>
        <v/>
      </c>
      <c r="D39" s="139">
        <f>IF($O$2="sell",-1,1) * NORMDIST(I39,0,1,0)/(B39*$H$2*SQRT($J$2)) * $P$2</f>
        <v/>
      </c>
      <c r="E39" s="139">
        <f>IF($O$2="sell",-1,1) * (B39*NORMDIST(I39,0,1,0)*SQRT($J$2)/365) * $P$2</f>
        <v/>
      </c>
      <c r="F39" s="139">
        <f>IF($O$2="sell",-1,1) * (-(B39*NORMDIST(I39,0,1,0)*$H$2)/(2*SQRT($J$2))/365) *$P$2</f>
        <v/>
      </c>
      <c r="G39" s="139">
        <f>IF($O$2="buy",1,-1)*( IF($K$2="call",B39*NORMDIST(I39,0,1,1) - $B$2*NORMDIST(J39,0,1,1),$B$2*NORMDIST(-J39,0,1,1) - B39*NORMDIST(-I39,0,1,1) ) - $G$2) * $P$2</f>
        <v/>
      </c>
      <c r="I39" s="140">
        <f>(LN(B39/$B$2)+($H$2^2/2)*($J$2))/($H$2*SQRT($J$2))</f>
        <v/>
      </c>
      <c r="J39" s="140">
        <f>I39 - $H$2*SQRT($J$2)</f>
        <v/>
      </c>
      <c r="L39" s="117" t="n"/>
      <c r="M39" s="141" t="n"/>
      <c r="N39" s="141" t="n"/>
    </row>
    <row r="40" ht="13.5" customHeight="1" s="116">
      <c r="B40" s="138">
        <f>Portfolio!B51</f>
        <v/>
      </c>
      <c r="C40" s="139">
        <f>IF($O$2="sell",-1,1) *  IF($K$2="call",  NORMDIST(I40,0,1,1),  NORMDIST(I40,0,1,1)-1  ) * $P$2</f>
        <v/>
      </c>
      <c r="D40" s="139">
        <f>IF($O$2="sell",-1,1) * NORMDIST(I40,0,1,0)/(B40*$H$2*SQRT($J$2)) * $P$2</f>
        <v/>
      </c>
      <c r="E40" s="139">
        <f>IF($O$2="sell",-1,1) * (B40*NORMDIST(I40,0,1,0)*SQRT($J$2)/365) * $P$2</f>
        <v/>
      </c>
      <c r="F40" s="139">
        <f>IF($O$2="sell",-1,1) * (-(B40*NORMDIST(I40,0,1,0)*$H$2)/(2*SQRT($J$2))/365) *$P$2</f>
        <v/>
      </c>
      <c r="G40" s="139">
        <f>IF($O$2="buy",1,-1)*( IF($K$2="call",B40*NORMDIST(I40,0,1,1) - $B$2*NORMDIST(J40,0,1,1),$B$2*NORMDIST(-J40,0,1,1) - B40*NORMDIST(-I40,0,1,1) ) - $G$2) * $P$2</f>
        <v/>
      </c>
      <c r="I40" s="140">
        <f>(LN(B40/$B$2)+($H$2^2/2)*($J$2))/($H$2*SQRT($J$2))</f>
        <v/>
      </c>
      <c r="J40" s="140">
        <f>I40 - $H$2*SQRT($J$2)</f>
        <v/>
      </c>
      <c r="L40" s="117" t="n"/>
      <c r="M40" s="141" t="n"/>
      <c r="N40" s="141" t="n"/>
    </row>
    <row r="41" ht="13.5" customHeight="1" s="116">
      <c r="B41" s="138">
        <f>Portfolio!B52</f>
        <v/>
      </c>
      <c r="C41" s="139">
        <f>IF($O$2="sell",-1,1) *  IF($K$2="call",  NORMDIST(I41,0,1,1),  NORMDIST(I41,0,1,1)-1  ) * $P$2</f>
        <v/>
      </c>
      <c r="D41" s="139">
        <f>IF($O$2="sell",-1,1) * NORMDIST(I41,0,1,0)/(B41*$H$2*SQRT($J$2)) * $P$2</f>
        <v/>
      </c>
      <c r="E41" s="139">
        <f>IF($O$2="sell",-1,1) * (B41*NORMDIST(I41,0,1,0)*SQRT($J$2)/365) * $P$2</f>
        <v/>
      </c>
      <c r="F41" s="139">
        <f>IF($O$2="sell",-1,1) * (-(B41*NORMDIST(I41,0,1,0)*$H$2)/(2*SQRT($J$2))/365) *$P$2</f>
        <v/>
      </c>
      <c r="G41" s="139">
        <f>IF($O$2="buy",1,-1)*( IF($K$2="call",B41*NORMDIST(I41,0,1,1) - $B$2*NORMDIST(J41,0,1,1),$B$2*NORMDIST(-J41,0,1,1) - B41*NORMDIST(-I41,0,1,1) ) - $G$2) * $P$2</f>
        <v/>
      </c>
      <c r="I41" s="140">
        <f>(LN(B41/$B$2)+($H$2^2/2)*($J$2))/($H$2*SQRT($J$2))</f>
        <v/>
      </c>
      <c r="J41" s="140">
        <f>I41 - $H$2*SQRT($J$2)</f>
        <v/>
      </c>
      <c r="L41" s="117" t="n"/>
      <c r="M41" s="141" t="n"/>
      <c r="N41" s="141" t="n"/>
    </row>
    <row r="42" ht="13.5" customHeight="1" s="116">
      <c r="B42" s="138">
        <f>Portfolio!B53</f>
        <v/>
      </c>
      <c r="C42" s="139">
        <f>IF($O$2="sell",-1,1) *  IF($K$2="call",  NORMDIST(I42,0,1,1),  NORMDIST(I42,0,1,1)-1  ) * $P$2</f>
        <v/>
      </c>
      <c r="D42" s="139">
        <f>IF($O$2="sell",-1,1) * NORMDIST(I42,0,1,0)/(B42*$H$2*SQRT($J$2)) * $P$2</f>
        <v/>
      </c>
      <c r="E42" s="139">
        <f>IF($O$2="sell",-1,1) * (B42*NORMDIST(I42,0,1,0)*SQRT($J$2)/365) * $P$2</f>
        <v/>
      </c>
      <c r="F42" s="139">
        <f>IF($O$2="sell",-1,1) * (-(B42*NORMDIST(I42,0,1,0)*$H$2)/(2*SQRT($J$2))/365) *$P$2</f>
        <v/>
      </c>
      <c r="G42" s="139">
        <f>IF($O$2="buy",1,-1)*( IF($K$2="call",B42*NORMDIST(I42,0,1,1) - $B$2*NORMDIST(J42,0,1,1),$B$2*NORMDIST(-J42,0,1,1) - B42*NORMDIST(-I42,0,1,1) ) - $G$2) * $P$2</f>
        <v/>
      </c>
      <c r="I42" s="140">
        <f>(LN(B42/$B$2)+($H$2^2/2)*($J$2))/($H$2*SQRT($J$2))</f>
        <v/>
      </c>
      <c r="J42" s="140">
        <f>I42 - $H$2*SQRT($J$2)</f>
        <v/>
      </c>
      <c r="L42" s="117" t="n"/>
      <c r="M42" s="141" t="n"/>
      <c r="N42" s="141" t="n"/>
    </row>
    <row r="43" ht="13.5" customHeight="1" s="116">
      <c r="B43" s="138">
        <f>Portfolio!B54</f>
        <v/>
      </c>
      <c r="C43" s="139">
        <f>IF($O$2="sell",-1,1) *  IF($K$2="call",  NORMDIST(I43,0,1,1),  NORMDIST(I43,0,1,1)-1  ) * $P$2</f>
        <v/>
      </c>
      <c r="D43" s="139">
        <f>IF($O$2="sell",-1,1) * NORMDIST(I43,0,1,0)/(B43*$H$2*SQRT($J$2)) * $P$2</f>
        <v/>
      </c>
      <c r="E43" s="139">
        <f>IF($O$2="sell",-1,1) * (B43*NORMDIST(I43,0,1,0)*SQRT($J$2)/365) * $P$2</f>
        <v/>
      </c>
      <c r="F43" s="139">
        <f>IF($O$2="sell",-1,1) * (-(B43*NORMDIST(I43,0,1,0)*$H$2)/(2*SQRT($J$2))/365) *$P$2</f>
        <v/>
      </c>
      <c r="G43" s="139">
        <f>IF($O$2="buy",1,-1)*( IF($K$2="call",B43*NORMDIST(I43,0,1,1) - $B$2*NORMDIST(J43,0,1,1),$B$2*NORMDIST(-J43,0,1,1) - B43*NORMDIST(-I43,0,1,1) ) - $G$2) * $P$2</f>
        <v/>
      </c>
      <c r="I43" s="140">
        <f>(LN(B43/$B$2)+($H$2^2/2)*($J$2))/($H$2*SQRT($J$2))</f>
        <v/>
      </c>
      <c r="J43" s="140">
        <f>I43 - $H$2*SQRT($J$2)</f>
        <v/>
      </c>
      <c r="L43" s="117" t="n"/>
      <c r="M43" s="141" t="n"/>
      <c r="N43" s="141" t="n"/>
    </row>
    <row r="45" ht="17.25" customHeight="1" s="116">
      <c r="A45" s="117">
        <f>A3</f>
        <v/>
      </c>
      <c r="B45" s="137" t="n"/>
      <c r="C45" s="133" t="inlineStr">
        <is>
          <t>delta</t>
        </is>
      </c>
      <c r="D45" s="133" t="inlineStr">
        <is>
          <t>gamma</t>
        </is>
      </c>
      <c r="E45" s="133" t="inlineStr">
        <is>
          <t>vega</t>
        </is>
      </c>
      <c r="F45" s="133" t="inlineStr">
        <is>
          <t>theta</t>
        </is>
      </c>
      <c r="G45" s="133" t="inlineStr">
        <is>
          <t>mark_price</t>
        </is>
      </c>
      <c r="I45" s="133" t="inlineStr">
        <is>
          <t>d1</t>
        </is>
      </c>
      <c r="J45" s="133" t="inlineStr">
        <is>
          <t>d2</t>
        </is>
      </c>
    </row>
    <row r="46" ht="13.5" customHeight="1" s="116">
      <c r="B46" s="138">
        <f>B17</f>
        <v/>
      </c>
      <c r="C46" s="139">
        <f>IF($O$3="sell",-1,1) *  IF($K$3="call",  NORMDIST(I46,0,1,1),  NORMDIST(I46,0,1,1)-1  ) * $P$3</f>
        <v/>
      </c>
      <c r="D46" s="139">
        <f>IF($O$3="sell",-1,1) * NORMDIST(I46,0,1,0)/(B46*$H$3*SQRT($J$3)) * $P$3</f>
        <v/>
      </c>
      <c r="E46" s="139">
        <f>IF($O$3="sell",-1,1) * (B46*NORMDIST(I46,0,1,0)*SQRT($J$3)/365) * $P$3</f>
        <v/>
      </c>
      <c r="F46" s="139">
        <f>IF($O$3="sell",-1,1) * (-(B46*NORMDIST(I46,0,1,0)*$H$3)/(2*SQRT($J$3))/365) *$P$3</f>
        <v/>
      </c>
      <c r="G46" s="139">
        <f>IF($O$3="buy",1,-1)*( IF($K$3="call",B46*NORMDIST(I46,0,1,1) - $B$3*NORMDIST(J46,0,1,1),$B$3*NORMDIST(-J46,0,1,1) - B46*NORMDIST(-I46,0,1,1) ) - $G$3) * $P$3</f>
        <v/>
      </c>
      <c r="I46" s="142">
        <f>(LN(B46/$B$3)+($H$3^2/2)*($J$3))/($H$3*SQRT($J$3))</f>
        <v/>
      </c>
      <c r="J46" s="140">
        <f>I46 - $H$3*SQRT($J$3)</f>
        <v/>
      </c>
    </row>
    <row r="47" ht="13.5" customHeight="1" s="116">
      <c r="B47" s="138">
        <f>B18</f>
        <v/>
      </c>
      <c r="C47" s="139">
        <f>IF($O$3="sell",-1,1) *  IF($K$3="call",  NORMDIST(I47,0,1,1),  NORMDIST(I47,0,1,1)-1  ) * $P$3</f>
        <v/>
      </c>
      <c r="D47" s="139">
        <f>IF($O$3="sell",-1,1) * NORMDIST(I47,0,1,0)/(B47*$H$3*SQRT($J$3)) * $P$3</f>
        <v/>
      </c>
      <c r="E47" s="139">
        <f>IF($O$3="sell",-1,1) * (B47*NORMDIST(I47,0,1,0)*SQRT($J$3)/365) * $P$3</f>
        <v/>
      </c>
      <c r="F47" s="139">
        <f>IF($O$3="sell",-1,1) * (-(B47*NORMDIST(I47,0,1,0)*$H$3)/(2*SQRT($J$3))/365) *$P$3</f>
        <v/>
      </c>
      <c r="G47" s="139">
        <f>IF($O$3="buy",1,-1)*( IF($K$3="call",B47*NORMDIST(I47,0,1,1) - $B$3*NORMDIST(J47,0,1,1),$B$3*NORMDIST(-J47,0,1,1) - B47*NORMDIST(-I47,0,1,1) ) - $G$3) * $P$3</f>
        <v/>
      </c>
      <c r="I47" s="142">
        <f>(LN(B47/$B$3)+($H$3^2/2)*($J$3))/($H$3*SQRT($J$3))</f>
        <v/>
      </c>
      <c r="J47" s="140">
        <f>I47 - $H$3*SQRT($J$3)</f>
        <v/>
      </c>
      <c r="L47" s="117" t="n"/>
    </row>
    <row r="48" ht="13.5" customHeight="1" s="116">
      <c r="B48" s="138">
        <f>B19</f>
        <v/>
      </c>
      <c r="C48" s="139">
        <f>IF($O$3="sell",-1,1) *  IF($K$3="call",  NORMDIST(I48,0,1,1),  NORMDIST(I48,0,1,1)-1  ) * $P$3</f>
        <v/>
      </c>
      <c r="D48" s="139">
        <f>IF($O$3="sell",-1,1) * NORMDIST(I48,0,1,0)/(B48*$H$3*SQRT($J$3)) * $P$3</f>
        <v/>
      </c>
      <c r="E48" s="139">
        <f>IF($O$3="sell",-1,1) * (B48*NORMDIST(I48,0,1,0)*SQRT($J$3)/365) * $P$3</f>
        <v/>
      </c>
      <c r="F48" s="139">
        <f>IF($O$3="sell",-1,1) * (-(B48*NORMDIST(I48,0,1,0)*$H$3)/(2*SQRT($J$3))/365) *$P$3</f>
        <v/>
      </c>
      <c r="G48" s="139">
        <f>IF($O$3="buy",1,-1)*( IF($K$3="call",B48*NORMDIST(I48,0,1,1) - $B$3*NORMDIST(J48,0,1,1),$B$3*NORMDIST(-J48,0,1,1) - B48*NORMDIST(-I48,0,1,1) ) - $G$3) * $P$3</f>
        <v/>
      </c>
      <c r="I48" s="142">
        <f>(LN(B48/$B$3)+($H$3^2/2)*($J$3))/($H$3*SQRT($J$3))</f>
        <v/>
      </c>
      <c r="J48" s="140">
        <f>I48 - $H$3*SQRT($J$3)</f>
        <v/>
      </c>
      <c r="L48" s="117" t="n"/>
      <c r="M48" s="141" t="n"/>
    </row>
    <row r="49" ht="13.5" customHeight="1" s="116">
      <c r="B49" s="138">
        <f>B20</f>
        <v/>
      </c>
      <c r="C49" s="139">
        <f>IF($O$3="sell",-1,1) *  IF($K$3="call",  NORMDIST(I49,0,1,1),  NORMDIST(I49,0,1,1)-1  ) * $P$3</f>
        <v/>
      </c>
      <c r="D49" s="139">
        <f>IF($O$3="sell",-1,1) * NORMDIST(I49,0,1,0)/(B49*$H$3*SQRT($J$3)) * $P$3</f>
        <v/>
      </c>
      <c r="E49" s="139">
        <f>IF($O$3="sell",-1,1) * (B49*NORMDIST(I49,0,1,0)*SQRT($J$3)/365) * $P$3</f>
        <v/>
      </c>
      <c r="F49" s="139">
        <f>IF($O$3="sell",-1,1) * (-(B49*NORMDIST(I49,0,1,0)*$H$3)/(2*SQRT($J$3))/365) *$P$3</f>
        <v/>
      </c>
      <c r="G49" s="139">
        <f>IF($O$3="buy",1,-1)*( IF($K$3="call",B49*NORMDIST(I49,0,1,1) - $B$3*NORMDIST(J49,0,1,1),$B$3*NORMDIST(-J49,0,1,1) - B49*NORMDIST(-I49,0,1,1) ) - $G$3) * $P$3</f>
        <v/>
      </c>
      <c r="I49" s="142">
        <f>(LN(B49/$B$3)+($H$3^2/2)*($J$3))/($H$3*SQRT($J$3))</f>
        <v/>
      </c>
      <c r="J49" s="140">
        <f>I49 - $H$3*SQRT($J$3)</f>
        <v/>
      </c>
      <c r="L49" s="117" t="n"/>
      <c r="M49" s="141" t="n"/>
      <c r="N49" s="141" t="n"/>
    </row>
    <row r="50" ht="13.5" customHeight="1" s="116">
      <c r="B50" s="138">
        <f>B21</f>
        <v/>
      </c>
      <c r="C50" s="139">
        <f>IF($O$3="sell",-1,1) *  IF($K$3="call",  NORMDIST(I50,0,1,1),  NORMDIST(I50,0,1,1)-1  ) * $P$3</f>
        <v/>
      </c>
      <c r="D50" s="139">
        <f>IF($O$3="sell",-1,1) * NORMDIST(I50,0,1,0)/(B50*$H$3*SQRT($J$3)) * $P$3</f>
        <v/>
      </c>
      <c r="E50" s="139">
        <f>IF($O$3="sell",-1,1) * (B50*NORMDIST(I50,0,1,0)*SQRT($J$3)/365) * $P$3</f>
        <v/>
      </c>
      <c r="F50" s="139">
        <f>IF($O$3="sell",-1,1) * (-(B50*NORMDIST(I50,0,1,0)*$H$3)/(2*SQRT($J$3))/365) *$P$3</f>
        <v/>
      </c>
      <c r="G50" s="139">
        <f>IF($O$3="buy",1,-1)*( IF($K$3="call",B50*NORMDIST(I50,0,1,1) - $B$3*NORMDIST(J50,0,1,1),$B$3*NORMDIST(-J50,0,1,1) - B50*NORMDIST(-I50,0,1,1) ) - $G$3) * $P$3</f>
        <v/>
      </c>
      <c r="I50" s="142">
        <f>(LN(B50/$B$3)+($H$3^2/2)*($J$3))/($H$3*SQRT($J$3))</f>
        <v/>
      </c>
      <c r="J50" s="140">
        <f>I50 - $H$3*SQRT($J$3)</f>
        <v/>
      </c>
      <c r="L50" s="117" t="n"/>
      <c r="M50" s="141" t="n"/>
      <c r="N50" s="141" t="n"/>
    </row>
    <row r="51" ht="13.5" customHeight="1" s="116">
      <c r="B51" s="138">
        <f>B22</f>
        <v/>
      </c>
      <c r="C51" s="139">
        <f>IF($O$3="sell",-1,1) *  IF($K$3="call",  NORMDIST(I51,0,1,1),  NORMDIST(I51,0,1,1)-1  ) * $P$3</f>
        <v/>
      </c>
      <c r="D51" s="139">
        <f>IF($O$3="sell",-1,1) * NORMDIST(I51,0,1,0)/(B51*$H$3*SQRT($J$3)) * $P$3</f>
        <v/>
      </c>
      <c r="E51" s="139">
        <f>IF($O$3="sell",-1,1) * (B51*NORMDIST(I51,0,1,0)*SQRT($J$3)/365) * $P$3</f>
        <v/>
      </c>
      <c r="F51" s="139">
        <f>IF($O$3="sell",-1,1) * (-(B51*NORMDIST(I51,0,1,0)*$H$3)/(2*SQRT($J$3))/365) *$P$3</f>
        <v/>
      </c>
      <c r="G51" s="139">
        <f>IF($O$3="buy",1,-1)*( IF($K$3="call",B51*NORMDIST(I51,0,1,1) - $B$3*NORMDIST(J51,0,1,1),$B$3*NORMDIST(-J51,0,1,1) - B51*NORMDIST(-I51,0,1,1) ) - $G$3) * $P$3</f>
        <v/>
      </c>
      <c r="I51" s="142">
        <f>(LN(B51/$B$3)+($H$3^2/2)*($J$3))/($H$3*SQRT($J$3))</f>
        <v/>
      </c>
      <c r="J51" s="140">
        <f>I51 - $H$3*SQRT($J$3)</f>
        <v/>
      </c>
      <c r="L51" s="117" t="n"/>
      <c r="M51" s="141" t="n"/>
      <c r="N51" s="141" t="n"/>
    </row>
    <row r="52" ht="13.5" customHeight="1" s="116">
      <c r="B52" s="138">
        <f>B23</f>
        <v/>
      </c>
      <c r="C52" s="139">
        <f>IF($O$3="sell",-1,1) *  IF($K$3="call",  NORMDIST(I52,0,1,1),  NORMDIST(I52,0,1,1)-1  ) * $P$3</f>
        <v/>
      </c>
      <c r="D52" s="139">
        <f>IF($O$3="sell",-1,1) * NORMDIST(I52,0,1,0)/(B52*$H$3*SQRT($J$3)) * $P$3</f>
        <v/>
      </c>
      <c r="E52" s="139">
        <f>IF($O$3="sell",-1,1) * (B52*NORMDIST(I52,0,1,0)*SQRT($J$3)/365) * $P$3</f>
        <v/>
      </c>
      <c r="F52" s="139">
        <f>IF($O$3="sell",-1,1) * (-(B52*NORMDIST(I52,0,1,0)*$H$3)/(2*SQRT($J$3))/365) *$P$3</f>
        <v/>
      </c>
      <c r="G52" s="139">
        <f>IF($O$3="buy",1,-1)*( IF($K$3="call",B52*NORMDIST(I52,0,1,1) - $B$3*NORMDIST(J52,0,1,1),$B$3*NORMDIST(-J52,0,1,1) - B52*NORMDIST(-I52,0,1,1) ) - $G$3) * $P$3</f>
        <v/>
      </c>
      <c r="I52" s="142">
        <f>(LN(B52/$B$3)+($H$3^2/2)*($J$3))/($H$3*SQRT($J$3))</f>
        <v/>
      </c>
      <c r="J52" s="140">
        <f>I52 - $H$3*SQRT($J$3)</f>
        <v/>
      </c>
      <c r="L52" s="117" t="n"/>
      <c r="M52" s="141" t="n"/>
      <c r="N52" s="141" t="n"/>
    </row>
    <row r="53" ht="13.5" customHeight="1" s="116">
      <c r="B53" s="138">
        <f>B24</f>
        <v/>
      </c>
      <c r="C53" s="139">
        <f>IF($O$3="sell",-1,1) *  IF($K$3="call",  NORMDIST(I53,0,1,1),  NORMDIST(I53,0,1,1)-1  ) * $P$3</f>
        <v/>
      </c>
      <c r="D53" s="139">
        <f>IF($O$3="sell",-1,1) * NORMDIST(I53,0,1,0)/(B53*$H$3*SQRT($J$3)) * $P$3</f>
        <v/>
      </c>
      <c r="E53" s="139">
        <f>IF($O$3="sell",-1,1) * (B53*NORMDIST(I53,0,1,0)*SQRT($J$3)/365) * $P$3</f>
        <v/>
      </c>
      <c r="F53" s="139">
        <f>IF($O$3="sell",-1,1) * (-(B53*NORMDIST(I53,0,1,0)*$H$3)/(2*SQRT($J$3))/365) *$P$3</f>
        <v/>
      </c>
      <c r="G53" s="139">
        <f>IF($O$3="buy",1,-1)*( IF($K$3="call",B53*NORMDIST(I53,0,1,1) - $B$3*NORMDIST(J53,0,1,1),$B$3*NORMDIST(-J53,0,1,1) - B53*NORMDIST(-I53,0,1,1) ) - $G$3) * $P$3</f>
        <v/>
      </c>
      <c r="I53" s="142">
        <f>(LN(B53/$B$3)+($H$3^2/2)*($J$3))/($H$3*SQRT($J$3))</f>
        <v/>
      </c>
      <c r="J53" s="140">
        <f>I53 - $H$3*SQRT($J$3)</f>
        <v/>
      </c>
      <c r="L53" s="117" t="n"/>
      <c r="M53" s="141" t="n"/>
      <c r="N53" s="141" t="n"/>
    </row>
    <row r="54" ht="13.5" customHeight="1" s="116">
      <c r="B54" s="138">
        <f>B25</f>
        <v/>
      </c>
      <c r="C54" s="139">
        <f>IF($O$3="sell",-1,1) *  IF($K$3="call",  NORMDIST(I54,0,1,1),  NORMDIST(I54,0,1,1)-1  ) * $P$3</f>
        <v/>
      </c>
      <c r="D54" s="139">
        <f>IF($O$3="sell",-1,1) * NORMDIST(I54,0,1,0)/(B54*$H$3*SQRT($J$3)) * $P$3</f>
        <v/>
      </c>
      <c r="E54" s="139">
        <f>IF($O$3="sell",-1,1) * (B54*NORMDIST(I54,0,1,0)*SQRT($J$3)/365) * $P$3</f>
        <v/>
      </c>
      <c r="F54" s="139">
        <f>IF($O$3="sell",-1,1) * (-(B54*NORMDIST(I54,0,1,0)*$H$3)/(2*SQRT($J$3))/365) *$P$3</f>
        <v/>
      </c>
      <c r="G54" s="139">
        <f>IF($O$3="buy",1,-1)*( IF($K$3="call",B54*NORMDIST(I54,0,1,1) - $B$3*NORMDIST(J54,0,1,1),$B$3*NORMDIST(-J54,0,1,1) - B54*NORMDIST(-I54,0,1,1) ) - $G$3) * $P$3</f>
        <v/>
      </c>
      <c r="I54" s="142">
        <f>(LN(B54/$B$3)+($H$3^2/2)*($J$3))/($H$3*SQRT($J$3))</f>
        <v/>
      </c>
      <c r="J54" s="140">
        <f>I54 - $H$3*SQRT($J$3)</f>
        <v/>
      </c>
      <c r="L54" s="117" t="n"/>
      <c r="M54" s="141" t="n"/>
      <c r="N54" s="141" t="n"/>
    </row>
    <row r="55" ht="13.5" customHeight="1" s="116">
      <c r="B55" s="138">
        <f>B26</f>
        <v/>
      </c>
      <c r="C55" s="139">
        <f>IF($O$3="sell",-1,1) *  IF($K$3="call",  NORMDIST(I55,0,1,1),  NORMDIST(I55,0,1,1)-1  ) * $P$3</f>
        <v/>
      </c>
      <c r="D55" s="139">
        <f>IF($O$3="sell",-1,1) * NORMDIST(I55,0,1,0)/(B55*$H$3*SQRT($J$3)) * $P$3</f>
        <v/>
      </c>
      <c r="E55" s="139">
        <f>IF($O$3="sell",-1,1) * (B55*NORMDIST(I55,0,1,0)*SQRT($J$3)/365) * $P$3</f>
        <v/>
      </c>
      <c r="F55" s="139">
        <f>IF($O$3="sell",-1,1) * (-(B55*NORMDIST(I55,0,1,0)*$H$3)/(2*SQRT($J$3))/365) *$P$3</f>
        <v/>
      </c>
      <c r="G55" s="139">
        <f>IF($O$3="buy",1,-1)*( IF($K$3="call",B55*NORMDIST(I55,0,1,1) - $B$3*NORMDIST(J55,0,1,1),$B$3*NORMDIST(-J55,0,1,1) - B55*NORMDIST(-I55,0,1,1) ) - $G$3) * $P$3</f>
        <v/>
      </c>
      <c r="I55" s="142">
        <f>(LN(B55/$B$3)+($H$3^2/2)*($J$3))/($H$3*SQRT($J$3))</f>
        <v/>
      </c>
      <c r="J55" s="140">
        <f>I55 - $H$3*SQRT($J$3)</f>
        <v/>
      </c>
      <c r="L55" s="117" t="n"/>
      <c r="M55" s="141" t="n"/>
      <c r="N55" s="141" t="n"/>
    </row>
    <row r="56" ht="13.5" customHeight="1" s="116">
      <c r="B56" s="138">
        <f>B27</f>
        <v/>
      </c>
      <c r="C56" s="139">
        <f>IF($O$3="sell",-1,1) *  IF($K$3="call",  NORMDIST(I56,0,1,1),  NORMDIST(I56,0,1,1)-1  ) * $P$3</f>
        <v/>
      </c>
      <c r="D56" s="139">
        <f>IF($O$3="sell",-1,1) * NORMDIST(I56,0,1,0)/(B56*$H$3*SQRT($J$3)) * $P$3</f>
        <v/>
      </c>
      <c r="E56" s="139">
        <f>IF($O$3="sell",-1,1) * (B56*NORMDIST(I56,0,1,0)*SQRT($J$3)/365) * $P$3</f>
        <v/>
      </c>
      <c r="F56" s="139">
        <f>IF($O$3="sell",-1,1) * (-(B56*NORMDIST(I56,0,1,0)*$H$3)/(2*SQRT($J$3))/365) *$P$3</f>
        <v/>
      </c>
      <c r="G56" s="139">
        <f>IF($O$3="buy",1,-1)*( IF($K$3="call",B56*NORMDIST(I56,0,1,1) - $B$3*NORMDIST(J56,0,1,1),$B$3*NORMDIST(-J56,0,1,1) - B56*NORMDIST(-I56,0,1,1) ) - $G$3) * $P$3</f>
        <v/>
      </c>
      <c r="I56" s="142">
        <f>(LN(B56/$B$3)+($H$3^2/2)*($J$3))/($H$3*SQRT($J$3))</f>
        <v/>
      </c>
      <c r="J56" s="140">
        <f>I56 - $H$3*SQRT($J$3)</f>
        <v/>
      </c>
      <c r="L56" s="117" t="n"/>
      <c r="M56" s="141" t="n"/>
      <c r="N56" s="141" t="n"/>
    </row>
    <row r="57" ht="13.5" customHeight="1" s="116">
      <c r="B57" s="138">
        <f>B28</f>
        <v/>
      </c>
      <c r="C57" s="139">
        <f>IF($O$3="sell",-1,1) *  IF($K$3="call",  NORMDIST(I57,0,1,1),  NORMDIST(I57,0,1,1)-1  ) * $P$3</f>
        <v/>
      </c>
      <c r="D57" s="139">
        <f>IF($O$3="sell",-1,1) * NORMDIST(I57,0,1,0)/(B57*$H$3*SQRT($J$3)) * $P$3</f>
        <v/>
      </c>
      <c r="E57" s="139">
        <f>IF($O$3="sell",-1,1) * (B57*NORMDIST(I57,0,1,0)*SQRT($J$3)/365) * $P$3</f>
        <v/>
      </c>
      <c r="F57" s="139">
        <f>IF($O$3="sell",-1,1) * (-(B57*NORMDIST(I57,0,1,0)*$H$3)/(2*SQRT($J$3))/365) *$P$3</f>
        <v/>
      </c>
      <c r="G57" s="139">
        <f>IF($O$3="buy",1,-1)*( IF($K$3="call",B57*NORMDIST(I57,0,1,1) - $B$3*NORMDIST(J57,0,1,1),$B$3*NORMDIST(-J57,0,1,1) - B57*NORMDIST(-I57,0,1,1) ) - $G$3) * $P$3</f>
        <v/>
      </c>
      <c r="I57" s="142">
        <f>(LN(B57/$B$3)+($H$3^2/2)*($J$3))/($H$3*SQRT($J$3))</f>
        <v/>
      </c>
      <c r="J57" s="140">
        <f>I57 - $H$3*SQRT($J$3)</f>
        <v/>
      </c>
      <c r="L57" s="117" t="n"/>
      <c r="M57" s="141" t="n"/>
      <c r="N57" s="141" t="n"/>
    </row>
    <row r="58" ht="13.5" customHeight="1" s="116">
      <c r="B58" s="138">
        <f>B29</f>
        <v/>
      </c>
      <c r="C58" s="139">
        <f>IF($O$3="sell",-1,1) *  IF($K$3="call",  NORMDIST(I58,0,1,1),  NORMDIST(I58,0,1,1)-1  ) * $P$3</f>
        <v/>
      </c>
      <c r="D58" s="139">
        <f>IF($O$3="sell",-1,1) * NORMDIST(I58,0,1,0)/(B58*$H$3*SQRT($J$3)) * $P$3</f>
        <v/>
      </c>
      <c r="E58" s="139">
        <f>IF($O$3="sell",-1,1) * (B58*NORMDIST(I58,0,1,0)*SQRT($J$3)/365) * $P$3</f>
        <v/>
      </c>
      <c r="F58" s="139">
        <f>IF($O$3="sell",-1,1) * (-(B58*NORMDIST(I58,0,1,0)*$H$3)/(2*SQRT($J$3))/365) *$P$3</f>
        <v/>
      </c>
      <c r="G58" s="139">
        <f>IF($O$3="buy",1,-1)*( IF($K$3="call",B58*NORMDIST(I58,0,1,1) - $B$3*NORMDIST(J58,0,1,1),$B$3*NORMDIST(-J58,0,1,1) - B58*NORMDIST(-I58,0,1,1) ) - $G$3) * $P$3</f>
        <v/>
      </c>
      <c r="I58" s="142">
        <f>(LN(B58/$B$3)+($H$3^2/2)*($J$3))/($H$3*SQRT($J$3))</f>
        <v/>
      </c>
      <c r="J58" s="140">
        <f>I58 - $H$3*SQRT($J$3)</f>
        <v/>
      </c>
      <c r="L58" s="117" t="n"/>
      <c r="M58" s="141" t="n"/>
      <c r="N58" s="141" t="n"/>
    </row>
    <row r="59" ht="13.5" customHeight="1" s="116">
      <c r="B59" s="138">
        <f>B30</f>
        <v/>
      </c>
      <c r="C59" s="139">
        <f>IF($O$3="sell",-1,1) *  IF($K$3="call",  NORMDIST(I59,0,1,1),  NORMDIST(I59,0,1,1)-1  ) * $P$3</f>
        <v/>
      </c>
      <c r="D59" s="139">
        <f>IF($O$3="sell",-1,1) * NORMDIST(I59,0,1,0)/(B59*$H$3*SQRT($J$3)) * $P$3</f>
        <v/>
      </c>
      <c r="E59" s="139">
        <f>IF($O$3="sell",-1,1) * (B59*NORMDIST(I59,0,1,0)*SQRT($J$3)/365) * $P$3</f>
        <v/>
      </c>
      <c r="F59" s="139">
        <f>IF($O$3="sell",-1,1) * (-(B59*NORMDIST(I59,0,1,0)*$H$3)/(2*SQRT($J$3))/365) *$P$3</f>
        <v/>
      </c>
      <c r="G59" s="139">
        <f>IF($O$3="buy",1,-1)*( IF($K$3="call",B59*NORMDIST(I59,0,1,1) - $B$3*NORMDIST(J59,0,1,1),$B$3*NORMDIST(-J59,0,1,1) - B59*NORMDIST(-I59,0,1,1) ) - $G$3) * $P$3</f>
        <v/>
      </c>
      <c r="I59" s="142">
        <f>(LN(B59/$B$3)+($H$3^2/2)*($J$3))/($H$3*SQRT($J$3))</f>
        <v/>
      </c>
      <c r="J59" s="140">
        <f>I59 - $H$3*SQRT($J$3)</f>
        <v/>
      </c>
      <c r="L59" s="117" t="n"/>
      <c r="M59" s="141" t="n"/>
      <c r="N59" s="141" t="n"/>
    </row>
    <row r="60" ht="13.5" customHeight="1" s="116">
      <c r="B60" s="138">
        <f>B31</f>
        <v/>
      </c>
      <c r="C60" s="139">
        <f>IF($O$3="sell",-1,1) *  IF($K$3="call",  NORMDIST(I60,0,1,1),  NORMDIST(I60,0,1,1)-1  ) * $P$3</f>
        <v/>
      </c>
      <c r="D60" s="139">
        <f>IF($O$3="sell",-1,1) * NORMDIST(I60,0,1,0)/(B60*$H$3*SQRT($J$3)) * $P$3</f>
        <v/>
      </c>
      <c r="E60" s="139">
        <f>IF($O$3="sell",-1,1) * (B60*NORMDIST(I60,0,1,0)*SQRT($J$3)/365) * $P$3</f>
        <v/>
      </c>
      <c r="F60" s="139">
        <f>IF($O$3="sell",-1,1) * (-(B60*NORMDIST(I60,0,1,0)*$H$3)/(2*SQRT($J$3))/365) *$P$3</f>
        <v/>
      </c>
      <c r="G60" s="139">
        <f>IF($O$3="buy",1,-1)*( IF($K$3="call",B60*NORMDIST(I60,0,1,1) - $B$3*NORMDIST(J60,0,1,1),$B$3*NORMDIST(-J60,0,1,1) - B60*NORMDIST(-I60,0,1,1) ) - $G$3) * $P$3</f>
        <v/>
      </c>
      <c r="I60" s="142">
        <f>(LN(B60/$B$3)+($H$3^2/2)*($J$3))/($H$3*SQRT($J$3))</f>
        <v/>
      </c>
      <c r="J60" s="140">
        <f>I60 - $H$3*SQRT($J$3)</f>
        <v/>
      </c>
      <c r="L60" s="117" t="n"/>
      <c r="M60" s="141" t="n"/>
      <c r="N60" s="141" t="n"/>
    </row>
    <row r="61" ht="13.5" customHeight="1" s="116">
      <c r="B61" s="138">
        <f>B32</f>
        <v/>
      </c>
      <c r="C61" s="139">
        <f>IF($O$3="sell",-1,1) *  IF($K$3="call",  NORMDIST(I61,0,1,1),  NORMDIST(I61,0,1,1)-1  ) * $P$3</f>
        <v/>
      </c>
      <c r="D61" s="139">
        <f>IF($O$3="sell",-1,1) * NORMDIST(I61,0,1,0)/(B61*$H$3*SQRT($J$3)) * $P$3</f>
        <v/>
      </c>
      <c r="E61" s="139">
        <f>IF($O$3="sell",-1,1) * (B61*NORMDIST(I61,0,1,0)*SQRT($J$3)/365) * $P$3</f>
        <v/>
      </c>
      <c r="F61" s="139">
        <f>IF($O$3="sell",-1,1) * (-(B61*NORMDIST(I61,0,1,0)*$H$3)/(2*SQRT($J$3))/365) *$P$3</f>
        <v/>
      </c>
      <c r="G61" s="139">
        <f>IF($O$3="buy",1,-1)*( IF($K$3="call",B61*NORMDIST(I61,0,1,1) - $B$3*NORMDIST(J61,0,1,1),$B$3*NORMDIST(-J61,0,1,1) - B61*NORMDIST(-I61,0,1,1) ) - $G$3) * $P$3</f>
        <v/>
      </c>
      <c r="I61" s="142">
        <f>(LN(B61/$B$3)+($H$3^2/2)*($J$3))/($H$3*SQRT($J$3))</f>
        <v/>
      </c>
      <c r="J61" s="140">
        <f>I61 - $H$3*SQRT($J$3)</f>
        <v/>
      </c>
      <c r="L61" s="117" t="n"/>
      <c r="M61" s="141" t="n"/>
      <c r="N61" s="141" t="n"/>
    </row>
    <row r="62" ht="13.5" customHeight="1" s="116">
      <c r="B62" s="138">
        <f>B33</f>
        <v/>
      </c>
      <c r="C62" s="139">
        <f>IF($O$3="sell",-1,1) *  IF($K$3="call",  NORMDIST(I62,0,1,1),  NORMDIST(I62,0,1,1)-1  ) * $P$3</f>
        <v/>
      </c>
      <c r="D62" s="139">
        <f>IF($O$3="sell",-1,1) * NORMDIST(I62,0,1,0)/(B62*$H$3*SQRT($J$3)) * $P$3</f>
        <v/>
      </c>
      <c r="E62" s="139">
        <f>IF($O$3="sell",-1,1) * (B62*NORMDIST(I62,0,1,0)*SQRT($J$3)/365) * $P$3</f>
        <v/>
      </c>
      <c r="F62" s="139">
        <f>IF($O$3="sell",-1,1) * (-(B62*NORMDIST(I62,0,1,0)*$H$3)/(2*SQRT($J$3))/365) *$P$3</f>
        <v/>
      </c>
      <c r="G62" s="139">
        <f>IF($O$3="buy",1,-1)*( IF($K$3="call",B62*NORMDIST(I62,0,1,1) - $B$3*NORMDIST(J62,0,1,1),$B$3*NORMDIST(-J62,0,1,1) - B62*NORMDIST(-I62,0,1,1) ) - $G$3) * $P$3</f>
        <v/>
      </c>
      <c r="I62" s="142">
        <f>(LN(B62/$B$3)+($H$3^2/2)*($J$3))/($H$3*SQRT($J$3))</f>
        <v/>
      </c>
      <c r="J62" s="140">
        <f>I62 - $H$3*SQRT($J$3)</f>
        <v/>
      </c>
      <c r="L62" s="117" t="n"/>
      <c r="M62" s="141" t="n"/>
      <c r="N62" s="141" t="n"/>
    </row>
    <row r="63" ht="13.5" customHeight="1" s="116">
      <c r="B63" s="138">
        <f>B34</f>
        <v/>
      </c>
      <c r="C63" s="139">
        <f>IF($O$3="sell",-1,1) *  IF($K$3="call",  NORMDIST(I63,0,1,1),  NORMDIST(I63,0,1,1)-1  ) * $P$3</f>
        <v/>
      </c>
      <c r="D63" s="139">
        <f>IF($O$3="sell",-1,1) * NORMDIST(I63,0,1,0)/(B63*$H$3*SQRT($J$3)) * $P$3</f>
        <v/>
      </c>
      <c r="E63" s="139">
        <f>IF($O$3="sell",-1,1) * (B63*NORMDIST(I63,0,1,0)*SQRT($J$3)/365) * $P$3</f>
        <v/>
      </c>
      <c r="F63" s="139">
        <f>IF($O$3="sell",-1,1) * (-(B63*NORMDIST(I63,0,1,0)*$H$3)/(2*SQRT($J$3))/365) *$P$3</f>
        <v/>
      </c>
      <c r="G63" s="139">
        <f>IF($O$3="buy",1,-1)*( IF($K$3="call",B63*NORMDIST(I63,0,1,1) - $B$3*NORMDIST(J63,0,1,1),$B$3*NORMDIST(-J63,0,1,1) - B63*NORMDIST(-I63,0,1,1) ) - $G$3) * $P$3</f>
        <v/>
      </c>
      <c r="I63" s="142">
        <f>(LN(B63/$B$3)+($H$3^2/2)*($J$3))/($H$3*SQRT($J$3))</f>
        <v/>
      </c>
      <c r="J63" s="140">
        <f>I63 - $H$3*SQRT($J$3)</f>
        <v/>
      </c>
      <c r="L63" s="117" t="n"/>
      <c r="M63" s="141" t="n"/>
      <c r="N63" s="141" t="n"/>
    </row>
    <row r="64" ht="13.5" customHeight="1" s="116">
      <c r="B64" s="138">
        <f>B35</f>
        <v/>
      </c>
      <c r="C64" s="139">
        <f>IF($O$3="sell",-1,1) *  IF($K$3="call",  NORMDIST(I64,0,1,1),  NORMDIST(I64,0,1,1)-1  ) * $P$3</f>
        <v/>
      </c>
      <c r="D64" s="139">
        <f>IF($O$3="sell",-1,1) * NORMDIST(I64,0,1,0)/(B64*$H$3*SQRT($J$3)) * $P$3</f>
        <v/>
      </c>
      <c r="E64" s="139">
        <f>IF($O$3="sell",-1,1) * (B64*NORMDIST(I64,0,1,0)*SQRT($J$3)/365) * $P$3</f>
        <v/>
      </c>
      <c r="F64" s="139">
        <f>IF($O$3="sell",-1,1) * (-(B64*NORMDIST(I64,0,1,0)*$H$3)/(2*SQRT($J$3))/365) *$P$3</f>
        <v/>
      </c>
      <c r="G64" s="139">
        <f>IF($O$3="buy",1,-1)*( IF($K$3="call",B64*NORMDIST(I64,0,1,1) - $B$3*NORMDIST(J64,0,1,1),$B$3*NORMDIST(-J64,0,1,1) - B64*NORMDIST(-I64,0,1,1) ) - $G$3) * $P$3</f>
        <v/>
      </c>
      <c r="I64" s="142">
        <f>(LN(B64/$B$3)+($H$3^2/2)*($J$3))/($H$3*SQRT($J$3))</f>
        <v/>
      </c>
      <c r="J64" s="140">
        <f>I64 - $H$3*SQRT($J$3)</f>
        <v/>
      </c>
      <c r="L64" s="117" t="n"/>
      <c r="M64" s="141" t="n"/>
      <c r="N64" s="141" t="n"/>
    </row>
    <row r="65" ht="13.5" customHeight="1" s="116">
      <c r="B65" s="138">
        <f>B36</f>
        <v/>
      </c>
      <c r="C65" s="139">
        <f>IF($O$3="sell",-1,1) *  IF($K$3="call",  NORMDIST(I65,0,1,1),  NORMDIST(I65,0,1,1)-1  ) * $P$3</f>
        <v/>
      </c>
      <c r="D65" s="139">
        <f>IF($O$3="sell",-1,1) * NORMDIST(I65,0,1,0)/(B65*$H$3*SQRT($J$3)) * $P$3</f>
        <v/>
      </c>
      <c r="E65" s="139">
        <f>IF($O$3="sell",-1,1) * (B65*NORMDIST(I65,0,1,0)*SQRT($J$3)/365) * $P$3</f>
        <v/>
      </c>
      <c r="F65" s="139">
        <f>IF($O$3="sell",-1,1) * (-(B65*NORMDIST(I65,0,1,0)*$H$3)/(2*SQRT($J$3))/365) *$P$3</f>
        <v/>
      </c>
      <c r="G65" s="139">
        <f>IF($O$3="buy",1,-1)*( IF($K$3="call",B65*NORMDIST(I65,0,1,1) - $B$3*NORMDIST(J65,0,1,1),$B$3*NORMDIST(-J65,0,1,1) - B65*NORMDIST(-I65,0,1,1) ) - $G$3) * $P$3</f>
        <v/>
      </c>
      <c r="I65" s="142">
        <f>(LN(B65/$B$3)+($H$3^2/2)*($J$3))/($H$3*SQRT($J$3))</f>
        <v/>
      </c>
      <c r="J65" s="140">
        <f>I65 - $H$3*SQRT($J$3)</f>
        <v/>
      </c>
      <c r="L65" s="117" t="n"/>
      <c r="M65" s="141" t="n"/>
      <c r="N65" s="141" t="n"/>
    </row>
    <row r="66" ht="13.5" customHeight="1" s="116">
      <c r="B66" s="138">
        <f>B37</f>
        <v/>
      </c>
      <c r="C66" s="139">
        <f>IF($O$3="sell",-1,1) *  IF($K$3="call",  NORMDIST(I66,0,1,1),  NORMDIST(I66,0,1,1)-1  ) * $P$3</f>
        <v/>
      </c>
      <c r="D66" s="139">
        <f>IF($O$3="sell",-1,1) * NORMDIST(I66,0,1,0)/(B66*$H$3*SQRT($J$3)) * $P$3</f>
        <v/>
      </c>
      <c r="E66" s="139">
        <f>IF($O$3="sell",-1,1) * (B66*NORMDIST(I66,0,1,0)*SQRT($J$3)/365) * $P$3</f>
        <v/>
      </c>
      <c r="F66" s="139">
        <f>IF($O$3="sell",-1,1) * (-(B66*NORMDIST(I66,0,1,0)*$H$3)/(2*SQRT($J$3))/365) *$P$3</f>
        <v/>
      </c>
      <c r="G66" s="139">
        <f>IF($O$3="buy",1,-1)*( IF($K$3="call",B66*NORMDIST(I66,0,1,1) - $B$3*NORMDIST(J66,0,1,1),$B$3*NORMDIST(-J66,0,1,1) - B66*NORMDIST(-I66,0,1,1) ) - $G$3) * $P$3</f>
        <v/>
      </c>
      <c r="I66" s="142">
        <f>(LN(B66/$B$3)+($H$3^2/2)*($J$3))/($H$3*SQRT($J$3))</f>
        <v/>
      </c>
      <c r="J66" s="140">
        <f>I66 - $H$3*SQRT($J$3)</f>
        <v/>
      </c>
      <c r="L66" s="117" t="n"/>
      <c r="M66" s="141" t="n"/>
      <c r="N66" s="141" t="n"/>
    </row>
    <row r="67" ht="13.5" customHeight="1" s="116">
      <c r="B67" s="138">
        <f>B38</f>
        <v/>
      </c>
      <c r="C67" s="139">
        <f>IF($O$3="sell",-1,1) *  IF($K$3="call",  NORMDIST(I67,0,1,1),  NORMDIST(I67,0,1,1)-1  ) * $P$3</f>
        <v/>
      </c>
      <c r="D67" s="139">
        <f>IF($O$3="sell",-1,1) * NORMDIST(I67,0,1,0)/(B67*$H$3*SQRT($J$3)) * $P$3</f>
        <v/>
      </c>
      <c r="E67" s="139">
        <f>IF($O$3="sell",-1,1) * (B67*NORMDIST(I67,0,1,0)*SQRT($J$3)/365) * $P$3</f>
        <v/>
      </c>
      <c r="F67" s="139">
        <f>IF($O$3="sell",-1,1) * (-(B67*NORMDIST(I67,0,1,0)*$H$3)/(2*SQRT($J$3))/365) *$P$3</f>
        <v/>
      </c>
      <c r="G67" s="139">
        <f>IF($O$3="buy",1,-1)*( IF($K$3="call",B67*NORMDIST(I67,0,1,1) - $B$3*NORMDIST(J67,0,1,1),$B$3*NORMDIST(-J67,0,1,1) - B67*NORMDIST(-I67,0,1,1) ) - $G$3) * $P$3</f>
        <v/>
      </c>
      <c r="I67" s="142">
        <f>(LN(B67/$B$3)+($H$3^2/2)*($J$3))/($H$3*SQRT($J$3))</f>
        <v/>
      </c>
      <c r="J67" s="140">
        <f>I67 - $H$3*SQRT($J$3)</f>
        <v/>
      </c>
      <c r="L67" s="117" t="n"/>
      <c r="M67" s="141" t="n"/>
      <c r="N67" s="141" t="n"/>
    </row>
    <row r="68" ht="13.5" customHeight="1" s="116">
      <c r="B68" s="138">
        <f>B39</f>
        <v/>
      </c>
      <c r="C68" s="139">
        <f>IF($O$3="sell",-1,1) *  IF($K$3="call",  NORMDIST(I68,0,1,1),  NORMDIST(I68,0,1,1)-1  ) * $P$3</f>
        <v/>
      </c>
      <c r="D68" s="139">
        <f>IF($O$3="sell",-1,1) * NORMDIST(I68,0,1,0)/(B68*$H$3*SQRT($J$3)) * $P$3</f>
        <v/>
      </c>
      <c r="E68" s="139">
        <f>IF($O$3="sell",-1,1) * (B68*NORMDIST(I68,0,1,0)*SQRT($J$3)/365) * $P$3</f>
        <v/>
      </c>
      <c r="F68" s="139">
        <f>IF($O$3="sell",-1,1) * (-(B68*NORMDIST(I68,0,1,0)*$H$3)/(2*SQRT($J$3))/365) *$P$3</f>
        <v/>
      </c>
      <c r="G68" s="139">
        <f>IF($O$3="buy",1,-1)*( IF($K$3="call",B68*NORMDIST(I68,0,1,1) - $B$3*NORMDIST(J68,0,1,1),$B$3*NORMDIST(-J68,0,1,1) - B68*NORMDIST(-I68,0,1,1) ) - $G$3) * $P$3</f>
        <v/>
      </c>
      <c r="I68" s="142">
        <f>(LN(B68/$B$3)+($H$3^2/2)*($J$3))/($H$3*SQRT($J$3))</f>
        <v/>
      </c>
      <c r="J68" s="140">
        <f>I68 - $H$3*SQRT($J$3)</f>
        <v/>
      </c>
      <c r="L68" s="117" t="n"/>
      <c r="M68" s="141" t="n"/>
      <c r="N68" s="141" t="n"/>
    </row>
    <row r="69" ht="13.5" customHeight="1" s="116">
      <c r="B69" s="138">
        <f>B40</f>
        <v/>
      </c>
      <c r="C69" s="139">
        <f>IF($O$3="sell",-1,1) *  IF($K$3="call",  NORMDIST(I69,0,1,1),  NORMDIST(I69,0,1,1)-1  ) * $P$3</f>
        <v/>
      </c>
      <c r="D69" s="139">
        <f>IF($O$3="sell",-1,1) * NORMDIST(I69,0,1,0)/(B69*$H$3*SQRT($J$3)) * $P$3</f>
        <v/>
      </c>
      <c r="E69" s="139">
        <f>IF($O$3="sell",-1,1) * (B69*NORMDIST(I69,0,1,0)*SQRT($J$3)/365) * $P$3</f>
        <v/>
      </c>
      <c r="F69" s="139">
        <f>IF($O$3="sell",-1,1) * (-(B69*NORMDIST(I69,0,1,0)*$H$3)/(2*SQRT($J$3))/365) *$P$3</f>
        <v/>
      </c>
      <c r="G69" s="139">
        <f>IF($O$3="buy",1,-1)*( IF($K$3="call",B69*NORMDIST(I69,0,1,1) - $B$3*NORMDIST(J69,0,1,1),$B$3*NORMDIST(-J69,0,1,1) - B69*NORMDIST(-I69,0,1,1) ) - $G$3) * $P$3</f>
        <v/>
      </c>
      <c r="I69" s="142">
        <f>(LN(B69/$B$3)+($H$3^2/2)*($J$3))/($H$3*SQRT($J$3))</f>
        <v/>
      </c>
      <c r="J69" s="140">
        <f>I69 - $H$3*SQRT($J$3)</f>
        <v/>
      </c>
      <c r="L69" s="117" t="n"/>
      <c r="M69" s="141" t="n"/>
      <c r="N69" s="141" t="n"/>
    </row>
    <row r="70" ht="13.5" customHeight="1" s="116">
      <c r="B70" s="138">
        <f>B41</f>
        <v/>
      </c>
      <c r="C70" s="139">
        <f>IF($O$3="sell",-1,1) *  IF($K$3="call",  NORMDIST(I70,0,1,1),  NORMDIST(I70,0,1,1)-1  ) * $P$3</f>
        <v/>
      </c>
      <c r="D70" s="139">
        <f>IF($O$3="sell",-1,1) * NORMDIST(I70,0,1,0)/(B70*$H$3*SQRT($J$3)) * $P$3</f>
        <v/>
      </c>
      <c r="E70" s="139">
        <f>IF($O$3="sell",-1,1) * (B70*NORMDIST(I70,0,1,0)*SQRT($J$3)/365) * $P$3</f>
        <v/>
      </c>
      <c r="F70" s="139">
        <f>IF($O$3="sell",-1,1) * (-(B70*NORMDIST(I70,0,1,0)*$H$3)/(2*SQRT($J$3))/365) *$P$3</f>
        <v/>
      </c>
      <c r="G70" s="139">
        <f>IF($O$3="buy",1,-1)*( IF($K$3="call",B70*NORMDIST(I70,0,1,1) - $B$3*NORMDIST(J70,0,1,1),$B$3*NORMDIST(-J70,0,1,1) - B70*NORMDIST(-I70,0,1,1) ) - $G$3) * $P$3</f>
        <v/>
      </c>
      <c r="I70" s="142">
        <f>(LN(B70/$B$3)+($H$3^2/2)*($J$3))/($H$3*SQRT($J$3))</f>
        <v/>
      </c>
      <c r="J70" s="140">
        <f>I70 - $H$3*SQRT($J$3)</f>
        <v/>
      </c>
      <c r="L70" s="117" t="n"/>
      <c r="M70" s="141" t="n"/>
      <c r="N70" s="141" t="n"/>
    </row>
    <row r="71" ht="13.5" customHeight="1" s="116">
      <c r="B71" s="138">
        <f>B42</f>
        <v/>
      </c>
      <c r="C71" s="139">
        <f>IF($O$3="sell",-1,1) *  IF($K$3="call",  NORMDIST(I71,0,1,1),  NORMDIST(I71,0,1,1)-1  ) * $P$3</f>
        <v/>
      </c>
      <c r="D71" s="139">
        <f>IF($O$3="sell",-1,1) * NORMDIST(I71,0,1,0)/(B71*$H$3*SQRT($J$3)) * $P$3</f>
        <v/>
      </c>
      <c r="E71" s="139">
        <f>IF($O$3="sell",-1,1) * (B71*NORMDIST(I71,0,1,0)*SQRT($J$3)/365) * $P$3</f>
        <v/>
      </c>
      <c r="F71" s="139">
        <f>IF($O$3="sell",-1,1) * (-(B71*NORMDIST(I71,0,1,0)*$H$3)/(2*SQRT($J$3))/365) *$P$3</f>
        <v/>
      </c>
      <c r="G71" s="139">
        <f>IF($O$3="buy",1,-1)*( IF($K$3="call",B71*NORMDIST(I71,0,1,1) - $B$3*NORMDIST(J71,0,1,1),$B$3*NORMDIST(-J71,0,1,1) - B71*NORMDIST(-I71,0,1,1) ) - $G$3) * $P$3</f>
        <v/>
      </c>
      <c r="I71" s="142">
        <f>(LN(B71/$B$3)+($H$3^2/2)*($J$3))/($H$3*SQRT($J$3))</f>
        <v/>
      </c>
      <c r="J71" s="140">
        <f>I71 - $H$3*SQRT($J$3)</f>
        <v/>
      </c>
      <c r="L71" s="117" t="n"/>
      <c r="M71" s="141" t="n"/>
      <c r="N71" s="141" t="n"/>
    </row>
    <row r="72" ht="13.5" customHeight="1" s="116">
      <c r="B72" s="138">
        <f>B43</f>
        <v/>
      </c>
      <c r="C72" s="139">
        <f>IF($O$3="sell",-1,1) *  IF($K$3="call",  NORMDIST(I72,0,1,1),  NORMDIST(I72,0,1,1)-1  ) * $P$3</f>
        <v/>
      </c>
      <c r="D72" s="139">
        <f>IF($O$3="sell",-1,1) * NORMDIST(I72,0,1,0)/(B72*$H$3*SQRT($J$3)) * $P$3</f>
        <v/>
      </c>
      <c r="E72" s="139">
        <f>IF($O$3="sell",-1,1) * (B72*NORMDIST(I72,0,1,0)*SQRT($J$3)/365) * $P$3</f>
        <v/>
      </c>
      <c r="F72" s="139">
        <f>IF($O$3="sell",-1,1) * (-(B72*NORMDIST(I72,0,1,0)*$H$3)/(2*SQRT($J$3))/365) *$P$3</f>
        <v/>
      </c>
      <c r="G72" s="139">
        <f>IF($O$3="buy",1,-1)*( IF($K$3="call",B72*NORMDIST(I72,0,1,1) - $B$3*NORMDIST(J72,0,1,1),$B$3*NORMDIST(-J72,0,1,1) - B72*NORMDIST(-I72,0,1,1) ) - $G$3) * $P$3</f>
        <v/>
      </c>
      <c r="I72" s="142">
        <f>(LN(B72/$B$3)+($H$3^2/2)*($J$3))/($H$3*SQRT($J$3))</f>
        <v/>
      </c>
      <c r="J72" s="140">
        <f>I72 - $H$3*SQRT($J$3)</f>
        <v/>
      </c>
      <c r="L72" s="117" t="n"/>
      <c r="M72" s="141" t="n"/>
      <c r="N72" s="141" t="n"/>
    </row>
    <row r="74" ht="17.25" customHeight="1" s="116">
      <c r="B74" s="137" t="n"/>
      <c r="C74" s="133" t="inlineStr">
        <is>
          <t>delta</t>
        </is>
      </c>
      <c r="D74" s="133" t="inlineStr">
        <is>
          <t>gamma</t>
        </is>
      </c>
      <c r="E74" s="133" t="inlineStr">
        <is>
          <t>vega</t>
        </is>
      </c>
      <c r="F74" s="133" t="inlineStr">
        <is>
          <t>theta</t>
        </is>
      </c>
      <c r="G74" s="133" t="inlineStr">
        <is>
          <t>mark_price</t>
        </is>
      </c>
      <c r="I74" s="133" t="inlineStr">
        <is>
          <t>d1</t>
        </is>
      </c>
      <c r="J74" s="133" t="inlineStr">
        <is>
          <t>d2</t>
        </is>
      </c>
    </row>
    <row r="75" ht="13.5" customHeight="1" s="116">
      <c r="A75" s="117">
        <f>A4</f>
        <v/>
      </c>
      <c r="B75" s="144">
        <f>B46</f>
        <v/>
      </c>
      <c r="C75" s="139">
        <f>IF($O$4="sell",-1,1) *  IF($K$4="call",  NORMDIST(I75,0,1,1),  NORMDIST(I75,0,1,1)-1  ) * $P$4</f>
        <v/>
      </c>
      <c r="D75" s="139">
        <f>IF($O$4="sell",-1,1) * NORMDIST(I75,0,1,0)/(B75*$H$4*SQRT($J$4)) * $P$4</f>
        <v/>
      </c>
      <c r="E75" s="139">
        <f>IF($O$4="sell",-1,1) * (B75*NORMDIST(I75,0,1,0)*SQRT($J$4)/365) * $P$4</f>
        <v/>
      </c>
      <c r="F75" s="139">
        <f>IF($O$4="sell",-1,1) * (-(B75*NORMDIST(I75,0,1,0)*$H$4)/(2*SQRT($J$4))/365) *$P$4</f>
        <v/>
      </c>
      <c r="G75" s="139">
        <f>IF($O$4="buy",1,-1)*( IF($K$4="call",B75*NORMDIST(I75,0,1,1) - $B$4*NORMDIST(J75,0,1,1),$B$4*NORMDIST(-J75,0,1,1) - B75*NORMDIST(-I75,0,1,1) ) - $G$4) * $P$4</f>
        <v/>
      </c>
      <c r="I75" s="140">
        <f>(LN(B75/$B$4)+($H$4^2/2)*($J$4))/($H$4*SQRT($J$4))</f>
        <v/>
      </c>
      <c r="J75" s="140">
        <f>I75 - $H$4*SQRT($J$4)</f>
        <v/>
      </c>
    </row>
    <row r="76" ht="13.5" customHeight="1" s="116">
      <c r="B76" s="144">
        <f>B47</f>
        <v/>
      </c>
      <c r="C76" s="139">
        <f>IF($O$4="sell",-1,1) *  IF($K$4="call",  NORMDIST(I76,0,1,1),  NORMDIST(I76,0,1,1)-1  ) * $P$4</f>
        <v/>
      </c>
      <c r="D76" s="139">
        <f>IF($O$4="sell",-1,1) * NORMDIST(I76,0,1,0)/(B76*$H$4*SQRT($J$4)) * $P$4</f>
        <v/>
      </c>
      <c r="E76" s="139">
        <f>IF($O$4="sell",-1,1) * (B76*NORMDIST(I76,0,1,0)*SQRT($J$4)/365) * $P$4</f>
        <v/>
      </c>
      <c r="F76" s="139">
        <f>IF($O$4="sell",-1,1) * (-(B76*NORMDIST(I76,0,1,0)*$H$4)/(2*SQRT($J$4))/365) *$P$4</f>
        <v/>
      </c>
      <c r="G76" s="139">
        <f>IF($O$4="buy",1,-1)*( IF($K$4="call",B76*NORMDIST(I76,0,1,1) - $B$4*NORMDIST(J76,0,1,1),$B$4*NORMDIST(-J76,0,1,1) - B76*NORMDIST(-I76,0,1,1) ) - $G$4) * $P$4</f>
        <v/>
      </c>
      <c r="I76" s="140">
        <f>(LN(B76/$B$4)+($H$4^2/2)*($J$4))/($H$4*SQRT($J$4))</f>
        <v/>
      </c>
      <c r="J76" s="140">
        <f>I76 - $H$4*SQRT($J$4)</f>
        <v/>
      </c>
    </row>
    <row r="77" ht="13.5" customHeight="1" s="116">
      <c r="B77" s="144">
        <f>B48</f>
        <v/>
      </c>
      <c r="C77" s="139">
        <f>IF($O$4="sell",-1,1) *  IF($K$4="call",  NORMDIST(I77,0,1,1),  NORMDIST(I77,0,1,1)-1  ) * $P$4</f>
        <v/>
      </c>
      <c r="D77" s="139">
        <f>IF($O$4="sell",-1,1) * NORMDIST(I77,0,1,0)/(B77*$H$4*SQRT($J$4)) * $P$4</f>
        <v/>
      </c>
      <c r="E77" s="139">
        <f>IF($O$4="sell",-1,1) * (B77*NORMDIST(I77,0,1,0)*SQRT($J$4)/365) * $P$4</f>
        <v/>
      </c>
      <c r="F77" s="139">
        <f>IF($O$4="sell",-1,1) * (-(B77*NORMDIST(I77,0,1,0)*$H$4)/(2*SQRT($J$4))/365) *$P$4</f>
        <v/>
      </c>
      <c r="G77" s="139">
        <f>IF($O$4="buy",1,-1)*( IF($K$4="call",B77*NORMDIST(I77,0,1,1) - $B$4*NORMDIST(J77,0,1,1),$B$4*NORMDIST(-J77,0,1,1) - B77*NORMDIST(-I77,0,1,1) ) - $G$4) * $P$4</f>
        <v/>
      </c>
      <c r="I77" s="140">
        <f>(LN(B77/$B$4)+($H$4^2/2)*($J$4))/($H$4*SQRT($J$4))</f>
        <v/>
      </c>
      <c r="J77" s="140">
        <f>I77 - $H$4*SQRT($J$4)</f>
        <v/>
      </c>
    </row>
    <row r="78" ht="13.5" customHeight="1" s="116">
      <c r="B78" s="144">
        <f>B49</f>
        <v/>
      </c>
      <c r="C78" s="139">
        <f>IF($O$4="sell",-1,1) *  IF($K$4="call",  NORMDIST(I78,0,1,1),  NORMDIST(I78,0,1,1)-1  ) * $P$4</f>
        <v/>
      </c>
      <c r="D78" s="139">
        <f>IF($O$4="sell",-1,1) * NORMDIST(I78,0,1,0)/(B78*$H$4*SQRT($J$4)) * $P$4</f>
        <v/>
      </c>
      <c r="E78" s="139">
        <f>IF($O$4="sell",-1,1) * (B78*NORMDIST(I78,0,1,0)*SQRT($J$4)/365) * $P$4</f>
        <v/>
      </c>
      <c r="F78" s="139">
        <f>IF($O$4="sell",-1,1) * (-(B78*NORMDIST(I78,0,1,0)*$H$4)/(2*SQRT($J$4))/365) *$P$4</f>
        <v/>
      </c>
      <c r="G78" s="139">
        <f>IF($O$4="buy",1,-1)*( IF($K$4="call",B78*NORMDIST(I78,0,1,1) - $B$4*NORMDIST(J78,0,1,1),$B$4*NORMDIST(-J78,0,1,1) - B78*NORMDIST(-I78,0,1,1) ) - $G$4) * $P$4</f>
        <v/>
      </c>
      <c r="I78" s="140">
        <f>(LN(B78/$B$4)+($H$4^2/2)*($J$4))/($H$4*SQRT($J$4))</f>
        <v/>
      </c>
      <c r="J78" s="140">
        <f>I78 - $H$4*SQRT($J$4)</f>
        <v/>
      </c>
    </row>
    <row r="79" ht="13.5" customHeight="1" s="116">
      <c r="B79" s="144">
        <f>B50</f>
        <v/>
      </c>
      <c r="C79" s="139">
        <f>IF($O$4="sell",-1,1) *  IF($K$4="call",  NORMDIST(I79,0,1,1),  NORMDIST(I79,0,1,1)-1  ) * $P$4</f>
        <v/>
      </c>
      <c r="D79" s="139">
        <f>IF($O$4="sell",-1,1) * NORMDIST(I79,0,1,0)/(B79*$H$4*SQRT($J$4)) * $P$4</f>
        <v/>
      </c>
      <c r="E79" s="139">
        <f>IF($O$4="sell",-1,1) * (B79*NORMDIST(I79,0,1,0)*SQRT($J$4)/365) * $P$4</f>
        <v/>
      </c>
      <c r="F79" s="139">
        <f>IF($O$4="sell",-1,1) * (-(B79*NORMDIST(I79,0,1,0)*$H$4)/(2*SQRT($J$4))/365) *$P$4</f>
        <v/>
      </c>
      <c r="G79" s="139">
        <f>IF($O$4="buy",1,-1)*( IF($K$4="call",B79*NORMDIST(I79,0,1,1) - $B$4*NORMDIST(J79,0,1,1),$B$4*NORMDIST(-J79,0,1,1) - B79*NORMDIST(-I79,0,1,1) ) - $G$4) * $P$4</f>
        <v/>
      </c>
      <c r="I79" s="140">
        <f>(LN(B79/$B$4)+($H$4^2/2)*($J$4))/($H$4*SQRT($J$4))</f>
        <v/>
      </c>
      <c r="J79" s="140">
        <f>I79 - $H$4*SQRT($J$4)</f>
        <v/>
      </c>
    </row>
    <row r="80" ht="13.5" customHeight="1" s="116">
      <c r="B80" s="144">
        <f>B51</f>
        <v/>
      </c>
      <c r="C80" s="139">
        <f>IF($O$4="sell",-1,1) *  IF($K$4="call",  NORMDIST(I80,0,1,1),  NORMDIST(I80,0,1,1)-1  ) * $P$4</f>
        <v/>
      </c>
      <c r="D80" s="139">
        <f>IF($O$4="sell",-1,1) * NORMDIST(I80,0,1,0)/(B80*$H$4*SQRT($J$4)) * $P$4</f>
        <v/>
      </c>
      <c r="E80" s="139">
        <f>IF($O$4="sell",-1,1) * (B80*NORMDIST(I80,0,1,0)*SQRT($J$4)/365) * $P$4</f>
        <v/>
      </c>
      <c r="F80" s="139">
        <f>IF($O$4="sell",-1,1) * (-(B80*NORMDIST(I80,0,1,0)*$H$4)/(2*SQRT($J$4))/365) *$P$4</f>
        <v/>
      </c>
      <c r="G80" s="139">
        <f>IF($O$4="buy",1,-1)*( IF($K$4="call",B80*NORMDIST(I80,0,1,1) - $B$4*NORMDIST(J80,0,1,1),$B$4*NORMDIST(-J80,0,1,1) - B80*NORMDIST(-I80,0,1,1) ) - $G$4) * $P$4</f>
        <v/>
      </c>
      <c r="I80" s="140">
        <f>(LN(B80/$B$4)+($H$4^2/2)*($J$4))/($H$4*SQRT($J$4))</f>
        <v/>
      </c>
      <c r="J80" s="140">
        <f>I80 - $H$4*SQRT($J$4)</f>
        <v/>
      </c>
    </row>
    <row r="81" ht="13.5" customHeight="1" s="116">
      <c r="B81" s="144">
        <f>B52</f>
        <v/>
      </c>
      <c r="C81" s="139">
        <f>IF($O$4="sell",-1,1) *  IF($K$4="call",  NORMDIST(I81,0,1,1),  NORMDIST(I81,0,1,1)-1  ) * $P$4</f>
        <v/>
      </c>
      <c r="D81" s="139">
        <f>IF($O$4="sell",-1,1) * NORMDIST(I81,0,1,0)/(B81*$H$4*SQRT($J$4)) * $P$4</f>
        <v/>
      </c>
      <c r="E81" s="139">
        <f>IF($O$4="sell",-1,1) * (B81*NORMDIST(I81,0,1,0)*SQRT($J$4)/365) * $P$4</f>
        <v/>
      </c>
      <c r="F81" s="139">
        <f>IF($O$4="sell",-1,1) * (-(B81*NORMDIST(I81,0,1,0)*$H$4)/(2*SQRT($J$4))/365) *$P$4</f>
        <v/>
      </c>
      <c r="G81" s="139">
        <f>IF($O$4="buy",1,-1)*( IF($K$4="call",B81*NORMDIST(I81,0,1,1) - $B$4*NORMDIST(J81,0,1,1),$B$4*NORMDIST(-J81,0,1,1) - B81*NORMDIST(-I81,0,1,1) ) - $G$4) * $P$4</f>
        <v/>
      </c>
      <c r="I81" s="140">
        <f>(LN(B81/$B$4)+($H$4^2/2)*($J$4))/($H$4*SQRT($J$4))</f>
        <v/>
      </c>
      <c r="J81" s="140">
        <f>I81 - $H$4*SQRT($J$4)</f>
        <v/>
      </c>
    </row>
    <row r="82" ht="13.5" customHeight="1" s="116">
      <c r="B82" s="144">
        <f>B53</f>
        <v/>
      </c>
      <c r="C82" s="139">
        <f>IF($O$4="sell",-1,1) *  IF($K$4="call",  NORMDIST(I82,0,1,1),  NORMDIST(I82,0,1,1)-1  ) * $P$4</f>
        <v/>
      </c>
      <c r="D82" s="139">
        <f>IF($O$4="sell",-1,1) * NORMDIST(I82,0,1,0)/(B82*$H$4*SQRT($J$4)) * $P$4</f>
        <v/>
      </c>
      <c r="E82" s="139">
        <f>IF($O$4="sell",-1,1) * (B82*NORMDIST(I82,0,1,0)*SQRT($J$4)/365) * $P$4</f>
        <v/>
      </c>
      <c r="F82" s="139">
        <f>IF($O$4="sell",-1,1) * (-(B82*NORMDIST(I82,0,1,0)*$H$4)/(2*SQRT($J$4))/365) *$P$4</f>
        <v/>
      </c>
      <c r="G82" s="139">
        <f>IF($O$4="buy",1,-1)*( IF($K$4="call",B82*NORMDIST(I82,0,1,1) - $B$4*NORMDIST(J82,0,1,1),$B$4*NORMDIST(-J82,0,1,1) - B82*NORMDIST(-I82,0,1,1) ) - $G$4) * $P$4</f>
        <v/>
      </c>
      <c r="I82" s="140">
        <f>(LN(B82/$B$4)+($H$4^2/2)*($J$4))/($H$4*SQRT($J$4))</f>
        <v/>
      </c>
      <c r="J82" s="140">
        <f>I82 - $H$4*SQRT($J$4)</f>
        <v/>
      </c>
    </row>
    <row r="83" ht="13.5" customHeight="1" s="116">
      <c r="B83" s="144">
        <f>B54</f>
        <v/>
      </c>
      <c r="C83" s="139">
        <f>IF($O$4="sell",-1,1) *  IF($K$4="call",  NORMDIST(I83,0,1,1),  NORMDIST(I83,0,1,1)-1  ) * $P$4</f>
        <v/>
      </c>
      <c r="D83" s="139">
        <f>IF($O$4="sell",-1,1) * NORMDIST(I83,0,1,0)/(B83*$H$4*SQRT($J$4)) * $P$4</f>
        <v/>
      </c>
      <c r="E83" s="139">
        <f>IF($O$4="sell",-1,1) * (B83*NORMDIST(I83,0,1,0)*SQRT($J$4)/365) * $P$4</f>
        <v/>
      </c>
      <c r="F83" s="139">
        <f>IF($O$4="sell",-1,1) * (-(B83*NORMDIST(I83,0,1,0)*$H$4)/(2*SQRT($J$4))/365) *$P$4</f>
        <v/>
      </c>
      <c r="G83" s="139">
        <f>IF($O$4="buy",1,-1)*( IF($K$4="call",B83*NORMDIST(I83,0,1,1) - $B$4*NORMDIST(J83,0,1,1),$B$4*NORMDIST(-J83,0,1,1) - B83*NORMDIST(-I83,0,1,1) ) - $G$4) * $P$4</f>
        <v/>
      </c>
      <c r="I83" s="140">
        <f>(LN(B83/$B$4)+($H$4^2/2)*($J$4))/($H$4*SQRT($J$4))</f>
        <v/>
      </c>
      <c r="J83" s="140">
        <f>I83 - $H$4*SQRT($J$4)</f>
        <v/>
      </c>
    </row>
    <row r="84" ht="13.5" customHeight="1" s="116">
      <c r="B84" s="144">
        <f>B55</f>
        <v/>
      </c>
      <c r="C84" s="139">
        <f>IF($O$4="sell",-1,1) *  IF($K$4="call",  NORMDIST(I84,0,1,1),  NORMDIST(I84,0,1,1)-1  ) * $P$4</f>
        <v/>
      </c>
      <c r="D84" s="139">
        <f>IF($O$4="sell",-1,1) * NORMDIST(I84,0,1,0)/(B84*$H$4*SQRT($J$4)) * $P$4</f>
        <v/>
      </c>
      <c r="E84" s="139">
        <f>IF($O$4="sell",-1,1) * (B84*NORMDIST(I84,0,1,0)*SQRT($J$4)/365) * $P$4</f>
        <v/>
      </c>
      <c r="F84" s="139">
        <f>IF($O$4="sell",-1,1) * (-(B84*NORMDIST(I84,0,1,0)*$H$4)/(2*SQRT($J$4))/365) *$P$4</f>
        <v/>
      </c>
      <c r="G84" s="139">
        <f>IF($O$4="buy",1,-1)*( IF($K$4="call",B84*NORMDIST(I84,0,1,1) - $B$4*NORMDIST(J84,0,1,1),$B$4*NORMDIST(-J84,0,1,1) - B84*NORMDIST(-I84,0,1,1) ) - $G$4) * $P$4</f>
        <v/>
      </c>
      <c r="I84" s="140">
        <f>(LN(B84/$B$4)+($H$4^2/2)*($J$4))/($H$4*SQRT($J$4))</f>
        <v/>
      </c>
      <c r="J84" s="140">
        <f>I84 - $H$4*SQRT($J$4)</f>
        <v/>
      </c>
    </row>
    <row r="85" ht="13.5" customHeight="1" s="116">
      <c r="B85" s="144">
        <f>B56</f>
        <v/>
      </c>
      <c r="C85" s="139">
        <f>IF($O$4="sell",-1,1) *  IF($K$4="call",  NORMDIST(I85,0,1,1),  NORMDIST(I85,0,1,1)-1  ) * $P$4</f>
        <v/>
      </c>
      <c r="D85" s="139">
        <f>IF($O$4="sell",-1,1) * NORMDIST(I85,0,1,0)/(B85*$H$4*SQRT($J$4)) * $P$4</f>
        <v/>
      </c>
      <c r="E85" s="139">
        <f>IF($O$4="sell",-1,1) * (B85*NORMDIST(I85,0,1,0)*SQRT($J$4)/365) * $P$4</f>
        <v/>
      </c>
      <c r="F85" s="139">
        <f>IF($O$4="sell",-1,1) * (-(B85*NORMDIST(I85,0,1,0)*$H$4)/(2*SQRT($J$4))/365) *$P$4</f>
        <v/>
      </c>
      <c r="G85" s="139">
        <f>IF($O$4="buy",1,-1)*( IF($K$4="call",B85*NORMDIST(I85,0,1,1) - $B$4*NORMDIST(J85,0,1,1),$B$4*NORMDIST(-J85,0,1,1) - B85*NORMDIST(-I85,0,1,1) ) - $G$4) * $P$4</f>
        <v/>
      </c>
      <c r="I85" s="140">
        <f>(LN(B85/$B$4)+($H$4^2/2)*($J$4))/($H$4*SQRT($J$4))</f>
        <v/>
      </c>
      <c r="J85" s="140">
        <f>I85 - $H$4*SQRT($J$4)</f>
        <v/>
      </c>
    </row>
    <row r="86" ht="13.5" customHeight="1" s="116">
      <c r="B86" s="144">
        <f>B57</f>
        <v/>
      </c>
      <c r="C86" s="139">
        <f>IF($O$4="sell",-1,1) *  IF($K$4="call",  NORMDIST(I86,0,1,1),  NORMDIST(I86,0,1,1)-1  ) * $P$4</f>
        <v/>
      </c>
      <c r="D86" s="139">
        <f>IF($O$4="sell",-1,1) * NORMDIST(I86,0,1,0)/(B86*$H$4*SQRT($J$4)) * $P$4</f>
        <v/>
      </c>
      <c r="E86" s="139">
        <f>IF($O$4="sell",-1,1) * (B86*NORMDIST(I86,0,1,0)*SQRT($J$4)/365) * $P$4</f>
        <v/>
      </c>
      <c r="F86" s="139">
        <f>IF($O$4="sell",-1,1) * (-(B86*NORMDIST(I86,0,1,0)*$H$4)/(2*SQRT($J$4))/365) *$P$4</f>
        <v/>
      </c>
      <c r="G86" s="139">
        <f>IF($O$4="buy",1,-1)*( IF($K$4="call",B86*NORMDIST(I86,0,1,1) - $B$4*NORMDIST(J86,0,1,1),$B$4*NORMDIST(-J86,0,1,1) - B86*NORMDIST(-I86,0,1,1) ) - $G$4) * $P$4</f>
        <v/>
      </c>
      <c r="I86" s="140">
        <f>(LN(B86/$B$4)+($H$4^2/2)*($J$4))/($H$4*SQRT($J$4))</f>
        <v/>
      </c>
      <c r="J86" s="140">
        <f>I86 - $H$4*SQRT($J$4)</f>
        <v/>
      </c>
    </row>
    <row r="87" ht="13.5" customHeight="1" s="116">
      <c r="B87" s="144">
        <f>B58</f>
        <v/>
      </c>
      <c r="C87" s="139">
        <f>IF($O$4="sell",-1,1) *  IF($K$4="call",  NORMDIST(I87,0,1,1),  NORMDIST(I87,0,1,1)-1  ) * $P$4</f>
        <v/>
      </c>
      <c r="D87" s="139">
        <f>IF($O$4="sell",-1,1) * NORMDIST(I87,0,1,0)/(B87*$H$4*SQRT($J$4)) * $P$4</f>
        <v/>
      </c>
      <c r="E87" s="139">
        <f>IF($O$4="sell",-1,1) * (B87*NORMDIST(I87,0,1,0)*SQRT($J$4)/365) * $P$4</f>
        <v/>
      </c>
      <c r="F87" s="139">
        <f>IF($O$4="sell",-1,1) * (-(B87*NORMDIST(I87,0,1,0)*$H$4)/(2*SQRT($J$4))/365) *$P$4</f>
        <v/>
      </c>
      <c r="G87" s="139">
        <f>IF($O$4="buy",1,-1)*( IF($K$4="call",B87*NORMDIST(I87,0,1,1) - $B$4*NORMDIST(J87,0,1,1),$B$4*NORMDIST(-J87,0,1,1) - B87*NORMDIST(-I87,0,1,1) ) - $G$4) * $P$4</f>
        <v/>
      </c>
      <c r="I87" s="140">
        <f>(LN(B87/$B$4)+($H$4^2/2)*($J$4))/($H$4*SQRT($J$4))</f>
        <v/>
      </c>
      <c r="J87" s="140">
        <f>I87 - $H$4*SQRT($J$4)</f>
        <v/>
      </c>
    </row>
    <row r="88" ht="13.5" customHeight="1" s="116">
      <c r="B88" s="144">
        <f>B59</f>
        <v/>
      </c>
      <c r="C88" s="139">
        <f>IF($O$4="sell",-1,1) *  IF($K$4="call",  NORMDIST(I88,0,1,1),  NORMDIST(I88,0,1,1)-1  ) * $P$4</f>
        <v/>
      </c>
      <c r="D88" s="139">
        <f>IF($O$4="sell",-1,1) * NORMDIST(I88,0,1,0)/(B88*$H$4*SQRT($J$4)) * $P$4</f>
        <v/>
      </c>
      <c r="E88" s="139">
        <f>IF($O$4="sell",-1,1) * (B88*NORMDIST(I88,0,1,0)*SQRT($J$4)/365) * $P$4</f>
        <v/>
      </c>
      <c r="F88" s="139">
        <f>IF($O$4="sell",-1,1) * (-(B88*NORMDIST(I88,0,1,0)*$H$4)/(2*SQRT($J$4))/365) *$P$4</f>
        <v/>
      </c>
      <c r="G88" s="139">
        <f>IF($O$4="buy",1,-1)*( IF($K$4="call",B88*NORMDIST(I88,0,1,1) - $B$4*NORMDIST(J88,0,1,1),$B$4*NORMDIST(-J88,0,1,1) - B88*NORMDIST(-I88,0,1,1) ) - $G$4) * $P$4</f>
        <v/>
      </c>
      <c r="I88" s="140">
        <f>(LN(B88/$B$4)+($H$4^2/2)*($J$4))/($H$4*SQRT($J$4))</f>
        <v/>
      </c>
      <c r="J88" s="140">
        <f>I88 - $H$4*SQRT($J$4)</f>
        <v/>
      </c>
    </row>
    <row r="89" ht="13.5" customHeight="1" s="116">
      <c r="B89" s="144">
        <f>B60</f>
        <v/>
      </c>
      <c r="C89" s="139">
        <f>IF($O$4="sell",-1,1) *  IF($K$4="call",  NORMDIST(I89,0,1,1),  NORMDIST(I89,0,1,1)-1  ) * $P$4</f>
        <v/>
      </c>
      <c r="D89" s="139">
        <f>IF($O$4="sell",-1,1) * NORMDIST(I89,0,1,0)/(B89*$H$4*SQRT($J$4)) * $P$4</f>
        <v/>
      </c>
      <c r="E89" s="139">
        <f>IF($O$4="sell",-1,1) * (B89*NORMDIST(I89,0,1,0)*SQRT($J$4)/365) * $P$4</f>
        <v/>
      </c>
      <c r="F89" s="139">
        <f>IF($O$4="sell",-1,1) * (-(B89*NORMDIST(I89,0,1,0)*$H$4)/(2*SQRT($J$4))/365) *$P$4</f>
        <v/>
      </c>
      <c r="G89" s="139">
        <f>IF($O$4="buy",1,-1)*( IF($K$4="call",B89*NORMDIST(I89,0,1,1) - $B$4*NORMDIST(J89,0,1,1),$B$4*NORMDIST(-J89,0,1,1) - B89*NORMDIST(-I89,0,1,1) ) - $G$4) * $P$4</f>
        <v/>
      </c>
      <c r="I89" s="140">
        <f>(LN(B89/$B$4)+($H$4^2/2)*($J$4))/($H$4*SQRT($J$4))</f>
        <v/>
      </c>
      <c r="J89" s="140">
        <f>I89 - $H$4*SQRT($J$4)</f>
        <v/>
      </c>
    </row>
    <row r="90" ht="13.5" customHeight="1" s="116">
      <c r="B90" s="144">
        <f>B61</f>
        <v/>
      </c>
      <c r="C90" s="139">
        <f>IF($O$4="sell",-1,1) *  IF($K$4="call",  NORMDIST(I90,0,1,1),  NORMDIST(I90,0,1,1)-1  ) * $P$4</f>
        <v/>
      </c>
      <c r="D90" s="139">
        <f>IF($O$4="sell",-1,1) * NORMDIST(I90,0,1,0)/(B90*$H$4*SQRT($J$4)) * $P$4</f>
        <v/>
      </c>
      <c r="E90" s="139">
        <f>IF($O$4="sell",-1,1) * (B90*NORMDIST(I90,0,1,0)*SQRT($J$4)/365) * $P$4</f>
        <v/>
      </c>
      <c r="F90" s="139">
        <f>IF($O$4="sell",-1,1) * (-(B90*NORMDIST(I90,0,1,0)*$H$4)/(2*SQRT($J$4))/365) *$P$4</f>
        <v/>
      </c>
      <c r="G90" s="139">
        <f>IF($O$4="buy",1,-1)*( IF($K$4="call",B90*NORMDIST(I90,0,1,1) - $B$4*NORMDIST(J90,0,1,1),$B$4*NORMDIST(-J90,0,1,1) - B90*NORMDIST(-I90,0,1,1) ) - $G$4) * $P$4</f>
        <v/>
      </c>
      <c r="I90" s="140">
        <f>(LN(B90/$B$4)+($H$4^2/2)*($J$4))/($H$4*SQRT($J$4))</f>
        <v/>
      </c>
      <c r="J90" s="140">
        <f>I90 - $H$4*SQRT($J$4)</f>
        <v/>
      </c>
    </row>
    <row r="91" ht="13.5" customHeight="1" s="116">
      <c r="B91" s="144">
        <f>B62</f>
        <v/>
      </c>
      <c r="C91" s="139">
        <f>IF($O$4="sell",-1,1) *  IF($K$4="call",  NORMDIST(I91,0,1,1),  NORMDIST(I91,0,1,1)-1  ) * $P$4</f>
        <v/>
      </c>
      <c r="D91" s="139">
        <f>IF($O$4="sell",-1,1) * NORMDIST(I91,0,1,0)/(B91*$H$4*SQRT($J$4)) * $P$4</f>
        <v/>
      </c>
      <c r="E91" s="139">
        <f>IF($O$4="sell",-1,1) * (B91*NORMDIST(I91,0,1,0)*SQRT($J$4)/365) * $P$4</f>
        <v/>
      </c>
      <c r="F91" s="139">
        <f>IF($O$4="sell",-1,1) * (-(B91*NORMDIST(I91,0,1,0)*$H$4)/(2*SQRT($J$4))/365) *$P$4</f>
        <v/>
      </c>
      <c r="G91" s="139">
        <f>IF($O$4="buy",1,-1)*( IF($K$4="call",B91*NORMDIST(I91,0,1,1) - $B$4*NORMDIST(J91,0,1,1),$B$4*NORMDIST(-J91,0,1,1) - B91*NORMDIST(-I91,0,1,1) ) - $G$4) * $P$4</f>
        <v/>
      </c>
      <c r="I91" s="140">
        <f>(LN(B91/$B$4)+($H$4^2/2)*($J$4))/($H$4*SQRT($J$4))</f>
        <v/>
      </c>
      <c r="J91" s="140">
        <f>I91 - $H$4*SQRT($J$4)</f>
        <v/>
      </c>
    </row>
    <row r="92" ht="13.5" customHeight="1" s="116">
      <c r="B92" s="144">
        <f>B63</f>
        <v/>
      </c>
      <c r="C92" s="139">
        <f>IF($O$4="sell",-1,1) *  IF($K$4="call",  NORMDIST(I92,0,1,1),  NORMDIST(I92,0,1,1)-1  ) * $P$4</f>
        <v/>
      </c>
      <c r="D92" s="139">
        <f>IF($O$4="sell",-1,1) * NORMDIST(I92,0,1,0)/(B92*$H$4*SQRT($J$4)) * $P$4</f>
        <v/>
      </c>
      <c r="E92" s="139">
        <f>IF($O$4="sell",-1,1) * (B92*NORMDIST(I92,0,1,0)*SQRT($J$4)/365) * $P$4</f>
        <v/>
      </c>
      <c r="F92" s="139">
        <f>IF($O$4="sell",-1,1) * (-(B92*NORMDIST(I92,0,1,0)*$H$4)/(2*SQRT($J$4))/365) *$P$4</f>
        <v/>
      </c>
      <c r="G92" s="139">
        <f>IF($O$4="buy",1,-1)*( IF($K$4="call",B92*NORMDIST(I92,0,1,1) - $B$4*NORMDIST(J92,0,1,1),$B$4*NORMDIST(-J92,0,1,1) - B92*NORMDIST(-I92,0,1,1) ) - $G$4) * $P$4</f>
        <v/>
      </c>
      <c r="I92" s="140">
        <f>(LN(B92/$B$4)+($H$4^2/2)*($J$4))/($H$4*SQRT($J$4))</f>
        <v/>
      </c>
      <c r="J92" s="140">
        <f>I92 - $H$4*SQRT($J$4)</f>
        <v/>
      </c>
    </row>
    <row r="93" ht="13.5" customHeight="1" s="116">
      <c r="B93" s="144">
        <f>B64</f>
        <v/>
      </c>
      <c r="C93" s="139">
        <f>IF($O$4="sell",-1,1) *  IF($K$4="call",  NORMDIST(I93,0,1,1),  NORMDIST(I93,0,1,1)-1  ) * $P$4</f>
        <v/>
      </c>
      <c r="D93" s="139">
        <f>IF($O$4="sell",-1,1) * NORMDIST(I93,0,1,0)/(B93*$H$4*SQRT($J$4)) * $P$4</f>
        <v/>
      </c>
      <c r="E93" s="139">
        <f>IF($O$4="sell",-1,1) * (B93*NORMDIST(I93,0,1,0)*SQRT($J$4)/365) * $P$4</f>
        <v/>
      </c>
      <c r="F93" s="139">
        <f>IF($O$4="sell",-1,1) * (-(B93*NORMDIST(I93,0,1,0)*$H$4)/(2*SQRT($J$4))/365) *$P$4</f>
        <v/>
      </c>
      <c r="G93" s="139">
        <f>IF($O$4="buy",1,-1)*( IF($K$4="call",B93*NORMDIST(I93,0,1,1) - $B$4*NORMDIST(J93,0,1,1),$B$4*NORMDIST(-J93,0,1,1) - B93*NORMDIST(-I93,0,1,1) ) - $G$4) * $P$4</f>
        <v/>
      </c>
      <c r="I93" s="140">
        <f>(LN(B93/$B$4)+($H$4^2/2)*($J$4))/($H$4*SQRT($J$4))</f>
        <v/>
      </c>
      <c r="J93" s="140">
        <f>I93 - $H$4*SQRT($J$4)</f>
        <v/>
      </c>
    </row>
    <row r="94" ht="13.5" customHeight="1" s="116">
      <c r="B94" s="144">
        <f>B65</f>
        <v/>
      </c>
      <c r="C94" s="139">
        <f>IF($O$4="sell",-1,1) *  IF($K$4="call",  NORMDIST(I94,0,1,1),  NORMDIST(I94,0,1,1)-1  ) * $P$4</f>
        <v/>
      </c>
      <c r="D94" s="139">
        <f>IF($O$4="sell",-1,1) * NORMDIST(I94,0,1,0)/(B94*$H$4*SQRT($J$4)) * $P$4</f>
        <v/>
      </c>
      <c r="E94" s="139">
        <f>IF($O$4="sell",-1,1) * (B94*NORMDIST(I94,0,1,0)*SQRT($J$4)/365) * $P$4</f>
        <v/>
      </c>
      <c r="F94" s="139">
        <f>IF($O$4="sell",-1,1) * (-(B94*NORMDIST(I94,0,1,0)*$H$4)/(2*SQRT($J$4))/365) *$P$4</f>
        <v/>
      </c>
      <c r="G94" s="139">
        <f>IF($O$4="buy",1,-1)*( IF($K$4="call",B94*NORMDIST(I94,0,1,1) - $B$4*NORMDIST(J94,0,1,1),$B$4*NORMDIST(-J94,0,1,1) - B94*NORMDIST(-I94,0,1,1) ) - $G$4) * $P$4</f>
        <v/>
      </c>
      <c r="I94" s="140">
        <f>(LN(B94/$B$4)+($H$4^2/2)*($J$4))/($H$4*SQRT($J$4))</f>
        <v/>
      </c>
      <c r="J94" s="140">
        <f>I94 - $H$4*SQRT($J$4)</f>
        <v/>
      </c>
    </row>
    <row r="95" ht="13.5" customHeight="1" s="116">
      <c r="B95" s="144">
        <f>B66</f>
        <v/>
      </c>
      <c r="C95" s="139">
        <f>IF($O$4="sell",-1,1) *  IF($K$4="call",  NORMDIST(I95,0,1,1),  NORMDIST(I95,0,1,1)-1  ) * $P$4</f>
        <v/>
      </c>
      <c r="D95" s="139">
        <f>IF($O$4="sell",-1,1) * NORMDIST(I95,0,1,0)/(B95*$H$4*SQRT($J$4)) * $P$4</f>
        <v/>
      </c>
      <c r="E95" s="139">
        <f>IF($O$4="sell",-1,1) * (B95*NORMDIST(I95,0,1,0)*SQRT($J$4)/365) * $P$4</f>
        <v/>
      </c>
      <c r="F95" s="139">
        <f>IF($O$4="sell",-1,1) * (-(B95*NORMDIST(I95,0,1,0)*$H$4)/(2*SQRT($J$4))/365) *$P$4</f>
        <v/>
      </c>
      <c r="G95" s="139">
        <f>IF($O$4="buy",1,-1)*( IF($K$4="call",B95*NORMDIST(I95,0,1,1) - $B$4*NORMDIST(J95,0,1,1),$B$4*NORMDIST(-J95,0,1,1) - B95*NORMDIST(-I95,0,1,1) ) - $G$4) * $P$4</f>
        <v/>
      </c>
      <c r="I95" s="140">
        <f>(LN(B95/$B$4)+($H$4^2/2)*($J$4))/($H$4*SQRT($J$4))</f>
        <v/>
      </c>
      <c r="J95" s="140">
        <f>I95 - $H$4*SQRT($J$4)</f>
        <v/>
      </c>
    </row>
    <row r="96" ht="13.5" customHeight="1" s="116">
      <c r="B96" s="144">
        <f>B67</f>
        <v/>
      </c>
      <c r="C96" s="139">
        <f>IF($O$4="sell",-1,1) *  IF($K$4="call",  NORMDIST(I96,0,1,1),  NORMDIST(I96,0,1,1)-1  ) * $P$4</f>
        <v/>
      </c>
      <c r="D96" s="139">
        <f>IF($O$4="sell",-1,1) * NORMDIST(I96,0,1,0)/(B96*$H$4*SQRT($J$4)) * $P$4</f>
        <v/>
      </c>
      <c r="E96" s="139">
        <f>IF($O$4="sell",-1,1) * (B96*NORMDIST(I96,0,1,0)*SQRT($J$4)/365) * $P$4</f>
        <v/>
      </c>
      <c r="F96" s="139">
        <f>IF($O$4="sell",-1,1) * (-(B96*NORMDIST(I96,0,1,0)*$H$4)/(2*SQRT($J$4))/365) *$P$4</f>
        <v/>
      </c>
      <c r="G96" s="139">
        <f>IF($O$4="buy",1,-1)*( IF($K$4="call",B96*NORMDIST(I96,0,1,1) - $B$4*NORMDIST(J96,0,1,1),$B$4*NORMDIST(-J96,0,1,1) - B96*NORMDIST(-I96,0,1,1) ) - $G$4) * $P$4</f>
        <v/>
      </c>
      <c r="I96" s="140">
        <f>(LN(B96/$B$4)+($H$4^2/2)*($J$4))/($H$4*SQRT($J$4))</f>
        <v/>
      </c>
      <c r="J96" s="140">
        <f>I96 - $H$4*SQRT($J$4)</f>
        <v/>
      </c>
    </row>
    <row r="97" ht="13.5" customHeight="1" s="116">
      <c r="B97" s="144">
        <f>B68</f>
        <v/>
      </c>
      <c r="C97" s="139">
        <f>IF($O$4="sell",-1,1) *  IF($K$4="call",  NORMDIST(I97,0,1,1),  NORMDIST(I97,0,1,1)-1  ) * $P$4</f>
        <v/>
      </c>
      <c r="D97" s="139">
        <f>IF($O$4="sell",-1,1) * NORMDIST(I97,0,1,0)/(B97*$H$4*SQRT($J$4)) * $P$4</f>
        <v/>
      </c>
      <c r="E97" s="139">
        <f>IF($O$4="sell",-1,1) * (B97*NORMDIST(I97,0,1,0)*SQRT($J$4)/365) * $P$4</f>
        <v/>
      </c>
      <c r="F97" s="139">
        <f>IF($O$4="sell",-1,1) * (-(B97*NORMDIST(I97,0,1,0)*$H$4)/(2*SQRT($J$4))/365) *$P$4</f>
        <v/>
      </c>
      <c r="G97" s="139">
        <f>IF($O$4="buy",1,-1)*( IF($K$4="call",B97*NORMDIST(I97,0,1,1) - $B$4*NORMDIST(J97,0,1,1),$B$4*NORMDIST(-J97,0,1,1) - B97*NORMDIST(-I97,0,1,1) ) - $G$4) * $P$4</f>
        <v/>
      </c>
      <c r="I97" s="140">
        <f>(LN(B97/$B$4)+($H$4^2/2)*($J$4))/($H$4*SQRT($J$4))</f>
        <v/>
      </c>
      <c r="J97" s="140">
        <f>I97 - $H$4*SQRT($J$4)</f>
        <v/>
      </c>
    </row>
    <row r="98" ht="13.5" customHeight="1" s="116">
      <c r="B98" s="144">
        <f>B69</f>
        <v/>
      </c>
      <c r="C98" s="139">
        <f>IF($O$4="sell",-1,1) *  IF($K$4="call",  NORMDIST(I98,0,1,1),  NORMDIST(I98,0,1,1)-1  ) * $P$4</f>
        <v/>
      </c>
      <c r="D98" s="139">
        <f>IF($O$4="sell",-1,1) * NORMDIST(I98,0,1,0)/(B98*$H$4*SQRT($J$4)) * $P$4</f>
        <v/>
      </c>
      <c r="E98" s="139">
        <f>IF($O$4="sell",-1,1) * (B98*NORMDIST(I98,0,1,0)*SQRT($J$4)/365) * $P$4</f>
        <v/>
      </c>
      <c r="F98" s="139">
        <f>IF($O$4="sell",-1,1) * (-(B98*NORMDIST(I98,0,1,0)*$H$4)/(2*SQRT($J$4))/365) *$P$4</f>
        <v/>
      </c>
      <c r="G98" s="139">
        <f>IF($O$4="buy",1,-1)*( IF($K$4="call",B98*NORMDIST(I98,0,1,1) - $B$4*NORMDIST(J98,0,1,1),$B$4*NORMDIST(-J98,0,1,1) - B98*NORMDIST(-I98,0,1,1) ) - $G$4) * $P$4</f>
        <v/>
      </c>
      <c r="I98" s="140">
        <f>(LN(B98/$B$4)+($H$4^2/2)*($J$4))/($H$4*SQRT($J$4))</f>
        <v/>
      </c>
      <c r="J98" s="140">
        <f>I98 - $H$4*SQRT($J$4)</f>
        <v/>
      </c>
    </row>
    <row r="99" ht="13.5" customHeight="1" s="116">
      <c r="B99" s="144">
        <f>B70</f>
        <v/>
      </c>
      <c r="C99" s="139">
        <f>IF($O$4="sell",-1,1) *  IF($K$4="call",  NORMDIST(I99,0,1,1),  NORMDIST(I99,0,1,1)-1  ) * $P$4</f>
        <v/>
      </c>
      <c r="D99" s="139">
        <f>IF($O$4="sell",-1,1) * NORMDIST(I99,0,1,0)/(B99*$H$4*SQRT($J$4)) * $P$4</f>
        <v/>
      </c>
      <c r="E99" s="139">
        <f>IF($O$4="sell",-1,1) * (B99*NORMDIST(I99,0,1,0)*SQRT($J$4)/365) * $P$4</f>
        <v/>
      </c>
      <c r="F99" s="139">
        <f>IF($O$4="sell",-1,1) * (-(B99*NORMDIST(I99,0,1,0)*$H$4)/(2*SQRT($J$4))/365) *$P$4</f>
        <v/>
      </c>
      <c r="G99" s="139">
        <f>IF($O$4="buy",1,-1)*( IF($K$4="call",B99*NORMDIST(I99,0,1,1) - $B$4*NORMDIST(J99,0,1,1),$B$4*NORMDIST(-J99,0,1,1) - B99*NORMDIST(-I99,0,1,1) ) - $G$4) * $P$4</f>
        <v/>
      </c>
      <c r="I99" s="140">
        <f>(LN(B99/$B$4)+($H$4^2/2)*($J$4))/($H$4*SQRT($J$4))</f>
        <v/>
      </c>
      <c r="J99" s="140">
        <f>I99 - $H$4*SQRT($J$4)</f>
        <v/>
      </c>
    </row>
    <row r="100" ht="13.5" customHeight="1" s="116">
      <c r="B100" s="144">
        <f>B71</f>
        <v/>
      </c>
      <c r="C100" s="139">
        <f>IF($O$4="sell",-1,1) *  IF($K$4="call",  NORMDIST(I100,0,1,1),  NORMDIST(I100,0,1,1)-1  ) * $P$4</f>
        <v/>
      </c>
      <c r="D100" s="139">
        <f>IF($O$4="sell",-1,1) * NORMDIST(I100,0,1,0)/(B100*$H$4*SQRT($J$4)) * $P$4</f>
        <v/>
      </c>
      <c r="E100" s="139">
        <f>IF($O$4="sell",-1,1) * (B100*NORMDIST(I100,0,1,0)*SQRT($J$4)/365) * $P$4</f>
        <v/>
      </c>
      <c r="F100" s="139">
        <f>IF($O$4="sell",-1,1) * (-(B100*NORMDIST(I100,0,1,0)*$H$4)/(2*SQRT($J$4))/365) *$P$4</f>
        <v/>
      </c>
      <c r="G100" s="139">
        <f>IF($O$4="buy",1,-1)*( IF($K$4="call",B100*NORMDIST(I100,0,1,1) - $B$4*NORMDIST(J100,0,1,1),$B$4*NORMDIST(-J100,0,1,1) - B100*NORMDIST(-I100,0,1,1) ) - $G$4) * $P$4</f>
        <v/>
      </c>
      <c r="I100" s="140">
        <f>(LN(B100/$B$4)+($H$4^2/2)*($J$4))/($H$4*SQRT($J$4))</f>
        <v/>
      </c>
      <c r="J100" s="140">
        <f>I100 - $H$4*SQRT($J$4)</f>
        <v/>
      </c>
    </row>
    <row r="101" ht="13.5" customHeight="1" s="116">
      <c r="B101" s="144">
        <f>B72</f>
        <v/>
      </c>
      <c r="C101" s="139">
        <f>IF($O$4="sell",-1,1) *  IF($K$4="call",  NORMDIST(I101,0,1,1),  NORMDIST(I101,0,1,1)-1  ) * $P$4</f>
        <v/>
      </c>
      <c r="D101" s="139">
        <f>IF($O$4="sell",-1,1) * NORMDIST(I101,0,1,0)/(B101*$H$4*SQRT($J$4)) * $P$4</f>
        <v/>
      </c>
      <c r="E101" s="139">
        <f>IF($O$4="sell",-1,1) * (B101*NORMDIST(I101,0,1,0)*SQRT($J$4)/365) * $P$4</f>
        <v/>
      </c>
      <c r="F101" s="139">
        <f>IF($O$4="sell",-1,1) * (-(B101*NORMDIST(I101,0,1,0)*$H$4)/(2*SQRT($J$4))/365) *$P$4</f>
        <v/>
      </c>
      <c r="G101" s="139">
        <f>IF($O$4="buy",1,-1)*( IF($K$4="call",B101*NORMDIST(I101,0,1,1) - $B$4*NORMDIST(J101,0,1,1),$B$4*NORMDIST(-J101,0,1,1) - B101*NORMDIST(-I101,0,1,1) ) - $G$4) * $P$4</f>
        <v/>
      </c>
      <c r="I101" s="140">
        <f>(LN(B101/$B$4)+($H$4^2/2)*($J$4))/($H$4*SQRT($J$4))</f>
        <v/>
      </c>
      <c r="J101" s="140">
        <f>I101 - $H$4*SQRT($J$4)</f>
        <v/>
      </c>
    </row>
    <row r="102" ht="13.5" customHeight="1" s="116">
      <c r="B102" s="145" t="n"/>
      <c r="C102" s="136" t="n"/>
      <c r="D102" s="136" t="n"/>
      <c r="E102" s="136" t="n"/>
      <c r="F102" s="136" t="n"/>
      <c r="G102" s="136" t="n"/>
      <c r="I102" s="146" t="n"/>
      <c r="J102" s="146" t="n"/>
    </row>
    <row r="103" ht="17.25" customHeight="1" s="116">
      <c r="B103" s="137" t="n"/>
      <c r="C103" s="133" t="inlineStr">
        <is>
          <t>delta</t>
        </is>
      </c>
      <c r="D103" s="133" t="inlineStr">
        <is>
          <t>gamma</t>
        </is>
      </c>
      <c r="E103" s="133" t="inlineStr">
        <is>
          <t>vega</t>
        </is>
      </c>
      <c r="F103" s="133" t="inlineStr">
        <is>
          <t>theta</t>
        </is>
      </c>
      <c r="G103" s="133" t="inlineStr">
        <is>
          <t>mark_price</t>
        </is>
      </c>
      <c r="I103" s="133" t="inlineStr">
        <is>
          <t>d1</t>
        </is>
      </c>
      <c r="J103" s="133" t="inlineStr">
        <is>
          <t>d2</t>
        </is>
      </c>
    </row>
    <row r="104" ht="13.5" customHeight="1" s="116">
      <c r="A104" s="117">
        <f>A5</f>
        <v/>
      </c>
      <c r="B104" s="144">
        <f>B75</f>
        <v/>
      </c>
      <c r="C104" s="139">
        <f>IF($O$5="sell",-1,1) *  IF($K$5="call",  NORMDIST(I104,0,1,1),  NORMDIST(I104,0,1,1)-1  ) * $P$5</f>
        <v/>
      </c>
      <c r="D104" s="139">
        <f>IF($O$5="sell",-1,1) * NORMDIST(I104,0,1,0)/(B104*$H$5*SQRT($J$5)) * $P$5</f>
        <v/>
      </c>
      <c r="E104" s="139">
        <f>IF($O$5="sell",-1,1) * (B104*NORMDIST(I104,0,1,0)*SQRT($J$5)/365) * $P$5</f>
        <v/>
      </c>
      <c r="F104" s="139">
        <f>IF($O$5="sell",-1,1) * (-(B104*NORMDIST(I104,0,1,0)*$H$5)/(2*SQRT($J$5))/365) *$P$5</f>
        <v/>
      </c>
      <c r="G104" s="139">
        <f>IF($O$5="buy",1,-1)*( IF($K$5="call",B104*NORMDIST(I104,0,1,1) - $B$5*NORMDIST(J104,0,1,1),$B$5*NORMDIST(-J104,0,1,1) - B104*NORMDIST(-I104,0,1,1) ) - $G$5) * $P$5</f>
        <v/>
      </c>
      <c r="I104" s="140">
        <f>(LN(B104/$B$5)+($H$5^2/2)*($J$5))/($H$5*SQRT($J$5))</f>
        <v/>
      </c>
      <c r="J104" s="140">
        <f>I104 - $H$5*SQRT($J$5)</f>
        <v/>
      </c>
    </row>
    <row r="105" ht="13.5" customHeight="1" s="116">
      <c r="B105" s="144">
        <f>B76</f>
        <v/>
      </c>
      <c r="C105" s="139">
        <f>IF($O$5="sell",-1,1) *  IF($K$5="call",  NORMDIST(I105,0,1,1),  NORMDIST(I105,0,1,1)-1  ) * $P$5</f>
        <v/>
      </c>
      <c r="D105" s="139">
        <f>IF($O$5="sell",-1,1) * NORMDIST(I105,0,1,0)/(B105*$H$5*SQRT($J$5)) * $P$5</f>
        <v/>
      </c>
      <c r="E105" s="139">
        <f>IF($O$5="sell",-1,1) * (B105*NORMDIST(I105,0,1,0)*SQRT($J$5)/365) * $P$5</f>
        <v/>
      </c>
      <c r="F105" s="139">
        <f>IF($O$5="sell",-1,1) * (-(B105*NORMDIST(I105,0,1,0)*$H$5)/(2*SQRT($J$5))/365) *$P$5</f>
        <v/>
      </c>
      <c r="G105" s="139">
        <f>IF($O$5="buy",1,-1)*( IF($K$5="call",B105*NORMDIST(I105,0,1,1) - $B$5*NORMDIST(J105,0,1,1),$B$5*NORMDIST(-J105,0,1,1) - B105*NORMDIST(-I105,0,1,1) ) - $G$5) * $P$5</f>
        <v/>
      </c>
      <c r="I105" s="140">
        <f>(LN(B105/$B$5)+($H$5^2/2)*($J$5))/($H$5*SQRT($J$5))</f>
        <v/>
      </c>
      <c r="J105" s="140">
        <f>I105 - $H$5*SQRT($J$5)</f>
        <v/>
      </c>
    </row>
    <row r="106" ht="13.5" customHeight="1" s="116">
      <c r="B106" s="144">
        <f>B77</f>
        <v/>
      </c>
      <c r="C106" s="139">
        <f>IF($O$5="sell",-1,1) *  IF($K$5="call",  NORMDIST(I106,0,1,1),  NORMDIST(I106,0,1,1)-1  ) * $P$5</f>
        <v/>
      </c>
      <c r="D106" s="139">
        <f>IF($O$5="sell",-1,1) * NORMDIST(I106,0,1,0)/(B106*$H$5*SQRT($J$5)) * $P$5</f>
        <v/>
      </c>
      <c r="E106" s="139">
        <f>IF($O$5="sell",-1,1) * (B106*NORMDIST(I106,0,1,0)*SQRT($J$5)/365) * $P$5</f>
        <v/>
      </c>
      <c r="F106" s="139">
        <f>IF($O$5="sell",-1,1) * (-(B106*NORMDIST(I106,0,1,0)*$H$5)/(2*SQRT($J$5))/365) *$P$5</f>
        <v/>
      </c>
      <c r="G106" s="139">
        <f>IF($O$5="buy",1,-1)*( IF($K$5="call",B106*NORMDIST(I106,0,1,1) - $B$5*NORMDIST(J106,0,1,1),$B$5*NORMDIST(-J106,0,1,1) - B106*NORMDIST(-I106,0,1,1) ) - $G$5) * $P$5</f>
        <v/>
      </c>
      <c r="I106" s="140">
        <f>(LN(B106/$B$5)+($H$5^2/2)*($J$5))/($H$5*SQRT($J$5))</f>
        <v/>
      </c>
      <c r="J106" s="140">
        <f>I106 - $H$5*SQRT($J$5)</f>
        <v/>
      </c>
    </row>
    <row r="107" ht="13.5" customHeight="1" s="116">
      <c r="B107" s="144">
        <f>B78</f>
        <v/>
      </c>
      <c r="C107" s="139">
        <f>IF($O$5="sell",-1,1) *  IF($K$5="call",  NORMDIST(I107,0,1,1),  NORMDIST(I107,0,1,1)-1  ) * $P$5</f>
        <v/>
      </c>
      <c r="D107" s="139">
        <f>IF($O$5="sell",-1,1) * NORMDIST(I107,0,1,0)/(B107*$H$5*SQRT($J$5)) * $P$5</f>
        <v/>
      </c>
      <c r="E107" s="139">
        <f>IF($O$5="sell",-1,1) * (B107*NORMDIST(I107,0,1,0)*SQRT($J$5)/365) * $P$5</f>
        <v/>
      </c>
      <c r="F107" s="139">
        <f>IF($O$5="sell",-1,1) * (-(B107*NORMDIST(I107,0,1,0)*$H$5)/(2*SQRT($J$5))/365) *$P$5</f>
        <v/>
      </c>
      <c r="G107" s="139">
        <f>IF($O$5="buy",1,-1)*( IF($K$5="call",B107*NORMDIST(I107,0,1,1) - $B$5*NORMDIST(J107,0,1,1),$B$5*NORMDIST(-J107,0,1,1) - B107*NORMDIST(-I107,0,1,1) ) - $G$5) * $P$5</f>
        <v/>
      </c>
      <c r="I107" s="140">
        <f>(LN(B107/$B$5)+($H$5^2/2)*($J$5))/($H$5*SQRT($J$5))</f>
        <v/>
      </c>
      <c r="J107" s="140">
        <f>I107 - $H$5*SQRT($J$5)</f>
        <v/>
      </c>
    </row>
    <row r="108" ht="13.5" customHeight="1" s="116">
      <c r="B108" s="144">
        <f>B79</f>
        <v/>
      </c>
      <c r="C108" s="139">
        <f>IF($O$5="sell",-1,1) *  IF($K$5="call",  NORMDIST(I108,0,1,1),  NORMDIST(I108,0,1,1)-1  ) * $P$5</f>
        <v/>
      </c>
      <c r="D108" s="139">
        <f>IF($O$5="sell",-1,1) * NORMDIST(I108,0,1,0)/(B108*$H$5*SQRT($J$5)) * $P$5</f>
        <v/>
      </c>
      <c r="E108" s="139">
        <f>IF($O$5="sell",-1,1) * (B108*NORMDIST(I108,0,1,0)*SQRT($J$5)/365) * $P$5</f>
        <v/>
      </c>
      <c r="F108" s="139">
        <f>IF($O$5="sell",-1,1) * (-(B108*NORMDIST(I108,0,1,0)*$H$5)/(2*SQRT($J$5))/365) *$P$5</f>
        <v/>
      </c>
      <c r="G108" s="139">
        <f>IF($O$5="buy",1,-1)*( IF($K$5="call",B108*NORMDIST(I108,0,1,1) - $B$5*NORMDIST(J108,0,1,1),$B$5*NORMDIST(-J108,0,1,1) - B108*NORMDIST(-I108,0,1,1) ) - $G$5) * $P$5</f>
        <v/>
      </c>
      <c r="I108" s="140">
        <f>(LN(B108/$B$5)+($H$5^2/2)*($J$5))/($H$5*SQRT($J$5))</f>
        <v/>
      </c>
      <c r="J108" s="140">
        <f>I108 - $H$5*SQRT($J$5)</f>
        <v/>
      </c>
    </row>
    <row r="109" ht="13.5" customHeight="1" s="116">
      <c r="B109" s="144">
        <f>B80</f>
        <v/>
      </c>
      <c r="C109" s="139">
        <f>IF($O$5="sell",-1,1) *  IF($K$5="call",  NORMDIST(I109,0,1,1),  NORMDIST(I109,0,1,1)-1  ) * $P$5</f>
        <v/>
      </c>
      <c r="D109" s="139">
        <f>IF($O$5="sell",-1,1) * NORMDIST(I109,0,1,0)/(B109*$H$5*SQRT($J$5)) * $P$5</f>
        <v/>
      </c>
      <c r="E109" s="139">
        <f>IF($O$5="sell",-1,1) * (B109*NORMDIST(I109,0,1,0)*SQRT($J$5)/365) * $P$5</f>
        <v/>
      </c>
      <c r="F109" s="139">
        <f>IF($O$5="sell",-1,1) * (-(B109*NORMDIST(I109,0,1,0)*$H$5)/(2*SQRT($J$5))/365) *$P$5</f>
        <v/>
      </c>
      <c r="G109" s="139">
        <f>IF($O$5="buy",1,-1)*( IF($K$5="call",B109*NORMDIST(I109,0,1,1) - $B$5*NORMDIST(J109,0,1,1),$B$5*NORMDIST(-J109,0,1,1) - B109*NORMDIST(-I109,0,1,1) ) - $G$5) * $P$5</f>
        <v/>
      </c>
      <c r="I109" s="140">
        <f>(LN(B109/$B$5)+($H$5^2/2)*($J$5))/($H$5*SQRT($J$5))</f>
        <v/>
      </c>
      <c r="J109" s="140">
        <f>I109 - $H$5*SQRT($J$5)</f>
        <v/>
      </c>
    </row>
    <row r="110" ht="13.5" customHeight="1" s="116">
      <c r="B110" s="144">
        <f>B81</f>
        <v/>
      </c>
      <c r="C110" s="139">
        <f>IF($O$5="sell",-1,1) *  IF($K$5="call",  NORMDIST(I110,0,1,1),  NORMDIST(I110,0,1,1)-1  ) * $P$5</f>
        <v/>
      </c>
      <c r="D110" s="139">
        <f>IF($O$5="sell",-1,1) * NORMDIST(I110,0,1,0)/(B110*$H$5*SQRT($J$5)) * $P$5</f>
        <v/>
      </c>
      <c r="E110" s="139">
        <f>IF($O$5="sell",-1,1) * (B110*NORMDIST(I110,0,1,0)*SQRT($J$5)/365) * $P$5</f>
        <v/>
      </c>
      <c r="F110" s="139">
        <f>IF($O$5="sell",-1,1) * (-(B110*NORMDIST(I110,0,1,0)*$H$5)/(2*SQRT($J$5))/365) *$P$5</f>
        <v/>
      </c>
      <c r="G110" s="139">
        <f>IF($O$5="buy",1,-1)*( IF($K$5="call",B110*NORMDIST(I110,0,1,1) - $B$5*NORMDIST(J110,0,1,1),$B$5*NORMDIST(-J110,0,1,1) - B110*NORMDIST(-I110,0,1,1) ) - $G$5) * $P$5</f>
        <v/>
      </c>
      <c r="I110" s="140">
        <f>(LN(B110/$B$5)+($H$5^2/2)*($J$5))/($H$5*SQRT($J$5))</f>
        <v/>
      </c>
      <c r="J110" s="140">
        <f>I110 - $H$5*SQRT($J$5)</f>
        <v/>
      </c>
    </row>
    <row r="111" ht="13.5" customHeight="1" s="116">
      <c r="B111" s="144">
        <f>B82</f>
        <v/>
      </c>
      <c r="C111" s="139">
        <f>IF($O$5="sell",-1,1) *  IF($K$5="call",  NORMDIST(I111,0,1,1),  NORMDIST(I111,0,1,1)-1  ) * $P$5</f>
        <v/>
      </c>
      <c r="D111" s="139">
        <f>IF($O$5="sell",-1,1) * NORMDIST(I111,0,1,0)/(B111*$H$5*SQRT($J$5)) * $P$5</f>
        <v/>
      </c>
      <c r="E111" s="139">
        <f>IF($O$5="sell",-1,1) * (B111*NORMDIST(I111,0,1,0)*SQRT($J$5)/365) * $P$5</f>
        <v/>
      </c>
      <c r="F111" s="139">
        <f>IF($O$5="sell",-1,1) * (-(B111*NORMDIST(I111,0,1,0)*$H$5)/(2*SQRT($J$5))/365) *$P$5</f>
        <v/>
      </c>
      <c r="G111" s="139">
        <f>IF($O$5="buy",1,-1)*( IF($K$5="call",B111*NORMDIST(I111,0,1,1) - $B$5*NORMDIST(J111,0,1,1),$B$5*NORMDIST(-J111,0,1,1) - B111*NORMDIST(-I111,0,1,1) ) - $G$5) * $P$5</f>
        <v/>
      </c>
      <c r="I111" s="140">
        <f>(LN(B111/$B$5)+($H$5^2/2)*($J$5))/($H$5*SQRT($J$5))</f>
        <v/>
      </c>
      <c r="J111" s="140">
        <f>I111 - $H$5*SQRT($J$5)</f>
        <v/>
      </c>
    </row>
    <row r="112" ht="13.5" customHeight="1" s="116">
      <c r="B112" s="144">
        <f>B83</f>
        <v/>
      </c>
      <c r="C112" s="139">
        <f>IF($O$5="sell",-1,1) *  IF($K$5="call",  NORMDIST(I112,0,1,1),  NORMDIST(I112,0,1,1)-1  ) * $P$5</f>
        <v/>
      </c>
      <c r="D112" s="139">
        <f>IF($O$5="sell",-1,1) * NORMDIST(I112,0,1,0)/(B112*$H$5*SQRT($J$5)) * $P$5</f>
        <v/>
      </c>
      <c r="E112" s="139">
        <f>IF($O$5="sell",-1,1) * (B112*NORMDIST(I112,0,1,0)*SQRT($J$5)/365) * $P$5</f>
        <v/>
      </c>
      <c r="F112" s="139">
        <f>IF($O$5="sell",-1,1) * (-(B112*NORMDIST(I112,0,1,0)*$H$5)/(2*SQRT($J$5))/365) *$P$5</f>
        <v/>
      </c>
      <c r="G112" s="139">
        <f>IF($O$5="buy",1,-1)*( IF($K$5="call",B112*NORMDIST(I112,0,1,1) - $B$5*NORMDIST(J112,0,1,1),$B$5*NORMDIST(-J112,0,1,1) - B112*NORMDIST(-I112,0,1,1) ) - $G$5) * $P$5</f>
        <v/>
      </c>
      <c r="I112" s="140">
        <f>(LN(B112/$B$5)+($H$5^2/2)*($J$5))/($H$5*SQRT($J$5))</f>
        <v/>
      </c>
      <c r="J112" s="140">
        <f>I112 - $H$5*SQRT($J$5)</f>
        <v/>
      </c>
    </row>
    <row r="113" ht="13.5" customHeight="1" s="116">
      <c r="B113" s="144">
        <f>B84</f>
        <v/>
      </c>
      <c r="C113" s="139">
        <f>IF($O$5="sell",-1,1) *  IF($K$5="call",  NORMDIST(I113,0,1,1),  NORMDIST(I113,0,1,1)-1  ) * $P$5</f>
        <v/>
      </c>
      <c r="D113" s="139">
        <f>IF($O$5="sell",-1,1) * NORMDIST(I113,0,1,0)/(B113*$H$5*SQRT($J$5)) * $P$5</f>
        <v/>
      </c>
      <c r="E113" s="139">
        <f>IF($O$5="sell",-1,1) * (B113*NORMDIST(I113,0,1,0)*SQRT($J$5)/365) * $P$5</f>
        <v/>
      </c>
      <c r="F113" s="139">
        <f>IF($O$5="sell",-1,1) * (-(B113*NORMDIST(I113,0,1,0)*$H$5)/(2*SQRT($J$5))/365) *$P$5</f>
        <v/>
      </c>
      <c r="G113" s="139">
        <f>IF($O$5="buy",1,-1)*( IF($K$5="call",B113*NORMDIST(I113,0,1,1) - $B$5*NORMDIST(J113,0,1,1),$B$5*NORMDIST(-J113,0,1,1) - B113*NORMDIST(-I113,0,1,1) ) - $G$5) * $P$5</f>
        <v/>
      </c>
      <c r="I113" s="140">
        <f>(LN(B113/$B$5)+($H$5^2/2)*($J$5))/($H$5*SQRT($J$5))</f>
        <v/>
      </c>
      <c r="J113" s="140">
        <f>I113 - $H$5*SQRT($J$5)</f>
        <v/>
      </c>
    </row>
    <row r="114" ht="13.5" customHeight="1" s="116">
      <c r="B114" s="144">
        <f>B85</f>
        <v/>
      </c>
      <c r="C114" s="139">
        <f>IF($O$5="sell",-1,1) *  IF($K$5="call",  NORMDIST(I114,0,1,1),  NORMDIST(I114,0,1,1)-1  ) * $P$5</f>
        <v/>
      </c>
      <c r="D114" s="139">
        <f>IF($O$5="sell",-1,1) * NORMDIST(I114,0,1,0)/(B114*$H$5*SQRT($J$5)) * $P$5</f>
        <v/>
      </c>
      <c r="E114" s="139">
        <f>IF($O$5="sell",-1,1) * (B114*NORMDIST(I114,0,1,0)*SQRT($J$5)/365) * $P$5</f>
        <v/>
      </c>
      <c r="F114" s="139">
        <f>IF($O$5="sell",-1,1) * (-(B114*NORMDIST(I114,0,1,0)*$H$5)/(2*SQRT($J$5))/365) *$P$5</f>
        <v/>
      </c>
      <c r="G114" s="139">
        <f>IF($O$5="buy",1,-1)*( IF($K$5="call",B114*NORMDIST(I114,0,1,1) - $B$5*NORMDIST(J114,0,1,1),$B$5*NORMDIST(-J114,0,1,1) - B114*NORMDIST(-I114,0,1,1) ) - $G$5) * $P$5</f>
        <v/>
      </c>
      <c r="I114" s="140">
        <f>(LN(B114/$B$5)+($H$5^2/2)*($J$5))/($H$5*SQRT($J$5))</f>
        <v/>
      </c>
      <c r="J114" s="140">
        <f>I114 - $H$5*SQRT($J$5)</f>
        <v/>
      </c>
    </row>
    <row r="115" ht="13.5" customHeight="1" s="116">
      <c r="B115" s="144">
        <f>B86</f>
        <v/>
      </c>
      <c r="C115" s="139">
        <f>IF($O$5="sell",-1,1) *  IF($K$5="call",  NORMDIST(I115,0,1,1),  NORMDIST(I115,0,1,1)-1  ) * $P$5</f>
        <v/>
      </c>
      <c r="D115" s="139">
        <f>IF($O$5="sell",-1,1) * NORMDIST(I115,0,1,0)/(B115*$H$5*SQRT($J$5)) * $P$5</f>
        <v/>
      </c>
      <c r="E115" s="139">
        <f>IF($O$5="sell",-1,1) * (B115*NORMDIST(I115,0,1,0)*SQRT($J$5)/365) * $P$5</f>
        <v/>
      </c>
      <c r="F115" s="139">
        <f>IF($O$5="sell",-1,1) * (-(B115*NORMDIST(I115,0,1,0)*$H$5)/(2*SQRT($J$5))/365) *$P$5</f>
        <v/>
      </c>
      <c r="G115" s="139">
        <f>IF($O$5="buy",1,-1)*( IF($K$5="call",B115*NORMDIST(I115,0,1,1) - $B$5*NORMDIST(J115,0,1,1),$B$5*NORMDIST(-J115,0,1,1) - B115*NORMDIST(-I115,0,1,1) ) - $G$5) * $P$5</f>
        <v/>
      </c>
      <c r="I115" s="140">
        <f>(LN(B115/$B$5)+($H$5^2/2)*($J$5))/($H$5*SQRT($J$5))</f>
        <v/>
      </c>
      <c r="J115" s="140">
        <f>I115 - $H$5*SQRT($J$5)</f>
        <v/>
      </c>
    </row>
    <row r="116" ht="13.5" customHeight="1" s="116">
      <c r="B116" s="144">
        <f>B87</f>
        <v/>
      </c>
      <c r="C116" s="139">
        <f>IF($O$5="sell",-1,1) *  IF($K$5="call",  NORMDIST(I116,0,1,1),  NORMDIST(I116,0,1,1)-1  ) * $P$5</f>
        <v/>
      </c>
      <c r="D116" s="139">
        <f>IF($O$5="sell",-1,1) * NORMDIST(I116,0,1,0)/(B116*$H$5*SQRT($J$5)) * $P$5</f>
        <v/>
      </c>
      <c r="E116" s="139">
        <f>IF($O$5="sell",-1,1) * (B116*NORMDIST(I116,0,1,0)*SQRT($J$5)/365) * $P$5</f>
        <v/>
      </c>
      <c r="F116" s="139">
        <f>IF($O$5="sell",-1,1) * (-(B116*NORMDIST(I116,0,1,0)*$H$5)/(2*SQRT($J$5))/365) *$P$5</f>
        <v/>
      </c>
      <c r="G116" s="139">
        <f>IF($O$5="buy",1,-1)*( IF($K$5="call",B116*NORMDIST(I116,0,1,1) - $B$5*NORMDIST(J116,0,1,1),$B$5*NORMDIST(-J116,0,1,1) - B116*NORMDIST(-I116,0,1,1) ) - $G$5) * $P$5</f>
        <v/>
      </c>
      <c r="I116" s="140">
        <f>(LN(B116/$B$5)+($H$5^2/2)*($J$5))/($H$5*SQRT($J$5))</f>
        <v/>
      </c>
      <c r="J116" s="140">
        <f>I116 - $H$5*SQRT($J$5)</f>
        <v/>
      </c>
    </row>
    <row r="117" ht="13.5" customHeight="1" s="116">
      <c r="B117" s="144">
        <f>B88</f>
        <v/>
      </c>
      <c r="C117" s="139">
        <f>IF($O$5="sell",-1,1) *  IF($K$5="call",  NORMDIST(I117,0,1,1),  NORMDIST(I117,0,1,1)-1  ) * $P$5</f>
        <v/>
      </c>
      <c r="D117" s="139">
        <f>IF($O$5="sell",-1,1) * NORMDIST(I117,0,1,0)/(B117*$H$5*SQRT($J$5)) * $P$5</f>
        <v/>
      </c>
      <c r="E117" s="139">
        <f>IF($O$5="sell",-1,1) * (B117*NORMDIST(I117,0,1,0)*SQRT($J$5)/365) * $P$5</f>
        <v/>
      </c>
      <c r="F117" s="139">
        <f>IF($O$5="sell",-1,1) * (-(B117*NORMDIST(I117,0,1,0)*$H$5)/(2*SQRT($J$5))/365) *$P$5</f>
        <v/>
      </c>
      <c r="G117" s="139">
        <f>IF($O$5="buy",1,-1)*( IF($K$5="call",B117*NORMDIST(I117,0,1,1) - $B$5*NORMDIST(J117,0,1,1),$B$5*NORMDIST(-J117,0,1,1) - B117*NORMDIST(-I117,0,1,1) ) - $G$5) * $P$5</f>
        <v/>
      </c>
      <c r="I117" s="140">
        <f>(LN(B117/$B$5)+($H$5^2/2)*($J$5))/($H$5*SQRT($J$5))</f>
        <v/>
      </c>
      <c r="J117" s="140">
        <f>I117 - $H$5*SQRT($J$5)</f>
        <v/>
      </c>
    </row>
    <row r="118" ht="13.5" customHeight="1" s="116">
      <c r="B118" s="144">
        <f>B89</f>
        <v/>
      </c>
      <c r="C118" s="139">
        <f>IF($O$5="sell",-1,1) *  IF($K$5="call",  NORMDIST(I118,0,1,1),  NORMDIST(I118,0,1,1)-1  ) * $P$5</f>
        <v/>
      </c>
      <c r="D118" s="139">
        <f>IF($O$5="sell",-1,1) * NORMDIST(I118,0,1,0)/(B118*$H$5*SQRT($J$5)) * $P$5</f>
        <v/>
      </c>
      <c r="E118" s="139">
        <f>IF($O$5="sell",-1,1) * (B118*NORMDIST(I118,0,1,0)*SQRT($J$5)/365) * $P$5</f>
        <v/>
      </c>
      <c r="F118" s="139">
        <f>IF($O$5="sell",-1,1) * (-(B118*NORMDIST(I118,0,1,0)*$H$5)/(2*SQRT($J$5))/365) *$P$5</f>
        <v/>
      </c>
      <c r="G118" s="139">
        <f>IF($O$5="buy",1,-1)*( IF($K$5="call",B118*NORMDIST(I118,0,1,1) - $B$5*NORMDIST(J118,0,1,1),$B$5*NORMDIST(-J118,0,1,1) - B118*NORMDIST(-I118,0,1,1) ) - $G$5) * $P$5</f>
        <v/>
      </c>
      <c r="I118" s="140">
        <f>(LN(B118/$B$5)+($H$5^2/2)*($J$5))/($H$5*SQRT($J$5))</f>
        <v/>
      </c>
      <c r="J118" s="140">
        <f>I118 - $H$5*SQRT($J$5)</f>
        <v/>
      </c>
    </row>
    <row r="119" ht="13.5" customHeight="1" s="116">
      <c r="B119" s="144">
        <f>B90</f>
        <v/>
      </c>
      <c r="C119" s="139">
        <f>IF($O$5="sell",-1,1) *  IF($K$5="call",  NORMDIST(I119,0,1,1),  NORMDIST(I119,0,1,1)-1  ) * $P$5</f>
        <v/>
      </c>
      <c r="D119" s="139">
        <f>IF($O$5="sell",-1,1) * NORMDIST(I119,0,1,0)/(B119*$H$5*SQRT($J$5)) * $P$5</f>
        <v/>
      </c>
      <c r="E119" s="139">
        <f>IF($O$5="sell",-1,1) * (B119*NORMDIST(I119,0,1,0)*SQRT($J$5)/365) * $P$5</f>
        <v/>
      </c>
      <c r="F119" s="139">
        <f>IF($O$5="sell",-1,1) * (-(B119*NORMDIST(I119,0,1,0)*$H$5)/(2*SQRT($J$5))/365) *$P$5</f>
        <v/>
      </c>
      <c r="G119" s="139">
        <f>IF($O$5="buy",1,-1)*( IF($K$5="call",B119*NORMDIST(I119,0,1,1) - $B$5*NORMDIST(J119,0,1,1),$B$5*NORMDIST(-J119,0,1,1) - B119*NORMDIST(-I119,0,1,1) ) - $G$5) * $P$5</f>
        <v/>
      </c>
      <c r="I119" s="140">
        <f>(LN(B119/$B$5)+($H$5^2/2)*($J$5))/($H$5*SQRT($J$5))</f>
        <v/>
      </c>
      <c r="J119" s="140">
        <f>I119 - $H$5*SQRT($J$5)</f>
        <v/>
      </c>
    </row>
    <row r="120" ht="13.5" customHeight="1" s="116">
      <c r="B120" s="144">
        <f>B91</f>
        <v/>
      </c>
      <c r="C120" s="139">
        <f>IF($O$5="sell",-1,1) *  IF($K$5="call",  NORMDIST(I120,0,1,1),  NORMDIST(I120,0,1,1)-1  ) * $P$5</f>
        <v/>
      </c>
      <c r="D120" s="139">
        <f>IF($O$5="sell",-1,1) * NORMDIST(I120,0,1,0)/(B120*$H$5*SQRT($J$5)) * $P$5</f>
        <v/>
      </c>
      <c r="E120" s="139">
        <f>IF($O$5="sell",-1,1) * (B120*NORMDIST(I120,0,1,0)*SQRT($J$5)/365) * $P$5</f>
        <v/>
      </c>
      <c r="F120" s="139">
        <f>IF($O$5="sell",-1,1) * (-(B120*NORMDIST(I120,0,1,0)*$H$5)/(2*SQRT($J$5))/365) *$P$5</f>
        <v/>
      </c>
      <c r="G120" s="139">
        <f>IF($O$5="buy",1,-1)*( IF($K$5="call",B120*NORMDIST(I120,0,1,1) - $B$5*NORMDIST(J120,0,1,1),$B$5*NORMDIST(-J120,0,1,1) - B120*NORMDIST(-I120,0,1,1) ) - $G$5) * $P$5</f>
        <v/>
      </c>
      <c r="I120" s="140">
        <f>(LN(B120/$B$5)+($H$5^2/2)*($J$5))/($H$5*SQRT($J$5))</f>
        <v/>
      </c>
      <c r="J120" s="140">
        <f>I120 - $H$5*SQRT($J$5)</f>
        <v/>
      </c>
    </row>
    <row r="121" ht="13.5" customHeight="1" s="116">
      <c r="B121" s="144">
        <f>B92</f>
        <v/>
      </c>
      <c r="C121" s="139">
        <f>IF($O$5="sell",-1,1) *  IF($K$5="call",  NORMDIST(I121,0,1,1),  NORMDIST(I121,0,1,1)-1  ) * $P$5</f>
        <v/>
      </c>
      <c r="D121" s="139">
        <f>IF($O$5="sell",-1,1) * NORMDIST(I121,0,1,0)/(B121*$H$5*SQRT($J$5)) * $P$5</f>
        <v/>
      </c>
      <c r="E121" s="139">
        <f>IF($O$5="sell",-1,1) * (B121*NORMDIST(I121,0,1,0)*SQRT($J$5)/365) * $P$5</f>
        <v/>
      </c>
      <c r="F121" s="139">
        <f>IF($O$5="sell",-1,1) * (-(B121*NORMDIST(I121,0,1,0)*$H$5)/(2*SQRT($J$5))/365) *$P$5</f>
        <v/>
      </c>
      <c r="G121" s="139">
        <f>IF($O$5="buy",1,-1)*( IF($K$5="call",B121*NORMDIST(I121,0,1,1) - $B$5*NORMDIST(J121,0,1,1),$B$5*NORMDIST(-J121,0,1,1) - B121*NORMDIST(-I121,0,1,1) ) - $G$5) * $P$5</f>
        <v/>
      </c>
      <c r="I121" s="140">
        <f>(LN(B121/$B$5)+($H$5^2/2)*($J$5))/($H$5*SQRT($J$5))</f>
        <v/>
      </c>
      <c r="J121" s="140">
        <f>I121 - $H$5*SQRT($J$5)</f>
        <v/>
      </c>
    </row>
    <row r="122" ht="13.5" customHeight="1" s="116">
      <c r="B122" s="144">
        <f>B93</f>
        <v/>
      </c>
      <c r="C122" s="139">
        <f>IF($O$5="sell",-1,1) *  IF($K$5="call",  NORMDIST(I122,0,1,1),  NORMDIST(I122,0,1,1)-1  ) * $P$5</f>
        <v/>
      </c>
      <c r="D122" s="139">
        <f>IF($O$5="sell",-1,1) * NORMDIST(I122,0,1,0)/(B122*$H$5*SQRT($J$5)) * $P$5</f>
        <v/>
      </c>
      <c r="E122" s="139">
        <f>IF($O$5="sell",-1,1) * (B122*NORMDIST(I122,0,1,0)*SQRT($J$5)/365) * $P$5</f>
        <v/>
      </c>
      <c r="F122" s="139">
        <f>IF($O$5="sell",-1,1) * (-(B122*NORMDIST(I122,0,1,0)*$H$5)/(2*SQRT($J$5))/365) *$P$5</f>
        <v/>
      </c>
      <c r="G122" s="139">
        <f>IF($O$5="buy",1,-1)*( IF($K$5="call",B122*NORMDIST(I122,0,1,1) - $B$5*NORMDIST(J122,0,1,1),$B$5*NORMDIST(-J122,0,1,1) - B122*NORMDIST(-I122,0,1,1) ) - $G$5) * $P$5</f>
        <v/>
      </c>
      <c r="I122" s="140">
        <f>(LN(B122/$B$5)+($H$5^2/2)*($J$5))/($H$5*SQRT($J$5))</f>
        <v/>
      </c>
      <c r="J122" s="140">
        <f>I122 - $H$5*SQRT($J$5)</f>
        <v/>
      </c>
    </row>
    <row r="123" ht="13.5" customHeight="1" s="116">
      <c r="B123" s="144">
        <f>B94</f>
        <v/>
      </c>
      <c r="C123" s="139">
        <f>IF($O$5="sell",-1,1) *  IF($K$5="call",  NORMDIST(I123,0,1,1),  NORMDIST(I123,0,1,1)-1  ) * $P$5</f>
        <v/>
      </c>
      <c r="D123" s="139">
        <f>IF($O$5="sell",-1,1) * NORMDIST(I123,0,1,0)/(B123*$H$5*SQRT($J$5)) * $P$5</f>
        <v/>
      </c>
      <c r="E123" s="139">
        <f>IF($O$5="sell",-1,1) * (B123*NORMDIST(I123,0,1,0)*SQRT($J$5)/365) * $P$5</f>
        <v/>
      </c>
      <c r="F123" s="139">
        <f>IF($O$5="sell",-1,1) * (-(B123*NORMDIST(I123,0,1,0)*$H$5)/(2*SQRT($J$5))/365) *$P$5</f>
        <v/>
      </c>
      <c r="G123" s="139">
        <f>IF($O$5="buy",1,-1)*( IF($K$5="call",B123*NORMDIST(I123,0,1,1) - $B$5*NORMDIST(J123,0,1,1),$B$5*NORMDIST(-J123,0,1,1) - B123*NORMDIST(-I123,0,1,1) ) - $G$5) * $P$5</f>
        <v/>
      </c>
      <c r="I123" s="140">
        <f>(LN(B123/$B$5)+($H$5^2/2)*($J$5))/($H$5*SQRT($J$5))</f>
        <v/>
      </c>
      <c r="J123" s="140">
        <f>I123 - $H$5*SQRT($J$5)</f>
        <v/>
      </c>
    </row>
    <row r="124" ht="13.5" customHeight="1" s="116">
      <c r="B124" s="144">
        <f>B95</f>
        <v/>
      </c>
      <c r="C124" s="139">
        <f>IF($O$5="sell",-1,1) *  IF($K$5="call",  NORMDIST(I124,0,1,1),  NORMDIST(I124,0,1,1)-1  ) * $P$5</f>
        <v/>
      </c>
      <c r="D124" s="139">
        <f>IF($O$5="sell",-1,1) * NORMDIST(I124,0,1,0)/(B124*$H$5*SQRT($J$5)) * $P$5</f>
        <v/>
      </c>
      <c r="E124" s="139">
        <f>IF($O$5="sell",-1,1) * (B124*NORMDIST(I124,0,1,0)*SQRT($J$5)/365) * $P$5</f>
        <v/>
      </c>
      <c r="F124" s="139">
        <f>IF($O$5="sell",-1,1) * (-(B124*NORMDIST(I124,0,1,0)*$H$5)/(2*SQRT($J$5))/365) *$P$5</f>
        <v/>
      </c>
      <c r="G124" s="139">
        <f>IF($O$5="buy",1,-1)*( IF($K$5="call",B124*NORMDIST(I124,0,1,1) - $B$5*NORMDIST(J124,0,1,1),$B$5*NORMDIST(-J124,0,1,1) - B124*NORMDIST(-I124,0,1,1) ) - $G$5) * $P$5</f>
        <v/>
      </c>
      <c r="I124" s="140">
        <f>(LN(B124/$B$5)+($H$5^2/2)*($J$5))/($H$5*SQRT($J$5))</f>
        <v/>
      </c>
      <c r="J124" s="140">
        <f>I124 - $H$5*SQRT($J$5)</f>
        <v/>
      </c>
    </row>
    <row r="125" ht="13.5" customHeight="1" s="116">
      <c r="B125" s="144">
        <f>B96</f>
        <v/>
      </c>
      <c r="C125" s="139">
        <f>IF($O$5="sell",-1,1) *  IF($K$5="call",  NORMDIST(I125,0,1,1),  NORMDIST(I125,0,1,1)-1  ) * $P$5</f>
        <v/>
      </c>
      <c r="D125" s="139">
        <f>IF($O$5="sell",-1,1) * NORMDIST(I125,0,1,0)/(B125*$H$5*SQRT($J$5)) * $P$5</f>
        <v/>
      </c>
      <c r="E125" s="139">
        <f>IF($O$5="sell",-1,1) * (B125*NORMDIST(I125,0,1,0)*SQRT($J$5)/365) * $P$5</f>
        <v/>
      </c>
      <c r="F125" s="139">
        <f>IF($O$5="sell",-1,1) * (-(B125*NORMDIST(I125,0,1,0)*$H$5)/(2*SQRT($J$5))/365) *$P$5</f>
        <v/>
      </c>
      <c r="G125" s="139">
        <f>IF($O$5="buy",1,-1)*( IF($K$5="call",B125*NORMDIST(I125,0,1,1) - $B$5*NORMDIST(J125,0,1,1),$B$5*NORMDIST(-J125,0,1,1) - B125*NORMDIST(-I125,0,1,1) ) - $G$5) * $P$5</f>
        <v/>
      </c>
      <c r="I125" s="140">
        <f>(LN(B125/$B$5)+($H$5^2/2)*($J$5))/($H$5*SQRT($J$5))</f>
        <v/>
      </c>
      <c r="J125" s="140">
        <f>I125 - $H$5*SQRT($J$5)</f>
        <v/>
      </c>
    </row>
    <row r="126" ht="13.5" customHeight="1" s="116">
      <c r="B126" s="144">
        <f>B97</f>
        <v/>
      </c>
      <c r="C126" s="139">
        <f>IF($O$5="sell",-1,1) *  IF($K$5="call",  NORMDIST(I126,0,1,1),  NORMDIST(I126,0,1,1)-1  ) * $P$5</f>
        <v/>
      </c>
      <c r="D126" s="139">
        <f>IF($O$5="sell",-1,1) * NORMDIST(I126,0,1,0)/(B126*$H$5*SQRT($J$5)) * $P$5</f>
        <v/>
      </c>
      <c r="E126" s="139">
        <f>IF($O$5="sell",-1,1) * (B126*NORMDIST(I126,0,1,0)*SQRT($J$5)/365) * $P$5</f>
        <v/>
      </c>
      <c r="F126" s="139">
        <f>IF($O$5="sell",-1,1) * (-(B126*NORMDIST(I126,0,1,0)*$H$5)/(2*SQRT($J$5))/365) *$P$5</f>
        <v/>
      </c>
      <c r="G126" s="139">
        <f>IF($O$5="buy",1,-1)*( IF($K$5="call",B126*NORMDIST(I126,0,1,1) - $B$5*NORMDIST(J126,0,1,1),$B$5*NORMDIST(-J126,0,1,1) - B126*NORMDIST(-I126,0,1,1) ) - $G$5) * $P$5</f>
        <v/>
      </c>
      <c r="I126" s="140">
        <f>(LN(B126/$B$5)+($H$5^2/2)*($J$5))/($H$5*SQRT($J$5))</f>
        <v/>
      </c>
      <c r="J126" s="140">
        <f>I126 - $H$5*SQRT($J$5)</f>
        <v/>
      </c>
    </row>
    <row r="127" ht="13.5" customHeight="1" s="116">
      <c r="B127" s="144">
        <f>B98</f>
        <v/>
      </c>
      <c r="C127" s="139">
        <f>IF($O$5="sell",-1,1) *  IF($K$5="call",  NORMDIST(I127,0,1,1),  NORMDIST(I127,0,1,1)-1  ) * $P$5</f>
        <v/>
      </c>
      <c r="D127" s="139">
        <f>IF($O$5="sell",-1,1) * NORMDIST(I127,0,1,0)/(B127*$H$5*SQRT($J$5)) * $P$5</f>
        <v/>
      </c>
      <c r="E127" s="139">
        <f>IF($O$5="sell",-1,1) * (B127*NORMDIST(I127,0,1,0)*SQRT($J$5)/365) * $P$5</f>
        <v/>
      </c>
      <c r="F127" s="139">
        <f>IF($O$5="sell",-1,1) * (-(B127*NORMDIST(I127,0,1,0)*$H$5)/(2*SQRT($J$5))/365) *$P$5</f>
        <v/>
      </c>
      <c r="G127" s="139">
        <f>IF($O$5="buy",1,-1)*( IF($K$5="call",B127*NORMDIST(I127,0,1,1) - $B$5*NORMDIST(J127,0,1,1),$B$5*NORMDIST(-J127,0,1,1) - B127*NORMDIST(-I127,0,1,1) ) - $G$5) * $P$5</f>
        <v/>
      </c>
      <c r="I127" s="140">
        <f>(LN(B127/$B$5)+($H$5^2/2)*($J$5))/($H$5*SQRT($J$5))</f>
        <v/>
      </c>
      <c r="J127" s="140">
        <f>I127 - $H$5*SQRT($J$5)</f>
        <v/>
      </c>
    </row>
    <row r="128" ht="13.5" customHeight="1" s="116">
      <c r="B128" s="144">
        <f>B99</f>
        <v/>
      </c>
      <c r="C128" s="139">
        <f>IF($O$5="sell",-1,1) *  IF($K$5="call",  NORMDIST(I128,0,1,1),  NORMDIST(I128,0,1,1)-1  ) * $P$5</f>
        <v/>
      </c>
      <c r="D128" s="139">
        <f>IF($O$5="sell",-1,1) * NORMDIST(I128,0,1,0)/(B128*$H$5*SQRT($J$5)) * $P$5</f>
        <v/>
      </c>
      <c r="E128" s="139">
        <f>IF($O$5="sell",-1,1) * (B128*NORMDIST(I128,0,1,0)*SQRT($J$5)/365) * $P$5</f>
        <v/>
      </c>
      <c r="F128" s="139">
        <f>IF($O$5="sell",-1,1) * (-(B128*NORMDIST(I128,0,1,0)*$H$5)/(2*SQRT($J$5))/365) *$P$5</f>
        <v/>
      </c>
      <c r="G128" s="139">
        <f>IF($O$5="buy",1,-1)*( IF($K$5="call",B128*NORMDIST(I128,0,1,1) - $B$5*NORMDIST(J128,0,1,1),$B$5*NORMDIST(-J128,0,1,1) - B128*NORMDIST(-I128,0,1,1) ) - $G$5) * $P$5</f>
        <v/>
      </c>
      <c r="I128" s="140">
        <f>(LN(B128/$B$5)+($H$5^2/2)*($J$5))/($H$5*SQRT($J$5))</f>
        <v/>
      </c>
      <c r="J128" s="140">
        <f>I128 - $H$5*SQRT($J$5)</f>
        <v/>
      </c>
    </row>
    <row r="129" ht="13.5" customHeight="1" s="116">
      <c r="B129" s="144">
        <f>B100</f>
        <v/>
      </c>
      <c r="C129" s="139">
        <f>IF($O$5="sell",-1,1) *  IF($K$5="call",  NORMDIST(I129,0,1,1),  NORMDIST(I129,0,1,1)-1  ) * $P$5</f>
        <v/>
      </c>
      <c r="D129" s="139">
        <f>IF($O$5="sell",-1,1) * NORMDIST(I129,0,1,0)/(B129*$H$5*SQRT($J$5)) * $P$5</f>
        <v/>
      </c>
      <c r="E129" s="139">
        <f>IF($O$5="sell",-1,1) * (B129*NORMDIST(I129,0,1,0)*SQRT($J$5)/365) * $P$5</f>
        <v/>
      </c>
      <c r="F129" s="139">
        <f>IF($O$5="sell",-1,1) * (-(B129*NORMDIST(I129,0,1,0)*$H$5)/(2*SQRT($J$5))/365) *$P$5</f>
        <v/>
      </c>
      <c r="G129" s="139">
        <f>IF($O$5="buy",1,-1)*( IF($K$5="call",B129*NORMDIST(I129,0,1,1) - $B$5*NORMDIST(J129,0,1,1),$B$5*NORMDIST(-J129,0,1,1) - B129*NORMDIST(-I129,0,1,1) ) - $G$5) * $P$5</f>
        <v/>
      </c>
      <c r="I129" s="140">
        <f>(LN(B129/$B$5)+($H$5^2/2)*($J$5))/($H$5*SQRT($J$5))</f>
        <v/>
      </c>
      <c r="J129" s="140">
        <f>I129 - $H$5*SQRT($J$5)</f>
        <v/>
      </c>
    </row>
    <row r="130" ht="13.5" customHeight="1" s="116">
      <c r="B130" s="144">
        <f>B101</f>
        <v/>
      </c>
      <c r="C130" s="139">
        <f>IF($O$5="sell",-1,1) *  IF($K$5="call",  NORMDIST(I130,0,1,1),  NORMDIST(I130,0,1,1)-1  ) * $P$5</f>
        <v/>
      </c>
      <c r="D130" s="139">
        <f>IF($O$5="sell",-1,1) * NORMDIST(I130,0,1,0)/(B130*$H$5*SQRT($J$5)) * $P$5</f>
        <v/>
      </c>
      <c r="E130" s="139">
        <f>IF($O$5="sell",-1,1) * (B130*NORMDIST(I130,0,1,0)*SQRT($J$5)/365) * $P$5</f>
        <v/>
      </c>
      <c r="F130" s="139">
        <f>IF($O$5="sell",-1,1) * (-(B130*NORMDIST(I130,0,1,0)*$H$5)/(2*SQRT($J$5))/365) *$P$5</f>
        <v/>
      </c>
      <c r="G130" s="139">
        <f>IF($O$5="buy",1,-1)*( IF($K$5="call",B130*NORMDIST(I130,0,1,1) - $B$5*NORMDIST(J130,0,1,1),$B$5*NORMDIST(-J130,0,1,1) - B130*NORMDIST(-I130,0,1,1) ) - $G$5) * $P$5</f>
        <v/>
      </c>
      <c r="I130" s="140">
        <f>(LN(B130/$B$5)+($H$5^2/2)*($J$5))/($H$5*SQRT($J$5))</f>
        <v/>
      </c>
      <c r="J130" s="140">
        <f>I130 - $H$5*SQRT($J$5)</f>
        <v/>
      </c>
    </row>
    <row r="131" ht="13.5" customHeight="1" s="116">
      <c r="B131" s="145" t="n"/>
      <c r="C131" s="136" t="n"/>
      <c r="D131" s="136" t="n"/>
      <c r="E131" s="136" t="n"/>
      <c r="F131" s="136" t="n"/>
      <c r="G131" s="136" t="n"/>
      <c r="I131" s="146" t="n"/>
      <c r="J131" s="146" t="n"/>
    </row>
    <row r="132" ht="13.5" customHeight="1" s="116">
      <c r="B132" s="145" t="n"/>
      <c r="C132" s="136" t="n"/>
      <c r="D132" s="136" t="n"/>
      <c r="E132" s="136" t="n"/>
      <c r="F132" s="136" t="n"/>
      <c r="G132" s="136" t="n"/>
      <c r="I132" s="146" t="n"/>
      <c r="J132" s="146" t="n"/>
    </row>
    <row r="133" ht="13.5" customHeight="1" s="116">
      <c r="B133" s="137" t="n"/>
      <c r="C133" s="133" t="inlineStr">
        <is>
          <t>delta</t>
        </is>
      </c>
      <c r="D133" s="133" t="inlineStr">
        <is>
          <t>gamma</t>
        </is>
      </c>
      <c r="E133" s="133" t="inlineStr">
        <is>
          <t>vega</t>
        </is>
      </c>
      <c r="F133" s="133" t="inlineStr">
        <is>
          <t>theta</t>
        </is>
      </c>
      <c r="G133" s="133" t="inlineStr">
        <is>
          <t>mark_price</t>
        </is>
      </c>
      <c r="I133" s="133" t="inlineStr">
        <is>
          <t>d1</t>
        </is>
      </c>
      <c r="J133" s="133" t="inlineStr">
        <is>
          <t>d2</t>
        </is>
      </c>
    </row>
    <row r="134" ht="13.5" customHeight="1" s="116">
      <c r="A134" s="117">
        <f>A6</f>
        <v/>
      </c>
      <c r="B134" s="144">
        <f>B104</f>
        <v/>
      </c>
      <c r="C134" s="139">
        <f>IF($O$6="sell",-1,1) *  IF($K$6="call",  NORMDIST(I134,0,1,1),  NORMDIST(I134,0,1,1)-1  ) * $P$6</f>
        <v/>
      </c>
      <c r="D134" s="139">
        <f>IF($O$6="sell",-1,1) * NORMDIST(I134,0,1,0)/(B134*$H$6*SQRT($J$6)) * $P$6</f>
        <v/>
      </c>
      <c r="E134" s="139">
        <f>IF($O$6="sell",-1,1) * (B134*NORMDIST(I134,0,1,0)*SQRT($J$6)/365) * $P$6</f>
        <v/>
      </c>
      <c r="F134" s="139">
        <f>IF($O$6="sell",-1,1) * (-(B134*NORMDIST(I134,0,1,0)*$H$6)/(2*SQRT($J$6))/365) *$P$6</f>
        <v/>
      </c>
      <c r="G134" s="139">
        <f>IF($O$6="buy",1,-1)*( IF($K$6="call",B134*NORMDIST(I134,0,1,1) - $B$6*NORMDIST(J134,0,1,1),$B$6*NORMDIST(-J134,0,1,1) - B134*NORMDIST(-I134,0,1,1) ) - $G$6) * $P$6</f>
        <v/>
      </c>
      <c r="I134" s="140">
        <f>(LN(B134/$B$6)+($H$6^2/2)*($J$6))/($H$6*SQRT($J$6))</f>
        <v/>
      </c>
      <c r="J134" s="140">
        <f>I134 - $H$6*SQRT($J$6)</f>
        <v/>
      </c>
    </row>
    <row r="135" ht="13.5" customHeight="1" s="116">
      <c r="B135" s="144">
        <f>B105</f>
        <v/>
      </c>
      <c r="C135" s="139">
        <f>IF($O$6="sell",-1,1) *  IF($K$6="call",  NORMDIST(I135,0,1,1),  NORMDIST(I135,0,1,1)-1  ) * $P$6</f>
        <v/>
      </c>
      <c r="D135" s="139">
        <f>IF($O$6="sell",-1,1) * NORMDIST(I135,0,1,0)/(B135*$H$6*SQRT($J$6)) * $P$6</f>
        <v/>
      </c>
      <c r="E135" s="139">
        <f>IF($O$6="sell",-1,1) * (B135*NORMDIST(I135,0,1,0)*SQRT($J$6)/365) * $P$6</f>
        <v/>
      </c>
      <c r="F135" s="139">
        <f>IF($O$6="sell",-1,1) * (-(B135*NORMDIST(I135,0,1,0)*$H$6)/(2*SQRT($J$6))/365) *$P$6</f>
        <v/>
      </c>
      <c r="G135" s="139">
        <f>IF($O$6="buy",1,-1)*( IF($K$6="call",B135*NORMDIST(I135,0,1,1) - $B$6*NORMDIST(J135,0,1,1),$B$6*NORMDIST(-J135,0,1,1) - B135*NORMDIST(-I135,0,1,1) ) - $G$6) * $P$6</f>
        <v/>
      </c>
      <c r="I135" s="140">
        <f>(LN(B135/$B$6)+($H$6^2/2)*($J$6))/($H$6*SQRT($J$6))</f>
        <v/>
      </c>
      <c r="J135" s="140">
        <f>I135 - $H$6*SQRT($J$6)</f>
        <v/>
      </c>
    </row>
    <row r="136" ht="13.5" customHeight="1" s="116">
      <c r="B136" s="144">
        <f>B106</f>
        <v/>
      </c>
      <c r="C136" s="139">
        <f>IF($O$6="sell",-1,1) *  IF($K$6="call",  NORMDIST(I136,0,1,1),  NORMDIST(I136,0,1,1)-1  ) * $P$6</f>
        <v/>
      </c>
      <c r="D136" s="139">
        <f>IF($O$6="sell",-1,1) * NORMDIST(I136,0,1,0)/(B136*$H$6*SQRT($J$6)) * $P$6</f>
        <v/>
      </c>
      <c r="E136" s="139">
        <f>IF($O$6="sell",-1,1) * (B136*NORMDIST(I136,0,1,0)*SQRT($J$6)/365) * $P$6</f>
        <v/>
      </c>
      <c r="F136" s="139">
        <f>IF($O$6="sell",-1,1) * (-(B136*NORMDIST(I136,0,1,0)*$H$6)/(2*SQRT($J$6))/365) *$P$6</f>
        <v/>
      </c>
      <c r="G136" s="139">
        <f>IF($O$6="buy",1,-1)*( IF($K$6="call",B136*NORMDIST(I136,0,1,1) - $B$6*NORMDIST(J136,0,1,1),$B$6*NORMDIST(-J136,0,1,1) - B136*NORMDIST(-I136,0,1,1) ) - $G$6) * $P$6</f>
        <v/>
      </c>
      <c r="I136" s="140">
        <f>(LN(B136/$B$6)+($H$6^2/2)*($J$6))/($H$6*SQRT($J$6))</f>
        <v/>
      </c>
      <c r="J136" s="140">
        <f>I136 - $H$6*SQRT($J$6)</f>
        <v/>
      </c>
    </row>
    <row r="137" ht="13.5" customHeight="1" s="116">
      <c r="B137" s="144">
        <f>B107</f>
        <v/>
      </c>
      <c r="C137" s="139">
        <f>IF($O$6="sell",-1,1) *  IF($K$6="call",  NORMDIST(I137,0,1,1),  NORMDIST(I137,0,1,1)-1  ) * $P$6</f>
        <v/>
      </c>
      <c r="D137" s="139">
        <f>IF($O$6="sell",-1,1) * NORMDIST(I137,0,1,0)/(B137*$H$6*SQRT($J$6)) * $P$6</f>
        <v/>
      </c>
      <c r="E137" s="139">
        <f>IF($O$6="sell",-1,1) * (B137*NORMDIST(I137,0,1,0)*SQRT($J$6)/365) * $P$6</f>
        <v/>
      </c>
      <c r="F137" s="139">
        <f>IF($O$6="sell",-1,1) * (-(B137*NORMDIST(I137,0,1,0)*$H$6)/(2*SQRT($J$6))/365) *$P$6</f>
        <v/>
      </c>
      <c r="G137" s="139">
        <f>IF($O$6="buy",1,-1)*( IF($K$6="call",B137*NORMDIST(I137,0,1,1) - $B$6*NORMDIST(J137,0,1,1),$B$6*NORMDIST(-J137,0,1,1) - B137*NORMDIST(-I137,0,1,1) ) - $G$6) * $P$6</f>
        <v/>
      </c>
      <c r="I137" s="140">
        <f>(LN(B137/$B$6)+($H$6^2/2)*($J$6))/($H$6*SQRT($J$6))</f>
        <v/>
      </c>
      <c r="J137" s="140">
        <f>I137 - $H$6*SQRT($J$6)</f>
        <v/>
      </c>
    </row>
    <row r="138" ht="13.5" customHeight="1" s="116">
      <c r="B138" s="144">
        <f>B108</f>
        <v/>
      </c>
      <c r="C138" s="139">
        <f>IF($O$6="sell",-1,1) *  IF($K$6="call",  NORMDIST(I138,0,1,1),  NORMDIST(I138,0,1,1)-1  ) * $P$6</f>
        <v/>
      </c>
      <c r="D138" s="139">
        <f>IF($O$6="sell",-1,1) * NORMDIST(I138,0,1,0)/(B138*$H$6*SQRT($J$6)) * $P$6</f>
        <v/>
      </c>
      <c r="E138" s="139">
        <f>IF($O$6="sell",-1,1) * (B138*NORMDIST(I138,0,1,0)*SQRT($J$6)/365) * $P$6</f>
        <v/>
      </c>
      <c r="F138" s="139">
        <f>IF($O$6="sell",-1,1) * (-(B138*NORMDIST(I138,0,1,0)*$H$6)/(2*SQRT($J$6))/365) *$P$6</f>
        <v/>
      </c>
      <c r="G138" s="139">
        <f>IF($O$6="buy",1,-1)*( IF($K$6="call",B138*NORMDIST(I138,0,1,1) - $B$6*NORMDIST(J138,0,1,1),$B$6*NORMDIST(-J138,0,1,1) - B138*NORMDIST(-I138,0,1,1) ) - $G$6) * $P$6</f>
        <v/>
      </c>
      <c r="I138" s="140">
        <f>(LN(B138/$B$6)+($H$6^2/2)*($J$6))/($H$6*SQRT($J$6))</f>
        <v/>
      </c>
      <c r="J138" s="140">
        <f>I138 - $H$6*SQRT($J$6)</f>
        <v/>
      </c>
    </row>
    <row r="139" ht="13.5" customHeight="1" s="116">
      <c r="B139" s="144">
        <f>B109</f>
        <v/>
      </c>
      <c r="C139" s="139">
        <f>IF($O$6="sell",-1,1) *  IF($K$6="call",  NORMDIST(I139,0,1,1),  NORMDIST(I139,0,1,1)-1  ) * $P$6</f>
        <v/>
      </c>
      <c r="D139" s="139">
        <f>IF($O$6="sell",-1,1) * NORMDIST(I139,0,1,0)/(B139*$H$6*SQRT($J$6)) * $P$6</f>
        <v/>
      </c>
      <c r="E139" s="139">
        <f>IF($O$6="sell",-1,1) * (B139*NORMDIST(I139,0,1,0)*SQRT($J$6)/365) * $P$6</f>
        <v/>
      </c>
      <c r="F139" s="139">
        <f>IF($O$6="sell",-1,1) * (-(B139*NORMDIST(I139,0,1,0)*$H$6)/(2*SQRT($J$6))/365) *$P$6</f>
        <v/>
      </c>
      <c r="G139" s="139">
        <f>IF($O$6="buy",1,-1)*( IF($K$6="call",B139*NORMDIST(I139,0,1,1) - $B$6*NORMDIST(J139,0,1,1),$B$6*NORMDIST(-J139,0,1,1) - B139*NORMDIST(-I139,0,1,1) ) - $G$6) * $P$6</f>
        <v/>
      </c>
      <c r="I139" s="140">
        <f>(LN(B139/$B$6)+($H$6^2/2)*($J$6))/($H$6*SQRT($J$6))</f>
        <v/>
      </c>
      <c r="J139" s="140">
        <f>I139 - $H$6*SQRT($J$6)</f>
        <v/>
      </c>
    </row>
    <row r="140" ht="13.5" customHeight="1" s="116">
      <c r="B140" s="144">
        <f>B110</f>
        <v/>
      </c>
      <c r="C140" s="139">
        <f>IF($O$6="sell",-1,1) *  IF($K$6="call",  NORMDIST(I140,0,1,1),  NORMDIST(I140,0,1,1)-1  ) * $P$6</f>
        <v/>
      </c>
      <c r="D140" s="139">
        <f>IF($O$6="sell",-1,1) * NORMDIST(I140,0,1,0)/(B140*$H$6*SQRT($J$6)) * $P$6</f>
        <v/>
      </c>
      <c r="E140" s="139">
        <f>IF($O$6="sell",-1,1) * (B140*NORMDIST(I140,0,1,0)*SQRT($J$6)/365) * $P$6</f>
        <v/>
      </c>
      <c r="F140" s="139">
        <f>IF($O$6="sell",-1,1) * (-(B140*NORMDIST(I140,0,1,0)*$H$6)/(2*SQRT($J$6))/365) *$P$6</f>
        <v/>
      </c>
      <c r="G140" s="139">
        <f>IF($O$6="buy",1,-1)*( IF($K$6="call",B140*NORMDIST(I140,0,1,1) - $B$6*NORMDIST(J140,0,1,1),$B$6*NORMDIST(-J140,0,1,1) - B140*NORMDIST(-I140,0,1,1) ) - $G$6) * $P$6</f>
        <v/>
      </c>
      <c r="I140" s="140">
        <f>(LN(B140/$B$6)+($H$6^2/2)*($J$6))/($H$6*SQRT($J$6))</f>
        <v/>
      </c>
      <c r="J140" s="140">
        <f>I140 - $H$6*SQRT($J$6)</f>
        <v/>
      </c>
    </row>
    <row r="141" ht="13.5" customHeight="1" s="116">
      <c r="B141" s="144">
        <f>B111</f>
        <v/>
      </c>
      <c r="C141" s="139">
        <f>IF($O$6="sell",-1,1) *  IF($K$6="call",  NORMDIST(I141,0,1,1),  NORMDIST(I141,0,1,1)-1  ) * $P$6</f>
        <v/>
      </c>
      <c r="D141" s="139">
        <f>IF($O$6="sell",-1,1) * NORMDIST(I141,0,1,0)/(B141*$H$6*SQRT($J$6)) * $P$6</f>
        <v/>
      </c>
      <c r="E141" s="139">
        <f>IF($O$6="sell",-1,1) * (B141*NORMDIST(I141,0,1,0)*SQRT($J$6)/365) * $P$6</f>
        <v/>
      </c>
      <c r="F141" s="139">
        <f>IF($O$6="sell",-1,1) * (-(B141*NORMDIST(I141,0,1,0)*$H$6)/(2*SQRT($J$6))/365) *$P$6</f>
        <v/>
      </c>
      <c r="G141" s="139">
        <f>IF($O$6="buy",1,-1)*( IF($K$6="call",B141*NORMDIST(I141,0,1,1) - $B$6*NORMDIST(J141,0,1,1),$B$6*NORMDIST(-J141,0,1,1) - B141*NORMDIST(-I141,0,1,1) ) - $G$6) * $P$6</f>
        <v/>
      </c>
      <c r="I141" s="140">
        <f>(LN(B141/$B$6)+($H$6^2/2)*($J$6))/($H$6*SQRT($J$6))</f>
        <v/>
      </c>
      <c r="J141" s="140">
        <f>I141 - $H$6*SQRT($J$6)</f>
        <v/>
      </c>
    </row>
    <row r="142" ht="13.5" customHeight="1" s="116">
      <c r="B142" s="144">
        <f>B112</f>
        <v/>
      </c>
      <c r="C142" s="139">
        <f>IF($O$6="sell",-1,1) *  IF($K$6="call",  NORMDIST(I142,0,1,1),  NORMDIST(I142,0,1,1)-1  ) * $P$6</f>
        <v/>
      </c>
      <c r="D142" s="139">
        <f>IF($O$6="sell",-1,1) * NORMDIST(I142,0,1,0)/(B142*$H$6*SQRT($J$6)) * $P$6</f>
        <v/>
      </c>
      <c r="E142" s="139">
        <f>IF($O$6="sell",-1,1) * (B142*NORMDIST(I142,0,1,0)*SQRT($J$6)/365) * $P$6</f>
        <v/>
      </c>
      <c r="F142" s="139">
        <f>IF($O$6="sell",-1,1) * (-(B142*NORMDIST(I142,0,1,0)*$H$6)/(2*SQRT($J$6))/365) *$P$6</f>
        <v/>
      </c>
      <c r="G142" s="139">
        <f>IF($O$6="buy",1,-1)*( IF($K$6="call",B142*NORMDIST(I142,0,1,1) - $B$6*NORMDIST(J142,0,1,1),$B$6*NORMDIST(-J142,0,1,1) - B142*NORMDIST(-I142,0,1,1) ) - $G$6) * $P$6</f>
        <v/>
      </c>
      <c r="I142" s="140">
        <f>(LN(B142/$B$6)+($H$6^2/2)*($J$6))/($H$6*SQRT($J$6))</f>
        <v/>
      </c>
      <c r="J142" s="140">
        <f>I142 - $H$6*SQRT($J$6)</f>
        <v/>
      </c>
    </row>
    <row r="143" ht="13.5" customHeight="1" s="116">
      <c r="B143" s="144">
        <f>B113</f>
        <v/>
      </c>
      <c r="C143" s="139">
        <f>IF($O$6="sell",-1,1) *  IF($K$6="call",  NORMDIST(I143,0,1,1),  NORMDIST(I143,0,1,1)-1  ) * $P$6</f>
        <v/>
      </c>
      <c r="D143" s="139">
        <f>IF($O$6="sell",-1,1) * NORMDIST(I143,0,1,0)/(B143*$H$6*SQRT($J$6)) * $P$6</f>
        <v/>
      </c>
      <c r="E143" s="139">
        <f>IF($O$6="sell",-1,1) * (B143*NORMDIST(I143,0,1,0)*SQRT($J$6)/365) * $P$6</f>
        <v/>
      </c>
      <c r="F143" s="139">
        <f>IF($O$6="sell",-1,1) * (-(B143*NORMDIST(I143,0,1,0)*$H$6)/(2*SQRT($J$6))/365) *$P$6</f>
        <v/>
      </c>
      <c r="G143" s="139">
        <f>IF($O$6="buy",1,-1)*( IF($K$6="call",B143*NORMDIST(I143,0,1,1) - $B$6*NORMDIST(J143,0,1,1),$B$6*NORMDIST(-J143,0,1,1) - B143*NORMDIST(-I143,0,1,1) ) - $G$6) * $P$6</f>
        <v/>
      </c>
      <c r="I143" s="140">
        <f>(LN(B143/$B$6)+($H$6^2/2)*($J$6))/($H$6*SQRT($J$6))</f>
        <v/>
      </c>
      <c r="J143" s="140">
        <f>I143 - $H$6*SQRT($J$6)</f>
        <v/>
      </c>
    </row>
    <row r="144" ht="13.5" customHeight="1" s="116">
      <c r="B144" s="144">
        <f>B114</f>
        <v/>
      </c>
      <c r="C144" s="139">
        <f>IF($O$6="sell",-1,1) *  IF($K$6="call",  NORMDIST(I144,0,1,1),  NORMDIST(I144,0,1,1)-1  ) * $P$6</f>
        <v/>
      </c>
      <c r="D144" s="139">
        <f>IF($O$6="sell",-1,1) * NORMDIST(I144,0,1,0)/(B144*$H$6*SQRT($J$6)) * $P$6</f>
        <v/>
      </c>
      <c r="E144" s="139">
        <f>IF($O$6="sell",-1,1) * (B144*NORMDIST(I144,0,1,0)*SQRT($J$6)/365) * $P$6</f>
        <v/>
      </c>
      <c r="F144" s="139">
        <f>IF($O$6="sell",-1,1) * (-(B144*NORMDIST(I144,0,1,0)*$H$6)/(2*SQRT($J$6))/365) *$P$6</f>
        <v/>
      </c>
      <c r="G144" s="139">
        <f>IF($O$6="buy",1,-1)*( IF($K$6="call",B144*NORMDIST(I144,0,1,1) - $B$6*NORMDIST(J144,0,1,1),$B$6*NORMDIST(-J144,0,1,1) - B144*NORMDIST(-I144,0,1,1) ) - $G$6) * $P$6</f>
        <v/>
      </c>
      <c r="I144" s="140">
        <f>(LN(B144/$B$6)+($H$6^2/2)*($J$6))/($H$6*SQRT($J$6))</f>
        <v/>
      </c>
      <c r="J144" s="140">
        <f>I144 - $H$6*SQRT($J$6)</f>
        <v/>
      </c>
    </row>
    <row r="145" ht="13.5" customHeight="1" s="116">
      <c r="B145" s="144">
        <f>B115</f>
        <v/>
      </c>
      <c r="C145" s="139">
        <f>IF($O$6="sell",-1,1) *  IF($K$6="call",  NORMDIST(I145,0,1,1),  NORMDIST(I145,0,1,1)-1  ) * $P$6</f>
        <v/>
      </c>
      <c r="D145" s="139">
        <f>IF($O$6="sell",-1,1) * NORMDIST(I145,0,1,0)/(B145*$H$6*SQRT($J$6)) * $P$6</f>
        <v/>
      </c>
      <c r="E145" s="139">
        <f>IF($O$6="sell",-1,1) * (B145*NORMDIST(I145,0,1,0)*SQRT($J$6)/365) * $P$6</f>
        <v/>
      </c>
      <c r="F145" s="139">
        <f>IF($O$6="sell",-1,1) * (-(B145*NORMDIST(I145,0,1,0)*$H$6)/(2*SQRT($J$6))/365) *$P$6</f>
        <v/>
      </c>
      <c r="G145" s="139">
        <f>IF($O$6="buy",1,-1)*( IF($K$6="call",B145*NORMDIST(I145,0,1,1) - $B$6*NORMDIST(J145,0,1,1),$B$6*NORMDIST(-J145,0,1,1) - B145*NORMDIST(-I145,0,1,1) ) - $G$6) * $P$6</f>
        <v/>
      </c>
      <c r="I145" s="140">
        <f>(LN(B145/$B$6)+($H$6^2/2)*($J$6))/($H$6*SQRT($J$6))</f>
        <v/>
      </c>
      <c r="J145" s="140">
        <f>I145 - $H$6*SQRT($J$6)</f>
        <v/>
      </c>
    </row>
    <row r="146" ht="13.5" customHeight="1" s="116">
      <c r="B146" s="144">
        <f>B116</f>
        <v/>
      </c>
      <c r="C146" s="139">
        <f>IF($O$6="sell",-1,1) *  IF($K$6="call",  NORMDIST(I146,0,1,1),  NORMDIST(I146,0,1,1)-1  ) * $P$6</f>
        <v/>
      </c>
      <c r="D146" s="139">
        <f>IF($O$6="sell",-1,1) * NORMDIST(I146,0,1,0)/(B146*$H$6*SQRT($J$6)) * $P$6</f>
        <v/>
      </c>
      <c r="E146" s="139">
        <f>IF($O$6="sell",-1,1) * (B146*NORMDIST(I146,0,1,0)*SQRT($J$6)/365) * $P$6</f>
        <v/>
      </c>
      <c r="F146" s="139">
        <f>IF($O$6="sell",-1,1) * (-(B146*NORMDIST(I146,0,1,0)*$H$6)/(2*SQRT($J$6))/365) *$P$6</f>
        <v/>
      </c>
      <c r="G146" s="139">
        <f>IF($O$6="buy",1,-1)*( IF($K$6="call",B146*NORMDIST(I146,0,1,1) - $B$6*NORMDIST(J146,0,1,1),$B$6*NORMDIST(-J146,0,1,1) - B146*NORMDIST(-I146,0,1,1) ) - $G$6) * $P$6</f>
        <v/>
      </c>
      <c r="I146" s="140">
        <f>(LN(B146/$B$6)+($H$6^2/2)*($J$6))/($H$6*SQRT($J$6))</f>
        <v/>
      </c>
      <c r="J146" s="140">
        <f>I146 - $H$6*SQRT($J$6)</f>
        <v/>
      </c>
    </row>
    <row r="147" ht="13.5" customHeight="1" s="116">
      <c r="B147" s="144">
        <f>B117</f>
        <v/>
      </c>
      <c r="C147" s="139">
        <f>IF($O$6="sell",-1,1) *  IF($K$6="call",  NORMDIST(I147,0,1,1),  NORMDIST(I147,0,1,1)-1  ) * $P$6</f>
        <v/>
      </c>
      <c r="D147" s="139">
        <f>IF($O$6="sell",-1,1) * NORMDIST(I147,0,1,0)/(B147*$H$6*SQRT($J$6)) * $P$6</f>
        <v/>
      </c>
      <c r="E147" s="139">
        <f>IF($O$6="sell",-1,1) * (B147*NORMDIST(I147,0,1,0)*SQRT($J$6)/365) * $P$6</f>
        <v/>
      </c>
      <c r="F147" s="139">
        <f>IF($O$6="sell",-1,1) * (-(B147*NORMDIST(I147,0,1,0)*$H$6)/(2*SQRT($J$6))/365) *$P$6</f>
        <v/>
      </c>
      <c r="G147" s="139">
        <f>IF($O$6="buy",1,-1)*( IF($K$6="call",B147*NORMDIST(I147,0,1,1) - $B$6*NORMDIST(J147,0,1,1),$B$6*NORMDIST(-J147,0,1,1) - B147*NORMDIST(-I147,0,1,1) ) - $G$6) * $P$6</f>
        <v/>
      </c>
      <c r="I147" s="140">
        <f>(LN(B147/$B$6)+($H$6^2/2)*($J$6))/($H$6*SQRT($J$6))</f>
        <v/>
      </c>
      <c r="J147" s="140">
        <f>I147 - $H$6*SQRT($J$6)</f>
        <v/>
      </c>
    </row>
    <row r="148" ht="13.5" customHeight="1" s="116">
      <c r="B148" s="144">
        <f>B118</f>
        <v/>
      </c>
      <c r="C148" s="139">
        <f>IF($O$6="sell",-1,1) *  IF($K$6="call",  NORMDIST(I148,0,1,1),  NORMDIST(I148,0,1,1)-1  ) * $P$6</f>
        <v/>
      </c>
      <c r="D148" s="139">
        <f>IF($O$6="sell",-1,1) * NORMDIST(I148,0,1,0)/(B148*$H$6*SQRT($J$6)) * $P$6</f>
        <v/>
      </c>
      <c r="E148" s="139">
        <f>IF($O$6="sell",-1,1) * (B148*NORMDIST(I148,0,1,0)*SQRT($J$6)/365) * $P$6</f>
        <v/>
      </c>
      <c r="F148" s="139">
        <f>IF($O$6="sell",-1,1) * (-(B148*NORMDIST(I148,0,1,0)*$H$6)/(2*SQRT($J$6))/365) *$P$6</f>
        <v/>
      </c>
      <c r="G148" s="139">
        <f>IF($O$6="buy",1,-1)*( IF($K$6="call",B148*NORMDIST(I148,0,1,1) - $B$6*NORMDIST(J148,0,1,1),$B$6*NORMDIST(-J148,0,1,1) - B148*NORMDIST(-I148,0,1,1) ) - $G$6) * $P$6</f>
        <v/>
      </c>
      <c r="I148" s="140">
        <f>(LN(B148/$B$6)+($H$6^2/2)*($J$6))/($H$6*SQRT($J$6))</f>
        <v/>
      </c>
      <c r="J148" s="140">
        <f>I148 - $H$6*SQRT($J$6)</f>
        <v/>
      </c>
    </row>
    <row r="149" ht="13.5" customHeight="1" s="116">
      <c r="B149" s="144">
        <f>B119</f>
        <v/>
      </c>
      <c r="C149" s="139">
        <f>IF($O$6="sell",-1,1) *  IF($K$6="call",  NORMDIST(I149,0,1,1),  NORMDIST(I149,0,1,1)-1  ) * $P$6</f>
        <v/>
      </c>
      <c r="D149" s="139">
        <f>IF($O$6="sell",-1,1) * NORMDIST(I149,0,1,0)/(B149*$H$6*SQRT($J$6)) * $P$6</f>
        <v/>
      </c>
      <c r="E149" s="139">
        <f>IF($O$6="sell",-1,1) * (B149*NORMDIST(I149,0,1,0)*SQRT($J$6)/365) * $P$6</f>
        <v/>
      </c>
      <c r="F149" s="139">
        <f>IF($O$6="sell",-1,1) * (-(B149*NORMDIST(I149,0,1,0)*$H$6)/(2*SQRT($J$6))/365) *$P$6</f>
        <v/>
      </c>
      <c r="G149" s="139">
        <f>IF($O$6="buy",1,-1)*( IF($K$6="call",B149*NORMDIST(I149,0,1,1) - $B$6*NORMDIST(J149,0,1,1),$B$6*NORMDIST(-J149,0,1,1) - B149*NORMDIST(-I149,0,1,1) ) - $G$6) * $P$6</f>
        <v/>
      </c>
      <c r="I149" s="140">
        <f>(LN(B149/$B$6)+($H$6^2/2)*($J$6))/($H$6*SQRT($J$6))</f>
        <v/>
      </c>
      <c r="J149" s="140">
        <f>I149 - $H$6*SQRT($J$6)</f>
        <v/>
      </c>
    </row>
    <row r="150" ht="13.5" customHeight="1" s="116">
      <c r="B150" s="144">
        <f>B120</f>
        <v/>
      </c>
      <c r="C150" s="139">
        <f>IF($O$6="sell",-1,1) *  IF($K$6="call",  NORMDIST(I150,0,1,1),  NORMDIST(I150,0,1,1)-1  ) * $P$6</f>
        <v/>
      </c>
      <c r="D150" s="139">
        <f>IF($O$6="sell",-1,1) * NORMDIST(I150,0,1,0)/(B150*$H$6*SQRT($J$6)) * $P$6</f>
        <v/>
      </c>
      <c r="E150" s="139">
        <f>IF($O$6="sell",-1,1) * (B150*NORMDIST(I150,0,1,0)*SQRT($J$6)/365) * $P$6</f>
        <v/>
      </c>
      <c r="F150" s="139">
        <f>IF($O$6="sell",-1,1) * (-(B150*NORMDIST(I150,0,1,0)*$H$6)/(2*SQRT($J$6))/365) *$P$6</f>
        <v/>
      </c>
      <c r="G150" s="139">
        <f>IF($O$6="buy",1,-1)*( IF($K$6="call",B150*NORMDIST(I150,0,1,1) - $B$6*NORMDIST(J150,0,1,1),$B$6*NORMDIST(-J150,0,1,1) - B150*NORMDIST(-I150,0,1,1) ) - $G$6) * $P$6</f>
        <v/>
      </c>
      <c r="I150" s="140">
        <f>(LN(B150/$B$6)+($H$6^2/2)*($J$6))/($H$6*SQRT($J$6))</f>
        <v/>
      </c>
      <c r="J150" s="140">
        <f>I150 - $H$6*SQRT($J$6)</f>
        <v/>
      </c>
    </row>
    <row r="151" ht="13.5" customHeight="1" s="116">
      <c r="B151" s="144">
        <f>B121</f>
        <v/>
      </c>
      <c r="C151" s="139">
        <f>IF($O$6="sell",-1,1) *  IF($K$6="call",  NORMDIST(I151,0,1,1),  NORMDIST(I151,0,1,1)-1  ) * $P$6</f>
        <v/>
      </c>
      <c r="D151" s="139">
        <f>IF($O$6="sell",-1,1) * NORMDIST(I151,0,1,0)/(B151*$H$6*SQRT($J$6)) * $P$6</f>
        <v/>
      </c>
      <c r="E151" s="139">
        <f>IF($O$6="sell",-1,1) * (B151*NORMDIST(I151,0,1,0)*SQRT($J$6)/365) * $P$6</f>
        <v/>
      </c>
      <c r="F151" s="139">
        <f>IF($O$6="sell",-1,1) * (-(B151*NORMDIST(I151,0,1,0)*$H$6)/(2*SQRT($J$6))/365) *$P$6</f>
        <v/>
      </c>
      <c r="G151" s="139">
        <f>IF($O$6="buy",1,-1)*( IF($K$6="call",B151*NORMDIST(I151,0,1,1) - $B$6*NORMDIST(J151,0,1,1),$B$6*NORMDIST(-J151,0,1,1) - B151*NORMDIST(-I151,0,1,1) ) - $G$6) * $P$6</f>
        <v/>
      </c>
      <c r="I151" s="140">
        <f>(LN(B151/$B$6)+($H$6^2/2)*($J$6))/($H$6*SQRT($J$6))</f>
        <v/>
      </c>
      <c r="J151" s="140">
        <f>I151 - $H$6*SQRT($J$6)</f>
        <v/>
      </c>
    </row>
    <row r="152" ht="13.5" customHeight="1" s="116">
      <c r="B152" s="144">
        <f>B122</f>
        <v/>
      </c>
      <c r="C152" s="139">
        <f>IF($O$6="sell",-1,1) *  IF($K$6="call",  NORMDIST(I152,0,1,1),  NORMDIST(I152,0,1,1)-1  ) * $P$6</f>
        <v/>
      </c>
      <c r="D152" s="139">
        <f>IF($O$6="sell",-1,1) * NORMDIST(I152,0,1,0)/(B152*$H$6*SQRT($J$6)) * $P$6</f>
        <v/>
      </c>
      <c r="E152" s="139">
        <f>IF($O$6="sell",-1,1) * (B152*NORMDIST(I152,0,1,0)*SQRT($J$6)/365) * $P$6</f>
        <v/>
      </c>
      <c r="F152" s="139">
        <f>IF($O$6="sell",-1,1) * (-(B152*NORMDIST(I152,0,1,0)*$H$6)/(2*SQRT($J$6))/365) *$P$6</f>
        <v/>
      </c>
      <c r="G152" s="139">
        <f>IF($O$6="buy",1,-1)*( IF($K$6="call",B152*NORMDIST(I152,0,1,1) - $B$6*NORMDIST(J152,0,1,1),$B$6*NORMDIST(-J152,0,1,1) - B152*NORMDIST(-I152,0,1,1) ) - $G$6) * $P$6</f>
        <v/>
      </c>
      <c r="I152" s="140">
        <f>(LN(B152/$B$6)+($H$6^2/2)*($J$6))/($H$6*SQRT($J$6))</f>
        <v/>
      </c>
      <c r="J152" s="140">
        <f>I152 - $H$6*SQRT($J$6)</f>
        <v/>
      </c>
    </row>
    <row r="153" ht="13.5" customHeight="1" s="116">
      <c r="B153" s="144">
        <f>B123</f>
        <v/>
      </c>
      <c r="C153" s="139">
        <f>IF($O$6="sell",-1,1) *  IF($K$6="call",  NORMDIST(I153,0,1,1),  NORMDIST(I153,0,1,1)-1  ) * $P$6</f>
        <v/>
      </c>
      <c r="D153" s="139">
        <f>IF($O$6="sell",-1,1) * NORMDIST(I153,0,1,0)/(B153*$H$6*SQRT($J$6)) * $P$6</f>
        <v/>
      </c>
      <c r="E153" s="139">
        <f>IF($O$6="sell",-1,1) * (B153*NORMDIST(I153,0,1,0)*SQRT($J$6)/365) * $P$6</f>
        <v/>
      </c>
      <c r="F153" s="139">
        <f>IF($O$6="sell",-1,1) * (-(B153*NORMDIST(I153,0,1,0)*$H$6)/(2*SQRT($J$6))/365) *$P$6</f>
        <v/>
      </c>
      <c r="G153" s="139">
        <f>IF($O$6="buy",1,-1)*( IF($K$6="call",B153*NORMDIST(I153,0,1,1) - $B$6*NORMDIST(J153,0,1,1),$B$6*NORMDIST(-J153,0,1,1) - B153*NORMDIST(-I153,0,1,1) ) - $G$6) * $P$6</f>
        <v/>
      </c>
      <c r="I153" s="140">
        <f>(LN(B153/$B$6)+($H$6^2/2)*($J$6))/($H$6*SQRT($J$6))</f>
        <v/>
      </c>
      <c r="J153" s="140">
        <f>I153 - $H$6*SQRT($J$6)</f>
        <v/>
      </c>
    </row>
    <row r="154" ht="13.5" customHeight="1" s="116">
      <c r="B154" s="144">
        <f>B124</f>
        <v/>
      </c>
      <c r="C154" s="139">
        <f>IF($O$6="sell",-1,1) *  IF($K$6="call",  NORMDIST(I154,0,1,1),  NORMDIST(I154,0,1,1)-1  ) * $P$6</f>
        <v/>
      </c>
      <c r="D154" s="139">
        <f>IF($O$6="sell",-1,1) * NORMDIST(I154,0,1,0)/(B154*$H$6*SQRT($J$6)) * $P$6</f>
        <v/>
      </c>
      <c r="E154" s="139">
        <f>IF($O$6="sell",-1,1) * (B154*NORMDIST(I154,0,1,0)*SQRT($J$6)/365) * $P$6</f>
        <v/>
      </c>
      <c r="F154" s="139">
        <f>IF($O$6="sell",-1,1) * (-(B154*NORMDIST(I154,0,1,0)*$H$6)/(2*SQRT($J$6))/365) *$P$6</f>
        <v/>
      </c>
      <c r="G154" s="139">
        <f>IF($O$6="buy",1,-1)*( IF($K$6="call",B154*NORMDIST(I154,0,1,1) - $B$6*NORMDIST(J154,0,1,1),$B$6*NORMDIST(-J154,0,1,1) - B154*NORMDIST(-I154,0,1,1) ) - $G$6) * $P$6</f>
        <v/>
      </c>
      <c r="I154" s="140">
        <f>(LN(B154/$B$6)+($H$6^2/2)*($J$6))/($H$6*SQRT($J$6))</f>
        <v/>
      </c>
      <c r="J154" s="140">
        <f>I154 - $H$6*SQRT($J$6)</f>
        <v/>
      </c>
    </row>
    <row r="155" ht="13.5" customHeight="1" s="116">
      <c r="B155" s="144">
        <f>B125</f>
        <v/>
      </c>
      <c r="C155" s="139">
        <f>IF($O$6="sell",-1,1) *  IF($K$6="call",  NORMDIST(I155,0,1,1),  NORMDIST(I155,0,1,1)-1  ) * $P$6</f>
        <v/>
      </c>
      <c r="D155" s="139">
        <f>IF($O$6="sell",-1,1) * NORMDIST(I155,0,1,0)/(B155*$H$6*SQRT($J$6)) * $P$6</f>
        <v/>
      </c>
      <c r="E155" s="139">
        <f>IF($O$6="sell",-1,1) * (B155*NORMDIST(I155,0,1,0)*SQRT($J$6)/365) * $P$6</f>
        <v/>
      </c>
      <c r="F155" s="139">
        <f>IF($O$6="sell",-1,1) * (-(B155*NORMDIST(I155,0,1,0)*$H$6)/(2*SQRT($J$6))/365) *$P$6</f>
        <v/>
      </c>
      <c r="G155" s="139">
        <f>IF($O$6="buy",1,-1)*( IF($K$6="call",B155*NORMDIST(I155,0,1,1) - $B$6*NORMDIST(J155,0,1,1),$B$6*NORMDIST(-J155,0,1,1) - B155*NORMDIST(-I155,0,1,1) ) - $G$6) * $P$6</f>
        <v/>
      </c>
      <c r="I155" s="140">
        <f>(LN(B155/$B$6)+($H$6^2/2)*($J$6))/($H$6*SQRT($J$6))</f>
        <v/>
      </c>
      <c r="J155" s="140">
        <f>I155 - $H$6*SQRT($J$6)</f>
        <v/>
      </c>
    </row>
    <row r="156" ht="13.5" customHeight="1" s="116">
      <c r="B156" s="144">
        <f>B126</f>
        <v/>
      </c>
      <c r="C156" s="139">
        <f>IF($O$6="sell",-1,1) *  IF($K$6="call",  NORMDIST(I156,0,1,1),  NORMDIST(I156,0,1,1)-1  ) * $P$6</f>
        <v/>
      </c>
      <c r="D156" s="139">
        <f>IF($O$6="sell",-1,1) * NORMDIST(I156,0,1,0)/(B156*$H$6*SQRT($J$6)) * $P$6</f>
        <v/>
      </c>
      <c r="E156" s="139">
        <f>IF($O$6="sell",-1,1) * (B156*NORMDIST(I156,0,1,0)*SQRT($J$6)/365) * $P$6</f>
        <v/>
      </c>
      <c r="F156" s="139">
        <f>IF($O$6="sell",-1,1) * (-(B156*NORMDIST(I156,0,1,0)*$H$6)/(2*SQRT($J$6))/365) *$P$6</f>
        <v/>
      </c>
      <c r="G156" s="139">
        <f>IF($O$6="buy",1,-1)*( IF($K$6="call",B156*NORMDIST(I156,0,1,1) - $B$6*NORMDIST(J156,0,1,1),$B$6*NORMDIST(-J156,0,1,1) - B156*NORMDIST(-I156,0,1,1) ) - $G$6) * $P$6</f>
        <v/>
      </c>
      <c r="I156" s="140">
        <f>(LN(B156/$B$6)+($H$6^2/2)*($J$6))/($H$6*SQRT($J$6))</f>
        <v/>
      </c>
      <c r="J156" s="140">
        <f>I156 - $H$6*SQRT($J$6)</f>
        <v/>
      </c>
    </row>
    <row r="157" ht="13.5" customHeight="1" s="116">
      <c r="B157" s="144">
        <f>B127</f>
        <v/>
      </c>
      <c r="C157" s="139">
        <f>IF($O$6="sell",-1,1) *  IF($K$6="call",  NORMDIST(I157,0,1,1),  NORMDIST(I157,0,1,1)-1  ) * $P$6</f>
        <v/>
      </c>
      <c r="D157" s="139">
        <f>IF($O$6="sell",-1,1) * NORMDIST(I157,0,1,0)/(B157*$H$6*SQRT($J$6)) * $P$6</f>
        <v/>
      </c>
      <c r="E157" s="139">
        <f>IF($O$6="sell",-1,1) * (B157*NORMDIST(I157,0,1,0)*SQRT($J$6)/365) * $P$6</f>
        <v/>
      </c>
      <c r="F157" s="139">
        <f>IF($O$6="sell",-1,1) * (-(B157*NORMDIST(I157,0,1,0)*$H$6)/(2*SQRT($J$6))/365) *$P$6</f>
        <v/>
      </c>
      <c r="G157" s="139">
        <f>IF($O$6="buy",1,-1)*( IF($K$6="call",B157*NORMDIST(I157,0,1,1) - $B$6*NORMDIST(J157,0,1,1),$B$6*NORMDIST(-J157,0,1,1) - B157*NORMDIST(-I157,0,1,1) ) - $G$6) * $P$6</f>
        <v/>
      </c>
      <c r="I157" s="140">
        <f>(LN(B157/$B$6)+($H$6^2/2)*($J$6))/($H$6*SQRT($J$6))</f>
        <v/>
      </c>
      <c r="J157" s="140">
        <f>I157 - $H$6*SQRT($J$6)</f>
        <v/>
      </c>
    </row>
    <row r="158" ht="13.5" customHeight="1" s="116">
      <c r="B158" s="144">
        <f>B128</f>
        <v/>
      </c>
      <c r="C158" s="139">
        <f>IF($O$6="sell",-1,1) *  IF($K$6="call",  NORMDIST(I158,0,1,1),  NORMDIST(I158,0,1,1)-1  ) * $P$6</f>
        <v/>
      </c>
      <c r="D158" s="139">
        <f>IF($O$6="sell",-1,1) * NORMDIST(I158,0,1,0)/(B158*$H$6*SQRT($J$6)) * $P$6</f>
        <v/>
      </c>
      <c r="E158" s="139">
        <f>IF($O$6="sell",-1,1) * (B158*NORMDIST(I158,0,1,0)*SQRT($J$6)/365) * $P$6</f>
        <v/>
      </c>
      <c r="F158" s="139">
        <f>IF($O$6="sell",-1,1) * (-(B158*NORMDIST(I158,0,1,0)*$H$6)/(2*SQRT($J$6))/365) *$P$6</f>
        <v/>
      </c>
      <c r="G158" s="139">
        <f>IF($O$6="buy",1,-1)*( IF($K$6="call",B158*NORMDIST(I158,0,1,1) - $B$6*NORMDIST(J158,0,1,1),$B$6*NORMDIST(-J158,0,1,1) - B158*NORMDIST(-I158,0,1,1) ) - $G$6) * $P$6</f>
        <v/>
      </c>
      <c r="I158" s="140">
        <f>(LN(B158/$B$6)+($H$6^2/2)*($J$6))/($H$6*SQRT($J$6))</f>
        <v/>
      </c>
      <c r="J158" s="140">
        <f>I158 - $H$6*SQRT($J$6)</f>
        <v/>
      </c>
    </row>
    <row r="159" ht="13.5" customHeight="1" s="116">
      <c r="B159" s="144">
        <f>B129</f>
        <v/>
      </c>
      <c r="C159" s="139">
        <f>IF($O$6="sell",-1,1) *  IF($K$6="call",  NORMDIST(I159,0,1,1),  NORMDIST(I159,0,1,1)-1  ) * $P$6</f>
        <v/>
      </c>
      <c r="D159" s="139">
        <f>IF($O$6="sell",-1,1) * NORMDIST(I159,0,1,0)/(B159*$H$6*SQRT($J$6)) * $P$6</f>
        <v/>
      </c>
      <c r="E159" s="139">
        <f>IF($O$6="sell",-1,1) * (B159*NORMDIST(I159,0,1,0)*SQRT($J$6)/365) * $P$6</f>
        <v/>
      </c>
      <c r="F159" s="139">
        <f>IF($O$6="sell",-1,1) * (-(B159*NORMDIST(I159,0,1,0)*$H$6)/(2*SQRT($J$6))/365) *$P$6</f>
        <v/>
      </c>
      <c r="G159" s="139">
        <f>IF($O$6="buy",1,-1)*( IF($K$6="call",B159*NORMDIST(I159,0,1,1) - $B$6*NORMDIST(J159,0,1,1),$B$6*NORMDIST(-J159,0,1,1) - B159*NORMDIST(-I159,0,1,1) ) - $G$6) * $P$6</f>
        <v/>
      </c>
      <c r="I159" s="140">
        <f>(LN(B159/$B$6)+($H$6^2/2)*($J$6))/($H$6*SQRT($J$6))</f>
        <v/>
      </c>
      <c r="J159" s="140">
        <f>I159 - $H$6*SQRT($J$6)</f>
        <v/>
      </c>
    </row>
    <row r="160" ht="13.5" customHeight="1" s="116">
      <c r="B160" s="144">
        <f>B130</f>
        <v/>
      </c>
      <c r="C160" s="139">
        <f>IF($O$6="sell",-1,1) *  IF($K$6="call",  NORMDIST(I160,0,1,1),  NORMDIST(I160,0,1,1)-1  ) * $P$6</f>
        <v/>
      </c>
      <c r="D160" s="139">
        <f>IF($O$6="sell",-1,1) * NORMDIST(I160,0,1,0)/(B160*$H$6*SQRT($J$6)) * $P$6</f>
        <v/>
      </c>
      <c r="E160" s="139">
        <f>IF($O$6="sell",-1,1) * (B160*NORMDIST(I160,0,1,0)*SQRT($J$6)/365) * $P$6</f>
        <v/>
      </c>
      <c r="F160" s="139">
        <f>IF($O$6="sell",-1,1) * (-(B160*NORMDIST(I160,0,1,0)*$H$6)/(2*SQRT($J$6))/365) *$P$6</f>
        <v/>
      </c>
      <c r="G160" s="139">
        <f>IF($O$6="buy",1,-1)*( IF($K$6="call",B160*NORMDIST(I160,0,1,1) - $B$6*NORMDIST(J160,0,1,1),$B$6*NORMDIST(-J160,0,1,1) - B160*NORMDIST(-I160,0,1,1) ) - $G$6) * $P$6</f>
        <v/>
      </c>
      <c r="I160" s="140">
        <f>(LN(B160/$B$6)+($H$6^2/2)*($J$6))/($H$6*SQRT($J$6))</f>
        <v/>
      </c>
      <c r="J160" s="140">
        <f>I160 - $H$6*SQRT($J$6)</f>
        <v/>
      </c>
    </row>
    <row r="161" ht="13.5" customHeight="1" s="116">
      <c r="B161" s="145" t="n"/>
      <c r="C161" s="136" t="n"/>
      <c r="D161" s="136" t="n"/>
      <c r="E161" s="136" t="n"/>
      <c r="F161" s="136" t="n"/>
      <c r="G161" s="136" t="n"/>
      <c r="I161" s="146" t="n"/>
      <c r="J161" s="146" t="n"/>
    </row>
    <row r="162" ht="13.5" customHeight="1" s="116">
      <c r="B162" s="145" t="n"/>
      <c r="C162" s="136" t="n"/>
      <c r="D162" s="136" t="n"/>
      <c r="E162" s="136" t="n"/>
      <c r="F162" s="136" t="n"/>
      <c r="G162" s="136" t="n"/>
      <c r="I162" s="146" t="n"/>
      <c r="J162" s="146" t="n"/>
    </row>
    <row r="163" ht="13.5" customHeight="1" s="116">
      <c r="B163" s="137" t="n"/>
      <c r="C163" s="133" t="inlineStr">
        <is>
          <t>delta</t>
        </is>
      </c>
      <c r="D163" s="133" t="inlineStr">
        <is>
          <t>gamma</t>
        </is>
      </c>
      <c r="E163" s="133" t="inlineStr">
        <is>
          <t>vega</t>
        </is>
      </c>
      <c r="F163" s="133" t="inlineStr">
        <is>
          <t>theta</t>
        </is>
      </c>
      <c r="G163" s="133" t="inlineStr">
        <is>
          <t>mark_price</t>
        </is>
      </c>
      <c r="I163" s="133" t="inlineStr">
        <is>
          <t>d1</t>
        </is>
      </c>
      <c r="J163" s="133" t="inlineStr">
        <is>
          <t>d2</t>
        </is>
      </c>
    </row>
    <row r="164" ht="13.5" customHeight="1" s="116">
      <c r="A164" s="117">
        <f>A7</f>
        <v/>
      </c>
      <c r="B164" s="144">
        <f>B134</f>
        <v/>
      </c>
      <c r="C164" s="139">
        <f>IF($O$7="sell",-1,1) *  IF($K$7="call",  NORMDIST(I164,0,1,1),  NORMDIST(I164,0,1,1)-1  ) * $P$7</f>
        <v/>
      </c>
      <c r="D164" s="139">
        <f>IF($O$7="sell",-1,1) * NORMDIST(I164,0,1,0)/(B164*$H$7*SQRT($J$7)) * $P$7</f>
        <v/>
      </c>
      <c r="E164" s="139">
        <f>IF($O$7="sell",-1,1) * (B164*NORMDIST(I164,0,1,0)*SQRT($J$7)/365) * $P$7</f>
        <v/>
      </c>
      <c r="F164" s="139">
        <f>IF($O$7="sell",-1,1) * (-(B164*NORMDIST(I164,0,1,0)*$H$7)/(2*SQRT($J$7))/365) *$P$7</f>
        <v/>
      </c>
      <c r="G164" s="139">
        <f>IF($O$7="buy",1,-1)*( IF($K$7="call",B164*NORMDIST(I164,0,1,1) - $B$7*NORMDIST(J164,0,1,1),$B$7*NORMDIST(-J164,0,1,1) - B164*NORMDIST(-I164,0,1,1) ) - $G$7) * $P$7</f>
        <v/>
      </c>
      <c r="I164" s="140">
        <f>(LN(B164/$B$7)+($H$7^2/2)*($J$7))/($H$7*SQRT($J$7))</f>
        <v/>
      </c>
      <c r="J164" s="140">
        <f>I164 - $H$7*SQRT($J$7)</f>
        <v/>
      </c>
    </row>
    <row r="165" ht="13.5" customHeight="1" s="116">
      <c r="B165" s="144">
        <f>B135</f>
        <v/>
      </c>
      <c r="C165" s="139">
        <f>IF($O$7="sell",-1,1) *  IF($K$7="call",  NORMDIST(I165,0,1,1),  NORMDIST(I165,0,1,1)-1  ) * $P$7</f>
        <v/>
      </c>
      <c r="D165" s="139">
        <f>IF($O$7="sell",-1,1) * NORMDIST(I165,0,1,0)/(B165*$H$7*SQRT($J$7)) * $P$7</f>
        <v/>
      </c>
      <c r="E165" s="139">
        <f>IF($O$7="sell",-1,1) * (B165*NORMDIST(I165,0,1,0)*SQRT($J$7)/365) * $P$7</f>
        <v/>
      </c>
      <c r="F165" s="139">
        <f>IF($O$7="sell",-1,1) * (-(B165*NORMDIST(I165,0,1,0)*$H$7)/(2*SQRT($J$7))/365) *$P$7</f>
        <v/>
      </c>
      <c r="G165" s="139">
        <f>IF($O$7="buy",1,-1)*( IF($K$7="call",B165*NORMDIST(I165,0,1,1) - $B$7*NORMDIST(J165,0,1,1),$B$7*NORMDIST(-J165,0,1,1) - B165*NORMDIST(-I165,0,1,1) ) - $G$7) * $P$7</f>
        <v/>
      </c>
      <c r="I165" s="140">
        <f>(LN(B165/$B$7)+($H$7^2/2)*($J$7))/($H$7*SQRT($J$7))</f>
        <v/>
      </c>
      <c r="J165" s="140">
        <f>I165 - $H$7*SQRT($J$7)</f>
        <v/>
      </c>
    </row>
    <row r="166" ht="13.5" customHeight="1" s="116">
      <c r="B166" s="144">
        <f>B136</f>
        <v/>
      </c>
      <c r="C166" s="139">
        <f>IF($O$7="sell",-1,1) *  IF($K$7="call",  NORMDIST(I166,0,1,1),  NORMDIST(I166,0,1,1)-1  ) * $P$7</f>
        <v/>
      </c>
      <c r="D166" s="139">
        <f>IF($O$7="sell",-1,1) * NORMDIST(I166,0,1,0)/(B166*$H$7*SQRT($J$7)) * $P$7</f>
        <v/>
      </c>
      <c r="E166" s="139">
        <f>IF($O$7="sell",-1,1) * (B166*NORMDIST(I166,0,1,0)*SQRT($J$7)/365) * $P$7</f>
        <v/>
      </c>
      <c r="F166" s="139">
        <f>IF($O$7="sell",-1,1) * (-(B166*NORMDIST(I166,0,1,0)*$H$7)/(2*SQRT($J$7))/365) *$P$7</f>
        <v/>
      </c>
      <c r="G166" s="139">
        <f>IF($O$7="buy",1,-1)*( IF($K$7="call",B166*NORMDIST(I166,0,1,1) - $B$7*NORMDIST(J166,0,1,1),$B$7*NORMDIST(-J166,0,1,1) - B166*NORMDIST(-I166,0,1,1) ) - $G$7) * $P$7</f>
        <v/>
      </c>
      <c r="I166" s="140">
        <f>(LN(B166/$B$7)+($H$7^2/2)*($J$7))/($H$7*SQRT($J$7))</f>
        <v/>
      </c>
      <c r="J166" s="140">
        <f>I166 - $H$7*SQRT($J$7)</f>
        <v/>
      </c>
    </row>
    <row r="167" ht="13.5" customHeight="1" s="116">
      <c r="B167" s="144">
        <f>B137</f>
        <v/>
      </c>
      <c r="C167" s="139">
        <f>IF($O$7="sell",-1,1) *  IF($K$7="call",  NORMDIST(I167,0,1,1),  NORMDIST(I167,0,1,1)-1  ) * $P$7</f>
        <v/>
      </c>
      <c r="D167" s="139">
        <f>IF($O$7="sell",-1,1) * NORMDIST(I167,0,1,0)/(B167*$H$7*SQRT($J$7)) * $P$7</f>
        <v/>
      </c>
      <c r="E167" s="139">
        <f>IF($O$7="sell",-1,1) * (B167*NORMDIST(I167,0,1,0)*SQRT($J$7)/365) * $P$7</f>
        <v/>
      </c>
      <c r="F167" s="139">
        <f>IF($O$7="sell",-1,1) * (-(B167*NORMDIST(I167,0,1,0)*$H$7)/(2*SQRT($J$7))/365) *$P$7</f>
        <v/>
      </c>
      <c r="G167" s="139">
        <f>IF($O$7="buy",1,-1)*( IF($K$7="call",B167*NORMDIST(I167,0,1,1) - $B$7*NORMDIST(J167,0,1,1),$B$7*NORMDIST(-J167,0,1,1) - B167*NORMDIST(-I167,0,1,1) ) - $G$7) * $P$7</f>
        <v/>
      </c>
      <c r="I167" s="140">
        <f>(LN(B167/$B$7)+($H$7^2/2)*($J$7))/($H$7*SQRT($J$7))</f>
        <v/>
      </c>
      <c r="J167" s="140">
        <f>I167 - $H$7*SQRT($J$7)</f>
        <v/>
      </c>
    </row>
    <row r="168" ht="13.5" customHeight="1" s="116">
      <c r="B168" s="144">
        <f>B138</f>
        <v/>
      </c>
      <c r="C168" s="139">
        <f>IF($O$7="sell",-1,1) *  IF($K$7="call",  NORMDIST(I168,0,1,1),  NORMDIST(I168,0,1,1)-1  ) * $P$7</f>
        <v/>
      </c>
      <c r="D168" s="139">
        <f>IF($O$7="sell",-1,1) * NORMDIST(I168,0,1,0)/(B168*$H$7*SQRT($J$7)) * $P$7</f>
        <v/>
      </c>
      <c r="E168" s="139">
        <f>IF($O$7="sell",-1,1) * (B168*NORMDIST(I168,0,1,0)*SQRT($J$7)/365) * $P$7</f>
        <v/>
      </c>
      <c r="F168" s="139">
        <f>IF($O$7="sell",-1,1) * (-(B168*NORMDIST(I168,0,1,0)*$H$7)/(2*SQRT($J$7))/365) *$P$7</f>
        <v/>
      </c>
      <c r="G168" s="139">
        <f>IF($O$7="buy",1,-1)*( IF($K$7="call",B168*NORMDIST(I168,0,1,1) - $B$7*NORMDIST(J168,0,1,1),$B$7*NORMDIST(-J168,0,1,1) - B168*NORMDIST(-I168,0,1,1) ) - $G$7) * $P$7</f>
        <v/>
      </c>
      <c r="I168" s="140">
        <f>(LN(B168/$B$7)+($H$7^2/2)*($J$7))/($H$7*SQRT($J$7))</f>
        <v/>
      </c>
      <c r="J168" s="140">
        <f>I168 - $H$7*SQRT($J$7)</f>
        <v/>
      </c>
    </row>
    <row r="169" ht="13.5" customHeight="1" s="116">
      <c r="B169" s="144">
        <f>B139</f>
        <v/>
      </c>
      <c r="C169" s="139">
        <f>IF($O$7="sell",-1,1) *  IF($K$7="call",  NORMDIST(I169,0,1,1),  NORMDIST(I169,0,1,1)-1  ) * $P$7</f>
        <v/>
      </c>
      <c r="D169" s="139">
        <f>IF($O$7="sell",-1,1) * NORMDIST(I169,0,1,0)/(B169*$H$7*SQRT($J$7)) * $P$7</f>
        <v/>
      </c>
      <c r="E169" s="139">
        <f>IF($O$7="sell",-1,1) * (B169*NORMDIST(I169,0,1,0)*SQRT($J$7)/365) * $P$7</f>
        <v/>
      </c>
      <c r="F169" s="139">
        <f>IF($O$7="sell",-1,1) * (-(B169*NORMDIST(I169,0,1,0)*$H$7)/(2*SQRT($J$7))/365) *$P$7</f>
        <v/>
      </c>
      <c r="G169" s="139">
        <f>IF($O$7="buy",1,-1)*( IF($K$7="call",B169*NORMDIST(I169,0,1,1) - $B$7*NORMDIST(J169,0,1,1),$B$7*NORMDIST(-J169,0,1,1) - B169*NORMDIST(-I169,0,1,1) ) - $G$7) * $P$7</f>
        <v/>
      </c>
      <c r="I169" s="140">
        <f>(LN(B169/$B$7)+($H$7^2/2)*($J$7))/($H$7*SQRT($J$7))</f>
        <v/>
      </c>
      <c r="J169" s="140">
        <f>I169 - $H$7*SQRT($J$7)</f>
        <v/>
      </c>
    </row>
    <row r="170" ht="13.5" customHeight="1" s="116">
      <c r="B170" s="144">
        <f>B140</f>
        <v/>
      </c>
      <c r="C170" s="139">
        <f>IF($O$7="sell",-1,1) *  IF($K$7="call",  NORMDIST(I170,0,1,1),  NORMDIST(I170,0,1,1)-1  ) * $P$7</f>
        <v/>
      </c>
      <c r="D170" s="139">
        <f>IF($O$7="sell",-1,1) * NORMDIST(I170,0,1,0)/(B170*$H$7*SQRT($J$7)) * $P$7</f>
        <v/>
      </c>
      <c r="E170" s="139">
        <f>IF($O$7="sell",-1,1) * (B170*NORMDIST(I170,0,1,0)*SQRT($J$7)/365) * $P$7</f>
        <v/>
      </c>
      <c r="F170" s="139">
        <f>IF($O$7="sell",-1,1) * (-(B170*NORMDIST(I170,0,1,0)*$H$7)/(2*SQRT($J$7))/365) *$P$7</f>
        <v/>
      </c>
      <c r="G170" s="139">
        <f>IF($O$7="buy",1,-1)*( IF($K$7="call",B170*NORMDIST(I170,0,1,1) - $B$7*NORMDIST(J170,0,1,1),$B$7*NORMDIST(-J170,0,1,1) - B170*NORMDIST(-I170,0,1,1) ) - $G$7) * $P$7</f>
        <v/>
      </c>
      <c r="I170" s="140">
        <f>(LN(B170/$B$7)+($H$7^2/2)*($J$7))/($H$7*SQRT($J$7))</f>
        <v/>
      </c>
      <c r="J170" s="140">
        <f>I170 - $H$7*SQRT($J$7)</f>
        <v/>
      </c>
    </row>
    <row r="171" ht="13.5" customHeight="1" s="116">
      <c r="B171" s="144">
        <f>B141</f>
        <v/>
      </c>
      <c r="C171" s="139">
        <f>IF($O$7="sell",-1,1) *  IF($K$7="call",  NORMDIST(I171,0,1,1),  NORMDIST(I171,0,1,1)-1  ) * $P$7</f>
        <v/>
      </c>
      <c r="D171" s="139">
        <f>IF($O$7="sell",-1,1) * NORMDIST(I171,0,1,0)/(B171*$H$7*SQRT($J$7)) * $P$7</f>
        <v/>
      </c>
      <c r="E171" s="139">
        <f>IF($O$7="sell",-1,1) * (B171*NORMDIST(I171,0,1,0)*SQRT($J$7)/365) * $P$7</f>
        <v/>
      </c>
      <c r="F171" s="139">
        <f>IF($O$7="sell",-1,1) * (-(B171*NORMDIST(I171,0,1,0)*$H$7)/(2*SQRT($J$7))/365) *$P$7</f>
        <v/>
      </c>
      <c r="G171" s="139">
        <f>IF($O$7="buy",1,-1)*( IF($K$7="call",B171*NORMDIST(I171,0,1,1) - $B$7*NORMDIST(J171,0,1,1),$B$7*NORMDIST(-J171,0,1,1) - B171*NORMDIST(-I171,0,1,1) ) - $G$7) * $P$7</f>
        <v/>
      </c>
      <c r="I171" s="140">
        <f>(LN(B171/$B$7)+($H$7^2/2)*($J$7))/($H$7*SQRT($J$7))</f>
        <v/>
      </c>
      <c r="J171" s="140">
        <f>I171 - $H$7*SQRT($J$7)</f>
        <v/>
      </c>
    </row>
    <row r="172" ht="13.5" customHeight="1" s="116">
      <c r="B172" s="144">
        <f>B142</f>
        <v/>
      </c>
      <c r="C172" s="139">
        <f>IF($O$7="sell",-1,1) *  IF($K$7="call",  NORMDIST(I172,0,1,1),  NORMDIST(I172,0,1,1)-1  ) * $P$7</f>
        <v/>
      </c>
      <c r="D172" s="139">
        <f>IF($O$7="sell",-1,1) * NORMDIST(I172,0,1,0)/(B172*$H$7*SQRT($J$7)) * $P$7</f>
        <v/>
      </c>
      <c r="E172" s="139">
        <f>IF($O$7="sell",-1,1) * (B172*NORMDIST(I172,0,1,0)*SQRT($J$7)/365) * $P$7</f>
        <v/>
      </c>
      <c r="F172" s="139">
        <f>IF($O$7="sell",-1,1) * (-(B172*NORMDIST(I172,0,1,0)*$H$7)/(2*SQRT($J$7))/365) *$P$7</f>
        <v/>
      </c>
      <c r="G172" s="139">
        <f>IF($O$7="buy",1,-1)*( IF($K$7="call",B172*NORMDIST(I172,0,1,1) - $B$7*NORMDIST(J172,0,1,1),$B$7*NORMDIST(-J172,0,1,1) - B172*NORMDIST(-I172,0,1,1) ) - $G$7) * $P$7</f>
        <v/>
      </c>
      <c r="I172" s="140">
        <f>(LN(B172/$B$7)+($H$7^2/2)*($J$7))/($H$7*SQRT($J$7))</f>
        <v/>
      </c>
      <c r="J172" s="140">
        <f>I172 - $H$7*SQRT($J$7)</f>
        <v/>
      </c>
    </row>
    <row r="173" ht="13.5" customHeight="1" s="116">
      <c r="B173" s="144">
        <f>B143</f>
        <v/>
      </c>
      <c r="C173" s="139">
        <f>IF($O$7="sell",-1,1) *  IF($K$7="call",  NORMDIST(I173,0,1,1),  NORMDIST(I173,0,1,1)-1  ) * $P$7</f>
        <v/>
      </c>
      <c r="D173" s="139">
        <f>IF($O$7="sell",-1,1) * NORMDIST(I173,0,1,0)/(B173*$H$7*SQRT($J$7)) * $P$7</f>
        <v/>
      </c>
      <c r="E173" s="139">
        <f>IF($O$7="sell",-1,1) * (B173*NORMDIST(I173,0,1,0)*SQRT($J$7)/365) * $P$7</f>
        <v/>
      </c>
      <c r="F173" s="139">
        <f>IF($O$7="sell",-1,1) * (-(B173*NORMDIST(I173,0,1,0)*$H$7)/(2*SQRT($J$7))/365) *$P$7</f>
        <v/>
      </c>
      <c r="G173" s="139">
        <f>IF($O$7="buy",1,-1)*( IF($K$7="call",B173*NORMDIST(I173,0,1,1) - $B$7*NORMDIST(J173,0,1,1),$B$7*NORMDIST(-J173,0,1,1) - B173*NORMDIST(-I173,0,1,1) ) - $G$7) * $P$7</f>
        <v/>
      </c>
      <c r="I173" s="140">
        <f>(LN(B173/$B$7)+($H$7^2/2)*($J$7))/($H$7*SQRT($J$7))</f>
        <v/>
      </c>
      <c r="J173" s="140">
        <f>I173 - $H$7*SQRT($J$7)</f>
        <v/>
      </c>
    </row>
    <row r="174" ht="13.5" customHeight="1" s="116">
      <c r="B174" s="144">
        <f>B144</f>
        <v/>
      </c>
      <c r="C174" s="139">
        <f>IF($O$7="sell",-1,1) *  IF($K$7="call",  NORMDIST(I174,0,1,1),  NORMDIST(I174,0,1,1)-1  ) * $P$7</f>
        <v/>
      </c>
      <c r="D174" s="139">
        <f>IF($O$7="sell",-1,1) * NORMDIST(I174,0,1,0)/(B174*$H$7*SQRT($J$7)) * $P$7</f>
        <v/>
      </c>
      <c r="E174" s="139">
        <f>IF($O$7="sell",-1,1) * (B174*NORMDIST(I174,0,1,0)*SQRT($J$7)/365) * $P$7</f>
        <v/>
      </c>
      <c r="F174" s="139">
        <f>IF($O$7="sell",-1,1) * (-(B174*NORMDIST(I174,0,1,0)*$H$7)/(2*SQRT($J$7))/365) *$P$7</f>
        <v/>
      </c>
      <c r="G174" s="139">
        <f>IF($O$7="buy",1,-1)*( IF($K$7="call",B174*NORMDIST(I174,0,1,1) - $B$7*NORMDIST(J174,0,1,1),$B$7*NORMDIST(-J174,0,1,1) - B174*NORMDIST(-I174,0,1,1) ) - $G$7) * $P$7</f>
        <v/>
      </c>
      <c r="I174" s="140">
        <f>(LN(B174/$B$7)+($H$7^2/2)*($J$7))/($H$7*SQRT($J$7))</f>
        <v/>
      </c>
      <c r="J174" s="140">
        <f>I174 - $H$7*SQRT($J$7)</f>
        <v/>
      </c>
    </row>
    <row r="175" ht="13.5" customHeight="1" s="116">
      <c r="B175" s="144">
        <f>B145</f>
        <v/>
      </c>
      <c r="C175" s="139">
        <f>IF($O$7="sell",-1,1) *  IF($K$7="call",  NORMDIST(I175,0,1,1),  NORMDIST(I175,0,1,1)-1  ) * $P$7</f>
        <v/>
      </c>
      <c r="D175" s="139">
        <f>IF($O$7="sell",-1,1) * NORMDIST(I175,0,1,0)/(B175*$H$7*SQRT($J$7)) * $P$7</f>
        <v/>
      </c>
      <c r="E175" s="139">
        <f>IF($O$7="sell",-1,1) * (B175*NORMDIST(I175,0,1,0)*SQRT($J$7)/365) * $P$7</f>
        <v/>
      </c>
      <c r="F175" s="139">
        <f>IF($O$7="sell",-1,1) * (-(B175*NORMDIST(I175,0,1,0)*$H$7)/(2*SQRT($J$7))/365) *$P$7</f>
        <v/>
      </c>
      <c r="G175" s="139">
        <f>IF($O$7="buy",1,-1)*( IF($K$7="call",B175*NORMDIST(I175,0,1,1) - $B$7*NORMDIST(J175,0,1,1),$B$7*NORMDIST(-J175,0,1,1) - B175*NORMDIST(-I175,0,1,1) ) - $G$7) * $P$7</f>
        <v/>
      </c>
      <c r="I175" s="140">
        <f>(LN(B175/$B$7)+($H$7^2/2)*($J$7))/($H$7*SQRT($J$7))</f>
        <v/>
      </c>
      <c r="J175" s="140">
        <f>I175 - $H$7*SQRT($J$7)</f>
        <v/>
      </c>
    </row>
    <row r="176" ht="13.5" customHeight="1" s="116">
      <c r="B176" s="144">
        <f>B146</f>
        <v/>
      </c>
      <c r="C176" s="139">
        <f>IF($O$7="sell",-1,1) *  IF($K$7="call",  NORMDIST(I176,0,1,1),  NORMDIST(I176,0,1,1)-1  ) * $P$7</f>
        <v/>
      </c>
      <c r="D176" s="139">
        <f>IF($O$7="sell",-1,1) * NORMDIST(I176,0,1,0)/(B176*$H$7*SQRT($J$7)) * $P$7</f>
        <v/>
      </c>
      <c r="E176" s="139">
        <f>IF($O$7="sell",-1,1) * (B176*NORMDIST(I176,0,1,0)*SQRT($J$7)/365) * $P$7</f>
        <v/>
      </c>
      <c r="F176" s="139">
        <f>IF($O$7="sell",-1,1) * (-(B176*NORMDIST(I176,0,1,0)*$H$7)/(2*SQRT($J$7))/365) *$P$7</f>
        <v/>
      </c>
      <c r="G176" s="139">
        <f>IF($O$7="buy",1,-1)*( IF($K$7="call",B176*NORMDIST(I176,0,1,1) - $B$7*NORMDIST(J176,0,1,1),$B$7*NORMDIST(-J176,0,1,1) - B176*NORMDIST(-I176,0,1,1) ) - $G$7) * $P$7</f>
        <v/>
      </c>
      <c r="I176" s="140">
        <f>(LN(B176/$B$7)+($H$7^2/2)*($J$7))/($H$7*SQRT($J$7))</f>
        <v/>
      </c>
      <c r="J176" s="140">
        <f>I176 - $H$7*SQRT($J$7)</f>
        <v/>
      </c>
    </row>
    <row r="177" ht="13.5" customHeight="1" s="116">
      <c r="B177" s="144">
        <f>B147</f>
        <v/>
      </c>
      <c r="C177" s="139">
        <f>IF($O$7="sell",-1,1) *  IF($K$7="call",  NORMDIST(I177,0,1,1),  NORMDIST(I177,0,1,1)-1  ) * $P$7</f>
        <v/>
      </c>
      <c r="D177" s="139">
        <f>IF($O$7="sell",-1,1) * NORMDIST(I177,0,1,0)/(B177*$H$7*SQRT($J$7)) * $P$7</f>
        <v/>
      </c>
      <c r="E177" s="139">
        <f>IF($O$7="sell",-1,1) * (B177*NORMDIST(I177,0,1,0)*SQRT($J$7)/365) * $P$7</f>
        <v/>
      </c>
      <c r="F177" s="139">
        <f>IF($O$7="sell",-1,1) * (-(B177*NORMDIST(I177,0,1,0)*$H$7)/(2*SQRT($J$7))/365) *$P$7</f>
        <v/>
      </c>
      <c r="G177" s="139">
        <f>IF($O$7="buy",1,-1)*( IF($K$7="call",B177*NORMDIST(I177,0,1,1) - $B$7*NORMDIST(J177,0,1,1),$B$7*NORMDIST(-J177,0,1,1) - B177*NORMDIST(-I177,0,1,1) ) - $G$7) * $P$7</f>
        <v/>
      </c>
      <c r="I177" s="140">
        <f>(LN(B177/$B$7)+($H$7^2/2)*($J$7))/($H$7*SQRT($J$7))</f>
        <v/>
      </c>
      <c r="J177" s="140">
        <f>I177 - $H$7*SQRT($J$7)</f>
        <v/>
      </c>
    </row>
    <row r="178" ht="13.5" customHeight="1" s="116">
      <c r="B178" s="144">
        <f>B148</f>
        <v/>
      </c>
      <c r="C178" s="139">
        <f>IF($O$7="sell",-1,1) *  IF($K$7="call",  NORMDIST(I178,0,1,1),  NORMDIST(I178,0,1,1)-1  ) * $P$7</f>
        <v/>
      </c>
      <c r="D178" s="139">
        <f>IF($O$7="sell",-1,1) * NORMDIST(I178,0,1,0)/(B178*$H$7*SQRT($J$7)) * $P$7</f>
        <v/>
      </c>
      <c r="E178" s="139">
        <f>IF($O$7="sell",-1,1) * (B178*NORMDIST(I178,0,1,0)*SQRT($J$7)/365) * $P$7</f>
        <v/>
      </c>
      <c r="F178" s="139">
        <f>IF($O$7="sell",-1,1) * (-(B178*NORMDIST(I178,0,1,0)*$H$7)/(2*SQRT($J$7))/365) *$P$7</f>
        <v/>
      </c>
      <c r="G178" s="139">
        <f>IF($O$7="buy",1,-1)*( IF($K$7="call",B178*NORMDIST(I178,0,1,1) - $B$7*NORMDIST(J178,0,1,1),$B$7*NORMDIST(-J178,0,1,1) - B178*NORMDIST(-I178,0,1,1) ) - $G$7) * $P$7</f>
        <v/>
      </c>
      <c r="I178" s="140">
        <f>(LN(B178/$B$7)+($H$7^2/2)*($J$7))/($H$7*SQRT($J$7))</f>
        <v/>
      </c>
      <c r="J178" s="140">
        <f>I178 - $H$7*SQRT($J$7)</f>
        <v/>
      </c>
    </row>
    <row r="179" ht="13.5" customHeight="1" s="116">
      <c r="B179" s="144">
        <f>B149</f>
        <v/>
      </c>
      <c r="C179" s="139">
        <f>IF($O$7="sell",-1,1) *  IF($K$7="call",  NORMDIST(I179,0,1,1),  NORMDIST(I179,0,1,1)-1  ) * $P$7</f>
        <v/>
      </c>
      <c r="D179" s="139">
        <f>IF($O$7="sell",-1,1) * NORMDIST(I179,0,1,0)/(B179*$H$7*SQRT($J$7)) * $P$7</f>
        <v/>
      </c>
      <c r="E179" s="139">
        <f>IF($O$7="sell",-1,1) * (B179*NORMDIST(I179,0,1,0)*SQRT($J$7)/365) * $P$7</f>
        <v/>
      </c>
      <c r="F179" s="139">
        <f>IF($O$7="sell",-1,1) * (-(B179*NORMDIST(I179,0,1,0)*$H$7)/(2*SQRT($J$7))/365) *$P$7</f>
        <v/>
      </c>
      <c r="G179" s="139">
        <f>IF($O$7="buy",1,-1)*( IF($K$7="call",B179*NORMDIST(I179,0,1,1) - $B$7*NORMDIST(J179,0,1,1),$B$7*NORMDIST(-J179,0,1,1) - B179*NORMDIST(-I179,0,1,1) ) - $G$7) * $P$7</f>
        <v/>
      </c>
      <c r="I179" s="140">
        <f>(LN(B179/$B$7)+($H$7^2/2)*($J$7))/($H$7*SQRT($J$7))</f>
        <v/>
      </c>
      <c r="J179" s="140">
        <f>I179 - $H$7*SQRT($J$7)</f>
        <v/>
      </c>
    </row>
    <row r="180" ht="13.5" customHeight="1" s="116">
      <c r="B180" s="144">
        <f>B150</f>
        <v/>
      </c>
      <c r="C180" s="139">
        <f>IF($O$7="sell",-1,1) *  IF($K$7="call",  NORMDIST(I180,0,1,1),  NORMDIST(I180,0,1,1)-1  ) * $P$7</f>
        <v/>
      </c>
      <c r="D180" s="139">
        <f>IF($O$7="sell",-1,1) * NORMDIST(I180,0,1,0)/(B180*$H$7*SQRT($J$7)) * $P$7</f>
        <v/>
      </c>
      <c r="E180" s="139">
        <f>IF($O$7="sell",-1,1) * (B180*NORMDIST(I180,0,1,0)*SQRT($J$7)/365) * $P$7</f>
        <v/>
      </c>
      <c r="F180" s="139">
        <f>IF($O$7="sell",-1,1) * (-(B180*NORMDIST(I180,0,1,0)*$H$7)/(2*SQRT($J$7))/365) *$P$7</f>
        <v/>
      </c>
      <c r="G180" s="139">
        <f>IF($O$7="buy",1,-1)*( IF($K$7="call",B180*NORMDIST(I180,0,1,1) - $B$7*NORMDIST(J180,0,1,1),$B$7*NORMDIST(-J180,0,1,1) - B180*NORMDIST(-I180,0,1,1) ) - $G$7) * $P$7</f>
        <v/>
      </c>
      <c r="I180" s="140">
        <f>(LN(B180/$B$7)+($H$7^2/2)*($J$7))/($H$7*SQRT($J$7))</f>
        <v/>
      </c>
      <c r="J180" s="140">
        <f>I180 - $H$7*SQRT($J$7)</f>
        <v/>
      </c>
    </row>
    <row r="181" ht="13.5" customHeight="1" s="116">
      <c r="B181" s="144">
        <f>B151</f>
        <v/>
      </c>
      <c r="C181" s="139">
        <f>IF($O$7="sell",-1,1) *  IF($K$7="call",  NORMDIST(I181,0,1,1),  NORMDIST(I181,0,1,1)-1  ) * $P$7</f>
        <v/>
      </c>
      <c r="D181" s="139">
        <f>IF($O$7="sell",-1,1) * NORMDIST(I181,0,1,0)/(B181*$H$7*SQRT($J$7)) * $P$7</f>
        <v/>
      </c>
      <c r="E181" s="139">
        <f>IF($O$7="sell",-1,1) * (B181*NORMDIST(I181,0,1,0)*SQRT($J$7)/365) * $P$7</f>
        <v/>
      </c>
      <c r="F181" s="139">
        <f>IF($O$7="sell",-1,1) * (-(B181*NORMDIST(I181,0,1,0)*$H$7)/(2*SQRT($J$7))/365) *$P$7</f>
        <v/>
      </c>
      <c r="G181" s="139">
        <f>IF($O$7="buy",1,-1)*( IF($K$7="call",B181*NORMDIST(I181,0,1,1) - $B$7*NORMDIST(J181,0,1,1),$B$7*NORMDIST(-J181,0,1,1) - B181*NORMDIST(-I181,0,1,1) ) - $G$7) * $P$7</f>
        <v/>
      </c>
      <c r="I181" s="140">
        <f>(LN(B181/$B$7)+($H$7^2/2)*($J$7))/($H$7*SQRT($J$7))</f>
        <v/>
      </c>
      <c r="J181" s="140">
        <f>I181 - $H$7*SQRT($J$7)</f>
        <v/>
      </c>
    </row>
    <row r="182" ht="13.5" customHeight="1" s="116">
      <c r="B182" s="144">
        <f>B152</f>
        <v/>
      </c>
      <c r="C182" s="139">
        <f>IF($O$7="sell",-1,1) *  IF($K$7="call",  NORMDIST(I182,0,1,1),  NORMDIST(I182,0,1,1)-1  ) * $P$7</f>
        <v/>
      </c>
      <c r="D182" s="139">
        <f>IF($O$7="sell",-1,1) * NORMDIST(I182,0,1,0)/(B182*$H$7*SQRT($J$7)) * $P$7</f>
        <v/>
      </c>
      <c r="E182" s="139">
        <f>IF($O$7="sell",-1,1) * (B182*NORMDIST(I182,0,1,0)*SQRT($J$7)/365) * $P$7</f>
        <v/>
      </c>
      <c r="F182" s="139">
        <f>IF($O$7="sell",-1,1) * (-(B182*NORMDIST(I182,0,1,0)*$H$7)/(2*SQRT($J$7))/365) *$P$7</f>
        <v/>
      </c>
      <c r="G182" s="139">
        <f>IF($O$7="buy",1,-1)*( IF($K$7="call",B182*NORMDIST(I182,0,1,1) - $B$7*NORMDIST(J182,0,1,1),$B$7*NORMDIST(-J182,0,1,1) - B182*NORMDIST(-I182,0,1,1) ) - $G$7) * $P$7</f>
        <v/>
      </c>
      <c r="I182" s="140">
        <f>(LN(B182/$B$7)+($H$7^2/2)*($J$7))/($H$7*SQRT($J$7))</f>
        <v/>
      </c>
      <c r="J182" s="140">
        <f>I182 - $H$7*SQRT($J$7)</f>
        <v/>
      </c>
    </row>
    <row r="183" ht="13.5" customHeight="1" s="116">
      <c r="B183" s="144">
        <f>B153</f>
        <v/>
      </c>
      <c r="C183" s="139">
        <f>IF($O$7="sell",-1,1) *  IF($K$7="call",  NORMDIST(I183,0,1,1),  NORMDIST(I183,0,1,1)-1  ) * $P$7</f>
        <v/>
      </c>
      <c r="D183" s="139">
        <f>IF($O$7="sell",-1,1) * NORMDIST(I183,0,1,0)/(B183*$H$7*SQRT($J$7)) * $P$7</f>
        <v/>
      </c>
      <c r="E183" s="139">
        <f>IF($O$7="sell",-1,1) * (B183*NORMDIST(I183,0,1,0)*SQRT($J$7)/365) * $P$7</f>
        <v/>
      </c>
      <c r="F183" s="139">
        <f>IF($O$7="sell",-1,1) * (-(B183*NORMDIST(I183,0,1,0)*$H$7)/(2*SQRT($J$7))/365) *$P$7</f>
        <v/>
      </c>
      <c r="G183" s="139">
        <f>IF($O$7="buy",1,-1)*( IF($K$7="call",B183*NORMDIST(I183,0,1,1) - $B$7*NORMDIST(J183,0,1,1),$B$7*NORMDIST(-J183,0,1,1) - B183*NORMDIST(-I183,0,1,1) ) - $G$7) * $P$7</f>
        <v/>
      </c>
      <c r="I183" s="140">
        <f>(LN(B183/$B$7)+($H$7^2/2)*($J$7))/($H$7*SQRT($J$7))</f>
        <v/>
      </c>
      <c r="J183" s="140">
        <f>I183 - $H$7*SQRT($J$7)</f>
        <v/>
      </c>
    </row>
    <row r="184" ht="13.5" customHeight="1" s="116">
      <c r="B184" s="144">
        <f>B154</f>
        <v/>
      </c>
      <c r="C184" s="139">
        <f>IF($O$7="sell",-1,1) *  IF($K$7="call",  NORMDIST(I184,0,1,1),  NORMDIST(I184,0,1,1)-1  ) * $P$7</f>
        <v/>
      </c>
      <c r="D184" s="139">
        <f>IF($O$7="sell",-1,1) * NORMDIST(I184,0,1,0)/(B184*$H$7*SQRT($J$7)) * $P$7</f>
        <v/>
      </c>
      <c r="E184" s="139">
        <f>IF($O$7="sell",-1,1) * (B184*NORMDIST(I184,0,1,0)*SQRT($J$7)/365) * $P$7</f>
        <v/>
      </c>
      <c r="F184" s="139">
        <f>IF($O$7="sell",-1,1) * (-(B184*NORMDIST(I184,0,1,0)*$H$7)/(2*SQRT($J$7))/365) *$P$7</f>
        <v/>
      </c>
      <c r="G184" s="139">
        <f>IF($O$7="buy",1,-1)*( IF($K$7="call",B184*NORMDIST(I184,0,1,1) - $B$7*NORMDIST(J184,0,1,1),$B$7*NORMDIST(-J184,0,1,1) - B184*NORMDIST(-I184,0,1,1) ) - $G$7) * $P$7</f>
        <v/>
      </c>
      <c r="I184" s="140">
        <f>(LN(B184/$B$7)+($H$7^2/2)*($J$7))/($H$7*SQRT($J$7))</f>
        <v/>
      </c>
      <c r="J184" s="140">
        <f>I184 - $H$7*SQRT($J$7)</f>
        <v/>
      </c>
    </row>
    <row r="185" ht="13.5" customHeight="1" s="116">
      <c r="B185" s="144">
        <f>B155</f>
        <v/>
      </c>
      <c r="C185" s="139">
        <f>IF($O$7="sell",-1,1) *  IF($K$7="call",  NORMDIST(I185,0,1,1),  NORMDIST(I185,0,1,1)-1  ) * $P$7</f>
        <v/>
      </c>
      <c r="D185" s="139">
        <f>IF($O$7="sell",-1,1) * NORMDIST(I185,0,1,0)/(B185*$H$7*SQRT($J$7)) * $P$7</f>
        <v/>
      </c>
      <c r="E185" s="139">
        <f>IF($O$7="sell",-1,1) * (B185*NORMDIST(I185,0,1,0)*SQRT($J$7)/365) * $P$7</f>
        <v/>
      </c>
      <c r="F185" s="139">
        <f>IF($O$7="sell",-1,1) * (-(B185*NORMDIST(I185,0,1,0)*$H$7)/(2*SQRT($J$7))/365) *$P$7</f>
        <v/>
      </c>
      <c r="G185" s="139">
        <f>IF($O$7="buy",1,-1)*( IF($K$7="call",B185*NORMDIST(I185,0,1,1) - $B$7*NORMDIST(J185,0,1,1),$B$7*NORMDIST(-J185,0,1,1) - B185*NORMDIST(-I185,0,1,1) ) - $G$7) * $P$7</f>
        <v/>
      </c>
      <c r="I185" s="140">
        <f>(LN(B185/$B$7)+($H$7^2/2)*($J$7))/($H$7*SQRT($J$7))</f>
        <v/>
      </c>
      <c r="J185" s="140">
        <f>I185 - $H$7*SQRT($J$7)</f>
        <v/>
      </c>
    </row>
    <row r="186" ht="13.5" customHeight="1" s="116">
      <c r="B186" s="144">
        <f>B156</f>
        <v/>
      </c>
      <c r="C186" s="139">
        <f>IF($O$7="sell",-1,1) *  IF($K$7="call",  NORMDIST(I186,0,1,1),  NORMDIST(I186,0,1,1)-1  ) * $P$7</f>
        <v/>
      </c>
      <c r="D186" s="139">
        <f>IF($O$7="sell",-1,1) * NORMDIST(I186,0,1,0)/(B186*$H$7*SQRT($J$7)) * $P$7</f>
        <v/>
      </c>
      <c r="E186" s="139">
        <f>IF($O$7="sell",-1,1) * (B186*NORMDIST(I186,0,1,0)*SQRT($J$7)/365) * $P$7</f>
        <v/>
      </c>
      <c r="F186" s="139">
        <f>IF($O$7="sell",-1,1) * (-(B186*NORMDIST(I186,0,1,0)*$H$7)/(2*SQRT($J$7))/365) *$P$7</f>
        <v/>
      </c>
      <c r="G186" s="139">
        <f>IF($O$7="buy",1,-1)*( IF($K$7="call",B186*NORMDIST(I186,0,1,1) - $B$7*NORMDIST(J186,0,1,1),$B$7*NORMDIST(-J186,0,1,1) - B186*NORMDIST(-I186,0,1,1) ) - $G$7) * $P$7</f>
        <v/>
      </c>
      <c r="I186" s="140">
        <f>(LN(B186/$B$7)+($H$7^2/2)*($J$7))/($H$7*SQRT($J$7))</f>
        <v/>
      </c>
      <c r="J186" s="140">
        <f>I186 - $H$7*SQRT($J$7)</f>
        <v/>
      </c>
    </row>
    <row r="187" ht="13.5" customHeight="1" s="116">
      <c r="B187" s="144">
        <f>B157</f>
        <v/>
      </c>
      <c r="C187" s="139">
        <f>IF($O$7="sell",-1,1) *  IF($K$7="call",  NORMDIST(I187,0,1,1),  NORMDIST(I187,0,1,1)-1  ) * $P$7</f>
        <v/>
      </c>
      <c r="D187" s="139">
        <f>IF($O$7="sell",-1,1) * NORMDIST(I187,0,1,0)/(B187*$H$7*SQRT($J$7)) * $P$7</f>
        <v/>
      </c>
      <c r="E187" s="139">
        <f>IF($O$7="sell",-1,1) * (B187*NORMDIST(I187,0,1,0)*SQRT($J$7)/365) * $P$7</f>
        <v/>
      </c>
      <c r="F187" s="139">
        <f>IF($O$7="sell",-1,1) * (-(B187*NORMDIST(I187,0,1,0)*$H$7)/(2*SQRT($J$7))/365) *$P$7</f>
        <v/>
      </c>
      <c r="G187" s="139">
        <f>IF($O$7="buy",1,-1)*( IF($K$7="call",B187*NORMDIST(I187,0,1,1) - $B$7*NORMDIST(J187,0,1,1),$B$7*NORMDIST(-J187,0,1,1) - B187*NORMDIST(-I187,0,1,1) ) - $G$7) * $P$7</f>
        <v/>
      </c>
      <c r="I187" s="140">
        <f>(LN(B187/$B$7)+($H$7^2/2)*($J$7))/($H$7*SQRT($J$7))</f>
        <v/>
      </c>
      <c r="J187" s="140">
        <f>I187 - $H$7*SQRT($J$7)</f>
        <v/>
      </c>
    </row>
    <row r="188" ht="13.5" customHeight="1" s="116">
      <c r="B188" s="144">
        <f>B158</f>
        <v/>
      </c>
      <c r="C188" s="139">
        <f>IF($O$7="sell",-1,1) *  IF($K$7="call",  NORMDIST(I188,0,1,1),  NORMDIST(I188,0,1,1)-1  ) * $P$7</f>
        <v/>
      </c>
      <c r="D188" s="139">
        <f>IF($O$7="sell",-1,1) * NORMDIST(I188,0,1,0)/(B188*$H$7*SQRT($J$7)) * $P$7</f>
        <v/>
      </c>
      <c r="E188" s="139">
        <f>IF($O$7="sell",-1,1) * (B188*NORMDIST(I188,0,1,0)*SQRT($J$7)/365) * $P$7</f>
        <v/>
      </c>
      <c r="F188" s="139">
        <f>IF($O$7="sell",-1,1) * (-(B188*NORMDIST(I188,0,1,0)*$H$7)/(2*SQRT($J$7))/365) *$P$7</f>
        <v/>
      </c>
      <c r="G188" s="139">
        <f>IF($O$7="buy",1,-1)*( IF($K$7="call",B188*NORMDIST(I188,0,1,1) - $B$7*NORMDIST(J188,0,1,1),$B$7*NORMDIST(-J188,0,1,1) - B188*NORMDIST(-I188,0,1,1) ) - $G$7) * $P$7</f>
        <v/>
      </c>
      <c r="I188" s="140">
        <f>(LN(B188/$B$7)+($H$7^2/2)*($J$7))/($H$7*SQRT($J$7))</f>
        <v/>
      </c>
      <c r="J188" s="140">
        <f>I188 - $H$7*SQRT($J$7)</f>
        <v/>
      </c>
    </row>
    <row r="189" ht="13.5" customHeight="1" s="116">
      <c r="B189" s="144">
        <f>B159</f>
        <v/>
      </c>
      <c r="C189" s="139">
        <f>IF($O$7="sell",-1,1) *  IF($K$7="call",  NORMDIST(I189,0,1,1),  NORMDIST(I189,0,1,1)-1  ) * $P$7</f>
        <v/>
      </c>
      <c r="D189" s="139">
        <f>IF($O$7="sell",-1,1) * NORMDIST(I189,0,1,0)/(B189*$H$7*SQRT($J$7)) * $P$7</f>
        <v/>
      </c>
      <c r="E189" s="139">
        <f>IF($O$7="sell",-1,1) * (B189*NORMDIST(I189,0,1,0)*SQRT($J$7)/365) * $P$7</f>
        <v/>
      </c>
      <c r="F189" s="139">
        <f>IF($O$7="sell",-1,1) * (-(B189*NORMDIST(I189,0,1,0)*$H$7)/(2*SQRT($J$7))/365) *$P$7</f>
        <v/>
      </c>
      <c r="G189" s="139">
        <f>IF($O$7="buy",1,-1)*( IF($K$7="call",B189*NORMDIST(I189,0,1,1) - $B$7*NORMDIST(J189,0,1,1),$B$7*NORMDIST(-J189,0,1,1) - B189*NORMDIST(-I189,0,1,1) ) - $G$7) * $P$7</f>
        <v/>
      </c>
      <c r="I189" s="140">
        <f>(LN(B189/$B$7)+($H$7^2/2)*($J$7))/($H$7*SQRT($J$7))</f>
        <v/>
      </c>
      <c r="J189" s="140">
        <f>I189 - $H$7*SQRT($J$7)</f>
        <v/>
      </c>
    </row>
    <row r="190" ht="13.5" customHeight="1" s="116">
      <c r="B190" s="144">
        <f>B160</f>
        <v/>
      </c>
      <c r="C190" s="139">
        <f>IF($O$7="sell",-1,1) *  IF($K$7="call",  NORMDIST(I190,0,1,1),  NORMDIST(I190,0,1,1)-1  ) * $P$7</f>
        <v/>
      </c>
      <c r="D190" s="139">
        <f>IF($O$7="sell",-1,1) * NORMDIST(I190,0,1,0)/(B190*$H$7*SQRT($J$7)) * $P$7</f>
        <v/>
      </c>
      <c r="E190" s="139">
        <f>IF($O$7="sell",-1,1) * (B190*NORMDIST(I190,0,1,0)*SQRT($J$7)/365) * $P$7</f>
        <v/>
      </c>
      <c r="F190" s="139">
        <f>IF($O$7="sell",-1,1) * (-(B190*NORMDIST(I190,0,1,0)*$H$7)/(2*SQRT($J$7))/365) *$P$7</f>
        <v/>
      </c>
      <c r="G190" s="139">
        <f>IF($O$7="buy",1,-1)*( IF($K$7="call",B190*NORMDIST(I190,0,1,1) - $B$7*NORMDIST(J190,0,1,1),$B$7*NORMDIST(-J190,0,1,1) - B190*NORMDIST(-I190,0,1,1) ) - $G$7) * $P$7</f>
        <v/>
      </c>
      <c r="I190" s="140">
        <f>(LN(B190/$B$7)+($H$7^2/2)*($J$7))/($H$7*SQRT($J$7))</f>
        <v/>
      </c>
      <c r="J190" s="140">
        <f>I190 - $H$7*SQRT($J$7)</f>
        <v/>
      </c>
    </row>
    <row r="191" ht="13.5" customHeight="1" s="116">
      <c r="B191" s="145" t="n"/>
      <c r="C191" s="136" t="n"/>
      <c r="D191" s="136" t="n"/>
      <c r="E191" s="136" t="n"/>
      <c r="F191" s="136" t="n"/>
      <c r="G191" s="136" t="n"/>
      <c r="I191" s="146" t="n"/>
      <c r="J191" s="146" t="n"/>
    </row>
    <row r="192" ht="13.5" customHeight="1" s="116">
      <c r="B192" s="145" t="n"/>
      <c r="C192" s="136" t="n"/>
      <c r="D192" s="136" t="n"/>
      <c r="E192" s="136" t="n"/>
      <c r="F192" s="136" t="n"/>
      <c r="G192" s="136" t="n"/>
      <c r="I192" s="146" t="n"/>
      <c r="J192" s="146" t="n"/>
    </row>
    <row r="193" ht="13.5" customHeight="1" s="116">
      <c r="B193" s="137" t="n"/>
      <c r="C193" s="133" t="inlineStr">
        <is>
          <t>delta</t>
        </is>
      </c>
      <c r="D193" s="133" t="inlineStr">
        <is>
          <t>gamma</t>
        </is>
      </c>
      <c r="E193" s="133" t="inlineStr">
        <is>
          <t>vega</t>
        </is>
      </c>
      <c r="F193" s="133" t="inlineStr">
        <is>
          <t>theta</t>
        </is>
      </c>
      <c r="G193" s="133" t="inlineStr">
        <is>
          <t>mark_price</t>
        </is>
      </c>
      <c r="I193" s="133" t="inlineStr">
        <is>
          <t>d1</t>
        </is>
      </c>
      <c r="J193" s="133" t="inlineStr">
        <is>
          <t>d2</t>
        </is>
      </c>
    </row>
    <row r="194" ht="13.5" customHeight="1" s="116">
      <c r="A194" s="117">
        <f>A8</f>
        <v/>
      </c>
      <c r="B194" s="144">
        <f>B164</f>
        <v/>
      </c>
      <c r="C194" s="139">
        <f>IF($O$8="sell",-1,1) *  IF($K$8="call",  NORMDIST(I194,0,1,1),  NORMDIST(I194,0,1,1)-1  ) * $P$8</f>
        <v/>
      </c>
      <c r="D194" s="139">
        <f>IF($O$8="sell",-1,1) * NORMDIST(I194,0,1,0)/(B194*$H$8*SQRT($J$8)) * $P$8</f>
        <v/>
      </c>
      <c r="E194" s="139">
        <f>IF($O$8="sell",-1,1) * (B194*NORMDIST(I194,0,1,0)*SQRT($J$8)/365) * $P$8</f>
        <v/>
      </c>
      <c r="F194" s="139">
        <f>IF($O$8="sell",-1,1) * (-(B194*NORMDIST(I194,0,1,0)*$H$8)/(2*SQRT($J$8))/365) *$P$8</f>
        <v/>
      </c>
      <c r="G194" s="139">
        <f>IF($O$8="buy",1,-1)*( IF($K$8="call",B194*NORMDIST(I194,0,1,1) - $B$8*NORMDIST(J194,0,1,1),$B$8*NORMDIST(-J194,0,1,1) - B194*NORMDIST(-I194,0,1,1) ) - $G$8) * $P$8</f>
        <v/>
      </c>
      <c r="I194" s="140">
        <f>(LN(B194/$B$8)+($H$8^2/2)*($J$8))/($H$8*SQRT($J$8))</f>
        <v/>
      </c>
      <c r="J194" s="140">
        <f>I194 - $H$8*SQRT($J$8)</f>
        <v/>
      </c>
    </row>
    <row r="195" ht="13.5" customHeight="1" s="116">
      <c r="B195" s="144">
        <f>B165</f>
        <v/>
      </c>
      <c r="C195" s="139">
        <f>IF($O$8="sell",-1,1) *  IF($K$8="call",  NORMDIST(I195,0,1,1),  NORMDIST(I195,0,1,1)-1  ) * $P$8</f>
        <v/>
      </c>
      <c r="D195" s="139">
        <f>IF($O$8="sell",-1,1) * NORMDIST(I195,0,1,0)/(B195*$H$8*SQRT($J$8)) * $P$8</f>
        <v/>
      </c>
      <c r="E195" s="139">
        <f>IF($O$8="sell",-1,1) * (B195*NORMDIST(I195,0,1,0)*SQRT($J$8)/365) * $P$8</f>
        <v/>
      </c>
      <c r="F195" s="139">
        <f>IF($O$8="sell",-1,1) * (-(B195*NORMDIST(I195,0,1,0)*$H$8)/(2*SQRT($J$8))/365) *$P$8</f>
        <v/>
      </c>
      <c r="G195" s="139">
        <f>IF($O$8="buy",1,-1)*( IF($K$8="call",B195*NORMDIST(I195,0,1,1) - $B$8*NORMDIST(J195,0,1,1),$B$8*NORMDIST(-J195,0,1,1) - B195*NORMDIST(-I195,0,1,1) ) - $G$8) * $P$8</f>
        <v/>
      </c>
      <c r="I195" s="140">
        <f>(LN(B195/$B$8)+($H$8^2/2)*($J$8))/($H$8*SQRT($J$8))</f>
        <v/>
      </c>
      <c r="J195" s="140">
        <f>I195 - $H$8*SQRT($J$8)</f>
        <v/>
      </c>
    </row>
    <row r="196" ht="13.5" customHeight="1" s="116">
      <c r="B196" s="144">
        <f>B166</f>
        <v/>
      </c>
      <c r="C196" s="139">
        <f>IF($O$8="sell",-1,1) *  IF($K$8="call",  NORMDIST(I196,0,1,1),  NORMDIST(I196,0,1,1)-1  ) * $P$8</f>
        <v/>
      </c>
      <c r="D196" s="139">
        <f>IF($O$8="sell",-1,1) * NORMDIST(I196,0,1,0)/(B196*$H$8*SQRT($J$8)) * $P$8</f>
        <v/>
      </c>
      <c r="E196" s="139">
        <f>IF($O$8="sell",-1,1) * (B196*NORMDIST(I196,0,1,0)*SQRT($J$8)/365) * $P$8</f>
        <v/>
      </c>
      <c r="F196" s="139">
        <f>IF($O$8="sell",-1,1) * (-(B196*NORMDIST(I196,0,1,0)*$H$8)/(2*SQRT($J$8))/365) *$P$8</f>
        <v/>
      </c>
      <c r="G196" s="139">
        <f>IF($O$8="buy",1,-1)*( IF($K$8="call",B196*NORMDIST(I196,0,1,1) - $B$8*NORMDIST(J196,0,1,1),$B$8*NORMDIST(-J196,0,1,1) - B196*NORMDIST(-I196,0,1,1) ) - $G$8) * $P$8</f>
        <v/>
      </c>
      <c r="I196" s="140">
        <f>(LN(B196/$B$8)+($H$8^2/2)*($J$8))/($H$8*SQRT($J$8))</f>
        <v/>
      </c>
      <c r="J196" s="140">
        <f>I196 - $H$8*SQRT($J$8)</f>
        <v/>
      </c>
    </row>
    <row r="197" ht="13.5" customHeight="1" s="116">
      <c r="B197" s="144">
        <f>B167</f>
        <v/>
      </c>
      <c r="C197" s="139">
        <f>IF($O$8="sell",-1,1) *  IF($K$8="call",  NORMDIST(I197,0,1,1),  NORMDIST(I197,0,1,1)-1  ) * $P$8</f>
        <v/>
      </c>
      <c r="D197" s="139">
        <f>IF($O$8="sell",-1,1) * NORMDIST(I197,0,1,0)/(B197*$H$8*SQRT($J$8)) * $P$8</f>
        <v/>
      </c>
      <c r="E197" s="139">
        <f>IF($O$8="sell",-1,1) * (B197*NORMDIST(I197,0,1,0)*SQRT($J$8)/365) * $P$8</f>
        <v/>
      </c>
      <c r="F197" s="139">
        <f>IF($O$8="sell",-1,1) * (-(B197*NORMDIST(I197,0,1,0)*$H$8)/(2*SQRT($J$8))/365) *$P$8</f>
        <v/>
      </c>
      <c r="G197" s="139">
        <f>IF($O$8="buy",1,-1)*( IF($K$8="call",B197*NORMDIST(I197,0,1,1) - $B$8*NORMDIST(J197,0,1,1),$B$8*NORMDIST(-J197,0,1,1) - B197*NORMDIST(-I197,0,1,1) ) - $G$8) * $P$8</f>
        <v/>
      </c>
      <c r="I197" s="140">
        <f>(LN(B197/$B$8)+($H$8^2/2)*($J$8))/($H$8*SQRT($J$8))</f>
        <v/>
      </c>
      <c r="J197" s="140">
        <f>I197 - $H$8*SQRT($J$8)</f>
        <v/>
      </c>
    </row>
    <row r="198" ht="13.5" customHeight="1" s="116">
      <c r="B198" s="144">
        <f>B168</f>
        <v/>
      </c>
      <c r="C198" s="139">
        <f>IF($O$8="sell",-1,1) *  IF($K$8="call",  NORMDIST(I198,0,1,1),  NORMDIST(I198,0,1,1)-1  ) * $P$8</f>
        <v/>
      </c>
      <c r="D198" s="139">
        <f>IF($O$8="sell",-1,1) * NORMDIST(I198,0,1,0)/(B198*$H$8*SQRT($J$8)) * $P$8</f>
        <v/>
      </c>
      <c r="E198" s="139">
        <f>IF($O$8="sell",-1,1) * (B198*NORMDIST(I198,0,1,0)*SQRT($J$8)/365) * $P$8</f>
        <v/>
      </c>
      <c r="F198" s="139">
        <f>IF($O$8="sell",-1,1) * (-(B198*NORMDIST(I198,0,1,0)*$H$8)/(2*SQRT($J$8))/365) *$P$8</f>
        <v/>
      </c>
      <c r="G198" s="139">
        <f>IF($O$8="buy",1,-1)*( IF($K$8="call",B198*NORMDIST(I198,0,1,1) - $B$8*NORMDIST(J198,0,1,1),$B$8*NORMDIST(-J198,0,1,1) - B198*NORMDIST(-I198,0,1,1) ) - $G$8) * $P$8</f>
        <v/>
      </c>
      <c r="I198" s="140">
        <f>(LN(B198/$B$8)+($H$8^2/2)*($J$8))/($H$8*SQRT($J$8))</f>
        <v/>
      </c>
      <c r="J198" s="140">
        <f>I198 - $H$8*SQRT($J$8)</f>
        <v/>
      </c>
    </row>
    <row r="199" ht="13.5" customHeight="1" s="116">
      <c r="B199" s="144">
        <f>B169</f>
        <v/>
      </c>
      <c r="C199" s="139">
        <f>IF($O$8="sell",-1,1) *  IF($K$8="call",  NORMDIST(I199,0,1,1),  NORMDIST(I199,0,1,1)-1  ) * $P$8</f>
        <v/>
      </c>
      <c r="D199" s="139">
        <f>IF($O$8="sell",-1,1) * NORMDIST(I199,0,1,0)/(B199*$H$8*SQRT($J$8)) * $P$8</f>
        <v/>
      </c>
      <c r="E199" s="139">
        <f>IF($O$8="sell",-1,1) * (B199*NORMDIST(I199,0,1,0)*SQRT($J$8)/365) * $P$8</f>
        <v/>
      </c>
      <c r="F199" s="139">
        <f>IF($O$8="sell",-1,1) * (-(B199*NORMDIST(I199,0,1,0)*$H$8)/(2*SQRT($J$8))/365) *$P$8</f>
        <v/>
      </c>
      <c r="G199" s="139">
        <f>IF($O$8="buy",1,-1)*( IF($K$8="call",B199*NORMDIST(I199,0,1,1) - $B$8*NORMDIST(J199,0,1,1),$B$8*NORMDIST(-J199,0,1,1) - B199*NORMDIST(-I199,0,1,1) ) - $G$8) * $P$8</f>
        <v/>
      </c>
      <c r="I199" s="140">
        <f>(LN(B199/$B$8)+($H$8^2/2)*($J$8))/($H$8*SQRT($J$8))</f>
        <v/>
      </c>
      <c r="J199" s="140">
        <f>I199 - $H$8*SQRT($J$8)</f>
        <v/>
      </c>
    </row>
    <row r="200" ht="13.5" customHeight="1" s="116">
      <c r="B200" s="144">
        <f>B170</f>
        <v/>
      </c>
      <c r="C200" s="139">
        <f>IF($O$8="sell",-1,1) *  IF($K$8="call",  NORMDIST(I200,0,1,1),  NORMDIST(I200,0,1,1)-1  ) * $P$8</f>
        <v/>
      </c>
      <c r="D200" s="139">
        <f>IF($O$8="sell",-1,1) * NORMDIST(I200,0,1,0)/(B200*$H$8*SQRT($J$8)) * $P$8</f>
        <v/>
      </c>
      <c r="E200" s="139">
        <f>IF($O$8="sell",-1,1) * (B200*NORMDIST(I200,0,1,0)*SQRT($J$8)/365) * $P$8</f>
        <v/>
      </c>
      <c r="F200" s="139">
        <f>IF($O$8="sell",-1,1) * (-(B200*NORMDIST(I200,0,1,0)*$H$8)/(2*SQRT($J$8))/365) *$P$8</f>
        <v/>
      </c>
      <c r="G200" s="139">
        <f>IF($O$8="buy",1,-1)*( IF($K$8="call",B200*NORMDIST(I200,0,1,1) - $B$8*NORMDIST(J200,0,1,1),$B$8*NORMDIST(-J200,0,1,1) - B200*NORMDIST(-I200,0,1,1) ) - $G$8) * $P$8</f>
        <v/>
      </c>
      <c r="I200" s="140">
        <f>(LN(B200/$B$8)+($H$8^2/2)*($J$8))/($H$8*SQRT($J$8))</f>
        <v/>
      </c>
      <c r="J200" s="140">
        <f>I200 - $H$8*SQRT($J$8)</f>
        <v/>
      </c>
    </row>
    <row r="201" ht="13.5" customHeight="1" s="116">
      <c r="B201" s="144">
        <f>B171</f>
        <v/>
      </c>
      <c r="C201" s="139">
        <f>IF($O$8="sell",-1,1) *  IF($K$8="call",  NORMDIST(I201,0,1,1),  NORMDIST(I201,0,1,1)-1  ) * $P$8</f>
        <v/>
      </c>
      <c r="D201" s="139">
        <f>IF($O$8="sell",-1,1) * NORMDIST(I201,0,1,0)/(B201*$H$8*SQRT($J$8)) * $P$8</f>
        <v/>
      </c>
      <c r="E201" s="139">
        <f>IF($O$8="sell",-1,1) * (B201*NORMDIST(I201,0,1,0)*SQRT($J$8)/365) * $P$8</f>
        <v/>
      </c>
      <c r="F201" s="139">
        <f>IF($O$8="sell",-1,1) * (-(B201*NORMDIST(I201,0,1,0)*$H$8)/(2*SQRT($J$8))/365) *$P$8</f>
        <v/>
      </c>
      <c r="G201" s="139">
        <f>IF($O$8="buy",1,-1)*( IF($K$8="call",B201*NORMDIST(I201,0,1,1) - $B$8*NORMDIST(J201,0,1,1),$B$8*NORMDIST(-J201,0,1,1) - B201*NORMDIST(-I201,0,1,1) ) - $G$8) * $P$8</f>
        <v/>
      </c>
      <c r="I201" s="140">
        <f>(LN(B201/$B$8)+($H$8^2/2)*($J$8))/($H$8*SQRT($J$8))</f>
        <v/>
      </c>
      <c r="J201" s="140">
        <f>I201 - $H$8*SQRT($J$8)</f>
        <v/>
      </c>
    </row>
    <row r="202" ht="13.5" customHeight="1" s="116">
      <c r="B202" s="144">
        <f>B172</f>
        <v/>
      </c>
      <c r="C202" s="139">
        <f>IF($O$8="sell",-1,1) *  IF($K$8="call",  NORMDIST(I202,0,1,1),  NORMDIST(I202,0,1,1)-1  ) * $P$8</f>
        <v/>
      </c>
      <c r="D202" s="139">
        <f>IF($O$8="sell",-1,1) * NORMDIST(I202,0,1,0)/(B202*$H$8*SQRT($J$8)) * $P$8</f>
        <v/>
      </c>
      <c r="E202" s="139">
        <f>IF($O$8="sell",-1,1) * (B202*NORMDIST(I202,0,1,0)*SQRT($J$8)/365) * $P$8</f>
        <v/>
      </c>
      <c r="F202" s="139">
        <f>IF($O$8="sell",-1,1) * (-(B202*NORMDIST(I202,0,1,0)*$H$8)/(2*SQRT($J$8))/365) *$P$8</f>
        <v/>
      </c>
      <c r="G202" s="139">
        <f>IF($O$8="buy",1,-1)*( IF($K$8="call",B202*NORMDIST(I202,0,1,1) - $B$8*NORMDIST(J202,0,1,1),$B$8*NORMDIST(-J202,0,1,1) - B202*NORMDIST(-I202,0,1,1) ) - $G$8) * $P$8</f>
        <v/>
      </c>
      <c r="I202" s="140">
        <f>(LN(B202/$B$8)+($H$8^2/2)*($J$8))/($H$8*SQRT($J$8))</f>
        <v/>
      </c>
      <c r="J202" s="140">
        <f>I202 - $H$8*SQRT($J$8)</f>
        <v/>
      </c>
    </row>
    <row r="203" ht="13.5" customHeight="1" s="116">
      <c r="B203" s="144">
        <f>B173</f>
        <v/>
      </c>
      <c r="C203" s="139">
        <f>IF($O$8="sell",-1,1) *  IF($K$8="call",  NORMDIST(I203,0,1,1),  NORMDIST(I203,0,1,1)-1  ) * $P$8</f>
        <v/>
      </c>
      <c r="D203" s="139">
        <f>IF($O$8="sell",-1,1) * NORMDIST(I203,0,1,0)/(B203*$H$8*SQRT($J$8)) * $P$8</f>
        <v/>
      </c>
      <c r="E203" s="139">
        <f>IF($O$8="sell",-1,1) * (B203*NORMDIST(I203,0,1,0)*SQRT($J$8)/365) * $P$8</f>
        <v/>
      </c>
      <c r="F203" s="139">
        <f>IF($O$8="sell",-1,1) * (-(B203*NORMDIST(I203,0,1,0)*$H$8)/(2*SQRT($J$8))/365) *$P$8</f>
        <v/>
      </c>
      <c r="G203" s="139">
        <f>IF($O$8="buy",1,-1)*( IF($K$8="call",B203*NORMDIST(I203,0,1,1) - $B$8*NORMDIST(J203,0,1,1),$B$8*NORMDIST(-J203,0,1,1) - B203*NORMDIST(-I203,0,1,1) ) - $G$8) * $P$8</f>
        <v/>
      </c>
      <c r="I203" s="140">
        <f>(LN(B203/$B$8)+($H$8^2/2)*($J$8))/($H$8*SQRT($J$8))</f>
        <v/>
      </c>
      <c r="J203" s="140">
        <f>I203 - $H$8*SQRT($J$8)</f>
        <v/>
      </c>
    </row>
    <row r="204" ht="13.5" customHeight="1" s="116">
      <c r="B204" s="144">
        <f>B174</f>
        <v/>
      </c>
      <c r="C204" s="139">
        <f>IF($O$8="sell",-1,1) *  IF($K$8="call",  NORMDIST(I204,0,1,1),  NORMDIST(I204,0,1,1)-1  ) * $P$8</f>
        <v/>
      </c>
      <c r="D204" s="139">
        <f>IF($O$8="sell",-1,1) * NORMDIST(I204,0,1,0)/(B204*$H$8*SQRT($J$8)) * $P$8</f>
        <v/>
      </c>
      <c r="E204" s="139">
        <f>IF($O$8="sell",-1,1) * (B204*NORMDIST(I204,0,1,0)*SQRT($J$8)/365) * $P$8</f>
        <v/>
      </c>
      <c r="F204" s="139">
        <f>IF($O$8="sell",-1,1) * (-(B204*NORMDIST(I204,0,1,0)*$H$8)/(2*SQRT($J$8))/365) *$P$8</f>
        <v/>
      </c>
      <c r="G204" s="139">
        <f>IF($O$8="buy",1,-1)*( IF($K$8="call",B204*NORMDIST(I204,0,1,1) - $B$8*NORMDIST(J204,0,1,1),$B$8*NORMDIST(-J204,0,1,1) - B204*NORMDIST(-I204,0,1,1) ) - $G$8) * $P$8</f>
        <v/>
      </c>
      <c r="I204" s="140">
        <f>(LN(B204/$B$8)+($H$8^2/2)*($J$8))/($H$8*SQRT($J$8))</f>
        <v/>
      </c>
      <c r="J204" s="140">
        <f>I204 - $H$8*SQRT($J$8)</f>
        <v/>
      </c>
    </row>
    <row r="205" ht="13.5" customHeight="1" s="116">
      <c r="B205" s="144">
        <f>B175</f>
        <v/>
      </c>
      <c r="C205" s="139">
        <f>IF($O$8="sell",-1,1) *  IF($K$8="call",  NORMDIST(I205,0,1,1),  NORMDIST(I205,0,1,1)-1  ) * $P$8</f>
        <v/>
      </c>
      <c r="D205" s="139">
        <f>IF($O$8="sell",-1,1) * NORMDIST(I205,0,1,0)/(B205*$H$8*SQRT($J$8)) * $P$8</f>
        <v/>
      </c>
      <c r="E205" s="139">
        <f>IF($O$8="sell",-1,1) * (B205*NORMDIST(I205,0,1,0)*SQRT($J$8)/365) * $P$8</f>
        <v/>
      </c>
      <c r="F205" s="139">
        <f>IF($O$8="sell",-1,1) * (-(B205*NORMDIST(I205,0,1,0)*$H$8)/(2*SQRT($J$8))/365) *$P$8</f>
        <v/>
      </c>
      <c r="G205" s="139">
        <f>IF($O$8="buy",1,-1)*( IF($K$8="call",B205*NORMDIST(I205,0,1,1) - $B$8*NORMDIST(J205,0,1,1),$B$8*NORMDIST(-J205,0,1,1) - B205*NORMDIST(-I205,0,1,1) ) - $G$8) * $P$8</f>
        <v/>
      </c>
      <c r="I205" s="140">
        <f>(LN(B205/$B$8)+($H$8^2/2)*($J$8))/($H$8*SQRT($J$8))</f>
        <v/>
      </c>
      <c r="J205" s="140">
        <f>I205 - $H$8*SQRT($J$8)</f>
        <v/>
      </c>
    </row>
    <row r="206" ht="13.5" customHeight="1" s="116">
      <c r="B206" s="144">
        <f>B176</f>
        <v/>
      </c>
      <c r="C206" s="139">
        <f>IF($O$8="sell",-1,1) *  IF($K$8="call",  NORMDIST(I206,0,1,1),  NORMDIST(I206,0,1,1)-1  ) * $P$8</f>
        <v/>
      </c>
      <c r="D206" s="139">
        <f>IF($O$8="sell",-1,1) * NORMDIST(I206,0,1,0)/(B206*$H$8*SQRT($J$8)) * $P$8</f>
        <v/>
      </c>
      <c r="E206" s="139">
        <f>IF($O$8="sell",-1,1) * (B206*NORMDIST(I206,0,1,0)*SQRT($J$8)/365) * $P$8</f>
        <v/>
      </c>
      <c r="F206" s="139">
        <f>IF($O$8="sell",-1,1) * (-(B206*NORMDIST(I206,0,1,0)*$H$8)/(2*SQRT($J$8))/365) *$P$8</f>
        <v/>
      </c>
      <c r="G206" s="139">
        <f>IF($O$8="buy",1,-1)*( IF($K$8="call",B206*NORMDIST(I206,0,1,1) - $B$8*NORMDIST(J206,0,1,1),$B$8*NORMDIST(-J206,0,1,1) - B206*NORMDIST(-I206,0,1,1) ) - $G$8) * $P$8</f>
        <v/>
      </c>
      <c r="I206" s="140">
        <f>(LN(B206/$B$8)+($H$8^2/2)*($J$8))/($H$8*SQRT($J$8))</f>
        <v/>
      </c>
      <c r="J206" s="140">
        <f>I206 - $H$8*SQRT($J$8)</f>
        <v/>
      </c>
    </row>
    <row r="207" ht="13.5" customHeight="1" s="116">
      <c r="B207" s="144">
        <f>B177</f>
        <v/>
      </c>
      <c r="C207" s="139">
        <f>IF($O$8="sell",-1,1) *  IF($K$8="call",  NORMDIST(I207,0,1,1),  NORMDIST(I207,0,1,1)-1  ) * $P$8</f>
        <v/>
      </c>
      <c r="D207" s="139">
        <f>IF($O$8="sell",-1,1) * NORMDIST(I207,0,1,0)/(B207*$H$8*SQRT($J$8)) * $P$8</f>
        <v/>
      </c>
      <c r="E207" s="139">
        <f>IF($O$8="sell",-1,1) * (B207*NORMDIST(I207,0,1,0)*SQRT($J$8)/365) * $P$8</f>
        <v/>
      </c>
      <c r="F207" s="139">
        <f>IF($O$8="sell",-1,1) * (-(B207*NORMDIST(I207,0,1,0)*$H$8)/(2*SQRT($J$8))/365) *$P$8</f>
        <v/>
      </c>
      <c r="G207" s="139">
        <f>IF($O$8="buy",1,-1)*( IF($K$8="call",B207*NORMDIST(I207,0,1,1) - $B$8*NORMDIST(J207,0,1,1),$B$8*NORMDIST(-J207,0,1,1) - B207*NORMDIST(-I207,0,1,1) ) - $G$8) * $P$8</f>
        <v/>
      </c>
      <c r="I207" s="140">
        <f>(LN(B207/$B$8)+($H$8^2/2)*($J$8))/($H$8*SQRT($J$8))</f>
        <v/>
      </c>
      <c r="J207" s="140">
        <f>I207 - $H$8*SQRT($J$8)</f>
        <v/>
      </c>
    </row>
    <row r="208" ht="13.5" customHeight="1" s="116">
      <c r="B208" s="144">
        <f>B178</f>
        <v/>
      </c>
      <c r="C208" s="139">
        <f>IF($O$8="sell",-1,1) *  IF($K$8="call",  NORMDIST(I208,0,1,1),  NORMDIST(I208,0,1,1)-1  ) * $P$8</f>
        <v/>
      </c>
      <c r="D208" s="139">
        <f>IF($O$8="sell",-1,1) * NORMDIST(I208,0,1,0)/(B208*$H$8*SQRT($J$8)) * $P$8</f>
        <v/>
      </c>
      <c r="E208" s="139">
        <f>IF($O$8="sell",-1,1) * (B208*NORMDIST(I208,0,1,0)*SQRT($J$8)/365) * $P$8</f>
        <v/>
      </c>
      <c r="F208" s="139">
        <f>IF($O$8="sell",-1,1) * (-(B208*NORMDIST(I208,0,1,0)*$H$8)/(2*SQRT($J$8))/365) *$P$8</f>
        <v/>
      </c>
      <c r="G208" s="139">
        <f>IF($O$8="buy",1,-1)*( IF($K$8="call",B208*NORMDIST(I208,0,1,1) - $B$8*NORMDIST(J208,0,1,1),$B$8*NORMDIST(-J208,0,1,1) - B208*NORMDIST(-I208,0,1,1) ) - $G$8) * $P$8</f>
        <v/>
      </c>
      <c r="I208" s="140">
        <f>(LN(B208/$B$8)+($H$8^2/2)*($J$8))/($H$8*SQRT($J$8))</f>
        <v/>
      </c>
      <c r="J208" s="140">
        <f>I208 - $H$8*SQRT($J$8)</f>
        <v/>
      </c>
    </row>
    <row r="209" ht="13.5" customHeight="1" s="116">
      <c r="B209" s="144">
        <f>B179</f>
        <v/>
      </c>
      <c r="C209" s="139">
        <f>IF($O$8="sell",-1,1) *  IF($K$8="call",  NORMDIST(I209,0,1,1),  NORMDIST(I209,0,1,1)-1  ) * $P$8</f>
        <v/>
      </c>
      <c r="D209" s="139">
        <f>IF($O$8="sell",-1,1) * NORMDIST(I209,0,1,0)/(B209*$H$8*SQRT($J$8)) * $P$8</f>
        <v/>
      </c>
      <c r="E209" s="139">
        <f>IF($O$8="sell",-1,1) * (B209*NORMDIST(I209,0,1,0)*SQRT($J$8)/365) * $P$8</f>
        <v/>
      </c>
      <c r="F209" s="139">
        <f>IF($O$8="sell",-1,1) * (-(B209*NORMDIST(I209,0,1,0)*$H$8)/(2*SQRT($J$8))/365) *$P$8</f>
        <v/>
      </c>
      <c r="G209" s="139">
        <f>IF($O$8="buy",1,-1)*( IF($K$8="call",B209*NORMDIST(I209,0,1,1) - $B$8*NORMDIST(J209,0,1,1),$B$8*NORMDIST(-J209,0,1,1) - B209*NORMDIST(-I209,0,1,1) ) - $G$8) * $P$8</f>
        <v/>
      </c>
      <c r="I209" s="140">
        <f>(LN(B209/$B$8)+($H$8^2/2)*($J$8))/($H$8*SQRT($J$8))</f>
        <v/>
      </c>
      <c r="J209" s="140">
        <f>I209 - $H$8*SQRT($J$8)</f>
        <v/>
      </c>
    </row>
    <row r="210" ht="13.5" customHeight="1" s="116">
      <c r="B210" s="144">
        <f>B180</f>
        <v/>
      </c>
      <c r="C210" s="139">
        <f>IF($O$8="sell",-1,1) *  IF($K$8="call",  NORMDIST(I210,0,1,1),  NORMDIST(I210,0,1,1)-1  ) * $P$8</f>
        <v/>
      </c>
      <c r="D210" s="139">
        <f>IF($O$8="sell",-1,1) * NORMDIST(I210,0,1,0)/(B210*$H$8*SQRT($J$8)) * $P$8</f>
        <v/>
      </c>
      <c r="E210" s="139">
        <f>IF($O$8="sell",-1,1) * (B210*NORMDIST(I210,0,1,0)*SQRT($J$8)/365) * $P$8</f>
        <v/>
      </c>
      <c r="F210" s="139">
        <f>IF($O$8="sell",-1,1) * (-(B210*NORMDIST(I210,0,1,0)*$H$8)/(2*SQRT($J$8))/365) *$P$8</f>
        <v/>
      </c>
      <c r="G210" s="139">
        <f>IF($O$8="buy",1,-1)*( IF($K$8="call",B210*NORMDIST(I210,0,1,1) - $B$8*NORMDIST(J210,0,1,1),$B$8*NORMDIST(-J210,0,1,1) - B210*NORMDIST(-I210,0,1,1) ) - $G$8) * $P$8</f>
        <v/>
      </c>
      <c r="I210" s="140">
        <f>(LN(B210/$B$8)+($H$8^2/2)*($J$8))/($H$8*SQRT($J$8))</f>
        <v/>
      </c>
      <c r="J210" s="140">
        <f>I210 - $H$8*SQRT($J$8)</f>
        <v/>
      </c>
    </row>
    <row r="211" ht="13.5" customHeight="1" s="116">
      <c r="B211" s="144">
        <f>B181</f>
        <v/>
      </c>
      <c r="C211" s="139">
        <f>IF($O$8="sell",-1,1) *  IF($K$8="call",  NORMDIST(I211,0,1,1),  NORMDIST(I211,0,1,1)-1  ) * $P$8</f>
        <v/>
      </c>
      <c r="D211" s="139">
        <f>IF($O$8="sell",-1,1) * NORMDIST(I211,0,1,0)/(B211*$H$8*SQRT($J$8)) * $P$8</f>
        <v/>
      </c>
      <c r="E211" s="139">
        <f>IF($O$8="sell",-1,1) * (B211*NORMDIST(I211,0,1,0)*SQRT($J$8)/365) * $P$8</f>
        <v/>
      </c>
      <c r="F211" s="139">
        <f>IF($O$8="sell",-1,1) * (-(B211*NORMDIST(I211,0,1,0)*$H$8)/(2*SQRT($J$8))/365) *$P$8</f>
        <v/>
      </c>
      <c r="G211" s="139">
        <f>IF($O$8="buy",1,-1)*( IF($K$8="call",B211*NORMDIST(I211,0,1,1) - $B$8*NORMDIST(J211,0,1,1),$B$8*NORMDIST(-J211,0,1,1) - B211*NORMDIST(-I211,0,1,1) ) - $G$8) * $P$8</f>
        <v/>
      </c>
      <c r="I211" s="140">
        <f>(LN(B211/$B$8)+($H$8^2/2)*($J$8))/($H$8*SQRT($J$8))</f>
        <v/>
      </c>
      <c r="J211" s="140">
        <f>I211 - $H$8*SQRT($J$8)</f>
        <v/>
      </c>
    </row>
    <row r="212" ht="13.5" customHeight="1" s="116">
      <c r="B212" s="144">
        <f>B182</f>
        <v/>
      </c>
      <c r="C212" s="139">
        <f>IF($O$8="sell",-1,1) *  IF($K$8="call",  NORMDIST(I212,0,1,1),  NORMDIST(I212,0,1,1)-1  ) * $P$8</f>
        <v/>
      </c>
      <c r="D212" s="139">
        <f>IF($O$8="sell",-1,1) * NORMDIST(I212,0,1,0)/(B212*$H$8*SQRT($J$8)) * $P$8</f>
        <v/>
      </c>
      <c r="E212" s="139">
        <f>IF($O$8="sell",-1,1) * (B212*NORMDIST(I212,0,1,0)*SQRT($J$8)/365) * $P$8</f>
        <v/>
      </c>
      <c r="F212" s="139">
        <f>IF($O$8="sell",-1,1) * (-(B212*NORMDIST(I212,0,1,0)*$H$8)/(2*SQRT($J$8))/365) *$P$8</f>
        <v/>
      </c>
      <c r="G212" s="139">
        <f>IF($O$8="buy",1,-1)*( IF($K$8="call",B212*NORMDIST(I212,0,1,1) - $B$8*NORMDIST(J212,0,1,1),$B$8*NORMDIST(-J212,0,1,1) - B212*NORMDIST(-I212,0,1,1) ) - $G$8) * $P$8</f>
        <v/>
      </c>
      <c r="I212" s="140">
        <f>(LN(B212/$B$8)+($H$8^2/2)*($J$8))/($H$8*SQRT($J$8))</f>
        <v/>
      </c>
      <c r="J212" s="140">
        <f>I212 - $H$8*SQRT($J$8)</f>
        <v/>
      </c>
    </row>
    <row r="213" ht="13.5" customHeight="1" s="116">
      <c r="B213" s="144">
        <f>B183</f>
        <v/>
      </c>
      <c r="C213" s="139">
        <f>IF($O$8="sell",-1,1) *  IF($K$8="call",  NORMDIST(I213,0,1,1),  NORMDIST(I213,0,1,1)-1  ) * $P$8</f>
        <v/>
      </c>
      <c r="D213" s="139">
        <f>IF($O$8="sell",-1,1) * NORMDIST(I213,0,1,0)/(B213*$H$8*SQRT($J$8)) * $P$8</f>
        <v/>
      </c>
      <c r="E213" s="139">
        <f>IF($O$8="sell",-1,1) * (B213*NORMDIST(I213,0,1,0)*SQRT($J$8)/365) * $P$8</f>
        <v/>
      </c>
      <c r="F213" s="139">
        <f>IF($O$8="sell",-1,1) * (-(B213*NORMDIST(I213,0,1,0)*$H$8)/(2*SQRT($J$8))/365) *$P$8</f>
        <v/>
      </c>
      <c r="G213" s="139">
        <f>IF($O$8="buy",1,-1)*( IF($K$8="call",B213*NORMDIST(I213,0,1,1) - $B$8*NORMDIST(J213,0,1,1),$B$8*NORMDIST(-J213,0,1,1) - B213*NORMDIST(-I213,0,1,1) ) - $G$8) * $P$8</f>
        <v/>
      </c>
      <c r="I213" s="140">
        <f>(LN(B213/$B$8)+($H$8^2/2)*($J$8))/($H$8*SQRT($J$8))</f>
        <v/>
      </c>
      <c r="J213" s="140">
        <f>I213 - $H$8*SQRT($J$8)</f>
        <v/>
      </c>
    </row>
    <row r="214" ht="13.5" customHeight="1" s="116">
      <c r="B214" s="144">
        <f>B184</f>
        <v/>
      </c>
      <c r="C214" s="139">
        <f>IF($O$8="sell",-1,1) *  IF($K$8="call",  NORMDIST(I214,0,1,1),  NORMDIST(I214,0,1,1)-1  ) * $P$8</f>
        <v/>
      </c>
      <c r="D214" s="139">
        <f>IF($O$8="sell",-1,1) * NORMDIST(I214,0,1,0)/(B214*$H$8*SQRT($J$8)) * $P$8</f>
        <v/>
      </c>
      <c r="E214" s="139">
        <f>IF($O$8="sell",-1,1) * (B214*NORMDIST(I214,0,1,0)*SQRT($J$8)/365) * $P$8</f>
        <v/>
      </c>
      <c r="F214" s="139">
        <f>IF($O$8="sell",-1,1) * (-(B214*NORMDIST(I214,0,1,0)*$H$8)/(2*SQRT($J$8))/365) *$P$8</f>
        <v/>
      </c>
      <c r="G214" s="139">
        <f>IF($O$8="buy",1,-1)*( IF($K$8="call",B214*NORMDIST(I214,0,1,1) - $B$8*NORMDIST(J214,0,1,1),$B$8*NORMDIST(-J214,0,1,1) - B214*NORMDIST(-I214,0,1,1) ) - $G$8) * $P$8</f>
        <v/>
      </c>
      <c r="I214" s="140">
        <f>(LN(B214/$B$8)+($H$8^2/2)*($J$8))/($H$8*SQRT($J$8))</f>
        <v/>
      </c>
      <c r="J214" s="140">
        <f>I214 - $H$8*SQRT($J$8)</f>
        <v/>
      </c>
    </row>
    <row r="215" ht="13.5" customHeight="1" s="116">
      <c r="B215" s="144">
        <f>B185</f>
        <v/>
      </c>
      <c r="C215" s="139">
        <f>IF($O$8="sell",-1,1) *  IF($K$8="call",  NORMDIST(I215,0,1,1),  NORMDIST(I215,0,1,1)-1  ) * $P$8</f>
        <v/>
      </c>
      <c r="D215" s="139">
        <f>IF($O$8="sell",-1,1) * NORMDIST(I215,0,1,0)/(B215*$H$8*SQRT($J$8)) * $P$8</f>
        <v/>
      </c>
      <c r="E215" s="139">
        <f>IF($O$8="sell",-1,1) * (B215*NORMDIST(I215,0,1,0)*SQRT($J$8)/365) * $P$8</f>
        <v/>
      </c>
      <c r="F215" s="139">
        <f>IF($O$8="sell",-1,1) * (-(B215*NORMDIST(I215,0,1,0)*$H$8)/(2*SQRT($J$8))/365) *$P$8</f>
        <v/>
      </c>
      <c r="G215" s="139">
        <f>IF($O$8="buy",1,-1)*( IF($K$8="call",B215*NORMDIST(I215,0,1,1) - $B$8*NORMDIST(J215,0,1,1),$B$8*NORMDIST(-J215,0,1,1) - B215*NORMDIST(-I215,0,1,1) ) - $G$8) * $P$8</f>
        <v/>
      </c>
      <c r="I215" s="140">
        <f>(LN(B215/$B$8)+($H$8^2/2)*($J$8))/($H$8*SQRT($J$8))</f>
        <v/>
      </c>
      <c r="J215" s="140">
        <f>I215 - $H$8*SQRT($J$8)</f>
        <v/>
      </c>
    </row>
    <row r="216" ht="13.5" customHeight="1" s="116">
      <c r="B216" s="144">
        <f>B186</f>
        <v/>
      </c>
      <c r="C216" s="139">
        <f>IF($O$8="sell",-1,1) *  IF($K$8="call",  NORMDIST(I216,0,1,1),  NORMDIST(I216,0,1,1)-1  ) * $P$8</f>
        <v/>
      </c>
      <c r="D216" s="139">
        <f>IF($O$8="sell",-1,1) * NORMDIST(I216,0,1,0)/(B216*$H$8*SQRT($J$8)) * $P$8</f>
        <v/>
      </c>
      <c r="E216" s="139">
        <f>IF($O$8="sell",-1,1) * (B216*NORMDIST(I216,0,1,0)*SQRT($J$8)/365) * $P$8</f>
        <v/>
      </c>
      <c r="F216" s="139">
        <f>IF($O$8="sell",-1,1) * (-(B216*NORMDIST(I216,0,1,0)*$H$8)/(2*SQRT($J$8))/365) *$P$8</f>
        <v/>
      </c>
      <c r="G216" s="139">
        <f>IF($O$8="buy",1,-1)*( IF($K$8="call",B216*NORMDIST(I216,0,1,1) - $B$8*NORMDIST(J216,0,1,1),$B$8*NORMDIST(-J216,0,1,1) - B216*NORMDIST(-I216,0,1,1) ) - $G$8) * $P$8</f>
        <v/>
      </c>
      <c r="I216" s="140">
        <f>(LN(B216/$B$8)+($H$8^2/2)*($J$8))/($H$8*SQRT($J$8))</f>
        <v/>
      </c>
      <c r="J216" s="140">
        <f>I216 - $H$8*SQRT($J$8)</f>
        <v/>
      </c>
    </row>
    <row r="217" ht="13.5" customHeight="1" s="116">
      <c r="B217" s="144">
        <f>B187</f>
        <v/>
      </c>
      <c r="C217" s="139">
        <f>IF($O$8="sell",-1,1) *  IF($K$8="call",  NORMDIST(I217,0,1,1),  NORMDIST(I217,0,1,1)-1  ) * $P$8</f>
        <v/>
      </c>
      <c r="D217" s="139">
        <f>IF($O$8="sell",-1,1) * NORMDIST(I217,0,1,0)/(B217*$H$8*SQRT($J$8)) * $P$8</f>
        <v/>
      </c>
      <c r="E217" s="139">
        <f>IF($O$8="sell",-1,1) * (B217*NORMDIST(I217,0,1,0)*SQRT($J$8)/365) * $P$8</f>
        <v/>
      </c>
      <c r="F217" s="139">
        <f>IF($O$8="sell",-1,1) * (-(B217*NORMDIST(I217,0,1,0)*$H$8)/(2*SQRT($J$8))/365) *$P$8</f>
        <v/>
      </c>
      <c r="G217" s="139">
        <f>IF($O$8="buy",1,-1)*( IF($K$8="call",B217*NORMDIST(I217,0,1,1) - $B$8*NORMDIST(J217,0,1,1),$B$8*NORMDIST(-J217,0,1,1) - B217*NORMDIST(-I217,0,1,1) ) - $G$8) * $P$8</f>
        <v/>
      </c>
      <c r="I217" s="140">
        <f>(LN(B217/$B$8)+($H$8^2/2)*($J$8))/($H$8*SQRT($J$8))</f>
        <v/>
      </c>
      <c r="J217" s="140">
        <f>I217 - $H$8*SQRT($J$8)</f>
        <v/>
      </c>
    </row>
    <row r="218" ht="13.5" customHeight="1" s="116">
      <c r="B218" s="144">
        <f>B188</f>
        <v/>
      </c>
      <c r="C218" s="139">
        <f>IF($O$8="sell",-1,1) *  IF($K$8="call",  NORMDIST(I218,0,1,1),  NORMDIST(I218,0,1,1)-1  ) * $P$8</f>
        <v/>
      </c>
      <c r="D218" s="139">
        <f>IF($O$8="sell",-1,1) * NORMDIST(I218,0,1,0)/(B218*$H$8*SQRT($J$8)) * $P$8</f>
        <v/>
      </c>
      <c r="E218" s="139">
        <f>IF($O$8="sell",-1,1) * (B218*NORMDIST(I218,0,1,0)*SQRT($J$8)/365) * $P$8</f>
        <v/>
      </c>
      <c r="F218" s="139">
        <f>IF($O$8="sell",-1,1) * (-(B218*NORMDIST(I218,0,1,0)*$H$8)/(2*SQRT($J$8))/365) *$P$8</f>
        <v/>
      </c>
      <c r="G218" s="139">
        <f>IF($O$8="buy",1,-1)*( IF($K$8="call",B218*NORMDIST(I218,0,1,1) - $B$8*NORMDIST(J218,0,1,1),$B$8*NORMDIST(-J218,0,1,1) - B218*NORMDIST(-I218,0,1,1) ) - $G$8) * $P$8</f>
        <v/>
      </c>
      <c r="I218" s="140">
        <f>(LN(B218/$B$8)+($H$8^2/2)*($J$8))/($H$8*SQRT($J$8))</f>
        <v/>
      </c>
      <c r="J218" s="140">
        <f>I218 - $H$8*SQRT($J$8)</f>
        <v/>
      </c>
    </row>
    <row r="219" ht="13.5" customHeight="1" s="116">
      <c r="B219" s="144">
        <f>B189</f>
        <v/>
      </c>
      <c r="C219" s="139">
        <f>IF($O$8="sell",-1,1) *  IF($K$8="call",  NORMDIST(I219,0,1,1),  NORMDIST(I219,0,1,1)-1  ) * $P$8</f>
        <v/>
      </c>
      <c r="D219" s="139">
        <f>IF($O$8="sell",-1,1) * NORMDIST(I219,0,1,0)/(B219*$H$8*SQRT($J$8)) * $P$8</f>
        <v/>
      </c>
      <c r="E219" s="139">
        <f>IF($O$8="sell",-1,1) * (B219*NORMDIST(I219,0,1,0)*SQRT($J$8)/365) * $P$8</f>
        <v/>
      </c>
      <c r="F219" s="139">
        <f>IF($O$8="sell",-1,1) * (-(B219*NORMDIST(I219,0,1,0)*$H$8)/(2*SQRT($J$8))/365) *$P$8</f>
        <v/>
      </c>
      <c r="G219" s="139">
        <f>IF($O$8="buy",1,-1)*( IF($K$8="call",B219*NORMDIST(I219,0,1,1) - $B$8*NORMDIST(J219,0,1,1),$B$8*NORMDIST(-J219,0,1,1) - B219*NORMDIST(-I219,0,1,1) ) - $G$8) * $P$8</f>
        <v/>
      </c>
      <c r="I219" s="140">
        <f>(LN(B219/$B$8)+($H$8^2/2)*($J$8))/($H$8*SQRT($J$8))</f>
        <v/>
      </c>
      <c r="J219" s="140">
        <f>I219 - $H$8*SQRT($J$8)</f>
        <v/>
      </c>
    </row>
    <row r="220" ht="13.5" customHeight="1" s="116">
      <c r="B220" s="144">
        <f>B190</f>
        <v/>
      </c>
      <c r="C220" s="139">
        <f>IF($O$8="sell",-1,1) *  IF($K$8="call",  NORMDIST(I220,0,1,1),  NORMDIST(I220,0,1,1)-1  ) * $P$8</f>
        <v/>
      </c>
      <c r="D220" s="139">
        <f>IF($O$8="sell",-1,1) * NORMDIST(I220,0,1,0)/(B220*$H$8*SQRT($J$8)) * $P$8</f>
        <v/>
      </c>
      <c r="E220" s="139">
        <f>IF($O$8="sell",-1,1) * (B220*NORMDIST(I220,0,1,0)*SQRT($J$8)/365) * $P$8</f>
        <v/>
      </c>
      <c r="F220" s="139">
        <f>IF($O$8="sell",-1,1) * (-(B220*NORMDIST(I220,0,1,0)*$H$8)/(2*SQRT($J$8))/365) *$P$8</f>
        <v/>
      </c>
      <c r="G220" s="139">
        <f>IF($O$8="buy",1,-1)*( IF($K$8="call",B220*NORMDIST(I220,0,1,1) - $B$8*NORMDIST(J220,0,1,1),$B$8*NORMDIST(-J220,0,1,1) - B220*NORMDIST(-I220,0,1,1) ) - $G$8) * $P$8</f>
        <v/>
      </c>
      <c r="I220" s="140">
        <f>(LN(B220/$B$8)+($H$8^2/2)*($J$8))/($H$8*SQRT($J$8))</f>
        <v/>
      </c>
      <c r="J220" s="140">
        <f>I220 - $H$8*SQRT($J$8)</f>
        <v/>
      </c>
    </row>
    <row r="221" ht="13.5" customHeight="1" s="116">
      <c r="B221" s="145" t="n"/>
      <c r="C221" s="136" t="n"/>
      <c r="D221" s="136" t="n"/>
      <c r="E221" s="136" t="n"/>
      <c r="F221" s="136" t="n"/>
      <c r="G221" s="136" t="n"/>
      <c r="I221" s="146" t="n"/>
      <c r="J221" s="146" t="n"/>
    </row>
    <row r="222" ht="13.5" customHeight="1" s="116">
      <c r="B222" s="145" t="n"/>
      <c r="C222" s="136" t="n"/>
      <c r="D222" s="136" t="n"/>
      <c r="E222" s="136" t="n"/>
      <c r="F222" s="136" t="n"/>
      <c r="G222" s="136" t="n"/>
      <c r="I222" s="146" t="n"/>
      <c r="J222" s="146" t="n"/>
    </row>
    <row r="223" ht="13.5" customHeight="1" s="116">
      <c r="B223" s="137" t="n"/>
      <c r="C223" s="133" t="inlineStr">
        <is>
          <t>delta</t>
        </is>
      </c>
      <c r="D223" s="133" t="inlineStr">
        <is>
          <t>gamma</t>
        </is>
      </c>
      <c r="E223" s="133" t="inlineStr">
        <is>
          <t>vega</t>
        </is>
      </c>
      <c r="F223" s="133" t="inlineStr">
        <is>
          <t>theta</t>
        </is>
      </c>
      <c r="G223" s="133" t="inlineStr">
        <is>
          <t>mark_price</t>
        </is>
      </c>
      <c r="I223" s="133" t="inlineStr">
        <is>
          <t>d1</t>
        </is>
      </c>
      <c r="J223" s="133" t="inlineStr">
        <is>
          <t>d2</t>
        </is>
      </c>
    </row>
    <row r="224" ht="13.5" customHeight="1" s="116">
      <c r="A224" s="117">
        <f>A9</f>
        <v/>
      </c>
      <c r="B224" s="144">
        <f>B194</f>
        <v/>
      </c>
      <c r="C224" s="139">
        <f>IF($O$9="sell",-1,1) *  IF($K$9="call",  NORMDIST(I224,0,1,1),  NORMDIST(I224,0,1,1)-1  ) * $P$9</f>
        <v/>
      </c>
      <c r="D224" s="139">
        <f>IF($O$9="sell",-1,1) * NORMDIST(I224,0,1,0)/(B224*$H$9*SQRT($J$9)) * $P$9</f>
        <v/>
      </c>
      <c r="E224" s="139">
        <f>IF($O$9="sell",-1,1) * (B224*NORMDIST(I224,0,1,0)*SQRT($J$9)/365) * $P$9</f>
        <v/>
      </c>
      <c r="F224" s="139">
        <f>IF($O$9="sell",-1,1) * (-(B224*NORMDIST(I224,0,1,0)*$H$9)/(2*SQRT($J$9))/365) *$P$9</f>
        <v/>
      </c>
      <c r="G224" s="139">
        <f>IF($O$9="buy",1,-1)*( IF($K$9="call",B224*NORMDIST(I224,0,1,1) - $B$9*NORMDIST(J224,0,1,1),$B$9*NORMDIST(-J224,0,1,1) - B224*NORMDIST(-I224,0,1,1) ) - $G$9) * $P$9</f>
        <v/>
      </c>
      <c r="I224" s="140">
        <f>(LN(B224/$B$9)+($H$9^2/2)*($J$9))/($H$9*SQRT($J$9))</f>
        <v/>
      </c>
      <c r="J224" s="140">
        <f>I224 - $H$9*SQRT($J$9)</f>
        <v/>
      </c>
    </row>
    <row r="225" ht="13.5" customHeight="1" s="116">
      <c r="B225" s="144">
        <f>B195</f>
        <v/>
      </c>
      <c r="C225" s="139">
        <f>IF($O$9="sell",-1,1) *  IF($K$9="call",  NORMDIST(I225,0,1,1),  NORMDIST(I225,0,1,1)-1  ) * $P$9</f>
        <v/>
      </c>
      <c r="D225" s="139">
        <f>IF($O$9="sell",-1,1) * NORMDIST(I225,0,1,0)/(B225*$H$9*SQRT($J$9)) * $P$9</f>
        <v/>
      </c>
      <c r="E225" s="139">
        <f>IF($O$9="sell",-1,1) * (B225*NORMDIST(I225,0,1,0)*SQRT($J$9)/365) * $P$9</f>
        <v/>
      </c>
      <c r="F225" s="139">
        <f>IF($O$9="sell",-1,1) * (-(B225*NORMDIST(I225,0,1,0)*$H$9)/(2*SQRT($J$9))/365) *$P$9</f>
        <v/>
      </c>
      <c r="G225" s="139">
        <f>IF($O$9="buy",1,-1)*( IF($K$9="call",B225*NORMDIST(I225,0,1,1) - $B$9*NORMDIST(J225,0,1,1),$B$9*NORMDIST(-J225,0,1,1) - B225*NORMDIST(-I225,0,1,1) ) - $G$9) * $P$9</f>
        <v/>
      </c>
      <c r="I225" s="140">
        <f>(LN(B225/$B$9)+($H$9^2/2)*($J$9))/($H$9*SQRT($J$9))</f>
        <v/>
      </c>
      <c r="J225" s="140">
        <f>I225 - $H$9*SQRT($J$9)</f>
        <v/>
      </c>
    </row>
    <row r="226" ht="13.5" customHeight="1" s="116">
      <c r="B226" s="144">
        <f>B196</f>
        <v/>
      </c>
      <c r="C226" s="139">
        <f>IF($O$9="sell",-1,1) *  IF($K$9="call",  NORMDIST(I226,0,1,1),  NORMDIST(I226,0,1,1)-1  ) * $P$9</f>
        <v/>
      </c>
      <c r="D226" s="139">
        <f>IF($O$9="sell",-1,1) * NORMDIST(I226,0,1,0)/(B226*$H$9*SQRT($J$9)) * $P$9</f>
        <v/>
      </c>
      <c r="E226" s="139">
        <f>IF($O$9="sell",-1,1) * (B226*NORMDIST(I226,0,1,0)*SQRT($J$9)/365) * $P$9</f>
        <v/>
      </c>
      <c r="F226" s="139">
        <f>IF($O$9="sell",-1,1) * (-(B226*NORMDIST(I226,0,1,0)*$H$9)/(2*SQRT($J$9))/365) *$P$9</f>
        <v/>
      </c>
      <c r="G226" s="139">
        <f>IF($O$9="buy",1,-1)*( IF($K$9="call",B226*NORMDIST(I226,0,1,1) - $B$9*NORMDIST(J226,0,1,1),$B$9*NORMDIST(-J226,0,1,1) - B226*NORMDIST(-I226,0,1,1) ) - $G$9) * $P$9</f>
        <v/>
      </c>
      <c r="I226" s="140">
        <f>(LN(B226/$B$9)+($H$9^2/2)*($J$9))/($H$9*SQRT($J$9))</f>
        <v/>
      </c>
      <c r="J226" s="140">
        <f>I226 - $H$9*SQRT($J$9)</f>
        <v/>
      </c>
    </row>
    <row r="227" ht="13.5" customHeight="1" s="116">
      <c r="B227" s="144">
        <f>B197</f>
        <v/>
      </c>
      <c r="C227" s="139">
        <f>IF($O$9="sell",-1,1) *  IF($K$9="call",  NORMDIST(I227,0,1,1),  NORMDIST(I227,0,1,1)-1  ) * $P$9</f>
        <v/>
      </c>
      <c r="D227" s="139">
        <f>IF($O$9="sell",-1,1) * NORMDIST(I227,0,1,0)/(B227*$H$9*SQRT($J$9)) * $P$9</f>
        <v/>
      </c>
      <c r="E227" s="139">
        <f>IF($O$9="sell",-1,1) * (B227*NORMDIST(I227,0,1,0)*SQRT($J$9)/365) * $P$9</f>
        <v/>
      </c>
      <c r="F227" s="139">
        <f>IF($O$9="sell",-1,1) * (-(B227*NORMDIST(I227,0,1,0)*$H$9)/(2*SQRT($J$9))/365) *$P$9</f>
        <v/>
      </c>
      <c r="G227" s="139">
        <f>IF($O$9="buy",1,-1)*( IF($K$9="call",B227*NORMDIST(I227,0,1,1) - $B$9*NORMDIST(J227,0,1,1),$B$9*NORMDIST(-J227,0,1,1) - B227*NORMDIST(-I227,0,1,1) ) - $G$9) * $P$9</f>
        <v/>
      </c>
      <c r="I227" s="140">
        <f>(LN(B227/$B$9)+($H$9^2/2)*($J$9))/($H$9*SQRT($J$9))</f>
        <v/>
      </c>
      <c r="J227" s="140">
        <f>I227 - $H$9*SQRT($J$9)</f>
        <v/>
      </c>
    </row>
    <row r="228" ht="13.5" customHeight="1" s="116">
      <c r="B228" s="144">
        <f>B198</f>
        <v/>
      </c>
      <c r="C228" s="139">
        <f>IF($O$9="sell",-1,1) *  IF($K$9="call",  NORMDIST(I228,0,1,1),  NORMDIST(I228,0,1,1)-1  ) * $P$9</f>
        <v/>
      </c>
      <c r="D228" s="139">
        <f>IF($O$9="sell",-1,1) * NORMDIST(I228,0,1,0)/(B228*$H$9*SQRT($J$9)) * $P$9</f>
        <v/>
      </c>
      <c r="E228" s="139">
        <f>IF($O$9="sell",-1,1) * (B228*NORMDIST(I228,0,1,0)*SQRT($J$9)/365) * $P$9</f>
        <v/>
      </c>
      <c r="F228" s="139">
        <f>IF($O$9="sell",-1,1) * (-(B228*NORMDIST(I228,0,1,0)*$H$9)/(2*SQRT($J$9))/365) *$P$9</f>
        <v/>
      </c>
      <c r="G228" s="139">
        <f>IF($O$9="buy",1,-1)*( IF($K$9="call",B228*NORMDIST(I228,0,1,1) - $B$9*NORMDIST(J228,0,1,1),$B$9*NORMDIST(-J228,0,1,1) - B228*NORMDIST(-I228,0,1,1) ) - $G$9) * $P$9</f>
        <v/>
      </c>
      <c r="I228" s="140">
        <f>(LN(B228/$B$9)+($H$9^2/2)*($J$9))/($H$9*SQRT($J$9))</f>
        <v/>
      </c>
      <c r="J228" s="140">
        <f>I228 - $H$9*SQRT($J$9)</f>
        <v/>
      </c>
    </row>
    <row r="229" ht="13.5" customHeight="1" s="116">
      <c r="B229" s="144">
        <f>B199</f>
        <v/>
      </c>
      <c r="C229" s="139">
        <f>IF($O$9="sell",-1,1) *  IF($K$9="call",  NORMDIST(I229,0,1,1),  NORMDIST(I229,0,1,1)-1  ) * $P$9</f>
        <v/>
      </c>
      <c r="D229" s="139">
        <f>IF($O$9="sell",-1,1) * NORMDIST(I229,0,1,0)/(B229*$H$9*SQRT($J$9)) * $P$9</f>
        <v/>
      </c>
      <c r="E229" s="139">
        <f>IF($O$9="sell",-1,1) * (B229*NORMDIST(I229,0,1,0)*SQRT($J$9)/365) * $P$9</f>
        <v/>
      </c>
      <c r="F229" s="139">
        <f>IF($O$9="sell",-1,1) * (-(B229*NORMDIST(I229,0,1,0)*$H$9)/(2*SQRT($J$9))/365) *$P$9</f>
        <v/>
      </c>
      <c r="G229" s="139">
        <f>IF($O$9="buy",1,-1)*( IF($K$9="call",B229*NORMDIST(I229,0,1,1) - $B$9*NORMDIST(J229,0,1,1),$B$9*NORMDIST(-J229,0,1,1) - B229*NORMDIST(-I229,0,1,1) ) - $G$9) * $P$9</f>
        <v/>
      </c>
      <c r="I229" s="140">
        <f>(LN(B229/$B$9)+($H$9^2/2)*($J$9))/($H$9*SQRT($J$9))</f>
        <v/>
      </c>
      <c r="J229" s="140">
        <f>I229 - $H$9*SQRT($J$9)</f>
        <v/>
      </c>
    </row>
    <row r="230" ht="13.5" customHeight="1" s="116">
      <c r="B230" s="144">
        <f>B200</f>
        <v/>
      </c>
      <c r="C230" s="139">
        <f>IF($O$9="sell",-1,1) *  IF($K$9="call",  NORMDIST(I230,0,1,1),  NORMDIST(I230,0,1,1)-1  ) * $P$9</f>
        <v/>
      </c>
      <c r="D230" s="139">
        <f>IF($O$9="sell",-1,1) * NORMDIST(I230,0,1,0)/(B230*$H$9*SQRT($J$9)) * $P$9</f>
        <v/>
      </c>
      <c r="E230" s="139">
        <f>IF($O$9="sell",-1,1) * (B230*NORMDIST(I230,0,1,0)*SQRT($J$9)/365) * $P$9</f>
        <v/>
      </c>
      <c r="F230" s="139">
        <f>IF($O$9="sell",-1,1) * (-(B230*NORMDIST(I230,0,1,0)*$H$9)/(2*SQRT($J$9))/365) *$P$9</f>
        <v/>
      </c>
      <c r="G230" s="139">
        <f>IF($O$9="buy",1,-1)*( IF($K$9="call",B230*NORMDIST(I230,0,1,1) - $B$9*NORMDIST(J230,0,1,1),$B$9*NORMDIST(-J230,0,1,1) - B230*NORMDIST(-I230,0,1,1) ) - $G$9) * $P$9</f>
        <v/>
      </c>
      <c r="I230" s="140">
        <f>(LN(B230/$B$9)+($H$9^2/2)*($J$9))/($H$9*SQRT($J$9))</f>
        <v/>
      </c>
      <c r="J230" s="140">
        <f>I230 - $H$9*SQRT($J$9)</f>
        <v/>
      </c>
    </row>
    <row r="231" ht="13.5" customHeight="1" s="116">
      <c r="B231" s="144">
        <f>B201</f>
        <v/>
      </c>
      <c r="C231" s="139">
        <f>IF($O$9="sell",-1,1) *  IF($K$9="call",  NORMDIST(I231,0,1,1),  NORMDIST(I231,0,1,1)-1  ) * $P$9</f>
        <v/>
      </c>
      <c r="D231" s="139">
        <f>IF($O$9="sell",-1,1) * NORMDIST(I231,0,1,0)/(B231*$H$9*SQRT($J$9)) * $P$9</f>
        <v/>
      </c>
      <c r="E231" s="139">
        <f>IF($O$9="sell",-1,1) * (B231*NORMDIST(I231,0,1,0)*SQRT($J$9)/365) * $P$9</f>
        <v/>
      </c>
      <c r="F231" s="139">
        <f>IF($O$9="sell",-1,1) * (-(B231*NORMDIST(I231,0,1,0)*$H$9)/(2*SQRT($J$9))/365) *$P$9</f>
        <v/>
      </c>
      <c r="G231" s="139">
        <f>IF($O$9="buy",1,-1)*( IF($K$9="call",B231*NORMDIST(I231,0,1,1) - $B$9*NORMDIST(J231,0,1,1),$B$9*NORMDIST(-J231,0,1,1) - B231*NORMDIST(-I231,0,1,1) ) - $G$9) * $P$9</f>
        <v/>
      </c>
      <c r="I231" s="140">
        <f>(LN(B231/$B$9)+($H$9^2/2)*($J$9))/($H$9*SQRT($J$9))</f>
        <v/>
      </c>
      <c r="J231" s="140">
        <f>I231 - $H$9*SQRT($J$9)</f>
        <v/>
      </c>
    </row>
    <row r="232" ht="13.5" customHeight="1" s="116">
      <c r="B232" s="144">
        <f>B202</f>
        <v/>
      </c>
      <c r="C232" s="139">
        <f>IF($O$9="sell",-1,1) *  IF($K$9="call",  NORMDIST(I232,0,1,1),  NORMDIST(I232,0,1,1)-1  ) * $P$9</f>
        <v/>
      </c>
      <c r="D232" s="139">
        <f>IF($O$9="sell",-1,1) * NORMDIST(I232,0,1,0)/(B232*$H$9*SQRT($J$9)) * $P$9</f>
        <v/>
      </c>
      <c r="E232" s="139">
        <f>IF($O$9="sell",-1,1) * (B232*NORMDIST(I232,0,1,0)*SQRT($J$9)/365) * $P$9</f>
        <v/>
      </c>
      <c r="F232" s="139">
        <f>IF($O$9="sell",-1,1) * (-(B232*NORMDIST(I232,0,1,0)*$H$9)/(2*SQRT($J$9))/365) *$P$9</f>
        <v/>
      </c>
      <c r="G232" s="139">
        <f>IF($O$9="buy",1,-1)*( IF($K$9="call",B232*NORMDIST(I232,0,1,1) - $B$9*NORMDIST(J232,0,1,1),$B$9*NORMDIST(-J232,0,1,1) - B232*NORMDIST(-I232,0,1,1) ) - $G$9) * $P$9</f>
        <v/>
      </c>
      <c r="I232" s="140">
        <f>(LN(B232/$B$9)+($H$9^2/2)*($J$9))/($H$9*SQRT($J$9))</f>
        <v/>
      </c>
      <c r="J232" s="140">
        <f>I232 - $H$9*SQRT($J$9)</f>
        <v/>
      </c>
    </row>
    <row r="233" ht="13.5" customHeight="1" s="116">
      <c r="B233" s="144">
        <f>B203</f>
        <v/>
      </c>
      <c r="C233" s="139">
        <f>IF($O$9="sell",-1,1) *  IF($K$9="call",  NORMDIST(I233,0,1,1),  NORMDIST(I233,0,1,1)-1  ) * $P$9</f>
        <v/>
      </c>
      <c r="D233" s="139">
        <f>IF($O$9="sell",-1,1) * NORMDIST(I233,0,1,0)/(B233*$H$9*SQRT($J$9)) * $P$9</f>
        <v/>
      </c>
      <c r="E233" s="139">
        <f>IF($O$9="sell",-1,1) * (B233*NORMDIST(I233,0,1,0)*SQRT($J$9)/365) * $P$9</f>
        <v/>
      </c>
      <c r="F233" s="139">
        <f>IF($O$9="sell",-1,1) * (-(B233*NORMDIST(I233,0,1,0)*$H$9)/(2*SQRT($J$9))/365) *$P$9</f>
        <v/>
      </c>
      <c r="G233" s="139">
        <f>IF($O$9="buy",1,-1)*( IF($K$9="call",B233*NORMDIST(I233,0,1,1) - $B$9*NORMDIST(J233,0,1,1),$B$9*NORMDIST(-J233,0,1,1) - B233*NORMDIST(-I233,0,1,1) ) - $G$9) * $P$9</f>
        <v/>
      </c>
      <c r="I233" s="140">
        <f>(LN(B233/$B$9)+($H$9^2/2)*($J$9))/($H$9*SQRT($J$9))</f>
        <v/>
      </c>
      <c r="J233" s="140">
        <f>I233 - $H$9*SQRT($J$9)</f>
        <v/>
      </c>
    </row>
    <row r="234" ht="13.5" customHeight="1" s="116">
      <c r="B234" s="144">
        <f>B204</f>
        <v/>
      </c>
      <c r="C234" s="139">
        <f>IF($O$9="sell",-1,1) *  IF($K$9="call",  NORMDIST(I234,0,1,1),  NORMDIST(I234,0,1,1)-1  ) * $P$9</f>
        <v/>
      </c>
      <c r="D234" s="139">
        <f>IF($O$9="sell",-1,1) * NORMDIST(I234,0,1,0)/(B234*$H$9*SQRT($J$9)) * $P$9</f>
        <v/>
      </c>
      <c r="E234" s="139">
        <f>IF($O$9="sell",-1,1) * (B234*NORMDIST(I234,0,1,0)*SQRT($J$9)/365) * $P$9</f>
        <v/>
      </c>
      <c r="F234" s="139">
        <f>IF($O$9="sell",-1,1) * (-(B234*NORMDIST(I234,0,1,0)*$H$9)/(2*SQRT($J$9))/365) *$P$9</f>
        <v/>
      </c>
      <c r="G234" s="139">
        <f>IF($O$9="buy",1,-1)*( IF($K$9="call",B234*NORMDIST(I234,0,1,1) - $B$9*NORMDIST(J234,0,1,1),$B$9*NORMDIST(-J234,0,1,1) - B234*NORMDIST(-I234,0,1,1) ) - $G$9) * $P$9</f>
        <v/>
      </c>
      <c r="I234" s="140">
        <f>(LN(B234/$B$9)+($H$9^2/2)*($J$9))/($H$9*SQRT($J$9))</f>
        <v/>
      </c>
      <c r="J234" s="140">
        <f>I234 - $H$9*SQRT($J$9)</f>
        <v/>
      </c>
    </row>
    <row r="235" ht="13.5" customHeight="1" s="116">
      <c r="B235" s="144">
        <f>B205</f>
        <v/>
      </c>
      <c r="C235" s="139">
        <f>IF($O$9="sell",-1,1) *  IF($K$9="call",  NORMDIST(I235,0,1,1),  NORMDIST(I235,0,1,1)-1  ) * $P$9</f>
        <v/>
      </c>
      <c r="D235" s="139">
        <f>IF($O$9="sell",-1,1) * NORMDIST(I235,0,1,0)/(B235*$H$9*SQRT($J$9)) * $P$9</f>
        <v/>
      </c>
      <c r="E235" s="139">
        <f>IF($O$9="sell",-1,1) * (B235*NORMDIST(I235,0,1,0)*SQRT($J$9)/365) * $P$9</f>
        <v/>
      </c>
      <c r="F235" s="139">
        <f>IF($O$9="sell",-1,1) * (-(B235*NORMDIST(I235,0,1,0)*$H$9)/(2*SQRT($J$9))/365) *$P$9</f>
        <v/>
      </c>
      <c r="G235" s="139">
        <f>IF($O$9="buy",1,-1)*( IF($K$9="call",B235*NORMDIST(I235,0,1,1) - $B$9*NORMDIST(J235,0,1,1),$B$9*NORMDIST(-J235,0,1,1) - B235*NORMDIST(-I235,0,1,1) ) - $G$9) * $P$9</f>
        <v/>
      </c>
      <c r="I235" s="140">
        <f>(LN(B235/$B$9)+($H$9^2/2)*($J$9))/($H$9*SQRT($J$9))</f>
        <v/>
      </c>
      <c r="J235" s="140">
        <f>I235 - $H$9*SQRT($J$9)</f>
        <v/>
      </c>
    </row>
    <row r="236" ht="13.5" customHeight="1" s="116">
      <c r="B236" s="144">
        <f>B206</f>
        <v/>
      </c>
      <c r="C236" s="139">
        <f>IF($O$9="sell",-1,1) *  IF($K$9="call",  NORMDIST(I236,0,1,1),  NORMDIST(I236,0,1,1)-1  ) * $P$9</f>
        <v/>
      </c>
      <c r="D236" s="139">
        <f>IF($O$9="sell",-1,1) * NORMDIST(I236,0,1,0)/(B236*$H$9*SQRT($J$9)) * $P$9</f>
        <v/>
      </c>
      <c r="E236" s="139">
        <f>IF($O$9="sell",-1,1) * (B236*NORMDIST(I236,0,1,0)*SQRT($J$9)/365) * $P$9</f>
        <v/>
      </c>
      <c r="F236" s="139">
        <f>IF($O$9="sell",-1,1) * (-(B236*NORMDIST(I236,0,1,0)*$H$9)/(2*SQRT($J$9))/365) *$P$9</f>
        <v/>
      </c>
      <c r="G236" s="139">
        <f>IF($O$9="buy",1,-1)*( IF($K$9="call",B236*NORMDIST(I236,0,1,1) - $B$9*NORMDIST(J236,0,1,1),$B$9*NORMDIST(-J236,0,1,1) - B236*NORMDIST(-I236,0,1,1) ) - $G$9) * $P$9</f>
        <v/>
      </c>
      <c r="I236" s="140">
        <f>(LN(B236/$B$9)+($H$9^2/2)*($J$9))/($H$9*SQRT($J$9))</f>
        <v/>
      </c>
      <c r="J236" s="140">
        <f>I236 - $H$9*SQRT($J$9)</f>
        <v/>
      </c>
    </row>
    <row r="237" ht="13.5" customHeight="1" s="116">
      <c r="B237" s="144">
        <f>B207</f>
        <v/>
      </c>
      <c r="C237" s="139">
        <f>IF($O$9="sell",-1,1) *  IF($K$9="call",  NORMDIST(I237,0,1,1),  NORMDIST(I237,0,1,1)-1  ) * $P$9</f>
        <v/>
      </c>
      <c r="D237" s="139">
        <f>IF($O$9="sell",-1,1) * NORMDIST(I237,0,1,0)/(B237*$H$9*SQRT($J$9)) * $P$9</f>
        <v/>
      </c>
      <c r="E237" s="139">
        <f>IF($O$9="sell",-1,1) * (B237*NORMDIST(I237,0,1,0)*SQRT($J$9)/365) * $P$9</f>
        <v/>
      </c>
      <c r="F237" s="139">
        <f>IF($O$9="sell",-1,1) * (-(B237*NORMDIST(I237,0,1,0)*$H$9)/(2*SQRT($J$9))/365) *$P$9</f>
        <v/>
      </c>
      <c r="G237" s="139">
        <f>IF($O$9="buy",1,-1)*( IF($K$9="call",B237*NORMDIST(I237,0,1,1) - $B$9*NORMDIST(J237,0,1,1),$B$9*NORMDIST(-J237,0,1,1) - B237*NORMDIST(-I237,0,1,1) ) - $G$9) * $P$9</f>
        <v/>
      </c>
      <c r="I237" s="140">
        <f>(LN(B237/$B$9)+($H$9^2/2)*($J$9))/($H$9*SQRT($J$9))</f>
        <v/>
      </c>
      <c r="J237" s="140">
        <f>I237 - $H$9*SQRT($J$9)</f>
        <v/>
      </c>
    </row>
    <row r="238" ht="13.5" customHeight="1" s="116">
      <c r="B238" s="144">
        <f>B208</f>
        <v/>
      </c>
      <c r="C238" s="139">
        <f>IF($O$9="sell",-1,1) *  IF($K$9="call",  NORMDIST(I238,0,1,1),  NORMDIST(I238,0,1,1)-1  ) * $P$9</f>
        <v/>
      </c>
      <c r="D238" s="139">
        <f>IF($O$9="sell",-1,1) * NORMDIST(I238,0,1,0)/(B238*$H$9*SQRT($J$9)) * $P$9</f>
        <v/>
      </c>
      <c r="E238" s="139">
        <f>IF($O$9="sell",-1,1) * (B238*NORMDIST(I238,0,1,0)*SQRT($J$9)/365) * $P$9</f>
        <v/>
      </c>
      <c r="F238" s="139">
        <f>IF($O$9="sell",-1,1) * (-(B238*NORMDIST(I238,0,1,0)*$H$9)/(2*SQRT($J$9))/365) *$P$9</f>
        <v/>
      </c>
      <c r="G238" s="139">
        <f>IF($O$9="buy",1,-1)*( IF($K$9="call",B238*NORMDIST(I238,0,1,1) - $B$9*NORMDIST(J238,0,1,1),$B$9*NORMDIST(-J238,0,1,1) - B238*NORMDIST(-I238,0,1,1) ) - $G$9) * $P$9</f>
        <v/>
      </c>
      <c r="I238" s="140">
        <f>(LN(B238/$B$9)+($H$9^2/2)*($J$9))/($H$9*SQRT($J$9))</f>
        <v/>
      </c>
      <c r="J238" s="140">
        <f>I238 - $H$9*SQRT($J$9)</f>
        <v/>
      </c>
    </row>
    <row r="239" ht="13.5" customHeight="1" s="116">
      <c r="B239" s="144">
        <f>B209</f>
        <v/>
      </c>
      <c r="C239" s="139">
        <f>IF($O$9="sell",-1,1) *  IF($K$9="call",  NORMDIST(I239,0,1,1),  NORMDIST(I239,0,1,1)-1  ) * $P$9</f>
        <v/>
      </c>
      <c r="D239" s="139">
        <f>IF($O$9="sell",-1,1) * NORMDIST(I239,0,1,0)/(B239*$H$9*SQRT($J$9)) * $P$9</f>
        <v/>
      </c>
      <c r="E239" s="139">
        <f>IF($O$9="sell",-1,1) * (B239*NORMDIST(I239,0,1,0)*SQRT($J$9)/365) * $P$9</f>
        <v/>
      </c>
      <c r="F239" s="139">
        <f>IF($O$9="sell",-1,1) * (-(B239*NORMDIST(I239,0,1,0)*$H$9)/(2*SQRT($J$9))/365) *$P$9</f>
        <v/>
      </c>
      <c r="G239" s="139">
        <f>IF($O$9="buy",1,-1)*( IF($K$9="call",B239*NORMDIST(I239,0,1,1) - $B$9*NORMDIST(J239,0,1,1),$B$9*NORMDIST(-J239,0,1,1) - B239*NORMDIST(-I239,0,1,1) ) - $G$9) * $P$9</f>
        <v/>
      </c>
      <c r="I239" s="140">
        <f>(LN(B239/$B$9)+($H$9^2/2)*($J$9))/($H$9*SQRT($J$9))</f>
        <v/>
      </c>
      <c r="J239" s="140">
        <f>I239 - $H$9*SQRT($J$9)</f>
        <v/>
      </c>
    </row>
    <row r="240" ht="13.5" customHeight="1" s="116">
      <c r="B240" s="144">
        <f>B210</f>
        <v/>
      </c>
      <c r="C240" s="139">
        <f>IF($O$9="sell",-1,1) *  IF($K$9="call",  NORMDIST(I240,0,1,1),  NORMDIST(I240,0,1,1)-1  ) * $P$9</f>
        <v/>
      </c>
      <c r="D240" s="139">
        <f>IF($O$9="sell",-1,1) * NORMDIST(I240,0,1,0)/(B240*$H$9*SQRT($J$9)) * $P$9</f>
        <v/>
      </c>
      <c r="E240" s="139">
        <f>IF($O$9="sell",-1,1) * (B240*NORMDIST(I240,0,1,0)*SQRT($J$9)/365) * $P$9</f>
        <v/>
      </c>
      <c r="F240" s="139">
        <f>IF($O$9="sell",-1,1) * (-(B240*NORMDIST(I240,0,1,0)*$H$9)/(2*SQRT($J$9))/365) *$P$9</f>
        <v/>
      </c>
      <c r="G240" s="139">
        <f>IF($O$9="buy",1,-1)*( IF($K$9="call",B240*NORMDIST(I240,0,1,1) - $B$9*NORMDIST(J240,0,1,1),$B$9*NORMDIST(-J240,0,1,1) - B240*NORMDIST(-I240,0,1,1) ) - $G$9) * $P$9</f>
        <v/>
      </c>
      <c r="I240" s="140">
        <f>(LN(B240/$B$9)+($H$9^2/2)*($J$9))/($H$9*SQRT($J$9))</f>
        <v/>
      </c>
      <c r="J240" s="140">
        <f>I240 - $H$9*SQRT($J$9)</f>
        <v/>
      </c>
    </row>
    <row r="241" ht="13.5" customHeight="1" s="116">
      <c r="B241" s="144">
        <f>B211</f>
        <v/>
      </c>
      <c r="C241" s="139">
        <f>IF($O$9="sell",-1,1) *  IF($K$9="call",  NORMDIST(I241,0,1,1),  NORMDIST(I241,0,1,1)-1  ) * $P$9</f>
        <v/>
      </c>
      <c r="D241" s="139">
        <f>IF($O$9="sell",-1,1) * NORMDIST(I241,0,1,0)/(B241*$H$9*SQRT($J$9)) * $P$9</f>
        <v/>
      </c>
      <c r="E241" s="139">
        <f>IF($O$9="sell",-1,1) * (B241*NORMDIST(I241,0,1,0)*SQRT($J$9)/365) * $P$9</f>
        <v/>
      </c>
      <c r="F241" s="139">
        <f>IF($O$9="sell",-1,1) * (-(B241*NORMDIST(I241,0,1,0)*$H$9)/(2*SQRT($J$9))/365) *$P$9</f>
        <v/>
      </c>
      <c r="G241" s="139">
        <f>IF($O$9="buy",1,-1)*( IF($K$9="call",B241*NORMDIST(I241,0,1,1) - $B$9*NORMDIST(J241,0,1,1),$B$9*NORMDIST(-J241,0,1,1) - B241*NORMDIST(-I241,0,1,1) ) - $G$9) * $P$9</f>
        <v/>
      </c>
      <c r="I241" s="140">
        <f>(LN(B241/$B$9)+($H$9^2/2)*($J$9))/($H$9*SQRT($J$9))</f>
        <v/>
      </c>
      <c r="J241" s="140">
        <f>I241 - $H$9*SQRT($J$9)</f>
        <v/>
      </c>
    </row>
    <row r="242" ht="13.5" customHeight="1" s="116">
      <c r="B242" s="144">
        <f>B212</f>
        <v/>
      </c>
      <c r="C242" s="139">
        <f>IF($O$9="sell",-1,1) *  IF($K$9="call",  NORMDIST(I242,0,1,1),  NORMDIST(I242,0,1,1)-1  ) * $P$9</f>
        <v/>
      </c>
      <c r="D242" s="139">
        <f>IF($O$9="sell",-1,1) * NORMDIST(I242,0,1,0)/(B242*$H$9*SQRT($J$9)) * $P$9</f>
        <v/>
      </c>
      <c r="E242" s="139">
        <f>IF($O$9="sell",-1,1) * (B242*NORMDIST(I242,0,1,0)*SQRT($J$9)/365) * $P$9</f>
        <v/>
      </c>
      <c r="F242" s="139">
        <f>IF($O$9="sell",-1,1) * (-(B242*NORMDIST(I242,0,1,0)*$H$9)/(2*SQRT($J$9))/365) *$P$9</f>
        <v/>
      </c>
      <c r="G242" s="139">
        <f>IF($O$9="buy",1,-1)*( IF($K$9="call",B242*NORMDIST(I242,0,1,1) - $B$9*NORMDIST(J242,0,1,1),$B$9*NORMDIST(-J242,0,1,1) - B242*NORMDIST(-I242,0,1,1) ) - $G$9) * $P$9</f>
        <v/>
      </c>
      <c r="I242" s="140">
        <f>(LN(B242/$B$9)+($H$9^2/2)*($J$9))/($H$9*SQRT($J$9))</f>
        <v/>
      </c>
      <c r="J242" s="140">
        <f>I242 - $H$9*SQRT($J$9)</f>
        <v/>
      </c>
    </row>
    <row r="243" ht="13.5" customHeight="1" s="116">
      <c r="B243" s="144">
        <f>B213</f>
        <v/>
      </c>
      <c r="C243" s="139">
        <f>IF($O$9="sell",-1,1) *  IF($K$9="call",  NORMDIST(I243,0,1,1),  NORMDIST(I243,0,1,1)-1  ) * $P$9</f>
        <v/>
      </c>
      <c r="D243" s="139">
        <f>IF($O$9="sell",-1,1) * NORMDIST(I243,0,1,0)/(B243*$H$9*SQRT($J$9)) * $P$9</f>
        <v/>
      </c>
      <c r="E243" s="139">
        <f>IF($O$9="sell",-1,1) * (B243*NORMDIST(I243,0,1,0)*SQRT($J$9)/365) * $P$9</f>
        <v/>
      </c>
      <c r="F243" s="139">
        <f>IF($O$9="sell",-1,1) * (-(B243*NORMDIST(I243,0,1,0)*$H$9)/(2*SQRT($J$9))/365) *$P$9</f>
        <v/>
      </c>
      <c r="G243" s="139">
        <f>IF($O$9="buy",1,-1)*( IF($K$9="call",B243*NORMDIST(I243,0,1,1) - $B$9*NORMDIST(J243,0,1,1),$B$9*NORMDIST(-J243,0,1,1) - B243*NORMDIST(-I243,0,1,1) ) - $G$9) * $P$9</f>
        <v/>
      </c>
      <c r="I243" s="140">
        <f>(LN(B243/$B$9)+($H$9^2/2)*($J$9))/($H$9*SQRT($J$9))</f>
        <v/>
      </c>
      <c r="J243" s="140">
        <f>I243 - $H$9*SQRT($J$9)</f>
        <v/>
      </c>
    </row>
    <row r="244" ht="13.5" customHeight="1" s="116">
      <c r="B244" s="144">
        <f>B214</f>
        <v/>
      </c>
      <c r="C244" s="139">
        <f>IF($O$9="sell",-1,1) *  IF($K$9="call",  NORMDIST(I244,0,1,1),  NORMDIST(I244,0,1,1)-1  ) * $P$9</f>
        <v/>
      </c>
      <c r="D244" s="139">
        <f>IF($O$9="sell",-1,1) * NORMDIST(I244,0,1,0)/(B244*$H$9*SQRT($J$9)) * $P$9</f>
        <v/>
      </c>
      <c r="E244" s="139">
        <f>IF($O$9="sell",-1,1) * (B244*NORMDIST(I244,0,1,0)*SQRT($J$9)/365) * $P$9</f>
        <v/>
      </c>
      <c r="F244" s="139">
        <f>IF($O$9="sell",-1,1) * (-(B244*NORMDIST(I244,0,1,0)*$H$9)/(2*SQRT($J$9))/365) *$P$9</f>
        <v/>
      </c>
      <c r="G244" s="139">
        <f>IF($O$9="buy",1,-1)*( IF($K$9="call",B244*NORMDIST(I244,0,1,1) - $B$9*NORMDIST(J244,0,1,1),$B$9*NORMDIST(-J244,0,1,1) - B244*NORMDIST(-I244,0,1,1) ) - $G$9) * $P$9</f>
        <v/>
      </c>
      <c r="I244" s="140">
        <f>(LN(B244/$B$9)+($H$9^2/2)*($J$9))/($H$9*SQRT($J$9))</f>
        <v/>
      </c>
      <c r="J244" s="140">
        <f>I244 - $H$9*SQRT($J$9)</f>
        <v/>
      </c>
    </row>
    <row r="245" ht="13.5" customHeight="1" s="116">
      <c r="B245" s="144">
        <f>B215</f>
        <v/>
      </c>
      <c r="C245" s="139">
        <f>IF($O$9="sell",-1,1) *  IF($K$9="call",  NORMDIST(I245,0,1,1),  NORMDIST(I245,0,1,1)-1  ) * $P$9</f>
        <v/>
      </c>
      <c r="D245" s="139">
        <f>IF($O$9="sell",-1,1) * NORMDIST(I245,0,1,0)/(B245*$H$9*SQRT($J$9)) * $P$9</f>
        <v/>
      </c>
      <c r="E245" s="139">
        <f>IF($O$9="sell",-1,1) * (B245*NORMDIST(I245,0,1,0)*SQRT($J$9)/365) * $P$9</f>
        <v/>
      </c>
      <c r="F245" s="139">
        <f>IF($O$9="sell",-1,1) * (-(B245*NORMDIST(I245,0,1,0)*$H$9)/(2*SQRT($J$9))/365) *$P$9</f>
        <v/>
      </c>
      <c r="G245" s="139">
        <f>IF($O$9="buy",1,-1)*( IF($K$9="call",B245*NORMDIST(I245,0,1,1) - $B$9*NORMDIST(J245,0,1,1),$B$9*NORMDIST(-J245,0,1,1) - B245*NORMDIST(-I245,0,1,1) ) - $G$9) * $P$9</f>
        <v/>
      </c>
      <c r="I245" s="140">
        <f>(LN(B245/$B$9)+($H$9^2/2)*($J$9))/($H$9*SQRT($J$9))</f>
        <v/>
      </c>
      <c r="J245" s="140">
        <f>I245 - $H$9*SQRT($J$9)</f>
        <v/>
      </c>
    </row>
    <row r="246" ht="13.5" customHeight="1" s="116">
      <c r="B246" s="144">
        <f>B216</f>
        <v/>
      </c>
      <c r="C246" s="139">
        <f>IF($O$9="sell",-1,1) *  IF($K$9="call",  NORMDIST(I246,0,1,1),  NORMDIST(I246,0,1,1)-1  ) * $P$9</f>
        <v/>
      </c>
      <c r="D246" s="139">
        <f>IF($O$9="sell",-1,1) * NORMDIST(I246,0,1,0)/(B246*$H$9*SQRT($J$9)) * $P$9</f>
        <v/>
      </c>
      <c r="E246" s="139">
        <f>IF($O$9="sell",-1,1) * (B246*NORMDIST(I246,0,1,0)*SQRT($J$9)/365) * $P$9</f>
        <v/>
      </c>
      <c r="F246" s="139">
        <f>IF($O$9="sell",-1,1) * (-(B246*NORMDIST(I246,0,1,0)*$H$9)/(2*SQRT($J$9))/365) *$P$9</f>
        <v/>
      </c>
      <c r="G246" s="139">
        <f>IF($O$9="buy",1,-1)*( IF($K$9="call",B246*NORMDIST(I246,0,1,1) - $B$9*NORMDIST(J246,0,1,1),$B$9*NORMDIST(-J246,0,1,1) - B246*NORMDIST(-I246,0,1,1) ) - $G$9) * $P$9</f>
        <v/>
      </c>
      <c r="I246" s="140">
        <f>(LN(B246/$B$9)+($H$9^2/2)*($J$9))/($H$9*SQRT($J$9))</f>
        <v/>
      </c>
      <c r="J246" s="140">
        <f>I246 - $H$9*SQRT($J$9)</f>
        <v/>
      </c>
    </row>
    <row r="247" ht="13.5" customHeight="1" s="116">
      <c r="B247" s="144">
        <f>B217</f>
        <v/>
      </c>
      <c r="C247" s="139">
        <f>IF($O$9="sell",-1,1) *  IF($K$9="call",  NORMDIST(I247,0,1,1),  NORMDIST(I247,0,1,1)-1  ) * $P$9</f>
        <v/>
      </c>
      <c r="D247" s="139">
        <f>IF($O$9="sell",-1,1) * NORMDIST(I247,0,1,0)/(B247*$H$9*SQRT($J$9)) * $P$9</f>
        <v/>
      </c>
      <c r="E247" s="139">
        <f>IF($O$9="sell",-1,1) * (B247*NORMDIST(I247,0,1,0)*SQRT($J$9)/365) * $P$9</f>
        <v/>
      </c>
      <c r="F247" s="139">
        <f>IF($O$9="sell",-1,1) * (-(B247*NORMDIST(I247,0,1,0)*$H$9)/(2*SQRT($J$9))/365) *$P$9</f>
        <v/>
      </c>
      <c r="G247" s="139">
        <f>IF($O$9="buy",1,-1)*( IF($K$9="call",B247*NORMDIST(I247,0,1,1) - $B$9*NORMDIST(J247,0,1,1),$B$9*NORMDIST(-J247,0,1,1) - B247*NORMDIST(-I247,0,1,1) ) - $G$9) * $P$9</f>
        <v/>
      </c>
      <c r="I247" s="140">
        <f>(LN(B247/$B$9)+($H$9^2/2)*($J$9))/($H$9*SQRT($J$9))</f>
        <v/>
      </c>
      <c r="J247" s="140">
        <f>I247 - $H$9*SQRT($J$9)</f>
        <v/>
      </c>
    </row>
    <row r="248" ht="13.5" customHeight="1" s="116">
      <c r="B248" s="144">
        <f>B218</f>
        <v/>
      </c>
      <c r="C248" s="139">
        <f>IF($O$9="sell",-1,1) *  IF($K$9="call",  NORMDIST(I248,0,1,1),  NORMDIST(I248,0,1,1)-1  ) * $P$9</f>
        <v/>
      </c>
      <c r="D248" s="139">
        <f>IF($O$9="sell",-1,1) * NORMDIST(I248,0,1,0)/(B248*$H$9*SQRT($J$9)) * $P$9</f>
        <v/>
      </c>
      <c r="E248" s="139">
        <f>IF($O$9="sell",-1,1) * (B248*NORMDIST(I248,0,1,0)*SQRT($J$9)/365) * $P$9</f>
        <v/>
      </c>
      <c r="F248" s="139">
        <f>IF($O$9="sell",-1,1) * (-(B248*NORMDIST(I248,0,1,0)*$H$9)/(2*SQRT($J$9))/365) *$P$9</f>
        <v/>
      </c>
      <c r="G248" s="139">
        <f>IF($O$9="buy",1,-1)*( IF($K$9="call",B248*NORMDIST(I248,0,1,1) - $B$9*NORMDIST(J248,0,1,1),$B$9*NORMDIST(-J248,0,1,1) - B248*NORMDIST(-I248,0,1,1) ) - $G$9) * $P$9</f>
        <v/>
      </c>
      <c r="I248" s="140">
        <f>(LN(B248/$B$9)+($H$9^2/2)*($J$9))/($H$9*SQRT($J$9))</f>
        <v/>
      </c>
      <c r="J248" s="140">
        <f>I248 - $H$9*SQRT($J$9)</f>
        <v/>
      </c>
    </row>
    <row r="249" ht="13.5" customHeight="1" s="116">
      <c r="B249" s="144">
        <f>B219</f>
        <v/>
      </c>
      <c r="C249" s="139">
        <f>IF($O$9="sell",-1,1) *  IF($K$9="call",  NORMDIST(I249,0,1,1),  NORMDIST(I249,0,1,1)-1  ) * $P$9</f>
        <v/>
      </c>
      <c r="D249" s="139">
        <f>IF($O$9="sell",-1,1) * NORMDIST(I249,0,1,0)/(B249*$H$9*SQRT($J$9)) * $P$9</f>
        <v/>
      </c>
      <c r="E249" s="139">
        <f>IF($O$9="sell",-1,1) * (B249*NORMDIST(I249,0,1,0)*SQRT($J$9)/365) * $P$9</f>
        <v/>
      </c>
      <c r="F249" s="139">
        <f>IF($O$9="sell",-1,1) * (-(B249*NORMDIST(I249,0,1,0)*$H$9)/(2*SQRT($J$9))/365) *$P$9</f>
        <v/>
      </c>
      <c r="G249" s="139">
        <f>IF($O$9="buy",1,-1)*( IF($K$9="call",B249*NORMDIST(I249,0,1,1) - $B$9*NORMDIST(J249,0,1,1),$B$9*NORMDIST(-J249,0,1,1) - B249*NORMDIST(-I249,0,1,1) ) - $G$9) * $P$9</f>
        <v/>
      </c>
      <c r="I249" s="140">
        <f>(LN(B249/$B$9)+($H$9^2/2)*($J$9))/($H$9*SQRT($J$9))</f>
        <v/>
      </c>
      <c r="J249" s="140">
        <f>I249 - $H$9*SQRT($J$9)</f>
        <v/>
      </c>
    </row>
    <row r="250" ht="13.5" customHeight="1" s="116">
      <c r="B250" s="144">
        <f>B220</f>
        <v/>
      </c>
      <c r="C250" s="139">
        <f>IF($O$9="sell",-1,1) *  IF($K$9="call",  NORMDIST(I250,0,1,1),  NORMDIST(I250,0,1,1)-1  ) * $P$9</f>
        <v/>
      </c>
      <c r="D250" s="139">
        <f>IF($O$9="sell",-1,1) * NORMDIST(I250,0,1,0)/(B250*$H$9*SQRT($J$9)) * $P$9</f>
        <v/>
      </c>
      <c r="E250" s="139">
        <f>IF($O$9="sell",-1,1) * (B250*NORMDIST(I250,0,1,0)*SQRT($J$9)/365) * $P$9</f>
        <v/>
      </c>
      <c r="F250" s="139">
        <f>IF($O$9="sell",-1,1) * (-(B250*NORMDIST(I250,0,1,0)*$H$9)/(2*SQRT($J$9))/365) *$P$9</f>
        <v/>
      </c>
      <c r="G250" s="139">
        <f>IF($O$9="buy",1,-1)*( IF($K$9="call",B250*NORMDIST(I250,0,1,1) - $B$9*NORMDIST(J250,0,1,1),$B$9*NORMDIST(-J250,0,1,1) - B250*NORMDIST(-I250,0,1,1) ) - $G$9) * $P$9</f>
        <v/>
      </c>
      <c r="I250" s="140">
        <f>(LN(B250/$B$9)+($H$9^2/2)*($J$9))/($H$9*SQRT($J$9))</f>
        <v/>
      </c>
      <c r="J250" s="140">
        <f>I250 - $H$9*SQRT($J$9)</f>
        <v/>
      </c>
    </row>
    <row r="251" ht="13.5" customHeight="1" s="116">
      <c r="B251" s="145" t="n"/>
      <c r="C251" s="136" t="n"/>
      <c r="D251" s="136" t="n"/>
      <c r="E251" s="136" t="n"/>
      <c r="F251" s="136" t="n"/>
      <c r="G251" s="136" t="n"/>
      <c r="I251" s="146" t="n"/>
      <c r="J251" s="146" t="n"/>
    </row>
    <row r="252" ht="13.5" customHeight="1" s="116">
      <c r="B252" s="145" t="n"/>
      <c r="C252" s="136" t="n"/>
      <c r="D252" s="136" t="n"/>
      <c r="E252" s="136" t="n"/>
      <c r="F252" s="136" t="n"/>
      <c r="G252" s="136" t="n"/>
      <c r="I252" s="146" t="n"/>
      <c r="J252" s="146" t="n"/>
    </row>
    <row r="253" ht="13.5" customHeight="1" s="116">
      <c r="B253" s="137" t="n"/>
      <c r="C253" s="133" t="inlineStr">
        <is>
          <t>delta</t>
        </is>
      </c>
      <c r="D253" s="133" t="inlineStr">
        <is>
          <t>gamma</t>
        </is>
      </c>
      <c r="E253" s="133" t="inlineStr">
        <is>
          <t>vega</t>
        </is>
      </c>
      <c r="F253" s="133" t="inlineStr">
        <is>
          <t>theta</t>
        </is>
      </c>
      <c r="G253" s="133" t="inlineStr">
        <is>
          <t>mark_price</t>
        </is>
      </c>
      <c r="I253" s="133" t="inlineStr">
        <is>
          <t>d1</t>
        </is>
      </c>
      <c r="J253" s="133" t="inlineStr">
        <is>
          <t>d2</t>
        </is>
      </c>
    </row>
    <row r="254" ht="13.5" customHeight="1" s="116">
      <c r="A254" s="117">
        <f>A10</f>
        <v/>
      </c>
      <c r="B254" s="144">
        <f>B224</f>
        <v/>
      </c>
      <c r="C254" s="139">
        <f>IF($O$10="sell",-1,1) *  IF($K$10="call",  NORMDIST(I254,0,1,1),  NORMDIST(I254,0,1,1)-1  ) * $P$10</f>
        <v/>
      </c>
      <c r="D254" s="139">
        <f>IF($O$10="sell",-1,1) * NORMDIST(I254,0,1,0)/(B254*$H$10*SQRT($J$10)) * $P$10</f>
        <v/>
      </c>
      <c r="E254" s="139">
        <f>IF($O$10="sell",-1,1) * (B254*NORMDIST(I254,0,1,0)*SQRT($J$10)/365) * $P$10</f>
        <v/>
      </c>
      <c r="F254" s="139">
        <f>IF($O$10="sell",-1,1) * (-(B254*NORMDIST(I254,0,1,0)*$H$10)/(2*SQRT($J$10))/365) *$P$10</f>
        <v/>
      </c>
      <c r="G254" s="139">
        <f>IF($O$10="buy",1,-1)*( IF($K$10="call",B254*NORMDIST(I254,0,1,1) - $B$10*NORMDIST(J254,0,1,1),$B$10*NORMDIST(-J254,0,1,1) - B254*NORMDIST(-I254,0,1,1) ) - $G$10) * $P$10</f>
        <v/>
      </c>
      <c r="I254" s="140">
        <f>(LN(B254/$B$10)+($H$10^2/2)*($J$10))/($H$10*SQRT($J$10))</f>
        <v/>
      </c>
      <c r="J254" s="140">
        <f>I254 - $H$10*SQRT($J$10)</f>
        <v/>
      </c>
    </row>
    <row r="255" ht="13.5" customHeight="1" s="116">
      <c r="B255" s="144">
        <f>B225</f>
        <v/>
      </c>
      <c r="C255" s="139">
        <f>IF($O$10="sell",-1,1) *  IF($K$10="call",  NORMDIST(I255,0,1,1),  NORMDIST(I255,0,1,1)-1  ) * $P$10</f>
        <v/>
      </c>
      <c r="D255" s="139">
        <f>IF($O$10="sell",-1,1) * NORMDIST(I255,0,1,0)/(B255*$H$10*SQRT($J$10)) * $P$10</f>
        <v/>
      </c>
      <c r="E255" s="139">
        <f>IF($O$10="sell",-1,1) * (B255*NORMDIST(I255,0,1,0)*SQRT($J$10)/365) * $P$10</f>
        <v/>
      </c>
      <c r="F255" s="139">
        <f>IF($O$10="sell",-1,1) * (-(B255*NORMDIST(I255,0,1,0)*$H$10)/(2*SQRT($J$10))/365) *$P$10</f>
        <v/>
      </c>
      <c r="G255" s="139">
        <f>IF($O$10="buy",1,-1)*( IF($K$10="call",B255*NORMDIST(I255,0,1,1) - $B$10*NORMDIST(J255,0,1,1),$B$10*NORMDIST(-J255,0,1,1) - B255*NORMDIST(-I255,0,1,1) ) - $G$10) * $P$10</f>
        <v/>
      </c>
      <c r="I255" s="140">
        <f>(LN(B255/$B$10)+($H$10^2/2)*($J$10))/($H$10*SQRT($J$10))</f>
        <v/>
      </c>
      <c r="J255" s="140">
        <f>I255 - $H$10*SQRT($J$10)</f>
        <v/>
      </c>
    </row>
    <row r="256" ht="13.5" customHeight="1" s="116">
      <c r="B256" s="144">
        <f>B226</f>
        <v/>
      </c>
      <c r="C256" s="139">
        <f>IF($O$10="sell",-1,1) *  IF($K$10="call",  NORMDIST(I256,0,1,1),  NORMDIST(I256,0,1,1)-1  ) * $P$10</f>
        <v/>
      </c>
      <c r="D256" s="139">
        <f>IF($O$10="sell",-1,1) * NORMDIST(I256,0,1,0)/(B256*$H$10*SQRT($J$10)) * $P$10</f>
        <v/>
      </c>
      <c r="E256" s="139">
        <f>IF($O$10="sell",-1,1) * (B256*NORMDIST(I256,0,1,0)*SQRT($J$10)/365) * $P$10</f>
        <v/>
      </c>
      <c r="F256" s="139">
        <f>IF($O$10="sell",-1,1) * (-(B256*NORMDIST(I256,0,1,0)*$H$10)/(2*SQRT($J$10))/365) *$P$10</f>
        <v/>
      </c>
      <c r="G256" s="139">
        <f>IF($O$10="buy",1,-1)*( IF($K$10="call",B256*NORMDIST(I256,0,1,1) - $B$10*NORMDIST(J256,0,1,1),$B$10*NORMDIST(-J256,0,1,1) - B256*NORMDIST(-I256,0,1,1) ) - $G$10) * $P$10</f>
        <v/>
      </c>
      <c r="I256" s="140">
        <f>(LN(B256/$B$10)+($H$10^2/2)*($J$10))/($H$10*SQRT($J$10))</f>
        <v/>
      </c>
      <c r="J256" s="140">
        <f>I256 - $H$10*SQRT($J$10)</f>
        <v/>
      </c>
    </row>
    <row r="257" ht="13.5" customHeight="1" s="116">
      <c r="B257" s="144">
        <f>B227</f>
        <v/>
      </c>
      <c r="C257" s="139">
        <f>IF($O$10="sell",-1,1) *  IF($K$10="call",  NORMDIST(I257,0,1,1),  NORMDIST(I257,0,1,1)-1  ) * $P$10</f>
        <v/>
      </c>
      <c r="D257" s="139">
        <f>IF($O$10="sell",-1,1) * NORMDIST(I257,0,1,0)/(B257*$H$10*SQRT($J$10)) * $P$10</f>
        <v/>
      </c>
      <c r="E257" s="139">
        <f>IF($O$10="sell",-1,1) * (B257*NORMDIST(I257,0,1,0)*SQRT($J$10)/365) * $P$10</f>
        <v/>
      </c>
      <c r="F257" s="139">
        <f>IF($O$10="sell",-1,1) * (-(B257*NORMDIST(I257,0,1,0)*$H$10)/(2*SQRT($J$10))/365) *$P$10</f>
        <v/>
      </c>
      <c r="G257" s="139">
        <f>IF($O$10="buy",1,-1)*( IF($K$10="call",B257*NORMDIST(I257,0,1,1) - $B$10*NORMDIST(J257,0,1,1),$B$10*NORMDIST(-J257,0,1,1) - B257*NORMDIST(-I257,0,1,1) ) - $G$10) * $P$10</f>
        <v/>
      </c>
      <c r="I257" s="140">
        <f>(LN(B257/$B$10)+($H$10^2/2)*($J$10))/($H$10*SQRT($J$10))</f>
        <v/>
      </c>
      <c r="J257" s="140">
        <f>I257 - $H$10*SQRT($J$10)</f>
        <v/>
      </c>
    </row>
    <row r="258" ht="13.5" customHeight="1" s="116">
      <c r="B258" s="144">
        <f>B228</f>
        <v/>
      </c>
      <c r="C258" s="139">
        <f>IF($O$10="sell",-1,1) *  IF($K$10="call",  NORMDIST(I258,0,1,1),  NORMDIST(I258,0,1,1)-1  ) * $P$10</f>
        <v/>
      </c>
      <c r="D258" s="139">
        <f>IF($O$10="sell",-1,1) * NORMDIST(I258,0,1,0)/(B258*$H$10*SQRT($J$10)) * $P$10</f>
        <v/>
      </c>
      <c r="E258" s="139">
        <f>IF($O$10="sell",-1,1) * (B258*NORMDIST(I258,0,1,0)*SQRT($J$10)/365) * $P$10</f>
        <v/>
      </c>
      <c r="F258" s="139">
        <f>IF($O$10="sell",-1,1) * (-(B258*NORMDIST(I258,0,1,0)*$H$10)/(2*SQRT($J$10))/365) *$P$10</f>
        <v/>
      </c>
      <c r="G258" s="139">
        <f>IF($O$10="buy",1,-1)*( IF($K$10="call",B258*NORMDIST(I258,0,1,1) - $B$10*NORMDIST(J258,0,1,1),$B$10*NORMDIST(-J258,0,1,1) - B258*NORMDIST(-I258,0,1,1) ) - $G$10) * $P$10</f>
        <v/>
      </c>
      <c r="I258" s="140">
        <f>(LN(B258/$B$10)+($H$10^2/2)*($J$10))/($H$10*SQRT($J$10))</f>
        <v/>
      </c>
      <c r="J258" s="140">
        <f>I258 - $H$10*SQRT($J$10)</f>
        <v/>
      </c>
    </row>
    <row r="259" ht="13.5" customHeight="1" s="116">
      <c r="B259" s="144">
        <f>B229</f>
        <v/>
      </c>
      <c r="C259" s="139">
        <f>IF($O$10="sell",-1,1) *  IF($K$10="call",  NORMDIST(I259,0,1,1),  NORMDIST(I259,0,1,1)-1  ) * $P$10</f>
        <v/>
      </c>
      <c r="D259" s="139">
        <f>IF($O$10="sell",-1,1) * NORMDIST(I259,0,1,0)/(B259*$H$10*SQRT($J$10)) * $P$10</f>
        <v/>
      </c>
      <c r="E259" s="139">
        <f>IF($O$10="sell",-1,1) * (B259*NORMDIST(I259,0,1,0)*SQRT($J$10)/365) * $P$10</f>
        <v/>
      </c>
      <c r="F259" s="139">
        <f>IF($O$10="sell",-1,1) * (-(B259*NORMDIST(I259,0,1,0)*$H$10)/(2*SQRT($J$10))/365) *$P$10</f>
        <v/>
      </c>
      <c r="G259" s="139">
        <f>IF($O$10="buy",1,-1)*( IF($K$10="call",B259*NORMDIST(I259,0,1,1) - $B$10*NORMDIST(J259,0,1,1),$B$10*NORMDIST(-J259,0,1,1) - B259*NORMDIST(-I259,0,1,1) ) - $G$10) * $P$10</f>
        <v/>
      </c>
      <c r="I259" s="140">
        <f>(LN(B259/$B$10)+($H$10^2/2)*($J$10))/($H$10*SQRT($J$10))</f>
        <v/>
      </c>
      <c r="J259" s="140">
        <f>I259 - $H$10*SQRT($J$10)</f>
        <v/>
      </c>
    </row>
    <row r="260" ht="13.5" customHeight="1" s="116">
      <c r="B260" s="144">
        <f>B230</f>
        <v/>
      </c>
      <c r="C260" s="139">
        <f>IF($O$10="sell",-1,1) *  IF($K$10="call",  NORMDIST(I260,0,1,1),  NORMDIST(I260,0,1,1)-1  ) * $P$10</f>
        <v/>
      </c>
      <c r="D260" s="139">
        <f>IF($O$10="sell",-1,1) * NORMDIST(I260,0,1,0)/(B260*$H$10*SQRT($J$10)) * $P$10</f>
        <v/>
      </c>
      <c r="E260" s="139">
        <f>IF($O$10="sell",-1,1) * (B260*NORMDIST(I260,0,1,0)*SQRT($J$10)/365) * $P$10</f>
        <v/>
      </c>
      <c r="F260" s="139">
        <f>IF($O$10="sell",-1,1) * (-(B260*NORMDIST(I260,0,1,0)*$H$10)/(2*SQRT($J$10))/365) *$P$10</f>
        <v/>
      </c>
      <c r="G260" s="139">
        <f>IF($O$10="buy",1,-1)*( IF($K$10="call",B260*NORMDIST(I260,0,1,1) - $B$10*NORMDIST(J260,0,1,1),$B$10*NORMDIST(-J260,0,1,1) - B260*NORMDIST(-I260,0,1,1) ) - $G$10) * $P$10</f>
        <v/>
      </c>
      <c r="I260" s="140">
        <f>(LN(B260/$B$10)+($H$10^2/2)*($J$10))/($H$10*SQRT($J$10))</f>
        <v/>
      </c>
      <c r="J260" s="140">
        <f>I260 - $H$10*SQRT($J$10)</f>
        <v/>
      </c>
    </row>
    <row r="261" ht="13.5" customHeight="1" s="116">
      <c r="B261" s="144">
        <f>B231</f>
        <v/>
      </c>
      <c r="C261" s="139">
        <f>IF($O$10="sell",-1,1) *  IF($K$10="call",  NORMDIST(I261,0,1,1),  NORMDIST(I261,0,1,1)-1  ) * $P$10</f>
        <v/>
      </c>
      <c r="D261" s="139">
        <f>IF($O$10="sell",-1,1) * NORMDIST(I261,0,1,0)/(B261*$H$10*SQRT($J$10)) * $P$10</f>
        <v/>
      </c>
      <c r="E261" s="139">
        <f>IF($O$10="sell",-1,1) * (B261*NORMDIST(I261,0,1,0)*SQRT($J$10)/365) * $P$10</f>
        <v/>
      </c>
      <c r="F261" s="139">
        <f>IF($O$10="sell",-1,1) * (-(B261*NORMDIST(I261,0,1,0)*$H$10)/(2*SQRT($J$10))/365) *$P$10</f>
        <v/>
      </c>
      <c r="G261" s="139">
        <f>IF($O$10="buy",1,-1)*( IF($K$10="call",B261*NORMDIST(I261,0,1,1) - $B$10*NORMDIST(J261,0,1,1),$B$10*NORMDIST(-J261,0,1,1) - B261*NORMDIST(-I261,0,1,1) ) - $G$10) * $P$10</f>
        <v/>
      </c>
      <c r="I261" s="140">
        <f>(LN(B261/$B$10)+($H$10^2/2)*($J$10))/($H$10*SQRT($J$10))</f>
        <v/>
      </c>
      <c r="J261" s="140">
        <f>I261 - $H$10*SQRT($J$10)</f>
        <v/>
      </c>
    </row>
    <row r="262" ht="13.5" customHeight="1" s="116">
      <c r="B262" s="144">
        <f>B232</f>
        <v/>
      </c>
      <c r="C262" s="139">
        <f>IF($O$10="sell",-1,1) *  IF($K$10="call",  NORMDIST(I262,0,1,1),  NORMDIST(I262,0,1,1)-1  ) * $P$10</f>
        <v/>
      </c>
      <c r="D262" s="139">
        <f>IF($O$10="sell",-1,1) * NORMDIST(I262,0,1,0)/(B262*$H$10*SQRT($J$10)) * $P$10</f>
        <v/>
      </c>
      <c r="E262" s="139">
        <f>IF($O$10="sell",-1,1) * (B262*NORMDIST(I262,0,1,0)*SQRT($J$10)/365) * $P$10</f>
        <v/>
      </c>
      <c r="F262" s="139">
        <f>IF($O$10="sell",-1,1) * (-(B262*NORMDIST(I262,0,1,0)*$H$10)/(2*SQRT($J$10))/365) *$P$10</f>
        <v/>
      </c>
      <c r="G262" s="139">
        <f>IF($O$10="buy",1,-1)*( IF($K$10="call",B262*NORMDIST(I262,0,1,1) - $B$10*NORMDIST(J262,0,1,1),$B$10*NORMDIST(-J262,0,1,1) - B262*NORMDIST(-I262,0,1,1) ) - $G$10) * $P$10</f>
        <v/>
      </c>
      <c r="I262" s="140">
        <f>(LN(B262/$B$10)+($H$10^2/2)*($J$10))/($H$10*SQRT($J$10))</f>
        <v/>
      </c>
      <c r="J262" s="140">
        <f>I262 - $H$10*SQRT($J$10)</f>
        <v/>
      </c>
    </row>
    <row r="263" ht="13.5" customHeight="1" s="116">
      <c r="B263" s="144">
        <f>B233</f>
        <v/>
      </c>
      <c r="C263" s="139">
        <f>IF($O$10="sell",-1,1) *  IF($K$10="call",  NORMDIST(I263,0,1,1),  NORMDIST(I263,0,1,1)-1  ) * $P$10</f>
        <v/>
      </c>
      <c r="D263" s="139">
        <f>IF($O$10="sell",-1,1) * NORMDIST(I263,0,1,0)/(B263*$H$10*SQRT($J$10)) * $P$10</f>
        <v/>
      </c>
      <c r="E263" s="139">
        <f>IF($O$10="sell",-1,1) * (B263*NORMDIST(I263,0,1,0)*SQRT($J$10)/365) * $P$10</f>
        <v/>
      </c>
      <c r="F263" s="139">
        <f>IF($O$10="sell",-1,1) * (-(B263*NORMDIST(I263,0,1,0)*$H$10)/(2*SQRT($J$10))/365) *$P$10</f>
        <v/>
      </c>
      <c r="G263" s="139">
        <f>IF($O$10="buy",1,-1)*( IF($K$10="call",B263*NORMDIST(I263,0,1,1) - $B$10*NORMDIST(J263,0,1,1),$B$10*NORMDIST(-J263,0,1,1) - B263*NORMDIST(-I263,0,1,1) ) - $G$10) * $P$10</f>
        <v/>
      </c>
      <c r="I263" s="140">
        <f>(LN(B263/$B$10)+($H$10^2/2)*($J$10))/($H$10*SQRT($J$10))</f>
        <v/>
      </c>
      <c r="J263" s="140">
        <f>I263 - $H$10*SQRT($J$10)</f>
        <v/>
      </c>
    </row>
    <row r="264" ht="13.5" customHeight="1" s="116">
      <c r="B264" s="144">
        <f>B234</f>
        <v/>
      </c>
      <c r="C264" s="139">
        <f>IF($O$10="sell",-1,1) *  IF($K$10="call",  NORMDIST(I264,0,1,1),  NORMDIST(I264,0,1,1)-1  ) * $P$10</f>
        <v/>
      </c>
      <c r="D264" s="139">
        <f>IF($O$10="sell",-1,1) * NORMDIST(I264,0,1,0)/(B264*$H$10*SQRT($J$10)) * $P$10</f>
        <v/>
      </c>
      <c r="E264" s="139">
        <f>IF($O$10="sell",-1,1) * (B264*NORMDIST(I264,0,1,0)*SQRT($J$10)/365) * $P$10</f>
        <v/>
      </c>
      <c r="F264" s="139">
        <f>IF($O$10="sell",-1,1) * (-(B264*NORMDIST(I264,0,1,0)*$H$10)/(2*SQRT($J$10))/365) *$P$10</f>
        <v/>
      </c>
      <c r="G264" s="139">
        <f>IF($O$10="buy",1,-1)*( IF($K$10="call",B264*NORMDIST(I264,0,1,1) - $B$10*NORMDIST(J264,0,1,1),$B$10*NORMDIST(-J264,0,1,1) - B264*NORMDIST(-I264,0,1,1) ) - $G$10) * $P$10</f>
        <v/>
      </c>
      <c r="I264" s="140">
        <f>(LN(B264/$B$10)+($H$10^2/2)*($J$10))/($H$10*SQRT($J$10))</f>
        <v/>
      </c>
      <c r="J264" s="140">
        <f>I264 - $H$10*SQRT($J$10)</f>
        <v/>
      </c>
    </row>
    <row r="265" ht="13.5" customHeight="1" s="116">
      <c r="B265" s="144">
        <f>B235</f>
        <v/>
      </c>
      <c r="C265" s="139">
        <f>IF($O$10="sell",-1,1) *  IF($K$10="call",  NORMDIST(I265,0,1,1),  NORMDIST(I265,0,1,1)-1  ) * $P$10</f>
        <v/>
      </c>
      <c r="D265" s="139">
        <f>IF($O$10="sell",-1,1) * NORMDIST(I265,0,1,0)/(B265*$H$10*SQRT($J$10)) * $P$10</f>
        <v/>
      </c>
      <c r="E265" s="139">
        <f>IF($O$10="sell",-1,1) * (B265*NORMDIST(I265,0,1,0)*SQRT($J$10)/365) * $P$10</f>
        <v/>
      </c>
      <c r="F265" s="139">
        <f>IF($O$10="sell",-1,1) * (-(B265*NORMDIST(I265,0,1,0)*$H$10)/(2*SQRT($J$10))/365) *$P$10</f>
        <v/>
      </c>
      <c r="G265" s="139">
        <f>IF($O$10="buy",1,-1)*( IF($K$10="call",B265*NORMDIST(I265,0,1,1) - $B$10*NORMDIST(J265,0,1,1),$B$10*NORMDIST(-J265,0,1,1) - B265*NORMDIST(-I265,0,1,1) ) - $G$10) * $P$10</f>
        <v/>
      </c>
      <c r="I265" s="140">
        <f>(LN(B265/$B$10)+($H$10^2/2)*($J$10))/($H$10*SQRT($J$10))</f>
        <v/>
      </c>
      <c r="J265" s="140">
        <f>I265 - $H$10*SQRT($J$10)</f>
        <v/>
      </c>
    </row>
    <row r="266" ht="13.5" customHeight="1" s="116">
      <c r="B266" s="144">
        <f>B236</f>
        <v/>
      </c>
      <c r="C266" s="139">
        <f>IF($O$10="sell",-1,1) *  IF($K$10="call",  NORMDIST(I266,0,1,1),  NORMDIST(I266,0,1,1)-1  ) * $P$10</f>
        <v/>
      </c>
      <c r="D266" s="139">
        <f>IF($O$10="sell",-1,1) * NORMDIST(I266,0,1,0)/(B266*$H$10*SQRT($J$10)) * $P$10</f>
        <v/>
      </c>
      <c r="E266" s="139">
        <f>IF($O$10="sell",-1,1) * (B266*NORMDIST(I266,0,1,0)*SQRT($J$10)/365) * $P$10</f>
        <v/>
      </c>
      <c r="F266" s="139">
        <f>IF($O$10="sell",-1,1) * (-(B266*NORMDIST(I266,0,1,0)*$H$10)/(2*SQRT($J$10))/365) *$P$10</f>
        <v/>
      </c>
      <c r="G266" s="139">
        <f>IF($O$10="buy",1,-1)*( IF($K$10="call",B266*NORMDIST(I266,0,1,1) - $B$10*NORMDIST(J266,0,1,1),$B$10*NORMDIST(-J266,0,1,1) - B266*NORMDIST(-I266,0,1,1) ) - $G$10) * $P$10</f>
        <v/>
      </c>
      <c r="I266" s="140">
        <f>(LN(B266/$B$10)+($H$10^2/2)*($J$10))/($H$10*SQRT($J$10))</f>
        <v/>
      </c>
      <c r="J266" s="140">
        <f>I266 - $H$10*SQRT($J$10)</f>
        <v/>
      </c>
    </row>
    <row r="267" ht="13.5" customHeight="1" s="116">
      <c r="B267" s="144">
        <f>B237</f>
        <v/>
      </c>
      <c r="C267" s="139">
        <f>IF($O$10="sell",-1,1) *  IF($K$10="call",  NORMDIST(I267,0,1,1),  NORMDIST(I267,0,1,1)-1  ) * $P$10</f>
        <v/>
      </c>
      <c r="D267" s="139">
        <f>IF($O$10="sell",-1,1) * NORMDIST(I267,0,1,0)/(B267*$H$10*SQRT($J$10)) * $P$10</f>
        <v/>
      </c>
      <c r="E267" s="139">
        <f>IF($O$10="sell",-1,1) * (B267*NORMDIST(I267,0,1,0)*SQRT($J$10)/365) * $P$10</f>
        <v/>
      </c>
      <c r="F267" s="139">
        <f>IF($O$10="sell",-1,1) * (-(B267*NORMDIST(I267,0,1,0)*$H$10)/(2*SQRT($J$10))/365) *$P$10</f>
        <v/>
      </c>
      <c r="G267" s="139">
        <f>IF($O$10="buy",1,-1)*( IF($K$10="call",B267*NORMDIST(I267,0,1,1) - $B$10*NORMDIST(J267,0,1,1),$B$10*NORMDIST(-J267,0,1,1) - B267*NORMDIST(-I267,0,1,1) ) - $G$10) * $P$10</f>
        <v/>
      </c>
      <c r="I267" s="140">
        <f>(LN(B267/$B$10)+($H$10^2/2)*($J$10))/($H$10*SQRT($J$10))</f>
        <v/>
      </c>
      <c r="J267" s="140">
        <f>I267 - $H$10*SQRT($J$10)</f>
        <v/>
      </c>
    </row>
    <row r="268" ht="13.5" customHeight="1" s="116">
      <c r="B268" s="144">
        <f>B238</f>
        <v/>
      </c>
      <c r="C268" s="139">
        <f>IF($O$10="sell",-1,1) *  IF($K$10="call",  NORMDIST(I268,0,1,1),  NORMDIST(I268,0,1,1)-1  ) * $P$10</f>
        <v/>
      </c>
      <c r="D268" s="139">
        <f>IF($O$10="sell",-1,1) * NORMDIST(I268,0,1,0)/(B268*$H$10*SQRT($J$10)) * $P$10</f>
        <v/>
      </c>
      <c r="E268" s="139">
        <f>IF($O$10="sell",-1,1) * (B268*NORMDIST(I268,0,1,0)*SQRT($J$10)/365) * $P$10</f>
        <v/>
      </c>
      <c r="F268" s="139">
        <f>IF($O$10="sell",-1,1) * (-(B268*NORMDIST(I268,0,1,0)*$H$10)/(2*SQRT($J$10))/365) *$P$10</f>
        <v/>
      </c>
      <c r="G268" s="139">
        <f>IF($O$10="buy",1,-1)*( IF($K$10="call",B268*NORMDIST(I268,0,1,1) - $B$10*NORMDIST(J268,0,1,1),$B$10*NORMDIST(-J268,0,1,1) - B268*NORMDIST(-I268,0,1,1) ) - $G$10) * $P$10</f>
        <v/>
      </c>
      <c r="I268" s="140">
        <f>(LN(B268/$B$10)+($H$10^2/2)*($J$10))/($H$10*SQRT($J$10))</f>
        <v/>
      </c>
      <c r="J268" s="140">
        <f>I268 - $H$10*SQRT($J$10)</f>
        <v/>
      </c>
    </row>
    <row r="269" ht="13.5" customHeight="1" s="116">
      <c r="B269" s="144">
        <f>B239</f>
        <v/>
      </c>
      <c r="C269" s="139">
        <f>IF($O$10="sell",-1,1) *  IF($K$10="call",  NORMDIST(I269,0,1,1),  NORMDIST(I269,0,1,1)-1  ) * $P$10</f>
        <v/>
      </c>
      <c r="D269" s="139">
        <f>IF($O$10="sell",-1,1) * NORMDIST(I269,0,1,0)/(B269*$H$10*SQRT($J$10)) * $P$10</f>
        <v/>
      </c>
      <c r="E269" s="139">
        <f>IF($O$10="sell",-1,1) * (B269*NORMDIST(I269,0,1,0)*SQRT($J$10)/365) * $P$10</f>
        <v/>
      </c>
      <c r="F269" s="139">
        <f>IF($O$10="sell",-1,1) * (-(B269*NORMDIST(I269,0,1,0)*$H$10)/(2*SQRT($J$10))/365) *$P$10</f>
        <v/>
      </c>
      <c r="G269" s="139">
        <f>IF($O$10="buy",1,-1)*( IF($K$10="call",B269*NORMDIST(I269,0,1,1) - $B$10*NORMDIST(J269,0,1,1),$B$10*NORMDIST(-J269,0,1,1) - B269*NORMDIST(-I269,0,1,1) ) - $G$10) * $P$10</f>
        <v/>
      </c>
      <c r="I269" s="140">
        <f>(LN(B269/$B$10)+($H$10^2/2)*($J$10))/($H$10*SQRT($J$10))</f>
        <v/>
      </c>
      <c r="J269" s="140">
        <f>I269 - $H$10*SQRT($J$10)</f>
        <v/>
      </c>
    </row>
    <row r="270" ht="13.5" customHeight="1" s="116">
      <c r="B270" s="144">
        <f>B240</f>
        <v/>
      </c>
      <c r="C270" s="139">
        <f>IF($O$10="sell",-1,1) *  IF($K$10="call",  NORMDIST(I270,0,1,1),  NORMDIST(I270,0,1,1)-1  ) * $P$10</f>
        <v/>
      </c>
      <c r="D270" s="139">
        <f>IF($O$10="sell",-1,1) * NORMDIST(I270,0,1,0)/(B270*$H$10*SQRT($J$10)) * $P$10</f>
        <v/>
      </c>
      <c r="E270" s="139">
        <f>IF($O$10="sell",-1,1) * (B270*NORMDIST(I270,0,1,0)*SQRT($J$10)/365) * $P$10</f>
        <v/>
      </c>
      <c r="F270" s="139">
        <f>IF($O$10="sell",-1,1) * (-(B270*NORMDIST(I270,0,1,0)*$H$10)/(2*SQRT($J$10))/365) *$P$10</f>
        <v/>
      </c>
      <c r="G270" s="139">
        <f>IF($O$10="buy",1,-1)*( IF($K$10="call",B270*NORMDIST(I270,0,1,1) - $B$10*NORMDIST(J270,0,1,1),$B$10*NORMDIST(-J270,0,1,1) - B270*NORMDIST(-I270,0,1,1) ) - $G$10) * $P$10</f>
        <v/>
      </c>
      <c r="I270" s="140">
        <f>(LN(B270/$B$10)+($H$10^2/2)*($J$10))/($H$10*SQRT($J$10))</f>
        <v/>
      </c>
      <c r="J270" s="140">
        <f>I270 - $H$10*SQRT($J$10)</f>
        <v/>
      </c>
    </row>
    <row r="271" ht="13.5" customHeight="1" s="116">
      <c r="B271" s="144">
        <f>B241</f>
        <v/>
      </c>
      <c r="C271" s="139">
        <f>IF($O$10="sell",-1,1) *  IF($K$10="call",  NORMDIST(I271,0,1,1),  NORMDIST(I271,0,1,1)-1  ) * $P$10</f>
        <v/>
      </c>
      <c r="D271" s="139">
        <f>IF($O$10="sell",-1,1) * NORMDIST(I271,0,1,0)/(B271*$H$10*SQRT($J$10)) * $P$10</f>
        <v/>
      </c>
      <c r="E271" s="139">
        <f>IF($O$10="sell",-1,1) * (B271*NORMDIST(I271,0,1,0)*SQRT($J$10)/365) * $P$10</f>
        <v/>
      </c>
      <c r="F271" s="139">
        <f>IF($O$10="sell",-1,1) * (-(B271*NORMDIST(I271,0,1,0)*$H$10)/(2*SQRT($J$10))/365) *$P$10</f>
        <v/>
      </c>
      <c r="G271" s="139">
        <f>IF($O$10="buy",1,-1)*( IF($K$10="call",B271*NORMDIST(I271,0,1,1) - $B$10*NORMDIST(J271,0,1,1),$B$10*NORMDIST(-J271,0,1,1) - B271*NORMDIST(-I271,0,1,1) ) - $G$10) * $P$10</f>
        <v/>
      </c>
      <c r="I271" s="140">
        <f>(LN(B271/$B$10)+($H$10^2/2)*($J$10))/($H$10*SQRT($J$10))</f>
        <v/>
      </c>
      <c r="J271" s="140">
        <f>I271 - $H$10*SQRT($J$10)</f>
        <v/>
      </c>
    </row>
    <row r="272" ht="13.5" customHeight="1" s="116">
      <c r="B272" s="144">
        <f>B242</f>
        <v/>
      </c>
      <c r="C272" s="139">
        <f>IF($O$10="sell",-1,1) *  IF($K$10="call",  NORMDIST(I272,0,1,1),  NORMDIST(I272,0,1,1)-1  ) * $P$10</f>
        <v/>
      </c>
      <c r="D272" s="139">
        <f>IF($O$10="sell",-1,1) * NORMDIST(I272,0,1,0)/(B272*$H$10*SQRT($J$10)) * $P$10</f>
        <v/>
      </c>
      <c r="E272" s="139">
        <f>IF($O$10="sell",-1,1) * (B272*NORMDIST(I272,0,1,0)*SQRT($J$10)/365) * $P$10</f>
        <v/>
      </c>
      <c r="F272" s="139">
        <f>IF($O$10="sell",-1,1) * (-(B272*NORMDIST(I272,0,1,0)*$H$10)/(2*SQRT($J$10))/365) *$P$10</f>
        <v/>
      </c>
      <c r="G272" s="139">
        <f>IF($O$10="buy",1,-1)*( IF($K$10="call",B272*NORMDIST(I272,0,1,1) - $B$10*NORMDIST(J272,0,1,1),$B$10*NORMDIST(-J272,0,1,1) - B272*NORMDIST(-I272,0,1,1) ) - $G$10) * $P$10</f>
        <v/>
      </c>
      <c r="I272" s="140">
        <f>(LN(B272/$B$10)+($H$10^2/2)*($J$10))/($H$10*SQRT($J$10))</f>
        <v/>
      </c>
      <c r="J272" s="140">
        <f>I272 - $H$10*SQRT($J$10)</f>
        <v/>
      </c>
    </row>
    <row r="273" ht="13.5" customHeight="1" s="116">
      <c r="B273" s="144">
        <f>B243</f>
        <v/>
      </c>
      <c r="C273" s="139">
        <f>IF($O$10="sell",-1,1) *  IF($K$10="call",  NORMDIST(I273,0,1,1),  NORMDIST(I273,0,1,1)-1  ) * $P$10</f>
        <v/>
      </c>
      <c r="D273" s="139">
        <f>IF($O$10="sell",-1,1) * NORMDIST(I273,0,1,0)/(B273*$H$10*SQRT($J$10)) * $P$10</f>
        <v/>
      </c>
      <c r="E273" s="139">
        <f>IF($O$10="sell",-1,1) * (B273*NORMDIST(I273,0,1,0)*SQRT($J$10)/365) * $P$10</f>
        <v/>
      </c>
      <c r="F273" s="139">
        <f>IF($O$10="sell",-1,1) * (-(B273*NORMDIST(I273,0,1,0)*$H$10)/(2*SQRT($J$10))/365) *$P$10</f>
        <v/>
      </c>
      <c r="G273" s="139">
        <f>IF($O$10="buy",1,-1)*( IF($K$10="call",B273*NORMDIST(I273,0,1,1) - $B$10*NORMDIST(J273,0,1,1),$B$10*NORMDIST(-J273,0,1,1) - B273*NORMDIST(-I273,0,1,1) ) - $G$10) * $P$10</f>
        <v/>
      </c>
      <c r="I273" s="140">
        <f>(LN(B273/$B$10)+($H$10^2/2)*($J$10))/($H$10*SQRT($J$10))</f>
        <v/>
      </c>
      <c r="J273" s="140">
        <f>I273 - $H$10*SQRT($J$10)</f>
        <v/>
      </c>
    </row>
    <row r="274" ht="13.5" customHeight="1" s="116">
      <c r="B274" s="144">
        <f>B244</f>
        <v/>
      </c>
      <c r="C274" s="139">
        <f>IF($O$10="sell",-1,1) *  IF($K$10="call",  NORMDIST(I274,0,1,1),  NORMDIST(I274,0,1,1)-1  ) * $P$10</f>
        <v/>
      </c>
      <c r="D274" s="139">
        <f>IF($O$10="sell",-1,1) * NORMDIST(I274,0,1,0)/(B274*$H$10*SQRT($J$10)) * $P$10</f>
        <v/>
      </c>
      <c r="E274" s="139">
        <f>IF($O$10="sell",-1,1) * (B274*NORMDIST(I274,0,1,0)*SQRT($J$10)/365) * $P$10</f>
        <v/>
      </c>
      <c r="F274" s="139">
        <f>IF($O$10="sell",-1,1) * (-(B274*NORMDIST(I274,0,1,0)*$H$10)/(2*SQRT($J$10))/365) *$P$10</f>
        <v/>
      </c>
      <c r="G274" s="139">
        <f>IF($O$10="buy",1,-1)*( IF($K$10="call",B274*NORMDIST(I274,0,1,1) - $B$10*NORMDIST(J274,0,1,1),$B$10*NORMDIST(-J274,0,1,1) - B274*NORMDIST(-I274,0,1,1) ) - $G$10) * $P$10</f>
        <v/>
      </c>
      <c r="I274" s="140">
        <f>(LN(B274/$B$10)+($H$10^2/2)*($J$10))/($H$10*SQRT($J$10))</f>
        <v/>
      </c>
      <c r="J274" s="140">
        <f>I274 - $H$10*SQRT($J$10)</f>
        <v/>
      </c>
    </row>
    <row r="275" ht="13.5" customHeight="1" s="116">
      <c r="B275" s="144">
        <f>B245</f>
        <v/>
      </c>
      <c r="C275" s="139">
        <f>IF($O$10="sell",-1,1) *  IF($K$10="call",  NORMDIST(I275,0,1,1),  NORMDIST(I275,0,1,1)-1  ) * $P$10</f>
        <v/>
      </c>
      <c r="D275" s="139">
        <f>IF($O$10="sell",-1,1) * NORMDIST(I275,0,1,0)/(B275*$H$10*SQRT($J$10)) * $P$10</f>
        <v/>
      </c>
      <c r="E275" s="139">
        <f>IF($O$10="sell",-1,1) * (B275*NORMDIST(I275,0,1,0)*SQRT($J$10)/365) * $P$10</f>
        <v/>
      </c>
      <c r="F275" s="139">
        <f>IF($O$10="sell",-1,1) * (-(B275*NORMDIST(I275,0,1,0)*$H$10)/(2*SQRT($J$10))/365) *$P$10</f>
        <v/>
      </c>
      <c r="G275" s="139">
        <f>IF($O$10="buy",1,-1)*( IF($K$10="call",B275*NORMDIST(I275,0,1,1) - $B$10*NORMDIST(J275,0,1,1),$B$10*NORMDIST(-J275,0,1,1) - B275*NORMDIST(-I275,0,1,1) ) - $G$10) * $P$10</f>
        <v/>
      </c>
      <c r="I275" s="140">
        <f>(LN(B275/$B$10)+($H$10^2/2)*($J$10))/($H$10*SQRT($J$10))</f>
        <v/>
      </c>
      <c r="J275" s="140">
        <f>I275 - $H$10*SQRT($J$10)</f>
        <v/>
      </c>
    </row>
    <row r="276" ht="13.5" customHeight="1" s="116">
      <c r="B276" s="144">
        <f>B246</f>
        <v/>
      </c>
      <c r="C276" s="139">
        <f>IF($O$10="sell",-1,1) *  IF($K$10="call",  NORMDIST(I276,0,1,1),  NORMDIST(I276,0,1,1)-1  ) * $P$10</f>
        <v/>
      </c>
      <c r="D276" s="139">
        <f>IF($O$10="sell",-1,1) * NORMDIST(I276,0,1,0)/(B276*$H$10*SQRT($J$10)) * $P$10</f>
        <v/>
      </c>
      <c r="E276" s="139">
        <f>IF($O$10="sell",-1,1) * (B276*NORMDIST(I276,0,1,0)*SQRT($J$10)/365) * $P$10</f>
        <v/>
      </c>
      <c r="F276" s="139">
        <f>IF($O$10="sell",-1,1) * (-(B276*NORMDIST(I276,0,1,0)*$H$10)/(2*SQRT($J$10))/365) *$P$10</f>
        <v/>
      </c>
      <c r="G276" s="139">
        <f>IF($O$10="buy",1,-1)*( IF($K$10="call",B276*NORMDIST(I276,0,1,1) - $B$10*NORMDIST(J276,0,1,1),$B$10*NORMDIST(-J276,0,1,1) - B276*NORMDIST(-I276,0,1,1) ) - $G$10) * $P$10</f>
        <v/>
      </c>
      <c r="I276" s="140">
        <f>(LN(B276/$B$10)+($H$10^2/2)*($J$10))/($H$10*SQRT($J$10))</f>
        <v/>
      </c>
      <c r="J276" s="140">
        <f>I276 - $H$10*SQRT($J$10)</f>
        <v/>
      </c>
    </row>
    <row r="277" ht="13.5" customHeight="1" s="116">
      <c r="B277" s="144">
        <f>B247</f>
        <v/>
      </c>
      <c r="C277" s="139">
        <f>IF($O$10="sell",-1,1) *  IF($K$10="call",  NORMDIST(I277,0,1,1),  NORMDIST(I277,0,1,1)-1  ) * $P$10</f>
        <v/>
      </c>
      <c r="D277" s="139">
        <f>IF($O$10="sell",-1,1) * NORMDIST(I277,0,1,0)/(B277*$H$10*SQRT($J$10)) * $P$10</f>
        <v/>
      </c>
      <c r="E277" s="139">
        <f>IF($O$10="sell",-1,1) * (B277*NORMDIST(I277,0,1,0)*SQRT($J$10)/365) * $P$10</f>
        <v/>
      </c>
      <c r="F277" s="139">
        <f>IF($O$10="sell",-1,1) * (-(B277*NORMDIST(I277,0,1,0)*$H$10)/(2*SQRT($J$10))/365) *$P$10</f>
        <v/>
      </c>
      <c r="G277" s="139">
        <f>IF($O$10="buy",1,-1)*( IF($K$10="call",B277*NORMDIST(I277,0,1,1) - $B$10*NORMDIST(J277,0,1,1),$B$10*NORMDIST(-J277,0,1,1) - B277*NORMDIST(-I277,0,1,1) ) - $G$10) * $P$10</f>
        <v/>
      </c>
      <c r="I277" s="140">
        <f>(LN(B277/$B$10)+($H$10^2/2)*($J$10))/($H$10*SQRT($J$10))</f>
        <v/>
      </c>
      <c r="J277" s="140">
        <f>I277 - $H$10*SQRT($J$10)</f>
        <v/>
      </c>
    </row>
    <row r="278" ht="13.5" customHeight="1" s="116">
      <c r="B278" s="144">
        <f>B248</f>
        <v/>
      </c>
      <c r="C278" s="139">
        <f>IF($O$10="sell",-1,1) *  IF($K$10="call",  NORMDIST(I278,0,1,1),  NORMDIST(I278,0,1,1)-1  ) * $P$10</f>
        <v/>
      </c>
      <c r="D278" s="139">
        <f>IF($O$10="sell",-1,1) * NORMDIST(I278,0,1,0)/(B278*$H$10*SQRT($J$10)) * $P$10</f>
        <v/>
      </c>
      <c r="E278" s="139">
        <f>IF($O$10="sell",-1,1) * (B278*NORMDIST(I278,0,1,0)*SQRT($J$10)/365) * $P$10</f>
        <v/>
      </c>
      <c r="F278" s="139">
        <f>IF($O$10="sell",-1,1) * (-(B278*NORMDIST(I278,0,1,0)*$H$10)/(2*SQRT($J$10))/365) *$P$10</f>
        <v/>
      </c>
      <c r="G278" s="139">
        <f>IF($O$10="buy",1,-1)*( IF($K$10="call",B278*NORMDIST(I278,0,1,1) - $B$10*NORMDIST(J278,0,1,1),$B$10*NORMDIST(-J278,0,1,1) - B278*NORMDIST(-I278,0,1,1) ) - $G$10) * $P$10</f>
        <v/>
      </c>
      <c r="I278" s="140">
        <f>(LN(B278/$B$10)+($H$10^2/2)*($J$10))/($H$10*SQRT($J$10))</f>
        <v/>
      </c>
      <c r="J278" s="140">
        <f>I278 - $H$10*SQRT($J$10)</f>
        <v/>
      </c>
    </row>
    <row r="279" ht="13.5" customHeight="1" s="116">
      <c r="B279" s="144">
        <f>B249</f>
        <v/>
      </c>
      <c r="C279" s="139">
        <f>IF($O$10="sell",-1,1) *  IF($K$10="call",  NORMDIST(I279,0,1,1),  NORMDIST(I279,0,1,1)-1  ) * $P$10</f>
        <v/>
      </c>
      <c r="D279" s="139">
        <f>IF($O$10="sell",-1,1) * NORMDIST(I279,0,1,0)/(B279*$H$10*SQRT($J$10)) * $P$10</f>
        <v/>
      </c>
      <c r="E279" s="139">
        <f>IF($O$10="sell",-1,1) * (B279*NORMDIST(I279,0,1,0)*SQRT($J$10)/365) * $P$10</f>
        <v/>
      </c>
      <c r="F279" s="139">
        <f>IF($O$10="sell",-1,1) * (-(B279*NORMDIST(I279,0,1,0)*$H$10)/(2*SQRT($J$10))/365) *$P$10</f>
        <v/>
      </c>
      <c r="G279" s="139">
        <f>IF($O$10="buy",1,-1)*( IF($K$10="call",B279*NORMDIST(I279,0,1,1) - $B$10*NORMDIST(J279,0,1,1),$B$10*NORMDIST(-J279,0,1,1) - B279*NORMDIST(-I279,0,1,1) ) - $G$10) * $P$10</f>
        <v/>
      </c>
      <c r="I279" s="140">
        <f>(LN(B279/$B$10)+($H$10^2/2)*($J$10))/($H$10*SQRT($J$10))</f>
        <v/>
      </c>
      <c r="J279" s="140">
        <f>I279 - $H$10*SQRT($J$10)</f>
        <v/>
      </c>
    </row>
    <row r="280" ht="13.5" customHeight="1" s="116">
      <c r="B280" s="144">
        <f>B250</f>
        <v/>
      </c>
      <c r="C280" s="139">
        <f>IF($O$10="sell",-1,1) *  IF($K$10="call",  NORMDIST(I280,0,1,1),  NORMDIST(I280,0,1,1)-1  ) * $P$10</f>
        <v/>
      </c>
      <c r="D280" s="139">
        <f>IF($O$10="sell",-1,1) * NORMDIST(I280,0,1,0)/(B280*$H$10*SQRT($J$10)) * $P$10</f>
        <v/>
      </c>
      <c r="E280" s="139">
        <f>IF($O$10="sell",-1,1) * (B280*NORMDIST(I280,0,1,0)*SQRT($J$10)/365) * $P$10</f>
        <v/>
      </c>
      <c r="F280" s="139">
        <f>IF($O$10="sell",-1,1) * (-(B280*NORMDIST(I280,0,1,0)*$H$10)/(2*SQRT($J$10))/365) *$P$10</f>
        <v/>
      </c>
      <c r="G280" s="139">
        <f>IF($O$10="buy",1,-1)*( IF($K$10="call",B280*NORMDIST(I280,0,1,1) - $B$10*NORMDIST(J280,0,1,1),$B$10*NORMDIST(-J280,0,1,1) - B280*NORMDIST(-I280,0,1,1) ) - $G$10) * $P$10</f>
        <v/>
      </c>
      <c r="I280" s="140">
        <f>(LN(B280/$B$10)+($H$10^2/2)*($J$10))/($H$10*SQRT($J$10))</f>
        <v/>
      </c>
      <c r="J280" s="140">
        <f>I280 - $H$10*SQRT($J$10)</f>
        <v/>
      </c>
    </row>
    <row r="281" ht="13.5" customHeight="1" s="116">
      <c r="B281" s="145" t="n"/>
      <c r="C281" s="136" t="n"/>
      <c r="D281" s="136" t="n"/>
      <c r="E281" s="136" t="n"/>
      <c r="F281" s="136" t="n"/>
      <c r="G281" s="136" t="n"/>
      <c r="I281" s="146" t="n"/>
      <c r="J281" s="146" t="n"/>
    </row>
    <row r="282" ht="13.5" customHeight="1" s="116">
      <c r="B282" s="145" t="n"/>
      <c r="C282" s="136" t="n"/>
      <c r="D282" s="136" t="n"/>
      <c r="E282" s="136" t="n"/>
      <c r="F282" s="136" t="n"/>
      <c r="G282" s="136" t="n"/>
      <c r="I282" s="146" t="n"/>
      <c r="J282" s="146" t="n"/>
    </row>
    <row r="283" ht="13.5" customHeight="1" s="116">
      <c r="B283" s="137" t="n"/>
      <c r="C283" s="133" t="inlineStr">
        <is>
          <t>delta</t>
        </is>
      </c>
      <c r="D283" s="133" t="inlineStr">
        <is>
          <t>gamma</t>
        </is>
      </c>
      <c r="E283" s="133" t="inlineStr">
        <is>
          <t>vega</t>
        </is>
      </c>
      <c r="F283" s="133" t="inlineStr">
        <is>
          <t>theta</t>
        </is>
      </c>
      <c r="G283" s="133" t="inlineStr">
        <is>
          <t>mark_price</t>
        </is>
      </c>
      <c r="I283" s="133" t="inlineStr">
        <is>
          <t>d1</t>
        </is>
      </c>
      <c r="J283" s="133" t="inlineStr">
        <is>
          <t>d2</t>
        </is>
      </c>
    </row>
    <row r="284" ht="13.5" customHeight="1" s="116">
      <c r="A284" s="117">
        <f>A11</f>
        <v/>
      </c>
      <c r="B284" s="144">
        <f>B254</f>
        <v/>
      </c>
      <c r="C284" s="139">
        <f>IF($O$11="sell",-1,1) *  IF($K$11="call",  NORMDIST(I284,0,1,1),  NORMDIST(I284,0,1,1)-1  ) * $P$11</f>
        <v/>
      </c>
      <c r="D284" s="139">
        <f>IF($O$11="sell",-1,1) * NORMDIST(I284,0,1,0)/(B284*$H$11*SQRT($J$11)) * $P$11</f>
        <v/>
      </c>
      <c r="E284" s="139">
        <f>IF($O$11="sell",-1,1) * (B284*NORMDIST(I284,0,1,0)*SQRT($J$11)/365) * $P$11</f>
        <v/>
      </c>
      <c r="F284" s="139">
        <f>IF($O$11="sell",-1,1) * (-(B284*NORMDIST(I284,0,1,0)*$H$11)/(2*SQRT($J$11))/365) *$P$11</f>
        <v/>
      </c>
      <c r="G284" s="139">
        <f>IF($O$11="buy",1,-1)*( IF($K$11="call",B284*NORMDIST(I284,0,1,1) - $B$11*NORMDIST(J284,0,1,1),$B$11*NORMDIST(-J284,0,1,1) - B284*NORMDIST(-I284,0,1,1) ) - $G$11) * $P$11</f>
        <v/>
      </c>
      <c r="I284" s="140">
        <f>(LN(B284/$B$11)+($H$11^2/2)*($J$11))/($H$11*SQRT($J$11))</f>
        <v/>
      </c>
      <c r="J284" s="140">
        <f>I284 - $H$11*SQRT($J$11)</f>
        <v/>
      </c>
    </row>
    <row r="285" ht="13.5" customHeight="1" s="116">
      <c r="B285" s="144">
        <f>B255</f>
        <v/>
      </c>
      <c r="C285" s="139">
        <f>IF($O$11="sell",-1,1) *  IF($K$11="call",  NORMDIST(I285,0,1,1),  NORMDIST(I285,0,1,1)-1  ) * $P$11</f>
        <v/>
      </c>
      <c r="D285" s="139">
        <f>IF($O$11="sell",-1,1) * NORMDIST(I285,0,1,0)/(B285*$H$11*SQRT($J$11)) * $P$11</f>
        <v/>
      </c>
      <c r="E285" s="139">
        <f>IF($O$11="sell",-1,1) * (B285*NORMDIST(I285,0,1,0)*SQRT($J$11)/365) * $P$11</f>
        <v/>
      </c>
      <c r="F285" s="139">
        <f>IF($O$11="sell",-1,1) * (-(B285*NORMDIST(I285,0,1,0)*$H$11)/(2*SQRT($J$11))/365) *$P$11</f>
        <v/>
      </c>
      <c r="G285" s="139">
        <f>IF($O$11="buy",1,-1)*( IF($K$11="call",B285*NORMDIST(I285,0,1,1) - $B$11*NORMDIST(J285,0,1,1),$B$11*NORMDIST(-J285,0,1,1) - B285*NORMDIST(-I285,0,1,1) ) - $G$11) * $P$11</f>
        <v/>
      </c>
      <c r="I285" s="140">
        <f>(LN(B285/$B$11)+($H$11^2/2)*($J$11))/($H$11*SQRT($J$11))</f>
        <v/>
      </c>
      <c r="J285" s="140">
        <f>I285 - $H$11*SQRT($J$11)</f>
        <v/>
      </c>
    </row>
    <row r="286" ht="13.5" customHeight="1" s="116">
      <c r="B286" s="144">
        <f>B256</f>
        <v/>
      </c>
      <c r="C286" s="139">
        <f>IF($O$11="sell",-1,1) *  IF($K$11="call",  NORMDIST(I286,0,1,1),  NORMDIST(I286,0,1,1)-1  ) * $P$11</f>
        <v/>
      </c>
      <c r="D286" s="139">
        <f>IF($O$11="sell",-1,1) * NORMDIST(I286,0,1,0)/(B286*$H$11*SQRT($J$11)) * $P$11</f>
        <v/>
      </c>
      <c r="E286" s="139">
        <f>IF($O$11="sell",-1,1) * (B286*NORMDIST(I286,0,1,0)*SQRT($J$11)/365) * $P$11</f>
        <v/>
      </c>
      <c r="F286" s="139">
        <f>IF($O$11="sell",-1,1) * (-(B286*NORMDIST(I286,0,1,0)*$H$11)/(2*SQRT($J$11))/365) *$P$11</f>
        <v/>
      </c>
      <c r="G286" s="139">
        <f>IF($O$11="buy",1,-1)*( IF($K$11="call",B286*NORMDIST(I286,0,1,1) - $B$11*NORMDIST(J286,0,1,1),$B$11*NORMDIST(-J286,0,1,1) - B286*NORMDIST(-I286,0,1,1) ) - $G$11) * $P$11</f>
        <v/>
      </c>
      <c r="I286" s="140">
        <f>(LN(B286/$B$11)+($H$11^2/2)*($J$11))/($H$11*SQRT($J$11))</f>
        <v/>
      </c>
      <c r="J286" s="140">
        <f>I286 - $H$11*SQRT($J$11)</f>
        <v/>
      </c>
    </row>
    <row r="287" ht="13.5" customHeight="1" s="116">
      <c r="B287" s="144">
        <f>B257</f>
        <v/>
      </c>
      <c r="C287" s="139">
        <f>IF($O$11="sell",-1,1) *  IF($K$11="call",  NORMDIST(I287,0,1,1),  NORMDIST(I287,0,1,1)-1  ) * $P$11</f>
        <v/>
      </c>
      <c r="D287" s="139">
        <f>IF($O$11="sell",-1,1) * NORMDIST(I287,0,1,0)/(B287*$H$11*SQRT($J$11)) * $P$11</f>
        <v/>
      </c>
      <c r="E287" s="139">
        <f>IF($O$11="sell",-1,1) * (B287*NORMDIST(I287,0,1,0)*SQRT($J$11)/365) * $P$11</f>
        <v/>
      </c>
      <c r="F287" s="139">
        <f>IF($O$11="sell",-1,1) * (-(B287*NORMDIST(I287,0,1,0)*$H$11)/(2*SQRT($J$11))/365) *$P$11</f>
        <v/>
      </c>
      <c r="G287" s="139">
        <f>IF($O$11="buy",1,-1)*( IF($K$11="call",B287*NORMDIST(I287,0,1,1) - $B$11*NORMDIST(J287,0,1,1),$B$11*NORMDIST(-J287,0,1,1) - B287*NORMDIST(-I287,0,1,1) ) - $G$11) * $P$11</f>
        <v/>
      </c>
      <c r="I287" s="140">
        <f>(LN(B287/$B$11)+($H$11^2/2)*($J$11))/($H$11*SQRT($J$11))</f>
        <v/>
      </c>
      <c r="J287" s="140">
        <f>I287 - $H$11*SQRT($J$11)</f>
        <v/>
      </c>
    </row>
    <row r="288" ht="13.5" customHeight="1" s="116">
      <c r="B288" s="144">
        <f>B258</f>
        <v/>
      </c>
      <c r="C288" s="139">
        <f>IF($O$11="sell",-1,1) *  IF($K$11="call",  NORMDIST(I288,0,1,1),  NORMDIST(I288,0,1,1)-1  ) * $P$11</f>
        <v/>
      </c>
      <c r="D288" s="139">
        <f>IF($O$11="sell",-1,1) * NORMDIST(I288,0,1,0)/(B288*$H$11*SQRT($J$11)) * $P$11</f>
        <v/>
      </c>
      <c r="E288" s="139">
        <f>IF($O$11="sell",-1,1) * (B288*NORMDIST(I288,0,1,0)*SQRT($J$11)/365) * $P$11</f>
        <v/>
      </c>
      <c r="F288" s="139">
        <f>IF($O$11="sell",-1,1) * (-(B288*NORMDIST(I288,0,1,0)*$H$11)/(2*SQRT($J$11))/365) *$P$11</f>
        <v/>
      </c>
      <c r="G288" s="139">
        <f>IF($O$11="buy",1,-1)*( IF($K$11="call",B288*NORMDIST(I288,0,1,1) - $B$11*NORMDIST(J288,0,1,1),$B$11*NORMDIST(-J288,0,1,1) - B288*NORMDIST(-I288,0,1,1) ) - $G$11) * $P$11</f>
        <v/>
      </c>
      <c r="I288" s="140">
        <f>(LN(B288/$B$11)+($H$11^2/2)*($J$11))/($H$11*SQRT($J$11))</f>
        <v/>
      </c>
      <c r="J288" s="140">
        <f>I288 - $H$11*SQRT($J$11)</f>
        <v/>
      </c>
    </row>
    <row r="289" ht="13.5" customHeight="1" s="116">
      <c r="B289" s="144">
        <f>B259</f>
        <v/>
      </c>
      <c r="C289" s="139">
        <f>IF($O$11="sell",-1,1) *  IF($K$11="call",  NORMDIST(I289,0,1,1),  NORMDIST(I289,0,1,1)-1  ) * $P$11</f>
        <v/>
      </c>
      <c r="D289" s="139">
        <f>IF($O$11="sell",-1,1) * NORMDIST(I289,0,1,0)/(B289*$H$11*SQRT($J$11)) * $P$11</f>
        <v/>
      </c>
      <c r="E289" s="139">
        <f>IF($O$11="sell",-1,1) * (B289*NORMDIST(I289,0,1,0)*SQRT($J$11)/365) * $P$11</f>
        <v/>
      </c>
      <c r="F289" s="139">
        <f>IF($O$11="sell",-1,1) * (-(B289*NORMDIST(I289,0,1,0)*$H$11)/(2*SQRT($J$11))/365) *$P$11</f>
        <v/>
      </c>
      <c r="G289" s="139">
        <f>IF($O$11="buy",1,-1)*( IF($K$11="call",B289*NORMDIST(I289,0,1,1) - $B$11*NORMDIST(J289,0,1,1),$B$11*NORMDIST(-J289,0,1,1) - B289*NORMDIST(-I289,0,1,1) ) - $G$11) * $P$11</f>
        <v/>
      </c>
      <c r="I289" s="140">
        <f>(LN(B289/$B$11)+($H$11^2/2)*($J$11))/($H$11*SQRT($J$11))</f>
        <v/>
      </c>
      <c r="J289" s="140">
        <f>I289 - $H$11*SQRT($J$11)</f>
        <v/>
      </c>
    </row>
    <row r="290" ht="13.5" customHeight="1" s="116">
      <c r="B290" s="144">
        <f>B260</f>
        <v/>
      </c>
      <c r="C290" s="139">
        <f>IF($O$11="sell",-1,1) *  IF($K$11="call",  NORMDIST(I290,0,1,1),  NORMDIST(I290,0,1,1)-1  ) * $P$11</f>
        <v/>
      </c>
      <c r="D290" s="139">
        <f>IF($O$11="sell",-1,1) * NORMDIST(I290,0,1,0)/(B290*$H$11*SQRT($J$11)) * $P$11</f>
        <v/>
      </c>
      <c r="E290" s="139">
        <f>IF($O$11="sell",-1,1) * (B290*NORMDIST(I290,0,1,0)*SQRT($J$11)/365) * $P$11</f>
        <v/>
      </c>
      <c r="F290" s="139">
        <f>IF($O$11="sell",-1,1) * (-(B290*NORMDIST(I290,0,1,0)*$H$11)/(2*SQRT($J$11))/365) *$P$11</f>
        <v/>
      </c>
      <c r="G290" s="139">
        <f>IF($O$11="buy",1,-1)*( IF($K$11="call",B290*NORMDIST(I290,0,1,1) - $B$11*NORMDIST(J290,0,1,1),$B$11*NORMDIST(-J290,0,1,1) - B290*NORMDIST(-I290,0,1,1) ) - $G$11) * $P$11</f>
        <v/>
      </c>
      <c r="I290" s="140">
        <f>(LN(B290/$B$11)+($H$11^2/2)*($J$11))/($H$11*SQRT($J$11))</f>
        <v/>
      </c>
      <c r="J290" s="140">
        <f>I290 - $H$11*SQRT($J$11)</f>
        <v/>
      </c>
    </row>
    <row r="291" ht="13.5" customHeight="1" s="116">
      <c r="B291" s="144">
        <f>B261</f>
        <v/>
      </c>
      <c r="C291" s="139">
        <f>IF($O$11="sell",-1,1) *  IF($K$11="call",  NORMDIST(I291,0,1,1),  NORMDIST(I291,0,1,1)-1  ) * $P$11</f>
        <v/>
      </c>
      <c r="D291" s="139">
        <f>IF($O$11="sell",-1,1) * NORMDIST(I291,0,1,0)/(B291*$H$11*SQRT($J$11)) * $P$11</f>
        <v/>
      </c>
      <c r="E291" s="139">
        <f>IF($O$11="sell",-1,1) * (B291*NORMDIST(I291,0,1,0)*SQRT($J$11)/365) * $P$11</f>
        <v/>
      </c>
      <c r="F291" s="139">
        <f>IF($O$11="sell",-1,1) * (-(B291*NORMDIST(I291,0,1,0)*$H$11)/(2*SQRT($J$11))/365) *$P$11</f>
        <v/>
      </c>
      <c r="G291" s="139">
        <f>IF($O$11="buy",1,-1)*( IF($K$11="call",B291*NORMDIST(I291,0,1,1) - $B$11*NORMDIST(J291,0,1,1),$B$11*NORMDIST(-J291,0,1,1) - B291*NORMDIST(-I291,0,1,1) ) - $G$11) * $P$11</f>
        <v/>
      </c>
      <c r="I291" s="140">
        <f>(LN(B291/$B$11)+($H$11^2/2)*($J$11))/($H$11*SQRT($J$11))</f>
        <v/>
      </c>
      <c r="J291" s="140">
        <f>I291 - $H$11*SQRT($J$11)</f>
        <v/>
      </c>
    </row>
    <row r="292" ht="13.5" customHeight="1" s="116">
      <c r="B292" s="144">
        <f>B262</f>
        <v/>
      </c>
      <c r="C292" s="139">
        <f>IF($O$11="sell",-1,1) *  IF($K$11="call",  NORMDIST(I292,0,1,1),  NORMDIST(I292,0,1,1)-1  ) * $P$11</f>
        <v/>
      </c>
      <c r="D292" s="139">
        <f>IF($O$11="sell",-1,1) * NORMDIST(I292,0,1,0)/(B292*$H$11*SQRT($J$11)) * $P$11</f>
        <v/>
      </c>
      <c r="E292" s="139">
        <f>IF($O$11="sell",-1,1) * (B292*NORMDIST(I292,0,1,0)*SQRT($J$11)/365) * $P$11</f>
        <v/>
      </c>
      <c r="F292" s="139">
        <f>IF($O$11="sell",-1,1) * (-(B292*NORMDIST(I292,0,1,0)*$H$11)/(2*SQRT($J$11))/365) *$P$11</f>
        <v/>
      </c>
      <c r="G292" s="139">
        <f>IF($O$11="buy",1,-1)*( IF($K$11="call",B292*NORMDIST(I292,0,1,1) - $B$11*NORMDIST(J292,0,1,1),$B$11*NORMDIST(-J292,0,1,1) - B292*NORMDIST(-I292,0,1,1) ) - $G$11) * $P$11</f>
        <v/>
      </c>
      <c r="I292" s="140">
        <f>(LN(B292/$B$11)+($H$11^2/2)*($J$11))/($H$11*SQRT($J$11))</f>
        <v/>
      </c>
      <c r="J292" s="140">
        <f>I292 - $H$11*SQRT($J$11)</f>
        <v/>
      </c>
    </row>
    <row r="293" ht="13.5" customHeight="1" s="116">
      <c r="B293" s="144">
        <f>B263</f>
        <v/>
      </c>
      <c r="C293" s="139">
        <f>IF($O$11="sell",-1,1) *  IF($K$11="call",  NORMDIST(I293,0,1,1),  NORMDIST(I293,0,1,1)-1  ) * $P$11</f>
        <v/>
      </c>
      <c r="D293" s="139">
        <f>IF($O$11="sell",-1,1) * NORMDIST(I293,0,1,0)/(B293*$H$11*SQRT($J$11)) * $P$11</f>
        <v/>
      </c>
      <c r="E293" s="139">
        <f>IF($O$11="sell",-1,1) * (B293*NORMDIST(I293,0,1,0)*SQRT($J$11)/365) * $P$11</f>
        <v/>
      </c>
      <c r="F293" s="139">
        <f>IF($O$11="sell",-1,1) * (-(B293*NORMDIST(I293,0,1,0)*$H$11)/(2*SQRT($J$11))/365) *$P$11</f>
        <v/>
      </c>
      <c r="G293" s="139">
        <f>IF($O$11="buy",1,-1)*( IF($K$11="call",B293*NORMDIST(I293,0,1,1) - $B$11*NORMDIST(J293,0,1,1),$B$11*NORMDIST(-J293,0,1,1) - B293*NORMDIST(-I293,0,1,1) ) - $G$11) * $P$11</f>
        <v/>
      </c>
      <c r="I293" s="140">
        <f>(LN(B293/$B$11)+($H$11^2/2)*($J$11))/($H$11*SQRT($J$11))</f>
        <v/>
      </c>
      <c r="J293" s="140">
        <f>I293 - $H$11*SQRT($J$11)</f>
        <v/>
      </c>
    </row>
    <row r="294" ht="13.5" customHeight="1" s="116">
      <c r="B294" s="144">
        <f>B264</f>
        <v/>
      </c>
      <c r="C294" s="139">
        <f>IF($O$11="sell",-1,1) *  IF($K$11="call",  NORMDIST(I294,0,1,1),  NORMDIST(I294,0,1,1)-1  ) * $P$11</f>
        <v/>
      </c>
      <c r="D294" s="139">
        <f>IF($O$11="sell",-1,1) * NORMDIST(I294,0,1,0)/(B294*$H$11*SQRT($J$11)) * $P$11</f>
        <v/>
      </c>
      <c r="E294" s="139">
        <f>IF($O$11="sell",-1,1) * (B294*NORMDIST(I294,0,1,0)*SQRT($J$11)/365) * $P$11</f>
        <v/>
      </c>
      <c r="F294" s="139">
        <f>IF($O$11="sell",-1,1) * (-(B294*NORMDIST(I294,0,1,0)*$H$11)/(2*SQRT($J$11))/365) *$P$11</f>
        <v/>
      </c>
      <c r="G294" s="139">
        <f>IF($O$11="buy",1,-1)*( IF($K$11="call",B294*NORMDIST(I294,0,1,1) - $B$11*NORMDIST(J294,0,1,1),$B$11*NORMDIST(-J294,0,1,1) - B294*NORMDIST(-I294,0,1,1) ) - $G$11) * $P$11</f>
        <v/>
      </c>
      <c r="I294" s="140">
        <f>(LN(B294/$B$11)+($H$11^2/2)*($J$11))/($H$11*SQRT($J$11))</f>
        <v/>
      </c>
      <c r="J294" s="140">
        <f>I294 - $H$11*SQRT($J$11)</f>
        <v/>
      </c>
    </row>
    <row r="295" ht="13.5" customHeight="1" s="116">
      <c r="B295" s="144">
        <f>B265</f>
        <v/>
      </c>
      <c r="C295" s="139">
        <f>IF($O$11="sell",-1,1) *  IF($K$11="call",  NORMDIST(I295,0,1,1),  NORMDIST(I295,0,1,1)-1  ) * $P$11</f>
        <v/>
      </c>
      <c r="D295" s="139">
        <f>IF($O$11="sell",-1,1) * NORMDIST(I295,0,1,0)/(B295*$H$11*SQRT($J$11)) * $P$11</f>
        <v/>
      </c>
      <c r="E295" s="139">
        <f>IF($O$11="sell",-1,1) * (B295*NORMDIST(I295,0,1,0)*SQRT($J$11)/365) * $P$11</f>
        <v/>
      </c>
      <c r="F295" s="139">
        <f>IF($O$11="sell",-1,1) * (-(B295*NORMDIST(I295,0,1,0)*$H$11)/(2*SQRT($J$11))/365) *$P$11</f>
        <v/>
      </c>
      <c r="G295" s="139">
        <f>IF($O$11="buy",1,-1)*( IF($K$11="call",B295*NORMDIST(I295,0,1,1) - $B$11*NORMDIST(J295,0,1,1),$B$11*NORMDIST(-J295,0,1,1) - B295*NORMDIST(-I295,0,1,1) ) - $G$11) * $P$11</f>
        <v/>
      </c>
      <c r="I295" s="140">
        <f>(LN(B295/$B$11)+($H$11^2/2)*($J$11))/($H$11*SQRT($J$11))</f>
        <v/>
      </c>
      <c r="J295" s="140">
        <f>I295 - $H$11*SQRT($J$11)</f>
        <v/>
      </c>
    </row>
    <row r="296" ht="13.5" customHeight="1" s="116">
      <c r="B296" s="144">
        <f>B266</f>
        <v/>
      </c>
      <c r="C296" s="139">
        <f>IF($O$11="sell",-1,1) *  IF($K$11="call",  NORMDIST(I296,0,1,1),  NORMDIST(I296,0,1,1)-1  ) * $P$11</f>
        <v/>
      </c>
      <c r="D296" s="139">
        <f>IF($O$11="sell",-1,1) * NORMDIST(I296,0,1,0)/(B296*$H$11*SQRT($J$11)) * $P$11</f>
        <v/>
      </c>
      <c r="E296" s="139">
        <f>IF($O$11="sell",-1,1) * (B296*NORMDIST(I296,0,1,0)*SQRT($J$11)/365) * $P$11</f>
        <v/>
      </c>
      <c r="F296" s="139">
        <f>IF($O$11="sell",-1,1) * (-(B296*NORMDIST(I296,0,1,0)*$H$11)/(2*SQRT($J$11))/365) *$P$11</f>
        <v/>
      </c>
      <c r="G296" s="139">
        <f>IF($O$11="buy",1,-1)*( IF($K$11="call",B296*NORMDIST(I296,0,1,1) - $B$11*NORMDIST(J296,0,1,1),$B$11*NORMDIST(-J296,0,1,1) - B296*NORMDIST(-I296,0,1,1) ) - $G$11) * $P$11</f>
        <v/>
      </c>
      <c r="I296" s="140">
        <f>(LN(B296/$B$11)+($H$11^2/2)*($J$11))/($H$11*SQRT($J$11))</f>
        <v/>
      </c>
      <c r="J296" s="140">
        <f>I296 - $H$11*SQRT($J$11)</f>
        <v/>
      </c>
    </row>
    <row r="297" ht="13.5" customHeight="1" s="116">
      <c r="B297" s="144">
        <f>B267</f>
        <v/>
      </c>
      <c r="C297" s="139">
        <f>IF($O$11="sell",-1,1) *  IF($K$11="call",  NORMDIST(I297,0,1,1),  NORMDIST(I297,0,1,1)-1  ) * $P$11</f>
        <v/>
      </c>
      <c r="D297" s="139">
        <f>IF($O$11="sell",-1,1) * NORMDIST(I297,0,1,0)/(B297*$H$11*SQRT($J$11)) * $P$11</f>
        <v/>
      </c>
      <c r="E297" s="139">
        <f>IF($O$11="sell",-1,1) * (B297*NORMDIST(I297,0,1,0)*SQRT($J$11)/365) * $P$11</f>
        <v/>
      </c>
      <c r="F297" s="139">
        <f>IF($O$11="sell",-1,1) * (-(B297*NORMDIST(I297,0,1,0)*$H$11)/(2*SQRT($J$11))/365) *$P$11</f>
        <v/>
      </c>
      <c r="G297" s="139">
        <f>IF($O$11="buy",1,-1)*( IF($K$11="call",B297*NORMDIST(I297,0,1,1) - $B$11*NORMDIST(J297,0,1,1),$B$11*NORMDIST(-J297,0,1,1) - B297*NORMDIST(-I297,0,1,1) ) - $G$11) * $P$11</f>
        <v/>
      </c>
      <c r="I297" s="140">
        <f>(LN(B297/$B$11)+($H$11^2/2)*($J$11))/($H$11*SQRT($J$11))</f>
        <v/>
      </c>
      <c r="J297" s="140">
        <f>I297 - $H$11*SQRT($J$11)</f>
        <v/>
      </c>
    </row>
    <row r="298" ht="13.5" customHeight="1" s="116">
      <c r="B298" s="144">
        <f>B268</f>
        <v/>
      </c>
      <c r="C298" s="139">
        <f>IF($O$11="sell",-1,1) *  IF($K$11="call",  NORMDIST(I298,0,1,1),  NORMDIST(I298,0,1,1)-1  ) * $P$11</f>
        <v/>
      </c>
      <c r="D298" s="139">
        <f>IF($O$11="sell",-1,1) * NORMDIST(I298,0,1,0)/(B298*$H$11*SQRT($J$11)) * $P$11</f>
        <v/>
      </c>
      <c r="E298" s="139">
        <f>IF($O$11="sell",-1,1) * (B298*NORMDIST(I298,0,1,0)*SQRT($J$11)/365) * $P$11</f>
        <v/>
      </c>
      <c r="F298" s="139">
        <f>IF($O$11="sell",-1,1) * (-(B298*NORMDIST(I298,0,1,0)*$H$11)/(2*SQRT($J$11))/365) *$P$11</f>
        <v/>
      </c>
      <c r="G298" s="139">
        <f>IF($O$11="buy",1,-1)*( IF($K$11="call",B298*NORMDIST(I298,0,1,1) - $B$11*NORMDIST(J298,0,1,1),$B$11*NORMDIST(-J298,0,1,1) - B298*NORMDIST(-I298,0,1,1) ) - $G$11) * $P$11</f>
        <v/>
      </c>
      <c r="I298" s="140">
        <f>(LN(B298/$B$11)+($H$11^2/2)*($J$11))/($H$11*SQRT($J$11))</f>
        <v/>
      </c>
      <c r="J298" s="140">
        <f>I298 - $H$11*SQRT($J$11)</f>
        <v/>
      </c>
    </row>
    <row r="299" ht="13.5" customHeight="1" s="116">
      <c r="B299" s="144">
        <f>B269</f>
        <v/>
      </c>
      <c r="C299" s="139">
        <f>IF($O$11="sell",-1,1) *  IF($K$11="call",  NORMDIST(I299,0,1,1),  NORMDIST(I299,0,1,1)-1  ) * $P$11</f>
        <v/>
      </c>
      <c r="D299" s="139">
        <f>IF($O$11="sell",-1,1) * NORMDIST(I299,0,1,0)/(B299*$H$11*SQRT($J$11)) * $P$11</f>
        <v/>
      </c>
      <c r="E299" s="139">
        <f>IF($O$11="sell",-1,1) * (B299*NORMDIST(I299,0,1,0)*SQRT($J$11)/365) * $P$11</f>
        <v/>
      </c>
      <c r="F299" s="139">
        <f>IF($O$11="sell",-1,1) * (-(B299*NORMDIST(I299,0,1,0)*$H$11)/(2*SQRT($J$11))/365) *$P$11</f>
        <v/>
      </c>
      <c r="G299" s="139">
        <f>IF($O$11="buy",1,-1)*( IF($K$11="call",B299*NORMDIST(I299,0,1,1) - $B$11*NORMDIST(J299,0,1,1),$B$11*NORMDIST(-J299,0,1,1) - B299*NORMDIST(-I299,0,1,1) ) - $G$11) * $P$11</f>
        <v/>
      </c>
      <c r="I299" s="140">
        <f>(LN(B299/$B$11)+($H$11^2/2)*($J$11))/($H$11*SQRT($J$11))</f>
        <v/>
      </c>
      <c r="J299" s="140">
        <f>I299 - $H$11*SQRT($J$11)</f>
        <v/>
      </c>
    </row>
    <row r="300" ht="13.5" customHeight="1" s="116">
      <c r="B300" s="144">
        <f>B270</f>
        <v/>
      </c>
      <c r="C300" s="139">
        <f>IF($O$11="sell",-1,1) *  IF($K$11="call",  NORMDIST(I300,0,1,1),  NORMDIST(I300,0,1,1)-1  ) * $P$11</f>
        <v/>
      </c>
      <c r="D300" s="139">
        <f>IF($O$11="sell",-1,1) * NORMDIST(I300,0,1,0)/(B300*$H$11*SQRT($J$11)) * $P$11</f>
        <v/>
      </c>
      <c r="E300" s="139">
        <f>IF($O$11="sell",-1,1) * (B300*NORMDIST(I300,0,1,0)*SQRT($J$11)/365) * $P$11</f>
        <v/>
      </c>
      <c r="F300" s="139">
        <f>IF($O$11="sell",-1,1) * (-(B300*NORMDIST(I300,0,1,0)*$H$11)/(2*SQRT($J$11))/365) *$P$11</f>
        <v/>
      </c>
      <c r="G300" s="139">
        <f>IF($O$11="buy",1,-1)*( IF($K$11="call",B300*NORMDIST(I300,0,1,1) - $B$11*NORMDIST(J300,0,1,1),$B$11*NORMDIST(-J300,0,1,1) - B300*NORMDIST(-I300,0,1,1) ) - $G$11) * $P$11</f>
        <v/>
      </c>
      <c r="I300" s="140">
        <f>(LN(B300/$B$11)+($H$11^2/2)*($J$11))/($H$11*SQRT($J$11))</f>
        <v/>
      </c>
      <c r="J300" s="140">
        <f>I300 - $H$11*SQRT($J$11)</f>
        <v/>
      </c>
    </row>
    <row r="301" ht="13.5" customHeight="1" s="116">
      <c r="B301" s="144">
        <f>B271</f>
        <v/>
      </c>
      <c r="C301" s="139">
        <f>IF($O$11="sell",-1,1) *  IF($K$11="call",  NORMDIST(I301,0,1,1),  NORMDIST(I301,0,1,1)-1  ) * $P$11</f>
        <v/>
      </c>
      <c r="D301" s="139">
        <f>IF($O$11="sell",-1,1) * NORMDIST(I301,0,1,0)/(B301*$H$11*SQRT($J$11)) * $P$11</f>
        <v/>
      </c>
      <c r="E301" s="139">
        <f>IF($O$11="sell",-1,1) * (B301*NORMDIST(I301,0,1,0)*SQRT($J$11)/365) * $P$11</f>
        <v/>
      </c>
      <c r="F301" s="139">
        <f>IF($O$11="sell",-1,1) * (-(B301*NORMDIST(I301,0,1,0)*$H$11)/(2*SQRT($J$11))/365) *$P$11</f>
        <v/>
      </c>
      <c r="G301" s="139">
        <f>IF($O$11="buy",1,-1)*( IF($K$11="call",B301*NORMDIST(I301,0,1,1) - $B$11*NORMDIST(J301,0,1,1),$B$11*NORMDIST(-J301,0,1,1) - B301*NORMDIST(-I301,0,1,1) ) - $G$11) * $P$11</f>
        <v/>
      </c>
      <c r="I301" s="140">
        <f>(LN(B301/$B$11)+($H$11^2/2)*($J$11))/($H$11*SQRT($J$11))</f>
        <v/>
      </c>
      <c r="J301" s="140">
        <f>I301 - $H$11*SQRT($J$11)</f>
        <v/>
      </c>
    </row>
    <row r="302" ht="13.5" customHeight="1" s="116">
      <c r="B302" s="144">
        <f>B272</f>
        <v/>
      </c>
      <c r="C302" s="139">
        <f>IF($O$11="sell",-1,1) *  IF($K$11="call",  NORMDIST(I302,0,1,1),  NORMDIST(I302,0,1,1)-1  ) * $P$11</f>
        <v/>
      </c>
      <c r="D302" s="139">
        <f>IF($O$11="sell",-1,1) * NORMDIST(I302,0,1,0)/(B302*$H$11*SQRT($J$11)) * $P$11</f>
        <v/>
      </c>
      <c r="E302" s="139">
        <f>IF($O$11="sell",-1,1) * (B302*NORMDIST(I302,0,1,0)*SQRT($J$11)/365) * $P$11</f>
        <v/>
      </c>
      <c r="F302" s="139">
        <f>IF($O$11="sell",-1,1) * (-(B302*NORMDIST(I302,0,1,0)*$H$11)/(2*SQRT($J$11))/365) *$P$11</f>
        <v/>
      </c>
      <c r="G302" s="139">
        <f>IF($O$11="buy",1,-1)*( IF($K$11="call",B302*NORMDIST(I302,0,1,1) - $B$11*NORMDIST(J302,0,1,1),$B$11*NORMDIST(-J302,0,1,1) - B302*NORMDIST(-I302,0,1,1) ) - $G$11) * $P$11</f>
        <v/>
      </c>
      <c r="I302" s="140">
        <f>(LN(B302/$B$11)+($H$11^2/2)*($J$11))/($H$11*SQRT($J$11))</f>
        <v/>
      </c>
      <c r="J302" s="140">
        <f>I302 - $H$11*SQRT($J$11)</f>
        <v/>
      </c>
    </row>
    <row r="303" ht="13.5" customHeight="1" s="116">
      <c r="B303" s="144">
        <f>B273</f>
        <v/>
      </c>
      <c r="C303" s="139">
        <f>IF($O$11="sell",-1,1) *  IF($K$11="call",  NORMDIST(I303,0,1,1),  NORMDIST(I303,0,1,1)-1  ) * $P$11</f>
        <v/>
      </c>
      <c r="D303" s="139">
        <f>IF($O$11="sell",-1,1) * NORMDIST(I303,0,1,0)/(B303*$H$11*SQRT($J$11)) * $P$11</f>
        <v/>
      </c>
      <c r="E303" s="139">
        <f>IF($O$11="sell",-1,1) * (B303*NORMDIST(I303,0,1,0)*SQRT($J$11)/365) * $P$11</f>
        <v/>
      </c>
      <c r="F303" s="139">
        <f>IF($O$11="sell",-1,1) * (-(B303*NORMDIST(I303,0,1,0)*$H$11)/(2*SQRT($J$11))/365) *$P$11</f>
        <v/>
      </c>
      <c r="G303" s="139">
        <f>IF($O$11="buy",1,-1)*( IF($K$11="call",B303*NORMDIST(I303,0,1,1) - $B$11*NORMDIST(J303,0,1,1),$B$11*NORMDIST(-J303,0,1,1) - B303*NORMDIST(-I303,0,1,1) ) - $G$11) * $P$11</f>
        <v/>
      </c>
      <c r="I303" s="140">
        <f>(LN(B303/$B$11)+($H$11^2/2)*($J$11))/($H$11*SQRT($J$11))</f>
        <v/>
      </c>
      <c r="J303" s="140">
        <f>I303 - $H$11*SQRT($J$11)</f>
        <v/>
      </c>
    </row>
    <row r="304" ht="13.5" customHeight="1" s="116">
      <c r="B304" s="144">
        <f>B274</f>
        <v/>
      </c>
      <c r="C304" s="139">
        <f>IF($O$11="sell",-1,1) *  IF($K$11="call",  NORMDIST(I304,0,1,1),  NORMDIST(I304,0,1,1)-1  ) * $P$11</f>
        <v/>
      </c>
      <c r="D304" s="139">
        <f>IF($O$11="sell",-1,1) * NORMDIST(I304,0,1,0)/(B304*$H$11*SQRT($J$11)) * $P$11</f>
        <v/>
      </c>
      <c r="E304" s="139">
        <f>IF($O$11="sell",-1,1) * (B304*NORMDIST(I304,0,1,0)*SQRT($J$11)/365) * $P$11</f>
        <v/>
      </c>
      <c r="F304" s="139">
        <f>IF($O$11="sell",-1,1) * (-(B304*NORMDIST(I304,0,1,0)*$H$11)/(2*SQRT($J$11))/365) *$P$11</f>
        <v/>
      </c>
      <c r="G304" s="139">
        <f>IF($O$11="buy",1,-1)*( IF($K$11="call",B304*NORMDIST(I304,0,1,1) - $B$11*NORMDIST(J304,0,1,1),$B$11*NORMDIST(-J304,0,1,1) - B304*NORMDIST(-I304,0,1,1) ) - $G$11) * $P$11</f>
        <v/>
      </c>
      <c r="I304" s="140">
        <f>(LN(B304/$B$11)+($H$11^2/2)*($J$11))/($H$11*SQRT($J$11))</f>
        <v/>
      </c>
      <c r="J304" s="140">
        <f>I304 - $H$11*SQRT($J$11)</f>
        <v/>
      </c>
    </row>
    <row r="305" ht="13.5" customHeight="1" s="116">
      <c r="B305" s="144">
        <f>B275</f>
        <v/>
      </c>
      <c r="C305" s="139">
        <f>IF($O$11="sell",-1,1) *  IF($K$11="call",  NORMDIST(I305,0,1,1),  NORMDIST(I305,0,1,1)-1  ) * $P$11</f>
        <v/>
      </c>
      <c r="D305" s="139">
        <f>IF($O$11="sell",-1,1) * NORMDIST(I305,0,1,0)/(B305*$H$11*SQRT($J$11)) * $P$11</f>
        <v/>
      </c>
      <c r="E305" s="139">
        <f>IF($O$11="sell",-1,1) * (B305*NORMDIST(I305,0,1,0)*SQRT($J$11)/365) * $P$11</f>
        <v/>
      </c>
      <c r="F305" s="139">
        <f>IF($O$11="sell",-1,1) * (-(B305*NORMDIST(I305,0,1,0)*$H$11)/(2*SQRT($J$11))/365) *$P$11</f>
        <v/>
      </c>
      <c r="G305" s="139">
        <f>IF($O$11="buy",1,-1)*( IF($K$11="call",B305*NORMDIST(I305,0,1,1) - $B$11*NORMDIST(J305,0,1,1),$B$11*NORMDIST(-J305,0,1,1) - B305*NORMDIST(-I305,0,1,1) ) - $G$11) * $P$11</f>
        <v/>
      </c>
      <c r="I305" s="140">
        <f>(LN(B305/$B$11)+($H$11^2/2)*($J$11))/($H$11*SQRT($J$11))</f>
        <v/>
      </c>
      <c r="J305" s="140">
        <f>I305 - $H$11*SQRT($J$11)</f>
        <v/>
      </c>
    </row>
    <row r="306" ht="13.5" customHeight="1" s="116">
      <c r="B306" s="144">
        <f>B276</f>
        <v/>
      </c>
      <c r="C306" s="139">
        <f>IF($O$11="sell",-1,1) *  IF($K$11="call",  NORMDIST(I306,0,1,1),  NORMDIST(I306,0,1,1)-1  ) * $P$11</f>
        <v/>
      </c>
      <c r="D306" s="139">
        <f>IF($O$11="sell",-1,1) * NORMDIST(I306,0,1,0)/(B306*$H$11*SQRT($J$11)) * $P$11</f>
        <v/>
      </c>
      <c r="E306" s="139">
        <f>IF($O$11="sell",-1,1) * (B306*NORMDIST(I306,0,1,0)*SQRT($J$11)/365) * $P$11</f>
        <v/>
      </c>
      <c r="F306" s="139">
        <f>IF($O$11="sell",-1,1) * (-(B306*NORMDIST(I306,0,1,0)*$H$11)/(2*SQRT($J$11))/365) *$P$11</f>
        <v/>
      </c>
      <c r="G306" s="139">
        <f>IF($O$11="buy",1,-1)*( IF($K$11="call",B306*NORMDIST(I306,0,1,1) - $B$11*NORMDIST(J306,0,1,1),$B$11*NORMDIST(-J306,0,1,1) - B306*NORMDIST(-I306,0,1,1) ) - $G$11) * $P$11</f>
        <v/>
      </c>
      <c r="I306" s="140">
        <f>(LN(B306/$B$11)+($H$11^2/2)*($J$11))/($H$11*SQRT($J$11))</f>
        <v/>
      </c>
      <c r="J306" s="140">
        <f>I306 - $H$11*SQRT($J$11)</f>
        <v/>
      </c>
    </row>
    <row r="307" ht="13.5" customHeight="1" s="116">
      <c r="B307" s="144">
        <f>B277</f>
        <v/>
      </c>
      <c r="C307" s="139">
        <f>IF($O$11="sell",-1,1) *  IF($K$11="call",  NORMDIST(I307,0,1,1),  NORMDIST(I307,0,1,1)-1  ) * $P$11</f>
        <v/>
      </c>
      <c r="D307" s="139">
        <f>IF($O$11="sell",-1,1) * NORMDIST(I307,0,1,0)/(B307*$H$11*SQRT($J$11)) * $P$11</f>
        <v/>
      </c>
      <c r="E307" s="139">
        <f>IF($O$11="sell",-1,1) * (B307*NORMDIST(I307,0,1,0)*SQRT($J$11)/365) * $P$11</f>
        <v/>
      </c>
      <c r="F307" s="139">
        <f>IF($O$11="sell",-1,1) * (-(B307*NORMDIST(I307,0,1,0)*$H$11)/(2*SQRT($J$11))/365) *$P$11</f>
        <v/>
      </c>
      <c r="G307" s="139">
        <f>IF($O$11="buy",1,-1)*( IF($K$11="call",B307*NORMDIST(I307,0,1,1) - $B$11*NORMDIST(J307,0,1,1),$B$11*NORMDIST(-J307,0,1,1) - B307*NORMDIST(-I307,0,1,1) ) - $G$11) * $P$11</f>
        <v/>
      </c>
      <c r="I307" s="140">
        <f>(LN(B307/$B$11)+($H$11^2/2)*($J$11))/($H$11*SQRT($J$11))</f>
        <v/>
      </c>
      <c r="J307" s="140">
        <f>I307 - $H$11*SQRT($J$11)</f>
        <v/>
      </c>
    </row>
    <row r="308" ht="13.5" customHeight="1" s="116">
      <c r="B308" s="144">
        <f>B278</f>
        <v/>
      </c>
      <c r="C308" s="139">
        <f>IF($O$11="sell",-1,1) *  IF($K$11="call",  NORMDIST(I308,0,1,1),  NORMDIST(I308,0,1,1)-1  ) * $P$11</f>
        <v/>
      </c>
      <c r="D308" s="139">
        <f>IF($O$11="sell",-1,1) * NORMDIST(I308,0,1,0)/(B308*$H$11*SQRT($J$11)) * $P$11</f>
        <v/>
      </c>
      <c r="E308" s="139">
        <f>IF($O$11="sell",-1,1) * (B308*NORMDIST(I308,0,1,0)*SQRT($J$11)/365) * $P$11</f>
        <v/>
      </c>
      <c r="F308" s="139">
        <f>IF($O$11="sell",-1,1) * (-(B308*NORMDIST(I308,0,1,0)*$H$11)/(2*SQRT($J$11))/365) *$P$11</f>
        <v/>
      </c>
      <c r="G308" s="139">
        <f>IF($O$11="buy",1,-1)*( IF($K$11="call",B308*NORMDIST(I308,0,1,1) - $B$11*NORMDIST(J308,0,1,1),$B$11*NORMDIST(-J308,0,1,1) - B308*NORMDIST(-I308,0,1,1) ) - $G$11) * $P$11</f>
        <v/>
      </c>
      <c r="I308" s="140">
        <f>(LN(B308/$B$11)+($H$11^2/2)*($J$11))/($H$11*SQRT($J$11))</f>
        <v/>
      </c>
      <c r="J308" s="140">
        <f>I308 - $H$11*SQRT($J$11)</f>
        <v/>
      </c>
    </row>
    <row r="309" ht="13.5" customHeight="1" s="116">
      <c r="B309" s="144">
        <f>B279</f>
        <v/>
      </c>
      <c r="C309" s="139">
        <f>IF($O$11="sell",-1,1) *  IF($K$11="call",  NORMDIST(I309,0,1,1),  NORMDIST(I309,0,1,1)-1  ) * $P$11</f>
        <v/>
      </c>
      <c r="D309" s="139">
        <f>IF($O$11="sell",-1,1) * NORMDIST(I309,0,1,0)/(B309*$H$11*SQRT($J$11)) * $P$11</f>
        <v/>
      </c>
      <c r="E309" s="139">
        <f>IF($O$11="sell",-1,1) * (B309*NORMDIST(I309,0,1,0)*SQRT($J$11)/365) * $P$11</f>
        <v/>
      </c>
      <c r="F309" s="139">
        <f>IF($O$11="sell",-1,1) * (-(B309*NORMDIST(I309,0,1,0)*$H$11)/(2*SQRT($J$11))/365) *$P$11</f>
        <v/>
      </c>
      <c r="G309" s="139">
        <f>IF($O$11="buy",1,-1)*( IF($K$11="call",B309*NORMDIST(I309,0,1,1) - $B$11*NORMDIST(J309,0,1,1),$B$11*NORMDIST(-J309,0,1,1) - B309*NORMDIST(-I309,0,1,1) ) - $G$11) * $P$11</f>
        <v/>
      </c>
      <c r="I309" s="140">
        <f>(LN(B309/$B$11)+($H$11^2/2)*($J$11))/($H$11*SQRT($J$11))</f>
        <v/>
      </c>
      <c r="J309" s="140">
        <f>I309 - $H$11*SQRT($J$11)</f>
        <v/>
      </c>
    </row>
    <row r="310" ht="13.5" customHeight="1" s="116">
      <c r="B310" s="144">
        <f>B280</f>
        <v/>
      </c>
      <c r="C310" s="139">
        <f>IF($O$11="sell",-1,1) *  IF($K$11="call",  NORMDIST(I310,0,1,1),  NORMDIST(I310,0,1,1)-1  ) * $P$11</f>
        <v/>
      </c>
      <c r="D310" s="139">
        <f>IF($O$11="sell",-1,1) * NORMDIST(I310,0,1,0)/(B310*$H$11*SQRT($J$11)) * $P$11</f>
        <v/>
      </c>
      <c r="E310" s="139">
        <f>IF($O$11="sell",-1,1) * (B310*NORMDIST(I310,0,1,0)*SQRT($J$11)/365) * $P$11</f>
        <v/>
      </c>
      <c r="F310" s="139">
        <f>IF($O$11="sell",-1,1) * (-(B310*NORMDIST(I310,0,1,0)*$H$11)/(2*SQRT($J$11))/365) *$P$11</f>
        <v/>
      </c>
      <c r="G310" s="139">
        <f>IF($O$11="buy",1,-1)*( IF($K$11="call",B310*NORMDIST(I310,0,1,1) - $B$11*NORMDIST(J310,0,1,1),$B$11*NORMDIST(-J310,0,1,1) - B310*NORMDIST(-I310,0,1,1) ) - $G$11) * $P$11</f>
        <v/>
      </c>
      <c r="I310" s="140">
        <f>(LN(B310/$B$11)+($H$11^2/2)*($J$11))/($H$11*SQRT($J$11))</f>
        <v/>
      </c>
      <c r="J310" s="140">
        <f>I310 - $H$11*SQRT($J$11)</f>
        <v/>
      </c>
    </row>
    <row r="311" ht="13.5" customHeight="1" s="116">
      <c r="B311" s="145" t="n"/>
      <c r="C311" s="136" t="n"/>
      <c r="D311" s="136" t="n"/>
      <c r="E311" s="136" t="n"/>
      <c r="F311" s="136" t="n"/>
      <c r="G311" s="136" t="n"/>
      <c r="I311" s="146" t="n"/>
      <c r="J311" s="146" t="n"/>
    </row>
    <row r="312" ht="13.5" customHeight="1" s="116"/>
    <row r="313" ht="17.25" customHeight="1" s="116">
      <c r="A313" s="117" t="inlineStr">
        <is>
          <t>Total_Greeks</t>
        </is>
      </c>
      <c r="B313" s="137" t="n"/>
      <c r="C313" s="133" t="inlineStr">
        <is>
          <t>delta</t>
        </is>
      </c>
      <c r="D313" s="133" t="inlineStr">
        <is>
          <t>gamma</t>
        </is>
      </c>
      <c r="E313" s="133" t="inlineStr">
        <is>
          <t>vega</t>
        </is>
      </c>
      <c r="F313" s="133" t="inlineStr">
        <is>
          <t>theta</t>
        </is>
      </c>
      <c r="G313" s="133" t="inlineStr">
        <is>
          <t>mark_price</t>
        </is>
      </c>
    </row>
    <row r="314" ht="13.5" customHeight="1" s="116">
      <c r="B314" s="144">
        <f>B17</f>
        <v/>
      </c>
      <c r="C314" s="139">
        <f>C17+C46+C75+C104+C134+C164+C194+C224+C254+C284</f>
        <v/>
      </c>
      <c r="D314" s="139">
        <f>D17+D46+D75+D104+D134+D164+D194+D224+D254+D284</f>
        <v/>
      </c>
      <c r="E314" s="139">
        <f>E17+E46+E75+E104+E134+E164+E194+E224+E254+E284</f>
        <v/>
      </c>
      <c r="F314" s="139">
        <f>F17+F46+F75+F104+F134+F164+F194+F224+F254+F284</f>
        <v/>
      </c>
      <c r="G314" s="139">
        <f>G17+G46+G75+G104+G134+G164+G194+G224+G254+G284</f>
        <v/>
      </c>
    </row>
    <row r="315" ht="13.5" customHeight="1" s="116">
      <c r="B315" s="144">
        <f>B18</f>
        <v/>
      </c>
      <c r="C315" s="139">
        <f>C18+C47+C76+C105+C135+C165+C195+C225+C255+C285</f>
        <v/>
      </c>
      <c r="D315" s="139">
        <f>D18+D47+D76+D105+D135+D165+D195+D225+D255+D285</f>
        <v/>
      </c>
      <c r="E315" s="139">
        <f>E18+E47+E76+E105+E135+E165+E195+E225+E255+E285</f>
        <v/>
      </c>
      <c r="F315" s="139">
        <f>F18+F47+F76+F105+F135+F165+F195+F225+F255+F285</f>
        <v/>
      </c>
      <c r="G315" s="139">
        <f>G18+G47+G76+G105+G135+G165+G195+G225+G255+G285</f>
        <v/>
      </c>
    </row>
    <row r="316" ht="13.5" customHeight="1" s="116">
      <c r="B316" s="144">
        <f>B19</f>
        <v/>
      </c>
      <c r="C316" s="139">
        <f>C19+C48+C77+C106+C136+C166+C196+C226+C256+C286</f>
        <v/>
      </c>
      <c r="D316" s="139">
        <f>D19+D48+D77+D106+D136+D166+D196+D226+D256+D286</f>
        <v/>
      </c>
      <c r="E316" s="139">
        <f>E19+E48+E77+E106+E136+E166+E196+E226+E256+E286</f>
        <v/>
      </c>
      <c r="F316" s="139">
        <f>F19+F48+F77+F106+F136+F166+F196+F226+F256+F286</f>
        <v/>
      </c>
      <c r="G316" s="139">
        <f>G19+G48+G77+G106+G136+G166+G196+G226+G256+G286</f>
        <v/>
      </c>
    </row>
    <row r="317" ht="13.5" customHeight="1" s="116">
      <c r="B317" s="144">
        <f>B20</f>
        <v/>
      </c>
      <c r="C317" s="139">
        <f>C20+C49+C78+C107+C137+C167+C197+C227+C257+C287</f>
        <v/>
      </c>
      <c r="D317" s="139">
        <f>D20+D49+D78+D107+D137+D167+D197+D227+D257+D287</f>
        <v/>
      </c>
      <c r="E317" s="139">
        <f>E20+E49+E78+E107+E137+E167+E197+E227+E257+E287</f>
        <v/>
      </c>
      <c r="F317" s="139">
        <f>F20+F49+F78+F107+F137+F167+F197+F227+F257+F287</f>
        <v/>
      </c>
      <c r="G317" s="139">
        <f>G20+G49+G78+G107+G137+G167+G197+G227+G257+G287</f>
        <v/>
      </c>
    </row>
    <row r="318" ht="13.5" customHeight="1" s="116">
      <c r="B318" s="144">
        <f>B21</f>
        <v/>
      </c>
      <c r="C318" s="139">
        <f>C21+C50+C79+C108+C138+C168+C198+C228+C258+C288</f>
        <v/>
      </c>
      <c r="D318" s="139">
        <f>D21+D50+D79+D108+D138+D168+D198+D228+D258+D288</f>
        <v/>
      </c>
      <c r="E318" s="139">
        <f>E21+E50+E79+E108+E138+E168+E198+E228+E258+E288</f>
        <v/>
      </c>
      <c r="F318" s="139">
        <f>F21+F50+F79+F108+F138+F168+F198+F228+F258+F288</f>
        <v/>
      </c>
      <c r="G318" s="139">
        <f>G21+G50+G79+G108+G138+G168+G198+G228+G258+G288</f>
        <v/>
      </c>
    </row>
    <row r="319" ht="13.5" customHeight="1" s="116">
      <c r="B319" s="144">
        <f>B22</f>
        <v/>
      </c>
      <c r="C319" s="139">
        <f>C22+C51+C80+C109+C139+C169+C199+C229+C259+C289</f>
        <v/>
      </c>
      <c r="D319" s="139">
        <f>D22+D51+D80+D109+D139+D169+D199+D229+D259+D289</f>
        <v/>
      </c>
      <c r="E319" s="139">
        <f>E22+E51+E80+E109+E139+E169+E199+E229+E259+E289</f>
        <v/>
      </c>
      <c r="F319" s="139">
        <f>F22+F51+F80+F109+F139+F169+F199+F229+F259+F289</f>
        <v/>
      </c>
      <c r="G319" s="139">
        <f>G22+G51+G80+G109+G139+G169+G199+G229+G259+G289</f>
        <v/>
      </c>
    </row>
    <row r="320" ht="13.5" customHeight="1" s="116">
      <c r="B320" s="144">
        <f>B23</f>
        <v/>
      </c>
      <c r="C320" s="139">
        <f>C23+C52+C81+C110+C140+C170+C200+C230+C260+C290</f>
        <v/>
      </c>
      <c r="D320" s="139">
        <f>D23+D52+D81+D110+D140+D170+D200+D230+D260+D290</f>
        <v/>
      </c>
      <c r="E320" s="139">
        <f>E23+E52+E81+E110+E140+E170+E200+E230+E260+E290</f>
        <v/>
      </c>
      <c r="F320" s="139">
        <f>F23+F52+F81+F110+F140+F170+F200+F230+F260+F290</f>
        <v/>
      </c>
      <c r="G320" s="139">
        <f>G23+G52+G81+G110+G140+G170+G200+G230+G260+G290</f>
        <v/>
      </c>
    </row>
    <row r="321" ht="13.5" customHeight="1" s="116">
      <c r="B321" s="144">
        <f>B24</f>
        <v/>
      </c>
      <c r="C321" s="139">
        <f>C24+C53+C82+C111+C141+C171+C201+C231+C261+C291</f>
        <v/>
      </c>
      <c r="D321" s="139">
        <f>D24+D53+D82+D111+D141+D171+D201+D231+D261+D291</f>
        <v/>
      </c>
      <c r="E321" s="139">
        <f>E24+E53+E82+E111+E141+E171+E201+E231+E261+E291</f>
        <v/>
      </c>
      <c r="F321" s="139">
        <f>F24+F53+F82+F111+F141+F171+F201+F231+F261+F291</f>
        <v/>
      </c>
      <c r="G321" s="139">
        <f>G24+G53+G82+G111+G141+G171+G201+G231+G261+G291</f>
        <v/>
      </c>
    </row>
    <row r="322" ht="13.5" customHeight="1" s="116">
      <c r="B322" s="144">
        <f>B25</f>
        <v/>
      </c>
      <c r="C322" s="139">
        <f>C25+C54+C83+C112+C142+C172+C202+C232+C262+C292</f>
        <v/>
      </c>
      <c r="D322" s="139">
        <f>D25+D54+D83+D112+D142+D172+D202+D232+D262+D292</f>
        <v/>
      </c>
      <c r="E322" s="139">
        <f>E25+E54+E83+E112+E142+E172+E202+E232+E262+E292</f>
        <v/>
      </c>
      <c r="F322" s="139">
        <f>F25+F54+F83+F112+F142+F172+F202+F232+F262+F292</f>
        <v/>
      </c>
      <c r="G322" s="139">
        <f>G25+G54+G83+G112+G142+G172+G202+G232+G262+G292</f>
        <v/>
      </c>
    </row>
    <row r="323" ht="13.5" customHeight="1" s="116">
      <c r="B323" s="144">
        <f>B26</f>
        <v/>
      </c>
      <c r="C323" s="139">
        <f>C26+C55+C84+C113+C143+C173+C203+C233+C263+C293</f>
        <v/>
      </c>
      <c r="D323" s="139">
        <f>D26+D55+D84+D113+D143+D173+D203+D233+D263+D293</f>
        <v/>
      </c>
      <c r="E323" s="139">
        <f>E26+E55+E84+E113+E143+E173+E203+E233+E263+E293</f>
        <v/>
      </c>
      <c r="F323" s="139">
        <f>F26+F55+F84+F113+F143+F173+F203+F233+F263+F293</f>
        <v/>
      </c>
      <c r="G323" s="139">
        <f>G26+G55+G84+G113+G143+G173+G203+G233+G263+G293</f>
        <v/>
      </c>
    </row>
    <row r="324" ht="13.5" customHeight="1" s="116">
      <c r="B324" s="144">
        <f>B27</f>
        <v/>
      </c>
      <c r="C324" s="139">
        <f>C27+C56+C85+C114+C144+C174+C204+C234+C264+C294</f>
        <v/>
      </c>
      <c r="D324" s="139">
        <f>D27+D56+D85+D114+D144+D174+D204+D234+D264+D294</f>
        <v/>
      </c>
      <c r="E324" s="139">
        <f>E27+E56+E85+E114+E144+E174+E204+E234+E264+E294</f>
        <v/>
      </c>
      <c r="F324" s="139">
        <f>F27+F56+F85+F114+F144+F174+F204+F234+F264+F294</f>
        <v/>
      </c>
      <c r="G324" s="139">
        <f>G27+G56+G85+G114+G144+G174+G204+G234+G264+G294</f>
        <v/>
      </c>
    </row>
    <row r="325" ht="13.5" customHeight="1" s="116">
      <c r="B325" s="144">
        <f>B28</f>
        <v/>
      </c>
      <c r="C325" s="139">
        <f>C28+C57+C86+C115+C145+C175+C205+C235+C265+C295</f>
        <v/>
      </c>
      <c r="D325" s="139">
        <f>D28+D57+D86+D115+D145+D175+D205+D235+D265+D295</f>
        <v/>
      </c>
      <c r="E325" s="139">
        <f>E28+E57+E86+E115+E145+E175+E205+E235+E265+E295</f>
        <v/>
      </c>
      <c r="F325" s="139">
        <f>F28+F57+F86+F115+F145+F175+F205+F235+F265+F295</f>
        <v/>
      </c>
      <c r="G325" s="139">
        <f>G28+G57+G86+G115+G145+G175+G205+G235+G265+G295</f>
        <v/>
      </c>
    </row>
    <row r="326" ht="13.5" customHeight="1" s="116">
      <c r="B326" s="144">
        <f>B29</f>
        <v/>
      </c>
      <c r="C326" s="139">
        <f>C29+C58+C87+C116+C146+C176+C206+C236+C266+C296</f>
        <v/>
      </c>
      <c r="D326" s="139">
        <f>D29+D58+D87+D116+D146+D176+D206+D236+D266+D296</f>
        <v/>
      </c>
      <c r="E326" s="139">
        <f>E29+E58+E87+E116+E146+E176+E206+E236+E266+E296</f>
        <v/>
      </c>
      <c r="F326" s="139">
        <f>F29+F58+F87+F116+F146+F176+F206+F236+F266+F296</f>
        <v/>
      </c>
      <c r="G326" s="139">
        <f>G29+G58+G87+G116+G146+G176+G206+G236+G266+G296</f>
        <v/>
      </c>
    </row>
    <row r="327" ht="13.5" customHeight="1" s="116">
      <c r="B327" s="144">
        <f>B30</f>
        <v/>
      </c>
      <c r="C327" s="139">
        <f>C30+C59+C88+C117+C147+C177+C207+C237+C267+C297</f>
        <v/>
      </c>
      <c r="D327" s="139">
        <f>D30+D59+D88+D117+D147+D177+D207+D237+D267+D297</f>
        <v/>
      </c>
      <c r="E327" s="139">
        <f>E30+E59+E88+E117+E147+E177+E207+E237+E267+E297</f>
        <v/>
      </c>
      <c r="F327" s="139">
        <f>F30+F59+F88+F117+F147+F177+F207+F237+F267+F297</f>
        <v/>
      </c>
      <c r="G327" s="139">
        <f>G30+G59+G88+G117+G147+G177+G207+G237+G267+G297</f>
        <v/>
      </c>
    </row>
    <row r="328" ht="13.5" customHeight="1" s="116">
      <c r="B328" s="144">
        <f>B31</f>
        <v/>
      </c>
      <c r="C328" s="139">
        <f>C31+C60+C89+C118+C148+C178+C208+C238+C268+C298</f>
        <v/>
      </c>
      <c r="D328" s="139">
        <f>D31+D60+D89+D118+D148+D178+D208+D238+D268+D298</f>
        <v/>
      </c>
      <c r="E328" s="139">
        <f>E31+E60+E89+E118+E148+E178+E208+E238+E268+E298</f>
        <v/>
      </c>
      <c r="F328" s="139">
        <f>F31+F60+F89+F118+F148+F178+F208+F238+F268+F298</f>
        <v/>
      </c>
      <c r="G328" s="139">
        <f>G31+G60+G89+G118+G148+G178+G208+G238+G268+G298</f>
        <v/>
      </c>
    </row>
    <row r="329" ht="13.5" customHeight="1" s="116">
      <c r="B329" s="144">
        <f>B32</f>
        <v/>
      </c>
      <c r="C329" s="139">
        <f>C32+C61+C90+C119+C149+C179+C209+C239+C269+C299</f>
        <v/>
      </c>
      <c r="D329" s="139">
        <f>D32+D61+D90+D119+D149+D179+D209+D239+D269+D299</f>
        <v/>
      </c>
      <c r="E329" s="139">
        <f>E32+E61+E90+E119+E149+E179+E209+E239+E269+E299</f>
        <v/>
      </c>
      <c r="F329" s="139">
        <f>F32+F61+F90+F119+F149+F179+F209+F239+F269+F299</f>
        <v/>
      </c>
      <c r="G329" s="139">
        <f>G32+G61+G90+G119+G149+G179+G209+G239+G269+G299</f>
        <v/>
      </c>
    </row>
    <row r="330" ht="13.5" customHeight="1" s="116">
      <c r="B330" s="144">
        <f>B33</f>
        <v/>
      </c>
      <c r="C330" s="139">
        <f>C33+C62+C91+C120+C150+C180+C210+C240+C270+C300</f>
        <v/>
      </c>
      <c r="D330" s="139">
        <f>D33+D62+D91+D120+D150+D180+D210+D240+D270+D300</f>
        <v/>
      </c>
      <c r="E330" s="139">
        <f>E33+E62+E91+E120+E150+E180+E210+E240+E270+E300</f>
        <v/>
      </c>
      <c r="F330" s="139">
        <f>F33+F62+F91+F120+F150+F180+F210+F240+F270+F300</f>
        <v/>
      </c>
      <c r="G330" s="139">
        <f>G33+G62+G91+G120+G150+G180+G210+G240+G270+G300</f>
        <v/>
      </c>
    </row>
    <row r="331" ht="13.5" customHeight="1" s="116">
      <c r="B331" s="144">
        <f>B34</f>
        <v/>
      </c>
      <c r="C331" s="139">
        <f>C34+C63+C92+C121+C151+C181+C211+C241+C271+C301</f>
        <v/>
      </c>
      <c r="D331" s="139">
        <f>D34+D63+D92+D121+D151+D181+D211+D241+D271+D301</f>
        <v/>
      </c>
      <c r="E331" s="139">
        <f>E34+E63+E92+E121+E151+E181+E211+E241+E271+E301</f>
        <v/>
      </c>
      <c r="F331" s="139">
        <f>F34+F63+F92+F121+F151+F181+F211+F241+F271+F301</f>
        <v/>
      </c>
      <c r="G331" s="139">
        <f>G34+G63+G92+G121+G151+G181+G211+G241+G271+G301</f>
        <v/>
      </c>
    </row>
    <row r="332" ht="13.5" customHeight="1" s="116">
      <c r="B332" s="144">
        <f>B35</f>
        <v/>
      </c>
      <c r="C332" s="139">
        <f>C35+C64+C93+C122+C152+C182+C212+C242+C272+C302</f>
        <v/>
      </c>
      <c r="D332" s="139">
        <f>D35+D64+D93+D122+D152+D182+D212+D242+D272+D302</f>
        <v/>
      </c>
      <c r="E332" s="139">
        <f>E35+E64+E93+E122+E152+E182+E212+E242+E272+E302</f>
        <v/>
      </c>
      <c r="F332" s="139">
        <f>F35+F64+F93+F122+F152+F182+F212+F242+F272+F302</f>
        <v/>
      </c>
      <c r="G332" s="139">
        <f>G35+G64+G93+G122+G152+G182+G212+G242+G272+G302</f>
        <v/>
      </c>
    </row>
    <row r="333" ht="13.5" customHeight="1" s="116">
      <c r="B333" s="144">
        <f>B36</f>
        <v/>
      </c>
      <c r="C333" s="139">
        <f>C36+C65+C94+C123+C153+C183+C213+C243+C273+C303</f>
        <v/>
      </c>
      <c r="D333" s="139">
        <f>D36+D65+D94+D123+D153+D183+D213+D243+D273+D303</f>
        <v/>
      </c>
      <c r="E333" s="139">
        <f>E36+E65+E94+E123+E153+E183+E213+E243+E273+E303</f>
        <v/>
      </c>
      <c r="F333" s="139">
        <f>F36+F65+F94+F123+F153+F183+F213+F243+F273+F303</f>
        <v/>
      </c>
      <c r="G333" s="139">
        <f>G36+G65+G94+G123+G153+G183+G213+G243+G273+G303</f>
        <v/>
      </c>
    </row>
    <row r="334" ht="13.5" customHeight="1" s="116">
      <c r="B334" s="144">
        <f>B37</f>
        <v/>
      </c>
      <c r="C334" s="139">
        <f>C37+C66+C95+C124+C154+C184+C214+C244+C274+C304</f>
        <v/>
      </c>
      <c r="D334" s="139">
        <f>D37+D66+D95+D124+D154+D184+D214+D244+D274+D304</f>
        <v/>
      </c>
      <c r="E334" s="139">
        <f>E37+E66+E95+E124+E154+E184+E214+E244+E274+E304</f>
        <v/>
      </c>
      <c r="F334" s="139">
        <f>F37+F66+F95+F124+F154+F184+F214+F244+F274+F304</f>
        <v/>
      </c>
      <c r="G334" s="139">
        <f>G37+G66+G95+G124+G154+G184+G214+G244+G274+G304</f>
        <v/>
      </c>
    </row>
    <row r="335" ht="13.5" customHeight="1" s="116">
      <c r="B335" s="144">
        <f>B38</f>
        <v/>
      </c>
      <c r="C335" s="139">
        <f>C38+C67+C96+C125+C155+C185+C215+C245+C275+C305</f>
        <v/>
      </c>
      <c r="D335" s="139">
        <f>D38+D67+D96+D125+D155+D185+D215+D245+D275+D305</f>
        <v/>
      </c>
      <c r="E335" s="139">
        <f>E38+E67+E96+E125+E155+E185+E215+E245+E275+E305</f>
        <v/>
      </c>
      <c r="F335" s="139">
        <f>F38+F67+F96+F125+F155+F185+F215+F245+F275+F305</f>
        <v/>
      </c>
      <c r="G335" s="139">
        <f>G38+G67+G96+G125+G155+G185+G215+G245+G275+G305</f>
        <v/>
      </c>
    </row>
    <row r="336" ht="13.5" customHeight="1" s="116">
      <c r="B336" s="144">
        <f>B39</f>
        <v/>
      </c>
      <c r="C336" s="139">
        <f>C39+C68+C97+C126+C156+C186+C216+C246+C276+C306</f>
        <v/>
      </c>
      <c r="D336" s="139">
        <f>D39+D68+D97+D126+D156+D186+D216+D246+D276+D306</f>
        <v/>
      </c>
      <c r="E336" s="139">
        <f>E39+E68+E97+E126+E156+E186+E216+E246+E276+E306</f>
        <v/>
      </c>
      <c r="F336" s="139">
        <f>F39+F68+F97+F126+F156+F186+F216+F246+F276+F306</f>
        <v/>
      </c>
      <c r="G336" s="139">
        <f>G39+G68+G97+G126+G156+G186+G216+G246+G276+G306</f>
        <v/>
      </c>
    </row>
    <row r="337" ht="13.5" customHeight="1" s="116">
      <c r="B337" s="144">
        <f>B40</f>
        <v/>
      </c>
      <c r="C337" s="139">
        <f>C40+C69+C98+C127+C157+C187+C217+C247+C277+C307</f>
        <v/>
      </c>
      <c r="D337" s="139">
        <f>D40+D69+D98+D127+D157+D187+D217+D247+D277+D307</f>
        <v/>
      </c>
      <c r="E337" s="139">
        <f>E40+E69+E98+E127+E157+E187+E217+E247+E277+E307</f>
        <v/>
      </c>
      <c r="F337" s="139">
        <f>F40+F69+F98+F127+F157+F187+F217+F247+F277+F307</f>
        <v/>
      </c>
      <c r="G337" s="139">
        <f>G40+G69+G98+G127+G157+G187+G217+G247+G277+G307</f>
        <v/>
      </c>
    </row>
    <row r="338" ht="13.5" customHeight="1" s="116">
      <c r="B338" s="144">
        <f>B41</f>
        <v/>
      </c>
      <c r="C338" s="139">
        <f>C41+C70+C99+C128+C158+C188+C218+C248+C278+C308</f>
        <v/>
      </c>
      <c r="D338" s="139">
        <f>D41+D70+D99+D128+D158+D188+D218+D248+D278+D308</f>
        <v/>
      </c>
      <c r="E338" s="139">
        <f>E41+E70+E99+E128+E158+E188+E218+E248+E278+E308</f>
        <v/>
      </c>
      <c r="F338" s="139">
        <f>F41+F70+F99+F128+F158+F188+F218+F248+F278+F308</f>
        <v/>
      </c>
      <c r="G338" s="139">
        <f>G41+G70+G99+G128+G158+G188+G218+G248+G278+G308</f>
        <v/>
      </c>
    </row>
    <row r="339" ht="13.5" customHeight="1" s="116">
      <c r="B339" s="144">
        <f>B42</f>
        <v/>
      </c>
      <c r="C339" s="139">
        <f>C42+C71+C100+C129+C159+C189+C219+C249+C279+C309</f>
        <v/>
      </c>
      <c r="D339" s="139">
        <f>D42+D71+D100+D129+D159+D189+D219+D249+D279+D309</f>
        <v/>
      </c>
      <c r="E339" s="139">
        <f>E42+E71+E100+E129+E159+E189+E219+E249+E279+E309</f>
        <v/>
      </c>
      <c r="F339" s="139">
        <f>F42+F71+F100+F129+F159+F189+F219+F249+F279+F309</f>
        <v/>
      </c>
      <c r="G339" s="139">
        <f>G42+G71+G100+G129+G159+G189+G219+G249+G279+G309</f>
        <v/>
      </c>
    </row>
    <row r="340" ht="13.5" customHeight="1" s="116">
      <c r="B340" s="144">
        <f>B43</f>
        <v/>
      </c>
      <c r="C340" s="139">
        <f>C43+C72+C101+C130+C160+C190+C220+C250+C280+C310</f>
        <v/>
      </c>
      <c r="D340" s="139">
        <f>D43+D72+D101+D130+D160+D190+D220+D250+D280+D310</f>
        <v/>
      </c>
      <c r="E340" s="139">
        <f>E43+E72+E101+E130+E160+E190+E220+E250+E280+E310</f>
        <v/>
      </c>
      <c r="F340" s="139">
        <f>F43+F72+F101+F130+F160+F190+F220+F250+F280+F310</f>
        <v/>
      </c>
      <c r="G340" s="139">
        <f>G43+G72+G101+G130+G160+G190+G220+G250+G280+G310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R133"/>
  <sheetViews>
    <sheetView showFormulas="0" showGridLines="1" showRowColHeaders="1" showZeros="1" rightToLeft="0" tabSelected="0" showOutlineSymbols="1" defaultGridColor="1" view="normal" topLeftCell="A94" colorId="64" zoomScale="100" zoomScaleNormal="100" zoomScalePageLayoutView="100" workbookViewId="0">
      <selection pane="topLeft" activeCell="B115" activeCellId="0" sqref="B115"/>
    </sheetView>
  </sheetViews>
  <sheetFormatPr baseColWidth="8" defaultColWidth="11.53515625" defaultRowHeight="14.25" zeroHeight="0" outlineLevelRow="0"/>
  <cols>
    <col width="4.31" customWidth="1" style="117" min="1" max="1"/>
    <col width="22.76" customWidth="1" style="117" min="2" max="2"/>
    <col width="13.95" customWidth="1" style="117" min="3" max="3"/>
    <col width="13.03" customWidth="1" style="117" min="4" max="4"/>
    <col width="11.03" customWidth="1" style="117" min="5" max="5"/>
    <col width="10.76" customWidth="1" style="117" min="6" max="6"/>
    <col width="11.53" customWidth="1" style="117" min="7" max="8"/>
    <col width="8.25" customWidth="1" style="117" min="9" max="9"/>
    <col width="8.109999999999999" customWidth="1" style="117" min="10" max="10"/>
    <col width="6.58" customWidth="1" style="117" min="11" max="11"/>
    <col width="4.59" customWidth="1" style="117" min="12" max="12"/>
    <col width="7.69" customWidth="1" style="117" min="13" max="13"/>
    <col width="8.49" customWidth="1" style="117" min="14" max="14"/>
    <col width="8.449999999999999" customWidth="1" style="117" min="15" max="15"/>
    <col width="9.359999999999999" customWidth="1" style="117" min="16" max="16"/>
    <col width="9.08" customWidth="1" style="117" min="17" max="17"/>
    <col width="9.529999999999999" customWidth="1" style="117" min="18" max="18"/>
    <col width="10.76" customWidth="1" style="117" min="19" max="20"/>
    <col width="4.53" customWidth="1" style="117" min="21" max="21"/>
    <col width="7.09" customWidth="1" style="117" min="22" max="22"/>
    <col width="11.53" customWidth="1" style="117" min="23" max="23"/>
    <col width="7.69" customWidth="1" style="117" min="24" max="28"/>
    <col width="6.9" customWidth="1" style="117" min="29" max="29"/>
    <col width="7.27" customWidth="1" style="117" min="30" max="33"/>
    <col width="7.69" customWidth="1" style="117" min="34" max="34"/>
    <col width="7.27" customWidth="1" style="117" min="35" max="35"/>
    <col width="6.58" customWidth="1" style="117" min="36" max="43"/>
  </cols>
  <sheetData>
    <row r="1" ht="12.75" customHeight="1" s="116">
      <c r="B1" s="129" t="n"/>
      <c r="C1" s="182" t="inlineStr">
        <is>
          <t>Кол</t>
        </is>
      </c>
      <c r="D1" s="182" t="inlineStr">
        <is>
          <t>Цена</t>
        </is>
      </c>
      <c r="E1" s="182" t="inlineStr">
        <is>
          <t>Стоимость</t>
        </is>
      </c>
      <c r="G1" s="150" t="inlineStr">
        <is>
          <t>Ближний слой</t>
        </is>
      </c>
      <c r="H1" s="149" t="inlineStr">
        <is>
          <t>5-10</t>
        </is>
      </c>
      <c r="I1" s="151" t="n">
        <v>0</v>
      </c>
      <c r="J1" s="151" t="n">
        <v>0.05</v>
      </c>
      <c r="K1" s="153" t="n"/>
      <c r="M1" s="166" t="n"/>
      <c r="N1" s="182" t="n">
        <v>42</v>
      </c>
      <c r="O1" s="182" t="n">
        <v>21</v>
      </c>
      <c r="P1" s="182" t="n">
        <v>14</v>
      </c>
      <c r="Q1" s="189" t="inlineStr">
        <is>
          <t>total</t>
        </is>
      </c>
      <c r="R1" s="182" t="inlineStr">
        <is>
          <t>cost</t>
        </is>
      </c>
      <c r="S1" s="182" t="inlineStr">
        <is>
          <t>% cost</t>
        </is>
      </c>
    </row>
    <row r="2" ht="17.25" customHeight="1" s="116">
      <c r="B2" s="190" t="inlineStr">
        <is>
          <t>Sol</t>
        </is>
      </c>
      <c r="C2" s="149">
        <f>Portfolio!C10</f>
        <v/>
      </c>
      <c r="D2" s="132">
        <f>Portfolio!D10</f>
        <v/>
      </c>
      <c r="E2" s="132">
        <f>Portfolio!F10</f>
        <v/>
      </c>
      <c r="G2" s="150" t="inlineStr">
        <is>
          <t>Средний слой</t>
        </is>
      </c>
      <c r="H2" s="149" t="inlineStr">
        <is>
          <t>10-20</t>
        </is>
      </c>
      <c r="I2" s="151" t="n">
        <v>0.05</v>
      </c>
      <c r="J2" s="151" t="n">
        <v>0.15</v>
      </c>
      <c r="K2" s="153" t="n"/>
      <c r="M2" s="166" t="n">
        <v>70</v>
      </c>
      <c r="N2" s="149">
        <f>G21</f>
        <v/>
      </c>
      <c r="O2" s="129" t="n"/>
      <c r="P2" s="129">
        <f>G24</f>
        <v/>
      </c>
      <c r="Q2" s="149">
        <f>SUM(N2:P2)</f>
        <v/>
      </c>
      <c r="R2" s="132">
        <f>H21+H24</f>
        <v/>
      </c>
      <c r="S2" s="151">
        <f>R2/$R$5</f>
        <v/>
      </c>
    </row>
    <row r="3" ht="12.75" customHeight="1" s="116">
      <c r="C3" s="131" t="n"/>
      <c r="D3" s="131" t="n"/>
      <c r="G3" s="150" t="inlineStr">
        <is>
          <t>Дальный слой</t>
        </is>
      </c>
      <c r="H3" s="149" t="inlineStr">
        <is>
          <t>20-40</t>
        </is>
      </c>
      <c r="I3" s="151" t="n">
        <v>0.16</v>
      </c>
      <c r="J3" s="151" t="inlineStr">
        <is>
          <t>выше</t>
        </is>
      </c>
      <c r="K3" s="153" t="n"/>
      <c r="M3" s="166" t="n">
        <v>65</v>
      </c>
      <c r="N3" s="149" t="n"/>
      <c r="O3" s="129" t="n"/>
      <c r="P3" s="129" t="n"/>
      <c r="Q3" s="149">
        <f>SUM(N3:P3)</f>
        <v/>
      </c>
      <c r="R3" s="132" t="n"/>
      <c r="S3" s="151">
        <f>R3/$R$5</f>
        <v/>
      </c>
    </row>
    <row r="4" ht="12.75" customHeight="1" s="116">
      <c r="B4" s="129" t="inlineStr">
        <is>
          <t>Лимит</t>
        </is>
      </c>
      <c r="C4" s="130">
        <f>Portfolio!D15</f>
        <v/>
      </c>
      <c r="D4" s="130">
        <f>Portfolio!E15</f>
        <v/>
      </c>
      <c r="M4" s="166" t="n">
        <v>60</v>
      </c>
      <c r="N4" s="149">
        <f>G20</f>
        <v/>
      </c>
      <c r="O4" s="129">
        <f>G22</f>
        <v/>
      </c>
      <c r="P4" s="129">
        <f>G23</f>
        <v/>
      </c>
      <c r="Q4" s="149">
        <f>SUM(N4:P4)</f>
        <v/>
      </c>
      <c r="R4" s="132">
        <f>H20+H22+H23</f>
        <v/>
      </c>
      <c r="S4" s="151">
        <f>R4/$R$5</f>
        <v/>
      </c>
    </row>
    <row r="5" ht="12.75" customHeight="1" s="116">
      <c r="B5" s="191" t="inlineStr">
        <is>
          <t>база</t>
        </is>
      </c>
      <c r="C5" s="130">
        <f>C4*0.7</f>
        <v/>
      </c>
      <c r="D5" s="131">
        <f>R2+R3</f>
        <v/>
      </c>
      <c r="E5" s="131">
        <f>C5-D5</f>
        <v/>
      </c>
      <c r="F5" s="129" t="inlineStr">
        <is>
          <t>delta</t>
        </is>
      </c>
      <c r="G5" s="192">
        <f>C2*0.8</f>
        <v/>
      </c>
      <c r="H5" s="192">
        <f>C2*1.12</f>
        <v/>
      </c>
      <c r="M5" s="166" t="n"/>
      <c r="N5" s="193" t="n"/>
      <c r="O5" s="131" t="n"/>
      <c r="Q5" s="118">
        <f>SUM(Q2:Q4)</f>
        <v/>
      </c>
      <c r="R5" s="193">
        <f>SUM(R2:R4)</f>
        <v/>
      </c>
      <c r="S5" s="118" t="n"/>
    </row>
    <row r="6" ht="12.75" customHeight="1" s="116">
      <c r="B6" s="191" t="inlineStr">
        <is>
          <t>усиление</t>
        </is>
      </c>
      <c r="C6" s="130">
        <f>C4*0.3</f>
        <v/>
      </c>
      <c r="D6" s="131">
        <f>R4</f>
        <v/>
      </c>
      <c r="E6" s="131">
        <f>C6-D6</f>
        <v/>
      </c>
    </row>
    <row r="7" ht="14.25" customHeight="1" s="116">
      <c r="C7" s="131" t="n"/>
      <c r="D7" s="131" t="n"/>
      <c r="I7" s="180" t="n"/>
      <c r="N7" s="119" t="n"/>
      <c r="P7" s="119" t="n"/>
      <c r="R7" s="119" t="n"/>
    </row>
    <row r="8" ht="14.25" customHeight="1" s="116">
      <c r="B8" s="133" t="inlineStr">
        <is>
          <t>symbol</t>
        </is>
      </c>
      <c r="C8" s="133" t="inlineStr">
        <is>
          <t>strike</t>
        </is>
      </c>
      <c r="D8" s="133" t="inlineStr">
        <is>
          <t>delta</t>
        </is>
      </c>
      <c r="E8" s="133" t="inlineStr">
        <is>
          <t>DTE</t>
        </is>
      </c>
      <c r="F8" s="133" t="inlineStr">
        <is>
          <t>% price</t>
        </is>
      </c>
      <c r="G8" s="133" t="inlineStr">
        <is>
          <t>%priceCur</t>
        </is>
      </c>
      <c r="H8" s="133" t="inlineStr">
        <is>
          <t>priceCur</t>
        </is>
      </c>
      <c r="I8" s="148" t="n"/>
      <c r="J8" s="148" t="n"/>
      <c r="K8" s="148" t="n"/>
      <c r="L8" s="148" t="n"/>
      <c r="N8" s="150" t="n"/>
      <c r="O8" s="150" t="n"/>
      <c r="P8" s="150" t="n"/>
      <c r="Q8" s="150" t="n"/>
      <c r="R8" s="150" t="n"/>
      <c r="S8" s="150" t="n"/>
    </row>
    <row r="9" ht="12.75" customHeight="1" s="116">
      <c r="A9" s="118" t="n">
        <v>1</v>
      </c>
      <c r="B9" s="117" t="inlineStr">
        <is>
          <t>SOL-26JUN26-60-P-USDT</t>
        </is>
      </c>
      <c r="C9" s="149">
        <f>VLOOKUP(B9,OptionBoard!$A$2:$M$79,2,0)</f>
        <v/>
      </c>
      <c r="D9" s="194">
        <f>VLOOKUP(B9,OptionBoard!$A$2:$M$79,3,0)</f>
        <v/>
      </c>
      <c r="E9" s="195">
        <f>VLOOKUP(B9,OptionBoard!$A$2:$M$79,9,0)</f>
        <v/>
      </c>
      <c r="F9" s="151">
        <f>($D$2-C9)/$D$2</f>
        <v/>
      </c>
      <c r="G9" s="151">
        <f>(Portfolio!$C$4-C9)/Portfolio!$C$4</f>
        <v/>
      </c>
      <c r="H9" s="132" t="n">
        <v>0.45</v>
      </c>
      <c r="I9" s="193" t="n"/>
      <c r="J9" s="118" t="n"/>
      <c r="K9" s="193" t="n"/>
      <c r="M9" s="118" t="n"/>
      <c r="N9" s="134" t="n"/>
      <c r="O9" s="134" t="n"/>
    </row>
    <row r="10" ht="12.75" customHeight="1" s="116">
      <c r="A10" s="118" t="n">
        <v>2</v>
      </c>
      <c r="B10" s="117" t="inlineStr">
        <is>
          <t>SOL-26JUN26-70-P-USDT</t>
        </is>
      </c>
      <c r="C10" s="149">
        <f>VLOOKUP(B10,OptionBoard!$A$2:$M$79,2,0)</f>
        <v/>
      </c>
      <c r="D10" s="194">
        <f>VLOOKUP(B10,OptionBoard!$A$2:$M$79,3,0)</f>
        <v/>
      </c>
      <c r="E10" s="195">
        <f>VLOOKUP(B10,OptionBoard!$A$2:$M$79,9,0)</f>
        <v/>
      </c>
      <c r="F10" s="151">
        <f>($D$2-C10)/$D$2</f>
        <v/>
      </c>
      <c r="G10" s="151">
        <f>(Portfolio!$C$4-C10)/Portfolio!$C$4</f>
        <v/>
      </c>
      <c r="H10" s="132" t="n">
        <v>1</v>
      </c>
      <c r="I10" s="193" t="n"/>
      <c r="J10" s="118" t="n"/>
      <c r="K10" s="193" t="n"/>
      <c r="M10" s="118" t="n"/>
      <c r="N10" s="134" t="n"/>
      <c r="O10" s="134" t="n"/>
    </row>
    <row r="11" ht="12.75" customHeight="1" s="116">
      <c r="A11" s="118" t="n">
        <v>3</v>
      </c>
      <c r="B11" s="117" t="inlineStr">
        <is>
          <t>SOL-26JUN26-74-P-USDT</t>
        </is>
      </c>
      <c r="C11" s="149">
        <f>VLOOKUP(B11,OptionBoard!$A$2:$M$79,2,0)</f>
        <v/>
      </c>
      <c r="D11" s="194">
        <f>VLOOKUP(B11,OptionBoard!$A$2:$M$79,3,0)</f>
        <v/>
      </c>
      <c r="E11" s="195">
        <f>VLOOKUP(B11,OptionBoard!$A$2:$M$79,9,0)</f>
        <v/>
      </c>
      <c r="F11" s="151">
        <f>($D$2-C11)/$D$2</f>
        <v/>
      </c>
      <c r="G11" s="151">
        <f>(Portfolio!$C$4-C11)/Portfolio!$C$4</f>
        <v/>
      </c>
      <c r="H11" s="132" t="n"/>
      <c r="I11" s="193" t="n"/>
      <c r="J11" s="118" t="n"/>
      <c r="K11" s="193" t="n"/>
      <c r="M11" s="118" t="n"/>
      <c r="N11" s="134" t="n"/>
      <c r="O11" s="134" t="n"/>
    </row>
    <row r="12" ht="12.75" customHeight="1" s="116">
      <c r="A12" s="118" t="n">
        <v>4</v>
      </c>
      <c r="B12" s="117" t="inlineStr">
        <is>
          <t>SOL-26JUN26-74-P-USDT</t>
        </is>
      </c>
      <c r="C12" s="149">
        <f>VLOOKUP(B12,OptionBoard!$A$2:$M$79,2,0)</f>
        <v/>
      </c>
      <c r="D12" s="194">
        <f>VLOOKUP(B12,OptionBoard!$A$2:$M$79,3,0)</f>
        <v/>
      </c>
      <c r="E12" s="195">
        <f>VLOOKUP(B12,OptionBoard!$A$2:$M$79,9,0)</f>
        <v/>
      </c>
      <c r="F12" s="151">
        <f>($D$2-C12)/$D$2</f>
        <v/>
      </c>
      <c r="G12" s="151">
        <f>(Portfolio!$C$4-C12)/Portfolio!$C$4</f>
        <v/>
      </c>
      <c r="H12" s="132" t="n"/>
      <c r="I12" s="193" t="n"/>
      <c r="J12" s="118" t="n"/>
      <c r="K12" s="193" t="n"/>
      <c r="M12" s="118" t="n"/>
      <c r="N12" s="134" t="n"/>
      <c r="O12" s="134" t="n"/>
    </row>
    <row r="13" ht="12.75" customHeight="1" s="116">
      <c r="A13" s="118" t="n">
        <v>5</v>
      </c>
      <c r="B13" s="117" t="inlineStr">
        <is>
          <t>SOL-26JUN26-74-P-USDT</t>
        </is>
      </c>
      <c r="C13" s="149">
        <f>VLOOKUP(B13,OptionBoard!$A$2:$M$79,2,0)</f>
        <v/>
      </c>
      <c r="D13" s="194">
        <f>VLOOKUP(B13,OptionBoard!$A$2:$M$79,3,0)</f>
        <v/>
      </c>
      <c r="E13" s="195">
        <f>VLOOKUP(B13,OptionBoard!$A$2:$M$79,9,0)</f>
        <v/>
      </c>
      <c r="F13" s="151">
        <f>($D$2-C13)/$D$2</f>
        <v/>
      </c>
      <c r="G13" s="151">
        <f>(Portfolio!$C$4-C13)/Portfolio!$C$4</f>
        <v/>
      </c>
      <c r="H13" s="132" t="n"/>
      <c r="I13" s="193" t="n"/>
      <c r="J13" s="118" t="n"/>
      <c r="K13" s="193" t="n"/>
      <c r="M13" s="118" t="n"/>
      <c r="N13" s="134" t="n"/>
      <c r="O13" s="134" t="n"/>
    </row>
    <row r="14" ht="12.75" customHeight="1" s="116">
      <c r="A14" s="118" t="n">
        <v>6</v>
      </c>
      <c r="B14" s="117" t="inlineStr">
        <is>
          <t>SOL-26JUN26-74-P-USDT</t>
        </is>
      </c>
      <c r="C14" s="149">
        <f>VLOOKUP(B14,OptionBoard!$A$2:$M$79,2,0)</f>
        <v/>
      </c>
      <c r="D14" s="194">
        <f>VLOOKUP(B14,OptionBoard!$A$2:$M$79,3,0)</f>
        <v/>
      </c>
      <c r="E14" s="195">
        <f>VLOOKUP(B14,OptionBoard!$A$2:$M$79,9,0)</f>
        <v/>
      </c>
      <c r="F14" s="151">
        <f>($D$2-C14)/$D$2</f>
        <v/>
      </c>
      <c r="G14" s="151">
        <f>(Portfolio!$C$4-C14)/Portfolio!$C$4</f>
        <v/>
      </c>
      <c r="H14" s="132" t="n"/>
      <c r="I14" s="193" t="n"/>
      <c r="J14" s="118" t="n"/>
      <c r="K14" s="193" t="n"/>
      <c r="M14" s="118" t="n"/>
      <c r="N14" s="134" t="n"/>
      <c r="O14" s="134" t="n"/>
    </row>
    <row r="15" ht="12.75" customHeight="1" s="116">
      <c r="A15" s="118" t="n">
        <v>7</v>
      </c>
      <c r="B15" s="117" t="inlineStr">
        <is>
          <t>SOL-26JUN26-74-P-USDT</t>
        </is>
      </c>
      <c r="C15" s="149">
        <f>VLOOKUP(B15,OptionBoard!$A$2:$M$79,2,0)</f>
        <v/>
      </c>
      <c r="D15" s="194">
        <f>VLOOKUP(B15,OptionBoard!$A$2:$M$79,3,0)</f>
        <v/>
      </c>
      <c r="E15" s="195">
        <f>VLOOKUP(B15,OptionBoard!$A$2:$M$79,9,0)</f>
        <v/>
      </c>
      <c r="F15" s="151">
        <f>($D$2-C15)/$D$2</f>
        <v/>
      </c>
      <c r="G15" s="151">
        <f>(Portfolio!$C$4-C15)/Portfolio!$C$4</f>
        <v/>
      </c>
      <c r="H15" s="132" t="n"/>
      <c r="I15" s="193" t="n"/>
      <c r="J15" s="118" t="n"/>
      <c r="K15" s="193" t="n"/>
      <c r="M15" s="118" t="n"/>
      <c r="N15" s="134" t="n"/>
      <c r="O15" s="134" t="n"/>
    </row>
    <row r="16" ht="12.75" customHeight="1" s="116">
      <c r="B16" s="117" t="inlineStr">
        <is>
          <t>SOL-29MAY26-85-P-USDT</t>
        </is>
      </c>
      <c r="C16" s="149" t="n"/>
      <c r="D16" s="194" t="n"/>
      <c r="E16" s="195" t="n"/>
      <c r="F16" s="151" t="n"/>
      <c r="G16" s="151" t="n"/>
      <c r="H16" s="132" t="n"/>
      <c r="I16" s="193" t="n"/>
      <c r="J16" s="118" t="n"/>
      <c r="K16" s="193" t="n"/>
      <c r="M16" s="118" t="n"/>
      <c r="N16" s="134" t="n"/>
      <c r="O16" s="134" t="n"/>
    </row>
    <row r="17" ht="12.75" customHeight="1" s="116">
      <c r="C17" s="118" t="n"/>
      <c r="D17" s="196" t="n"/>
      <c r="E17" s="197" t="n"/>
      <c r="F17" s="153" t="n"/>
      <c r="G17" s="153" t="n"/>
      <c r="H17" s="193" t="n"/>
      <c r="I17" s="193" t="n"/>
      <c r="J17" s="118" t="n"/>
      <c r="K17" s="118" t="n"/>
      <c r="N17" s="134" t="n"/>
      <c r="O17" s="134" t="n"/>
    </row>
    <row r="18" ht="14.25" customHeight="1" s="116">
      <c r="P18" s="117">
        <f>P26/C2</f>
        <v/>
      </c>
    </row>
    <row r="19" ht="15" customHeight="1" s="116">
      <c r="A19" s="123" t="n"/>
      <c r="B19" s="133" t="inlineStr">
        <is>
          <t>symbol</t>
        </is>
      </c>
      <c r="C19" s="133" t="inlineStr">
        <is>
          <t>strike</t>
        </is>
      </c>
      <c r="D19" s="133" t="inlineStr">
        <is>
          <t>delta</t>
        </is>
      </c>
      <c r="E19" s="133" t="inlineStr">
        <is>
          <t>DTE</t>
        </is>
      </c>
      <c r="F19" s="133" t="inlineStr">
        <is>
          <t>priceCur</t>
        </is>
      </c>
      <c r="G19" s="133" t="inlineStr">
        <is>
          <t>кол</t>
        </is>
      </c>
      <c r="H19" s="133" t="inlineStr">
        <is>
          <t>cost</t>
        </is>
      </c>
      <c r="I19" s="133" t="inlineStr">
        <is>
          <t>% cost</t>
        </is>
      </c>
      <c r="M19" s="133" t="inlineStr">
        <is>
          <t>Strike</t>
        </is>
      </c>
      <c r="N19" s="198" t="inlineStr">
        <is>
          <t>Effi_Pnl</t>
        </is>
      </c>
      <c r="O19" s="198" t="inlineStr">
        <is>
          <t>Effi_Intr</t>
        </is>
      </c>
      <c r="P19" s="149" t="inlineStr">
        <is>
          <t>Delta</t>
        </is>
      </c>
      <c r="Q19" s="149" t="inlineStr">
        <is>
          <t>Pnl</t>
        </is>
      </c>
      <c r="R19" s="149" t="inlineStr">
        <is>
          <t>Intrin</t>
        </is>
      </c>
      <c r="S19" s="129" t="inlineStr">
        <is>
          <t>Acclerat</t>
        </is>
      </c>
      <c r="V19" s="123" t="n"/>
      <c r="X19" s="153" t="n"/>
      <c r="Y19" s="154" t="n"/>
      <c r="Z19" s="123" t="n"/>
      <c r="AA19" s="123" t="n"/>
    </row>
    <row r="20" ht="15" customHeight="1" s="116">
      <c r="A20" s="154" t="n"/>
      <c r="B20" s="129">
        <f>B9</f>
        <v/>
      </c>
      <c r="C20" s="149">
        <f>C9</f>
        <v/>
      </c>
      <c r="D20" s="184">
        <f>D9</f>
        <v/>
      </c>
      <c r="E20" s="195">
        <f>E9</f>
        <v/>
      </c>
      <c r="F20" s="132">
        <f>H9</f>
        <v/>
      </c>
      <c r="G20" s="149" t="n">
        <v>5</v>
      </c>
      <c r="H20" s="132">
        <f>F20*G20</f>
        <v/>
      </c>
      <c r="I20" s="151">
        <f>H20/$H$30</f>
        <v/>
      </c>
      <c r="M20" s="189" t="n">
        <v>70</v>
      </c>
      <c r="N20" s="199">
        <f>VLOOKUP(M20,$B$73:$C$99,2,0)</f>
        <v/>
      </c>
      <c r="O20" s="199">
        <f>VLOOKUP(M20,$B$73:$D$99,3,0)</f>
        <v/>
      </c>
      <c r="P20" s="184">
        <f>VLOOKUP(M20,$M$73:$P$99,2,0)</f>
        <v/>
      </c>
      <c r="Q20" s="130">
        <f>VLOOKUP(M20,$M$73:$P$99,3,0)</f>
        <v/>
      </c>
      <c r="R20" s="130">
        <f>VLOOKUP(M20,$M$73:$P$99,4,0)</f>
        <v/>
      </c>
      <c r="S20" s="129" t="n"/>
      <c r="V20" s="128" t="n"/>
      <c r="X20" s="153" t="n"/>
      <c r="Y20" s="154" t="n"/>
      <c r="Z20" s="128" t="n"/>
      <c r="AA20" s="128" t="n"/>
    </row>
    <row r="21" ht="15" customHeight="1" s="116">
      <c r="A21" s="161" t="n"/>
      <c r="B21" s="129">
        <f>B10</f>
        <v/>
      </c>
      <c r="C21" s="149">
        <f>C10</f>
        <v/>
      </c>
      <c r="D21" s="184">
        <f>D10</f>
        <v/>
      </c>
      <c r="E21" s="195">
        <f>E10</f>
        <v/>
      </c>
      <c r="F21" s="132">
        <f>H10</f>
        <v/>
      </c>
      <c r="G21" s="149" t="n">
        <v>8</v>
      </c>
      <c r="H21" s="132">
        <f>F21*G21</f>
        <v/>
      </c>
      <c r="I21" s="151">
        <f>H21/$H$30</f>
        <v/>
      </c>
      <c r="M21" s="189" t="n">
        <v>66</v>
      </c>
      <c r="N21" s="199">
        <f>VLOOKUP(M21,$B$73:$C$99,2,0)</f>
        <v/>
      </c>
      <c r="O21" s="199">
        <f>VLOOKUP(M21,$B$73:$D$99,3,0)</f>
        <v/>
      </c>
      <c r="P21" s="184">
        <f>VLOOKUP(M21,$M$73:$P$99,2,0)</f>
        <v/>
      </c>
      <c r="Q21" s="130">
        <f>VLOOKUP(M21,$M$73:$P$99,3,0)</f>
        <v/>
      </c>
      <c r="R21" s="130">
        <f>VLOOKUP(M21,$M$73:$P$99,4,0)</f>
        <v/>
      </c>
      <c r="S21" s="130">
        <f>Q21-Q20</f>
        <v/>
      </c>
      <c r="V21" s="128" t="n"/>
      <c r="X21" s="153" t="n"/>
      <c r="Y21" s="154" t="n"/>
      <c r="Z21" s="128" t="n"/>
      <c r="AA21" s="128" t="n"/>
    </row>
    <row r="22" ht="15" customHeight="1" s="116">
      <c r="A22" s="163" t="n"/>
      <c r="B22" s="129">
        <f>B11</f>
        <v/>
      </c>
      <c r="C22" s="149">
        <f>C11</f>
        <v/>
      </c>
      <c r="D22" s="184">
        <f>D11</f>
        <v/>
      </c>
      <c r="E22" s="195">
        <f>E11</f>
        <v/>
      </c>
      <c r="F22" s="132">
        <f>H11</f>
        <v/>
      </c>
      <c r="G22" s="149" t="n"/>
      <c r="H22" s="132">
        <f>F22*G22</f>
        <v/>
      </c>
      <c r="I22" s="151">
        <f>H22/$H$30</f>
        <v/>
      </c>
      <c r="M22" s="189" t="n">
        <v>65</v>
      </c>
      <c r="N22" s="199">
        <f>VLOOKUP(M22,$B$73:$C$99,2,0)</f>
        <v/>
      </c>
      <c r="O22" s="199">
        <f>VLOOKUP(M22,$B$73:$D$99,3,0)</f>
        <v/>
      </c>
      <c r="P22" s="184">
        <f>VLOOKUP(M22,$M$73:$P$99,2,0)</f>
        <v/>
      </c>
      <c r="Q22" s="130">
        <f>VLOOKUP(M22,$M$73:$P$99,3,0)</f>
        <v/>
      </c>
      <c r="R22" s="130">
        <f>VLOOKUP(M22,$M$73:$P$99,4,0)</f>
        <v/>
      </c>
      <c r="S22" s="130">
        <f>Q22-Q21</f>
        <v/>
      </c>
      <c r="V22" s="128" t="n"/>
      <c r="X22" s="153" t="n"/>
      <c r="Y22" s="128" t="n"/>
      <c r="Z22" s="128" t="n"/>
      <c r="AA22" s="128" t="n"/>
    </row>
    <row r="23" ht="16.5" customHeight="1" s="116">
      <c r="B23" s="129">
        <f>B12</f>
        <v/>
      </c>
      <c r="C23" s="149">
        <f>C12</f>
        <v/>
      </c>
      <c r="D23" s="184">
        <f>D12</f>
        <v/>
      </c>
      <c r="E23" s="195">
        <f>E12</f>
        <v/>
      </c>
      <c r="F23" s="132">
        <f>H12</f>
        <v/>
      </c>
      <c r="G23" s="149" t="n"/>
      <c r="H23" s="132">
        <f>F23*G23</f>
        <v/>
      </c>
      <c r="I23" s="151">
        <f>H23/$H$30</f>
        <v/>
      </c>
      <c r="M23" s="189" t="n">
        <v>64</v>
      </c>
      <c r="N23" s="199">
        <f>VLOOKUP(M23,$B$73:$C$99,2,0)</f>
        <v/>
      </c>
      <c r="O23" s="199">
        <f>VLOOKUP(M23,$B$73:$D$99,3,0)</f>
        <v/>
      </c>
      <c r="P23" s="184">
        <f>VLOOKUP(M23,$M$73:$P$99,2,0)</f>
        <v/>
      </c>
      <c r="Q23" s="130">
        <f>VLOOKUP(M23,$M$73:$P$99,3,0)</f>
        <v/>
      </c>
      <c r="R23" s="130">
        <f>VLOOKUP(M23,$M$73:$P$99,4,0)</f>
        <v/>
      </c>
      <c r="S23" s="130">
        <f>Q23-Q22</f>
        <v/>
      </c>
      <c r="V23" s="128" t="n"/>
      <c r="X23" s="153" t="n"/>
      <c r="Y23" s="154" t="n"/>
      <c r="Z23" s="128" t="n"/>
      <c r="AA23" s="128" t="n"/>
    </row>
    <row r="24" ht="16.5" customHeight="1" s="116">
      <c r="B24" s="129">
        <f>B13</f>
        <v/>
      </c>
      <c r="C24" s="149">
        <f>C13</f>
        <v/>
      </c>
      <c r="D24" s="184">
        <f>D13</f>
        <v/>
      </c>
      <c r="E24" s="195">
        <f>E13</f>
        <v/>
      </c>
      <c r="F24" s="132">
        <f>H13</f>
        <v/>
      </c>
      <c r="G24" s="149" t="n"/>
      <c r="H24" s="132">
        <f>F24*G24</f>
        <v/>
      </c>
      <c r="I24" s="151">
        <f>H24/$H$30</f>
        <v/>
      </c>
      <c r="M24" s="189" t="n">
        <v>63</v>
      </c>
      <c r="N24" s="199">
        <f>VLOOKUP(M24,$B$73:$C$99,2,0)</f>
        <v/>
      </c>
      <c r="O24" s="199">
        <f>VLOOKUP(M24,$B$73:$D$99,3,0)</f>
        <v/>
      </c>
      <c r="P24" s="184">
        <f>VLOOKUP(M24,$M$73:$P$99,2,0)</f>
        <v/>
      </c>
      <c r="Q24" s="130">
        <f>VLOOKUP(M24,$M$73:$P$99,3,0)</f>
        <v/>
      </c>
      <c r="R24" s="130">
        <f>VLOOKUP(M24,$M$73:$P$99,4,0)</f>
        <v/>
      </c>
      <c r="S24" s="130">
        <f>Q24-Q23</f>
        <v/>
      </c>
      <c r="V24" s="128" t="n"/>
      <c r="X24" s="153" t="n"/>
      <c r="Y24" s="154" t="n"/>
      <c r="Z24" s="128" t="n"/>
      <c r="AA24" s="128" t="n"/>
    </row>
    <row r="25" ht="16.5" customHeight="1" s="116">
      <c r="B25" s="129">
        <f>B14</f>
        <v/>
      </c>
      <c r="C25" s="149">
        <f>C14</f>
        <v/>
      </c>
      <c r="D25" s="184">
        <f>D14</f>
        <v/>
      </c>
      <c r="E25" s="195">
        <f>E14</f>
        <v/>
      </c>
      <c r="F25" s="132">
        <f>H14</f>
        <v/>
      </c>
      <c r="G25" s="149" t="n"/>
      <c r="H25" s="132">
        <f>F25*G25</f>
        <v/>
      </c>
      <c r="I25" s="151">
        <f>H25/$H$30</f>
        <v/>
      </c>
      <c r="M25" s="189" t="n">
        <v>62</v>
      </c>
      <c r="N25" s="199">
        <f>VLOOKUP(M25,$B$73:$C$99,2,0)</f>
        <v/>
      </c>
      <c r="O25" s="199">
        <f>VLOOKUP(M25,$B$73:$D$99,3,0)</f>
        <v/>
      </c>
      <c r="P25" s="184">
        <f>VLOOKUP(M25,$M$73:$P$99,2,0)</f>
        <v/>
      </c>
      <c r="Q25" s="130">
        <f>VLOOKUP(M25,$M$73:$P$99,3,0)</f>
        <v/>
      </c>
      <c r="R25" s="130">
        <f>VLOOKUP(M25,$M$73:$P$99,4,0)</f>
        <v/>
      </c>
      <c r="S25" s="130">
        <f>Q25-Q24</f>
        <v/>
      </c>
      <c r="X25" s="153" t="n"/>
      <c r="Y25" s="154" t="n"/>
      <c r="Z25" s="128" t="n"/>
      <c r="AA25" s="128" t="n"/>
    </row>
    <row r="26" ht="16.5" customHeight="1" s="116">
      <c r="B26" s="129">
        <f>B15</f>
        <v/>
      </c>
      <c r="C26" s="149">
        <f>C15</f>
        <v/>
      </c>
      <c r="D26" s="184">
        <f>D15</f>
        <v/>
      </c>
      <c r="E26" s="195">
        <f>E15</f>
        <v/>
      </c>
      <c r="F26" s="132">
        <f>H15</f>
        <v/>
      </c>
      <c r="G26" s="149" t="n"/>
      <c r="H26" s="132">
        <f>F26*G26</f>
        <v/>
      </c>
      <c r="I26" s="151">
        <f>H26/$H$30</f>
        <v/>
      </c>
      <c r="M26" s="189" t="n">
        <v>61</v>
      </c>
      <c r="N26" s="199">
        <f>VLOOKUP(M26,$B$73:$C$99,2,0)</f>
        <v/>
      </c>
      <c r="O26" s="199">
        <f>VLOOKUP(M26,$B$73:$D$99,3,0)</f>
        <v/>
      </c>
      <c r="P26" s="200">
        <f>VLOOKUP(M26,$M$73:$P$99,2,0)</f>
        <v/>
      </c>
      <c r="Q26" s="130">
        <f>VLOOKUP(M26,$M$73:$P$99,3,0)</f>
        <v/>
      </c>
      <c r="R26" s="130">
        <f>VLOOKUP(M26,$M$73:$P$99,4,0)</f>
        <v/>
      </c>
      <c r="S26" s="130">
        <f>Q26-Q25</f>
        <v/>
      </c>
      <c r="X26" s="153" t="n"/>
      <c r="Y26" s="154" t="n"/>
      <c r="Z26" s="128" t="n"/>
      <c r="AA26" s="128" t="n"/>
    </row>
    <row r="27" ht="16.5" customHeight="1" s="116">
      <c r="B27" s="201" t="inlineStr">
        <is>
          <t>SOL-26JUN26-60-P-USDT</t>
        </is>
      </c>
      <c r="C27" s="202">
        <f>Hedge_Far!B9</f>
        <v/>
      </c>
      <c r="D27" s="203">
        <f>Hedge_Far!C9</f>
        <v/>
      </c>
      <c r="E27" s="202">
        <f>Hedge_Far!I9</f>
        <v/>
      </c>
      <c r="F27" s="202" t="n"/>
      <c r="G27" s="202" t="n"/>
      <c r="H27" s="204">
        <f>Hedge_Far!N9</f>
        <v/>
      </c>
      <c r="I27" s="205">
        <f>H27/$H$30</f>
        <v/>
      </c>
      <c r="M27" s="189" t="n">
        <v>60</v>
      </c>
      <c r="N27" s="199">
        <f>VLOOKUP(M27,$B$73:$C$99,2,0)</f>
        <v/>
      </c>
      <c r="O27" s="199">
        <f>VLOOKUP(M27,$B$73:$D$99,3,0)</f>
        <v/>
      </c>
      <c r="P27" s="184">
        <f>VLOOKUP(M27,$M$73:$P$99,2,0)</f>
        <v/>
      </c>
      <c r="Q27" s="130">
        <f>VLOOKUP(M27,$M$73:$P$99,3,0)</f>
        <v/>
      </c>
      <c r="R27" s="130">
        <f>VLOOKUP(M27,$M$73:$P$99,4,0)</f>
        <v/>
      </c>
      <c r="S27" s="130">
        <f>Q27-Q26</f>
        <v/>
      </c>
      <c r="V27" s="128" t="n"/>
      <c r="X27" s="153" t="n"/>
      <c r="Y27" s="154" t="n"/>
      <c r="Z27" s="128" t="n"/>
      <c r="AA27" s="128" t="n"/>
    </row>
    <row r="28" ht="16.5" customHeight="1" s="116">
      <c r="B28" s="201" t="inlineStr">
        <is>
          <t>SOL-26JUN26-70-P-USDT</t>
        </is>
      </c>
      <c r="C28" s="202">
        <f>Hedge_Far!B10</f>
        <v/>
      </c>
      <c r="D28" s="203">
        <f>Hedge_Far!C10</f>
        <v/>
      </c>
      <c r="E28" s="202">
        <f>Hedge_Far!I10</f>
        <v/>
      </c>
      <c r="F28" s="202" t="n"/>
      <c r="G28" s="202" t="n"/>
      <c r="H28" s="204">
        <f>Hedge_Far!N10</f>
        <v/>
      </c>
      <c r="I28" s="205">
        <f>H28/$H$30</f>
        <v/>
      </c>
      <c r="M28" s="189" t="n">
        <v>59</v>
      </c>
      <c r="N28" s="199">
        <f>VLOOKUP(M28,$B$73:$C$99,2,0)</f>
        <v/>
      </c>
      <c r="O28" s="199">
        <f>VLOOKUP(M28,$B$73:$D$99,3,0)</f>
        <v/>
      </c>
      <c r="P28" s="184">
        <f>VLOOKUP(M28,$M$73:$P$99,2,0)</f>
        <v/>
      </c>
      <c r="Q28" s="130">
        <f>VLOOKUP(M28,$M$73:$P$99,3,0)</f>
        <v/>
      </c>
      <c r="R28" s="130">
        <f>VLOOKUP(M28,$M$73:$P$99,4,0)</f>
        <v/>
      </c>
      <c r="S28" s="130">
        <f>Q28-Q27</f>
        <v/>
      </c>
      <c r="V28" s="128" t="n"/>
      <c r="X28" s="153" t="n"/>
      <c r="Y28" s="154" t="n"/>
      <c r="Z28" s="128" t="n"/>
      <c r="AA28" s="128" t="n"/>
    </row>
    <row r="29" ht="16.5" customHeight="1" s="116">
      <c r="B29" s="117" t="inlineStr">
        <is>
          <t>SOL-26JUN26-74-P-USDT</t>
        </is>
      </c>
      <c r="C29" s="202">
        <f>Hedge_Far!B11</f>
        <v/>
      </c>
      <c r="D29" s="203">
        <f>Hedge_Far!C11</f>
        <v/>
      </c>
      <c r="E29" s="202">
        <f>Hedge_Far!I11</f>
        <v/>
      </c>
      <c r="F29" s="202" t="n"/>
      <c r="G29" s="202" t="n"/>
      <c r="H29" s="204">
        <f>Hedge_Far!N11</f>
        <v/>
      </c>
      <c r="I29" s="205">
        <f>H29/$H$30</f>
        <v/>
      </c>
      <c r="M29" s="189" t="n">
        <v>58</v>
      </c>
      <c r="N29" s="199">
        <f>VLOOKUP(M29,$B$73:$C$99,2,0)</f>
        <v/>
      </c>
      <c r="O29" s="199">
        <f>VLOOKUP(M29,$B$73:$D$99,3,0)</f>
        <v/>
      </c>
      <c r="P29" s="184">
        <f>VLOOKUP(M29,$M$73:$P$99,2,0)</f>
        <v/>
      </c>
      <c r="Q29" s="130">
        <f>VLOOKUP(M29,$M$73:$P$99,3,0)</f>
        <v/>
      </c>
      <c r="R29" s="130">
        <f>VLOOKUP(M29,$M$73:$P$99,4,0)</f>
        <v/>
      </c>
      <c r="S29" s="130">
        <f>Q29-Q28</f>
        <v/>
      </c>
      <c r="V29" s="128" t="n"/>
      <c r="X29" s="153" t="n"/>
      <c r="Y29" s="154" t="n"/>
      <c r="Z29" s="128" t="n"/>
      <c r="AA29" s="128" t="n"/>
    </row>
    <row r="30" ht="16.5" customHeight="1" s="116">
      <c r="B30" s="166" t="n"/>
      <c r="C30" s="193" t="n"/>
      <c r="E30" s="193" t="n"/>
      <c r="H30" s="193">
        <f>SUM(H20:H29)</f>
        <v/>
      </c>
      <c r="I30" s="118" t="n"/>
      <c r="M30" s="206" t="n"/>
      <c r="N30" s="207">
        <f>AVERAGE(N20,N21,N22,N27)</f>
        <v/>
      </c>
      <c r="O30" s="117">
        <f>AVERAGE(O20,O21,O22,O27)</f>
        <v/>
      </c>
      <c r="Q30" s="131">
        <f>AVERAGE(Q20,Q21,Q26)</f>
        <v/>
      </c>
      <c r="R30" s="131" t="n"/>
      <c r="S30" s="131" t="n"/>
      <c r="V30" s="128" t="n"/>
      <c r="X30" s="153" t="n"/>
      <c r="Y30" s="154" t="n"/>
      <c r="Z30" s="128" t="n"/>
      <c r="AA30" s="128" t="n"/>
    </row>
    <row r="31" ht="16.5" customHeight="1" s="116">
      <c r="B31" s="166" t="n"/>
      <c r="C31" s="193" t="n"/>
      <c r="E31" s="193" t="n"/>
      <c r="H31" s="193" t="n"/>
      <c r="I31" s="118" t="n"/>
      <c r="M31" s="206" t="n"/>
      <c r="Q31" s="131" t="n"/>
      <c r="R31" s="131" t="n"/>
      <c r="S31" s="131" t="n"/>
      <c r="V31" s="128" t="n"/>
      <c r="X31" s="153" t="n"/>
      <c r="Y31" s="154" t="n"/>
      <c r="Z31" s="128" t="n"/>
      <c r="AA31" s="128" t="n"/>
    </row>
    <row r="32" ht="16.5" customHeight="1" s="116">
      <c r="B32" s="133" t="inlineStr">
        <is>
          <t>symbol</t>
        </is>
      </c>
      <c r="C32" s="133" t="inlineStr">
        <is>
          <t>strike</t>
        </is>
      </c>
      <c r="D32" s="133" t="inlineStr">
        <is>
          <t>delta</t>
        </is>
      </c>
      <c r="E32" s="133" t="inlineStr">
        <is>
          <t>DTE</t>
        </is>
      </c>
      <c r="F32" s="133" t="inlineStr">
        <is>
          <t>priceCur</t>
        </is>
      </c>
      <c r="G32" s="133" t="inlineStr">
        <is>
          <t>кол</t>
        </is>
      </c>
      <c r="H32" s="133" t="inlineStr">
        <is>
          <t>cost</t>
        </is>
      </c>
      <c r="I32" s="133" t="inlineStr">
        <is>
          <t>% cost</t>
        </is>
      </c>
      <c r="M32" s="133" t="inlineStr">
        <is>
          <t>Strike</t>
        </is>
      </c>
      <c r="N32" s="198" t="inlineStr">
        <is>
          <t>Effi_Pnl</t>
        </is>
      </c>
      <c r="O32" s="198" t="inlineStr">
        <is>
          <t>Effi_Intr</t>
        </is>
      </c>
      <c r="P32" s="149" t="inlineStr">
        <is>
          <t>Delta</t>
        </is>
      </c>
      <c r="Q32" s="149" t="inlineStr">
        <is>
          <t>Pnl</t>
        </is>
      </c>
      <c r="R32" s="149" t="inlineStr">
        <is>
          <t>Intrin</t>
        </is>
      </c>
      <c r="S32" s="129" t="inlineStr">
        <is>
          <t>Acclerat</t>
        </is>
      </c>
      <c r="V32" s="128" t="n"/>
      <c r="X32" s="153" t="n"/>
      <c r="Y32" s="154" t="n"/>
      <c r="Z32" s="128" t="n"/>
      <c r="AA32" s="128" t="n"/>
    </row>
    <row r="33" ht="16.5" customHeight="1" s="116">
      <c r="B33" s="129" t="n"/>
      <c r="C33" s="149" t="n"/>
      <c r="D33" s="184" t="n"/>
      <c r="E33" s="195" t="n"/>
      <c r="F33" s="132" t="n"/>
      <c r="G33" s="208" t="n"/>
      <c r="H33" s="132" t="n"/>
      <c r="I33" s="151" t="n"/>
      <c r="M33" s="189" t="n">
        <v>70</v>
      </c>
      <c r="N33" s="129" t="n"/>
      <c r="O33" s="129" t="n"/>
      <c r="P33" s="129" t="n"/>
      <c r="Q33" s="130" t="n"/>
      <c r="R33" s="130" t="n"/>
      <c r="S33" s="130" t="n"/>
      <c r="V33" s="128" t="n"/>
      <c r="X33" s="153" t="n"/>
      <c r="Y33" s="154" t="n"/>
      <c r="Z33" s="128" t="n"/>
      <c r="AA33" s="128" t="n"/>
    </row>
    <row r="34" ht="16.5" customHeight="1" s="116">
      <c r="B34" s="129" t="n"/>
      <c r="C34" s="149" t="n"/>
      <c r="D34" s="184" t="n"/>
      <c r="E34" s="195" t="n"/>
      <c r="F34" s="132" t="n"/>
      <c r="G34" s="208" t="n"/>
      <c r="H34" s="132" t="n"/>
      <c r="I34" s="151" t="n"/>
      <c r="M34" s="189" t="n">
        <v>66</v>
      </c>
      <c r="N34" s="129" t="n"/>
      <c r="O34" s="129" t="n"/>
      <c r="P34" s="129" t="n"/>
      <c r="Q34" s="130" t="n"/>
      <c r="R34" s="130" t="n"/>
      <c r="S34" s="130" t="n"/>
      <c r="V34" s="128" t="n"/>
      <c r="X34" s="153" t="n"/>
      <c r="Y34" s="154" t="n"/>
      <c r="Z34" s="128" t="n"/>
      <c r="AA34" s="128" t="n"/>
    </row>
    <row r="35" ht="16.5" customHeight="1" s="116">
      <c r="B35" s="129" t="n"/>
      <c r="C35" s="149" t="n"/>
      <c r="D35" s="184" t="n"/>
      <c r="E35" s="195" t="n"/>
      <c r="F35" s="132" t="n"/>
      <c r="G35" s="208" t="n"/>
      <c r="H35" s="132" t="n"/>
      <c r="I35" s="151" t="n"/>
      <c r="M35" s="189" t="n">
        <v>65</v>
      </c>
      <c r="N35" s="129" t="n"/>
      <c r="O35" s="129" t="n"/>
      <c r="P35" s="129" t="n"/>
      <c r="Q35" s="130" t="n"/>
      <c r="R35" s="130" t="n"/>
      <c r="S35" s="130" t="n"/>
      <c r="V35" s="128" t="n"/>
      <c r="X35" s="153" t="n"/>
      <c r="Y35" s="154" t="n"/>
      <c r="Z35" s="128" t="n"/>
      <c r="AA35" s="128" t="n"/>
    </row>
    <row r="36" ht="16.5" customHeight="1" s="116">
      <c r="B36" s="129" t="n"/>
      <c r="C36" s="149" t="n"/>
      <c r="D36" s="184" t="n"/>
      <c r="E36" s="195" t="n"/>
      <c r="F36" s="132" t="n"/>
      <c r="G36" s="208" t="n"/>
      <c r="H36" s="132" t="n"/>
      <c r="I36" s="151" t="n"/>
      <c r="M36" s="189" t="n">
        <v>64</v>
      </c>
      <c r="N36" s="129" t="n"/>
      <c r="O36" s="129" t="n"/>
      <c r="P36" s="129" t="n"/>
      <c r="Q36" s="130" t="n"/>
      <c r="R36" s="130" t="n"/>
      <c r="S36" s="130" t="n"/>
      <c r="V36" s="128" t="n"/>
      <c r="X36" s="153" t="n"/>
      <c r="Y36" s="154" t="n"/>
      <c r="Z36" s="128" t="n"/>
      <c r="AA36" s="128" t="n"/>
    </row>
    <row r="37" ht="16.5" customHeight="1" s="116">
      <c r="B37" s="129" t="n"/>
      <c r="C37" s="149" t="n"/>
      <c r="D37" s="184" t="n"/>
      <c r="E37" s="195" t="n"/>
      <c r="F37" s="132" t="n"/>
      <c r="G37" s="208" t="n"/>
      <c r="H37" s="132" t="n"/>
      <c r="I37" s="151" t="n"/>
      <c r="M37" s="189" t="n">
        <v>63</v>
      </c>
      <c r="N37" s="129" t="n"/>
      <c r="O37" s="129" t="n"/>
      <c r="P37" s="129" t="n"/>
      <c r="Q37" s="130" t="n"/>
      <c r="R37" s="130" t="n"/>
      <c r="S37" s="130" t="n"/>
      <c r="V37" s="128" t="n"/>
      <c r="X37" s="153" t="n"/>
      <c r="Y37" s="154" t="n"/>
      <c r="Z37" s="128" t="n"/>
      <c r="AA37" s="128" t="n"/>
    </row>
    <row r="38" ht="16.5" customHeight="1" s="116">
      <c r="B38" s="129" t="n"/>
      <c r="C38" s="149" t="n"/>
      <c r="D38" s="184" t="n"/>
      <c r="E38" s="195" t="n"/>
      <c r="F38" s="132" t="n"/>
      <c r="G38" s="208" t="n"/>
      <c r="H38" s="132" t="n"/>
      <c r="I38" s="151" t="n"/>
      <c r="M38" s="189" t="n">
        <v>62</v>
      </c>
      <c r="N38" s="129" t="n"/>
      <c r="O38" s="129" t="n"/>
      <c r="P38" s="129" t="n"/>
      <c r="Q38" s="130" t="n"/>
      <c r="R38" s="130" t="n"/>
      <c r="S38" s="130" t="n"/>
      <c r="V38" s="128" t="n"/>
      <c r="X38" s="153" t="n"/>
      <c r="Y38" s="154" t="n"/>
      <c r="Z38" s="128" t="n"/>
      <c r="AA38" s="128" t="n"/>
    </row>
    <row r="39" ht="16.5" customHeight="1" s="116">
      <c r="B39" s="129" t="n"/>
      <c r="C39" s="149" t="n"/>
      <c r="D39" s="184" t="n"/>
      <c r="E39" s="195" t="n"/>
      <c r="F39" s="132" t="n"/>
      <c r="G39" s="208" t="n"/>
      <c r="H39" s="132" t="n"/>
      <c r="I39" s="151" t="n"/>
      <c r="M39" s="189" t="n">
        <v>61</v>
      </c>
      <c r="N39" s="129" t="n"/>
      <c r="O39" s="129" t="n"/>
      <c r="P39" s="192" t="n"/>
      <c r="Q39" s="130" t="n"/>
      <c r="R39" s="130" t="n"/>
      <c r="S39" s="130" t="n"/>
      <c r="V39" s="128" t="n"/>
      <c r="X39" s="153" t="n"/>
      <c r="Y39" s="154" t="n"/>
      <c r="Z39" s="128" t="n"/>
      <c r="AA39" s="128" t="n"/>
    </row>
    <row r="40" ht="16.5" customHeight="1" s="116">
      <c r="B40" s="129" t="n"/>
      <c r="C40" s="202" t="n"/>
      <c r="D40" s="203" t="n"/>
      <c r="E40" s="202" t="n"/>
      <c r="F40" s="202" t="n"/>
      <c r="G40" s="202" t="n"/>
      <c r="H40" s="204" t="n"/>
      <c r="I40" s="205" t="n"/>
      <c r="M40" s="189" t="n">
        <v>60</v>
      </c>
      <c r="N40" s="129" t="n"/>
      <c r="O40" s="129" t="n"/>
      <c r="P40" s="129" t="n"/>
      <c r="Q40" s="130" t="n"/>
      <c r="R40" s="130" t="n"/>
      <c r="S40" s="130" t="n"/>
      <c r="V40" s="128" t="n"/>
      <c r="X40" s="153" t="n"/>
      <c r="Y40" s="154" t="n"/>
      <c r="Z40" s="128" t="n"/>
      <c r="AA40" s="128" t="n"/>
    </row>
    <row r="41" ht="16.5" customHeight="1" s="116">
      <c r="B41" s="129" t="n"/>
      <c r="C41" s="202" t="n"/>
      <c r="D41" s="203" t="n"/>
      <c r="E41" s="202" t="n"/>
      <c r="F41" s="202" t="n"/>
      <c r="G41" s="202" t="n"/>
      <c r="H41" s="204" t="n"/>
      <c r="I41" s="205" t="n"/>
      <c r="M41" s="189" t="n">
        <v>59</v>
      </c>
      <c r="N41" s="129" t="n"/>
      <c r="O41" s="129" t="n"/>
      <c r="P41" s="129" t="n"/>
      <c r="Q41" s="130" t="n"/>
      <c r="R41" s="130" t="n"/>
      <c r="S41" s="130" t="n"/>
      <c r="V41" s="128" t="n"/>
      <c r="X41" s="153" t="n"/>
      <c r="Y41" s="154" t="n"/>
      <c r="Z41" s="128" t="n"/>
      <c r="AA41" s="128" t="n"/>
    </row>
    <row r="42" ht="16.5" customHeight="1" s="116">
      <c r="B42" s="129" t="n"/>
      <c r="C42" s="202" t="n"/>
      <c r="D42" s="203" t="n"/>
      <c r="E42" s="202" t="n"/>
      <c r="F42" s="202" t="n"/>
      <c r="G42" s="202" t="n"/>
      <c r="H42" s="204" t="n"/>
      <c r="I42" s="205" t="n"/>
      <c r="M42" s="189" t="n">
        <v>58</v>
      </c>
      <c r="N42" s="129" t="n"/>
      <c r="O42" s="129" t="n"/>
      <c r="P42" s="129" t="n"/>
      <c r="Q42" s="130" t="n"/>
      <c r="R42" s="130" t="n"/>
      <c r="S42" s="130" t="n"/>
      <c r="V42" s="130">
        <f>Q30-R57</f>
        <v/>
      </c>
      <c r="W42" s="186">
        <f>V42/V43</f>
        <v/>
      </c>
      <c r="X42" s="153" t="n"/>
      <c r="Y42" s="154" t="n"/>
      <c r="Z42" s="128" t="n"/>
      <c r="AA42" s="128" t="n"/>
    </row>
    <row r="43" ht="16.5" customHeight="1" s="116">
      <c r="B43" s="166" t="n"/>
      <c r="C43" s="193" t="n"/>
      <c r="E43" s="193" t="n"/>
      <c r="H43" s="193" t="n"/>
      <c r="I43" s="118" t="n"/>
      <c r="M43" s="206" t="n"/>
      <c r="Q43" s="131" t="n"/>
      <c r="R43" s="131" t="n"/>
      <c r="S43" s="131" t="n"/>
      <c r="V43" s="130">
        <f>H30-I56</f>
        <v/>
      </c>
      <c r="W43" s="129" t="n"/>
      <c r="X43" s="153" t="n"/>
      <c r="Y43" s="154" t="n"/>
      <c r="Z43" s="128" t="n"/>
      <c r="AA43" s="128" t="n"/>
    </row>
    <row r="44" ht="16.5" customHeight="1" s="116">
      <c r="I44" s="193" t="n"/>
      <c r="J44" s="118" t="n"/>
      <c r="K44" s="118" t="n"/>
      <c r="L44" s="118" t="n"/>
      <c r="N44" s="206" t="n"/>
      <c r="R44" s="131" t="n"/>
      <c r="S44" s="131" t="n"/>
      <c r="T44" s="131" t="n"/>
      <c r="V44" s="128" t="n"/>
      <c r="X44" s="153" t="n"/>
      <c r="Y44" s="154" t="n"/>
      <c r="Z44" s="128" t="n"/>
      <c r="AA44" s="128" t="n"/>
    </row>
    <row r="45" ht="16.5" customHeight="1" s="116">
      <c r="B45" s="133" t="inlineStr">
        <is>
          <t>symbol</t>
        </is>
      </c>
      <c r="C45" s="133" t="inlineStr">
        <is>
          <t>strike</t>
        </is>
      </c>
      <c r="D45" s="133" t="inlineStr">
        <is>
          <t>delta</t>
        </is>
      </c>
      <c r="E45" s="133" t="inlineStr">
        <is>
          <t>DTE</t>
        </is>
      </c>
      <c r="F45" s="133" t="inlineStr">
        <is>
          <t>priceCur</t>
        </is>
      </c>
      <c r="G45" s="133" t="inlineStr">
        <is>
          <t>кол</t>
        </is>
      </c>
      <c r="H45" s="133" t="inlineStr">
        <is>
          <t>cost</t>
        </is>
      </c>
      <c r="I45" s="133" t="inlineStr">
        <is>
          <t>% cost</t>
        </is>
      </c>
      <c r="J45" s="148" t="n"/>
      <c r="K45" s="148" t="n"/>
      <c r="L45" s="148" t="n"/>
      <c r="M45" s="133" t="inlineStr">
        <is>
          <t>Strike</t>
        </is>
      </c>
      <c r="N45" s="198" t="inlineStr">
        <is>
          <t>Effi_Pnl</t>
        </is>
      </c>
      <c r="O45" s="198" t="inlineStr">
        <is>
          <t>Effi_Intr</t>
        </is>
      </c>
      <c r="P45" s="149" t="inlineStr">
        <is>
          <t>Delta</t>
        </is>
      </c>
      <c r="Q45" s="149" t="inlineStr">
        <is>
          <t>Pnl</t>
        </is>
      </c>
      <c r="R45" s="149" t="inlineStr">
        <is>
          <t>Intrin</t>
        </is>
      </c>
      <c r="S45" s="129" t="inlineStr">
        <is>
          <t>Acclerat</t>
        </is>
      </c>
      <c r="V45" s="128" t="n"/>
      <c r="X45" s="153" t="n"/>
      <c r="Y45" s="154" t="n"/>
      <c r="Z45" s="128" t="n"/>
      <c r="AA45" s="128" t="n"/>
    </row>
    <row r="46" ht="16.5" customHeight="1" s="116">
      <c r="B46" s="129" t="n"/>
      <c r="C46" s="149" t="n"/>
      <c r="D46" s="184" t="n"/>
      <c r="E46" s="149" t="n"/>
      <c r="F46" s="151" t="n"/>
      <c r="G46" s="149" t="n"/>
      <c r="H46" s="132" t="n"/>
      <c r="I46" s="132" t="n"/>
      <c r="J46" s="153" t="n"/>
      <c r="K46" s="153" t="n"/>
      <c r="L46" s="153" t="n"/>
      <c r="M46" s="189" t="n"/>
      <c r="N46" s="199" t="n"/>
      <c r="O46" s="199" t="n"/>
      <c r="P46" s="184" t="n"/>
      <c r="Q46" s="130" t="n"/>
      <c r="R46" s="130" t="n"/>
      <c r="S46" s="129" t="n"/>
      <c r="V46" s="128" t="n"/>
      <c r="X46" s="153" t="n"/>
      <c r="Y46" s="154" t="n"/>
      <c r="Z46" s="128" t="n"/>
      <c r="AA46" s="128" t="n"/>
    </row>
    <row r="47" ht="16.5" customHeight="1" s="116">
      <c r="B47" s="129" t="n"/>
      <c r="C47" s="149" t="n"/>
      <c r="D47" s="184" t="n"/>
      <c r="E47" s="149" t="n"/>
      <c r="F47" s="151" t="n"/>
      <c r="G47" s="149" t="n"/>
      <c r="H47" s="132" t="n"/>
      <c r="I47" s="132" t="n"/>
      <c r="J47" s="153" t="n"/>
      <c r="K47" s="153" t="n"/>
      <c r="L47" s="153" t="n"/>
      <c r="M47" s="189" t="n"/>
      <c r="N47" s="199" t="n"/>
      <c r="O47" s="199" t="n"/>
      <c r="P47" s="184" t="n"/>
      <c r="Q47" s="130" t="n"/>
      <c r="R47" s="130" t="n"/>
      <c r="S47" s="130" t="n"/>
      <c r="V47" s="128" t="n"/>
      <c r="X47" s="153" t="n"/>
      <c r="Y47" s="154" t="n"/>
      <c r="Z47" s="128" t="n"/>
      <c r="AA47" s="128" t="n"/>
    </row>
    <row r="48" ht="16.5" customHeight="1" s="116">
      <c r="B48" s="129" t="n"/>
      <c r="C48" s="149" t="n"/>
      <c r="D48" s="184" t="n"/>
      <c r="E48" s="149" t="n"/>
      <c r="F48" s="151" t="n"/>
      <c r="G48" s="149" t="n"/>
      <c r="H48" s="132" t="n"/>
      <c r="I48" s="132" t="n"/>
      <c r="J48" s="153" t="n"/>
      <c r="K48" s="153" t="n"/>
      <c r="L48" s="153" t="n"/>
      <c r="M48" s="189" t="n"/>
      <c r="N48" s="199" t="n"/>
      <c r="O48" s="199" t="n"/>
      <c r="P48" s="184" t="n"/>
      <c r="Q48" s="130" t="n"/>
      <c r="R48" s="130" t="n"/>
      <c r="S48" s="130" t="n"/>
      <c r="V48" s="128" t="n"/>
      <c r="X48" s="153" t="n"/>
      <c r="Y48" s="154" t="n"/>
      <c r="Z48" s="128" t="n"/>
      <c r="AA48" s="128" t="n"/>
    </row>
    <row r="49" ht="16.5" customHeight="1" s="116">
      <c r="B49" s="129" t="n"/>
      <c r="C49" s="149" t="n"/>
      <c r="D49" s="184" t="n"/>
      <c r="E49" s="149" t="n"/>
      <c r="F49" s="151" t="n"/>
      <c r="G49" s="149" t="n"/>
      <c r="H49" s="132" t="n"/>
      <c r="I49" s="132" t="n"/>
      <c r="J49" s="153" t="n"/>
      <c r="K49" s="153" t="n"/>
      <c r="L49" s="153" t="n"/>
      <c r="M49" s="189" t="n"/>
      <c r="N49" s="199" t="n"/>
      <c r="O49" s="199" t="n"/>
      <c r="P49" s="184" t="n"/>
      <c r="Q49" s="130" t="n"/>
      <c r="R49" s="130" t="n"/>
      <c r="S49" s="130" t="n"/>
      <c r="V49" s="128" t="n"/>
      <c r="X49" s="153" t="n"/>
      <c r="Y49" s="154" t="n"/>
      <c r="Z49" s="128" t="n"/>
      <c r="AA49" s="128" t="n"/>
    </row>
    <row r="50" ht="16.5" customHeight="1" s="116">
      <c r="B50" s="129" t="n"/>
      <c r="C50" s="149" t="n"/>
      <c r="D50" s="184" t="n"/>
      <c r="E50" s="149" t="n"/>
      <c r="F50" s="151" t="n"/>
      <c r="G50" s="149" t="n"/>
      <c r="H50" s="132" t="n"/>
      <c r="I50" s="132" t="n"/>
      <c r="J50" s="153" t="n"/>
      <c r="K50" s="153" t="n"/>
      <c r="L50" s="153" t="n"/>
      <c r="M50" s="189" t="n"/>
      <c r="N50" s="199" t="n"/>
      <c r="O50" s="199" t="n"/>
      <c r="P50" s="184" t="n"/>
      <c r="Q50" s="130" t="n"/>
      <c r="R50" s="130" t="n"/>
      <c r="S50" s="130" t="n"/>
      <c r="V50" s="128" t="n"/>
      <c r="X50" s="153" t="n"/>
      <c r="Y50" s="154" t="n"/>
      <c r="Z50" s="128" t="n"/>
      <c r="AA50" s="128" t="n"/>
    </row>
    <row r="51" ht="16.5" customHeight="1" s="116">
      <c r="B51" s="129" t="n"/>
      <c r="C51" s="149" t="n"/>
      <c r="D51" s="184" t="n"/>
      <c r="E51" s="149" t="n"/>
      <c r="F51" s="151" t="n"/>
      <c r="G51" s="149" t="n"/>
      <c r="H51" s="132" t="n"/>
      <c r="I51" s="132" t="n"/>
      <c r="J51" s="153" t="n"/>
      <c r="K51" s="153" t="n"/>
      <c r="L51" s="153" t="n"/>
      <c r="M51" s="189" t="n"/>
      <c r="N51" s="199" t="n"/>
      <c r="O51" s="199" t="n"/>
      <c r="P51" s="184" t="n"/>
      <c r="Q51" s="130" t="n"/>
      <c r="R51" s="130" t="n"/>
      <c r="S51" s="130" t="n"/>
      <c r="V51" s="128" t="n"/>
      <c r="X51" s="153" t="n"/>
      <c r="Y51" s="154" t="n"/>
      <c r="Z51" s="128" t="n"/>
      <c r="AA51" s="128" t="n"/>
    </row>
    <row r="52" ht="16.5" customHeight="1" s="116">
      <c r="B52" s="129" t="n"/>
      <c r="C52" s="149" t="n"/>
      <c r="D52" s="184" t="n"/>
      <c r="E52" s="149" t="n"/>
      <c r="F52" s="151" t="n"/>
      <c r="G52" s="149" t="n"/>
      <c r="H52" s="132" t="n"/>
      <c r="I52" s="132" t="n"/>
      <c r="J52" s="153" t="n"/>
      <c r="K52" s="153" t="n"/>
      <c r="L52" s="153" t="n"/>
      <c r="M52" s="189" t="n"/>
      <c r="N52" s="199" t="n"/>
      <c r="O52" s="199" t="n"/>
      <c r="P52" s="200" t="n"/>
      <c r="Q52" s="130" t="n"/>
      <c r="R52" s="130" t="n"/>
      <c r="S52" s="130" t="n"/>
      <c r="V52" s="128" t="n"/>
      <c r="X52" s="153" t="n"/>
      <c r="Y52" s="154" t="n"/>
      <c r="Z52" s="128" t="n"/>
      <c r="AA52" s="128" t="n"/>
    </row>
    <row r="53" ht="16.5" customHeight="1" s="116">
      <c r="B53" s="129" t="n"/>
      <c r="C53" s="149" t="n"/>
      <c r="D53" s="184" t="n"/>
      <c r="E53" s="149" t="n"/>
      <c r="F53" s="151" t="n"/>
      <c r="G53" s="149" t="n"/>
      <c r="H53" s="132" t="n"/>
      <c r="I53" s="132" t="n"/>
      <c r="J53" s="153" t="n"/>
      <c r="K53" s="153" t="n"/>
      <c r="L53" s="153" t="n"/>
      <c r="M53" s="189" t="n"/>
      <c r="N53" s="199" t="n"/>
      <c r="O53" s="199" t="n"/>
      <c r="P53" s="184" t="n"/>
      <c r="Q53" s="130" t="n"/>
      <c r="R53" s="130" t="n"/>
      <c r="S53" s="130" t="n"/>
      <c r="V53" s="128" t="n"/>
      <c r="X53" s="153" t="n"/>
      <c r="Y53" s="154" t="n"/>
      <c r="Z53" s="128" t="n"/>
      <c r="AA53" s="128" t="n"/>
    </row>
    <row r="54" ht="16.5" customHeight="1" s="116">
      <c r="B54" s="129" t="n"/>
      <c r="C54" s="149" t="n"/>
      <c r="D54" s="184" t="n"/>
      <c r="E54" s="149" t="n"/>
      <c r="F54" s="151" t="n"/>
      <c r="G54" s="149" t="n"/>
      <c r="H54" s="132" t="n"/>
      <c r="I54" s="132" t="n"/>
      <c r="J54" s="153" t="n"/>
      <c r="K54" s="153" t="n"/>
      <c r="L54" s="153" t="n"/>
      <c r="M54" s="189" t="n"/>
      <c r="N54" s="199" t="n"/>
      <c r="O54" s="199" t="n"/>
      <c r="P54" s="184" t="n"/>
      <c r="Q54" s="130" t="n"/>
      <c r="R54" s="130" t="n"/>
      <c r="S54" s="130" t="n"/>
      <c r="V54" s="128" t="n"/>
      <c r="X54" s="153" t="n"/>
      <c r="Y54" s="154" t="n"/>
      <c r="Z54" s="128" t="n"/>
      <c r="AA54" s="128" t="n"/>
    </row>
    <row r="55" ht="16.5" customHeight="1" s="116">
      <c r="B55" s="129" t="n"/>
      <c r="C55" s="149" t="n"/>
      <c r="D55" s="184" t="n"/>
      <c r="E55" s="149" t="n"/>
      <c r="F55" s="151" t="n"/>
      <c r="G55" s="149" t="n"/>
      <c r="H55" s="132" t="n"/>
      <c r="I55" s="132" t="n"/>
      <c r="J55" s="153" t="n"/>
      <c r="K55" s="153" t="n"/>
      <c r="L55" s="153" t="n"/>
      <c r="M55" s="189" t="n"/>
      <c r="N55" s="199" t="n"/>
      <c r="O55" s="199" t="n"/>
      <c r="P55" s="184" t="n"/>
      <c r="Q55" s="130" t="n"/>
      <c r="R55" s="130" t="n"/>
      <c r="S55" s="130" t="n"/>
      <c r="V55" s="128" t="n"/>
      <c r="X55" s="153" t="n"/>
      <c r="Y55" s="154" t="n"/>
      <c r="Z55" s="128" t="n"/>
      <c r="AA55" s="128" t="n"/>
    </row>
    <row r="56" ht="16.5" customHeight="1" s="116">
      <c r="B56" s="166" t="n"/>
      <c r="C56" s="193" t="n"/>
      <c r="D56" s="193" t="n"/>
      <c r="E56" s="193" t="n"/>
      <c r="G56" s="118" t="n"/>
      <c r="H56" s="118" t="n"/>
      <c r="I56" s="118" t="n"/>
      <c r="J56" s="118" t="n"/>
      <c r="K56" s="118" t="n"/>
      <c r="L56" s="118" t="n"/>
      <c r="M56" s="206" t="n"/>
      <c r="Q56" s="131" t="n"/>
      <c r="R56" s="131" t="n"/>
      <c r="S56" s="131" t="n"/>
      <c r="V56" s="128" t="n"/>
      <c r="X56" s="153" t="n"/>
      <c r="Y56" s="154" t="n"/>
      <c r="Z56" s="128" t="n"/>
      <c r="AA56" s="128" t="n"/>
    </row>
    <row r="57" ht="16.5" customHeight="1" s="116">
      <c r="B57" s="166" t="n"/>
      <c r="C57" s="193" t="n"/>
      <c r="D57" s="193" t="n"/>
      <c r="E57" s="193" t="n"/>
      <c r="G57" s="118" t="n"/>
      <c r="H57" s="118" t="n"/>
      <c r="I57" s="118" t="n"/>
      <c r="J57" s="118" t="n"/>
      <c r="K57" s="118" t="n"/>
      <c r="L57" s="118" t="n"/>
      <c r="R57" s="131" t="n"/>
      <c r="V57" s="128" t="n"/>
      <c r="X57" s="153" t="n"/>
      <c r="Y57" s="154" t="n"/>
      <c r="Z57" s="128" t="n"/>
      <c r="AA57" s="128" t="n"/>
    </row>
    <row r="58" ht="16.5" customHeight="1" s="116">
      <c r="B58" s="133" t="inlineStr">
        <is>
          <t>symbol</t>
        </is>
      </c>
      <c r="C58" s="133" t="inlineStr">
        <is>
          <t>strike</t>
        </is>
      </c>
      <c r="D58" s="133" t="inlineStr">
        <is>
          <t>delta</t>
        </is>
      </c>
      <c r="E58" s="133" t="inlineStr">
        <is>
          <t>DTE</t>
        </is>
      </c>
      <c r="F58" s="133" t="inlineStr">
        <is>
          <t>price</t>
        </is>
      </c>
      <c r="G58" s="133" t="inlineStr">
        <is>
          <t>кол</t>
        </is>
      </c>
      <c r="H58" s="133" t="inlineStr">
        <is>
          <t>cost</t>
        </is>
      </c>
      <c r="I58" s="133" t="inlineStr">
        <is>
          <t>% cost</t>
        </is>
      </c>
      <c r="J58" s="148" t="n"/>
      <c r="K58" s="148" t="n"/>
      <c r="L58" s="148" t="n"/>
      <c r="M58" s="133" t="inlineStr">
        <is>
          <t>Strike</t>
        </is>
      </c>
      <c r="N58" s="198" t="inlineStr">
        <is>
          <t>Effi_Pnl</t>
        </is>
      </c>
      <c r="O58" s="198" t="inlineStr">
        <is>
          <t>Effi_Intr</t>
        </is>
      </c>
      <c r="P58" s="149" t="inlineStr">
        <is>
          <t>Delta</t>
        </is>
      </c>
      <c r="Q58" s="149" t="inlineStr">
        <is>
          <t>Pnl</t>
        </is>
      </c>
      <c r="R58" s="149" t="inlineStr">
        <is>
          <t>Intrin</t>
        </is>
      </c>
      <c r="S58" s="129" t="inlineStr">
        <is>
          <t>Acclerat</t>
        </is>
      </c>
      <c r="U58" s="166" t="n"/>
      <c r="V58" s="182" t="n">
        <v>46</v>
      </c>
      <c r="W58" s="182" t="n">
        <v>18</v>
      </c>
      <c r="X58" s="182" t="n">
        <v>11</v>
      </c>
      <c r="Y58" s="189" t="inlineStr">
        <is>
          <t>total</t>
        </is>
      </c>
      <c r="Z58" s="182" t="inlineStr">
        <is>
          <t>cost</t>
        </is>
      </c>
      <c r="AA58" s="182" t="inlineStr">
        <is>
          <t>% cost</t>
        </is>
      </c>
    </row>
    <row r="59" ht="16.5" customHeight="1" s="116">
      <c r="B59" s="129" t="inlineStr">
        <is>
          <t>SOL-29MAY26-60-P-USDT</t>
        </is>
      </c>
      <c r="C59" s="149" t="n">
        <v>60</v>
      </c>
      <c r="D59" s="132" t="n">
        <v>-0.10159583</v>
      </c>
      <c r="E59" s="149" t="n">
        <v>46</v>
      </c>
      <c r="F59" s="149" t="n">
        <v>1.26</v>
      </c>
      <c r="G59" s="149" t="n">
        <v>7</v>
      </c>
      <c r="H59" s="132">
        <f>F59*G59</f>
        <v/>
      </c>
      <c r="I59" s="132" t="n">
        <v>0.192008486562942</v>
      </c>
      <c r="J59" s="153" t="n"/>
      <c r="K59" s="153" t="n"/>
      <c r="L59" s="153" t="n"/>
      <c r="M59" s="189" t="n">
        <v>70</v>
      </c>
      <c r="N59" s="199" t="n">
        <v>1.38268413723884</v>
      </c>
      <c r="O59" s="199" t="n">
        <v>-1</v>
      </c>
      <c r="P59" s="184" t="n">
        <v>-7.49058085045171</v>
      </c>
      <c r="Q59" s="130" t="n">
        <v>39.1023074011144</v>
      </c>
      <c r="R59" s="130" t="n">
        <v>-28.28</v>
      </c>
      <c r="S59" s="129" t="n"/>
      <c r="U59" s="166" t="n">
        <v>70</v>
      </c>
      <c r="V59" s="149" t="n">
        <v>2</v>
      </c>
      <c r="W59" s="129" t="n">
        <v>2</v>
      </c>
      <c r="X59" s="129" t="n">
        <v>5</v>
      </c>
      <c r="Y59" s="149" t="n">
        <v>9</v>
      </c>
      <c r="Z59" s="132" t="n">
        <v>15.4</v>
      </c>
      <c r="AA59" s="151" t="n">
        <v>0.544554455445545</v>
      </c>
    </row>
    <row r="60" ht="16.5" customHeight="1" s="116">
      <c r="B60" s="129" t="inlineStr">
        <is>
          <t>SOL-29MAY26-70-P-USDT</t>
        </is>
      </c>
      <c r="C60" s="149" t="n">
        <v>70</v>
      </c>
      <c r="D60" s="132" t="n">
        <v>-0.22409187</v>
      </c>
      <c r="E60" s="149" t="n">
        <v>46</v>
      </c>
      <c r="F60" s="149" t="n">
        <v>3.55</v>
      </c>
      <c r="G60" s="149" t="n">
        <v>2</v>
      </c>
      <c r="H60" s="132" t="n">
        <v>7.1</v>
      </c>
      <c r="I60" s="132" t="n">
        <v>0.251060820367751</v>
      </c>
      <c r="J60" s="153" t="n"/>
      <c r="K60" s="153" t="n"/>
      <c r="L60" s="153" t="n"/>
      <c r="M60" s="189" t="n">
        <v>65</v>
      </c>
      <c r="N60" s="199" t="n">
        <v>3.03641582193686</v>
      </c>
      <c r="O60" s="199" t="n">
        <v>0.591230551626591</v>
      </c>
      <c r="P60" s="184" t="n">
        <v>-11.3164222869737</v>
      </c>
      <c r="Q60" s="130" t="n">
        <v>85.86983944437441</v>
      </c>
      <c r="R60" s="130" t="n">
        <v>16.72</v>
      </c>
      <c r="S60" s="130" t="n">
        <v>46.7675320432601</v>
      </c>
      <c r="U60" s="166" t="n">
        <v>65</v>
      </c>
      <c r="V60" s="149" t="n"/>
      <c r="W60" s="129" t="n"/>
      <c r="X60" s="129" t="n">
        <v>5</v>
      </c>
      <c r="Y60" s="149" t="n">
        <v>5</v>
      </c>
      <c r="Z60" s="132" t="n">
        <v>4.2</v>
      </c>
      <c r="AA60" s="151" t="n">
        <v>0.148514851485149</v>
      </c>
    </row>
    <row r="61" ht="16.5" customHeight="1" s="116">
      <c r="B61" s="129" t="inlineStr">
        <is>
          <t>SOL-1MAY26-60-P-USDT</t>
        </is>
      </c>
      <c r="C61" s="149" t="n">
        <v>60</v>
      </c>
      <c r="D61" s="132" t="n">
        <v>-0.03792071</v>
      </c>
      <c r="E61" s="149" t="n">
        <v>18</v>
      </c>
      <c r="F61" s="149" t="n">
        <v>0.43</v>
      </c>
      <c r="G61" s="149" t="n">
        <v>1</v>
      </c>
      <c r="H61" s="132" t="n">
        <v>0.43</v>
      </c>
      <c r="I61" s="132" t="n">
        <v>0.0152050919377652</v>
      </c>
      <c r="J61" s="153" t="n"/>
      <c r="K61" s="153" t="n"/>
      <c r="L61" s="153" t="n"/>
      <c r="M61" s="189" t="n">
        <v>64</v>
      </c>
      <c r="N61" s="199" t="n">
        <v>3.45101477175098</v>
      </c>
      <c r="O61" s="199" t="n">
        <v>1.08628005657709</v>
      </c>
      <c r="P61" s="184" t="n">
        <v>-12.1344325196171</v>
      </c>
      <c r="Q61" s="130" t="n">
        <v>97.5946977451177</v>
      </c>
      <c r="R61" s="130" t="n">
        <v>30.72</v>
      </c>
      <c r="S61" s="130" t="n">
        <v>11.7248583007433</v>
      </c>
      <c r="U61" s="166" t="n">
        <v>60</v>
      </c>
      <c r="V61" s="149" t="n">
        <v>3</v>
      </c>
      <c r="W61" s="129" t="n">
        <v>1</v>
      </c>
      <c r="X61" s="129" t="n">
        <v>6</v>
      </c>
      <c r="Y61" s="149" t="n">
        <v>10</v>
      </c>
      <c r="Z61" s="132" t="n">
        <v>8.68</v>
      </c>
      <c r="AA61" s="151" t="n">
        <v>0.306930693069307</v>
      </c>
    </row>
    <row r="62" ht="16.5" customHeight="1" s="116">
      <c r="B62" s="129" t="inlineStr">
        <is>
          <t>SOL-1MAY26-70-P-USDT</t>
        </is>
      </c>
      <c r="C62" s="149" t="n">
        <v>70</v>
      </c>
      <c r="D62" s="132" t="n">
        <v>-0.13970333</v>
      </c>
      <c r="E62" s="149" t="n">
        <v>18</v>
      </c>
      <c r="F62" s="149" t="n">
        <v>1.06</v>
      </c>
      <c r="G62" s="149" t="n">
        <v>3</v>
      </c>
      <c r="H62" s="132" t="n">
        <v>2</v>
      </c>
      <c r="I62" s="132" t="n">
        <v>0.07072135785007071</v>
      </c>
      <c r="J62" s="153" t="n"/>
      <c r="K62" s="153" t="n"/>
      <c r="L62" s="153" t="n"/>
      <c r="M62" s="189" t="n">
        <v>63</v>
      </c>
      <c r="N62" s="199" t="n">
        <v>3.89462175408532</v>
      </c>
      <c r="O62" s="199" t="n">
        <v>1.58132956152758</v>
      </c>
      <c r="P62" s="184" t="n">
        <v>-12.9560344393672</v>
      </c>
      <c r="Q62" s="130" t="n">
        <v>110.139903205533</v>
      </c>
      <c r="R62" s="130" t="n">
        <v>44.72</v>
      </c>
      <c r="S62" s="130" t="n">
        <v>12.5452054604152</v>
      </c>
      <c r="U62" s="166" t="n"/>
      <c r="V62" s="193" t="n"/>
      <c r="W62" s="131" t="n"/>
      <c r="Y62" s="118" t="n">
        <v>24</v>
      </c>
      <c r="Z62" s="193" t="n">
        <v>28.28</v>
      </c>
      <c r="AA62" s="118" t="n"/>
    </row>
    <row r="63" ht="16.5" customHeight="1" s="116">
      <c r="B63" s="129" t="inlineStr">
        <is>
          <t>SOL-24APR26-60-P-USDT</t>
        </is>
      </c>
      <c r="C63" s="149" t="n">
        <v>60</v>
      </c>
      <c r="D63" s="132" t="n">
        <v>-0.03169814</v>
      </c>
      <c r="E63" s="149" t="n">
        <v>11</v>
      </c>
      <c r="F63" s="149" t="n">
        <v>0.47</v>
      </c>
      <c r="G63" s="149" t="n">
        <v>6</v>
      </c>
      <c r="H63" s="132" t="n">
        <v>2.82</v>
      </c>
      <c r="I63" s="132" t="n">
        <v>0.0997171145685997</v>
      </c>
      <c r="J63" s="153" t="n"/>
      <c r="K63" s="153" t="n"/>
      <c r="L63" s="153" t="n"/>
      <c r="M63" s="189" t="n">
        <v>62</v>
      </c>
      <c r="N63" s="199" t="n">
        <v>4.36724848744639</v>
      </c>
      <c r="O63" s="199" t="n">
        <v>2.07637906647808</v>
      </c>
      <c r="P63" s="184" t="n">
        <v>-13.7746994315909</v>
      </c>
      <c r="Q63" s="130" t="n">
        <v>123.505787224984</v>
      </c>
      <c r="R63" s="130" t="n">
        <v>58.72</v>
      </c>
      <c r="S63" s="130" t="n">
        <v>13.3658840194509</v>
      </c>
      <c r="V63" s="128" t="n"/>
      <c r="X63" s="153" t="n"/>
      <c r="Y63" s="154" t="n"/>
      <c r="Z63" s="128" t="n"/>
      <c r="AA63" s="128" t="n"/>
    </row>
    <row r="64" ht="16.5" customHeight="1" s="116">
      <c r="B64" s="129" t="inlineStr">
        <is>
          <t>SOL-24APR26-65-P-USDT</t>
        </is>
      </c>
      <c r="C64" s="149" t="n">
        <v>65</v>
      </c>
      <c r="D64" s="132" t="n">
        <v>-0.05661972</v>
      </c>
      <c r="E64" s="149" t="n">
        <v>11</v>
      </c>
      <c r="F64" s="149" t="n">
        <v>0.84</v>
      </c>
      <c r="G64" s="149" t="n">
        <v>5</v>
      </c>
      <c r="H64" s="132" t="n">
        <v>4.2</v>
      </c>
      <c r="I64" s="132" t="n">
        <v>0.148514851485149</v>
      </c>
      <c r="J64" s="153" t="n"/>
      <c r="K64" s="153" t="n"/>
      <c r="L64" s="153" t="n"/>
      <c r="M64" s="189" t="n">
        <v>61</v>
      </c>
      <c r="N64" s="199" t="n">
        <v>4.86867599543736</v>
      </c>
      <c r="O64" s="199" t="n">
        <v>2.57142857142857</v>
      </c>
      <c r="P64" s="184" t="n">
        <v>-14.5839365842979</v>
      </c>
      <c r="Q64" s="130" t="n">
        <v>137.686157150969</v>
      </c>
      <c r="R64" s="130" t="n">
        <v>72.72</v>
      </c>
      <c r="S64" s="130" t="n">
        <v>14.1803699259848</v>
      </c>
      <c r="V64" s="128" t="n"/>
      <c r="X64" s="153" t="n"/>
      <c r="Y64" s="154" t="n"/>
      <c r="Z64" s="128" t="n"/>
      <c r="AA64" s="128" t="n"/>
    </row>
    <row r="65" ht="16.5" customHeight="1" s="116">
      <c r="B65" s="129" t="inlineStr">
        <is>
          <t>SOL-24APR26-70-P-USDT</t>
        </is>
      </c>
      <c r="C65" s="149" t="n">
        <v>70</v>
      </c>
      <c r="D65" s="132" t="n">
        <v>-0.10544421</v>
      </c>
      <c r="E65" s="149" t="n">
        <v>11</v>
      </c>
      <c r="F65" s="149" t="n">
        <v>1.26</v>
      </c>
      <c r="G65" s="149" t="n">
        <v>5</v>
      </c>
      <c r="H65" s="132" t="n">
        <v>6.3</v>
      </c>
      <c r="I65" s="132" t="n">
        <v>0.222772277227723</v>
      </c>
      <c r="J65" s="153" t="n"/>
      <c r="K65" s="153" t="n"/>
      <c r="L65" s="153" t="n"/>
      <c r="M65" s="189" t="n">
        <v>60</v>
      </c>
      <c r="N65" s="199" t="n">
        <v>5.39845893767642</v>
      </c>
      <c r="O65" s="199" t="n">
        <v>3.06647807637907</v>
      </c>
      <c r="P65" s="200" t="n">
        <v>-15.3774609961752</v>
      </c>
      <c r="Q65" s="130" t="n">
        <v>152.668418757489</v>
      </c>
      <c r="R65" s="130" t="n">
        <v>86.72</v>
      </c>
      <c r="S65" s="130" t="n">
        <v>14.9822616065205</v>
      </c>
      <c r="V65" s="128" t="n"/>
      <c r="X65" s="153" t="n"/>
      <c r="Y65" s="154" t="n"/>
      <c r="Z65" s="128" t="n"/>
      <c r="AA65" s="128" t="n"/>
    </row>
    <row r="66" ht="16.5" customHeight="1" s="116">
      <c r="B66" s="129" t="n"/>
      <c r="C66" s="149" t="n"/>
      <c r="D66" s="132" t="n"/>
      <c r="E66" s="149" t="n"/>
      <c r="F66" s="149" t="n"/>
      <c r="G66" s="151" t="n"/>
      <c r="H66" s="132" t="n"/>
      <c r="I66" s="132" t="n"/>
      <c r="J66" s="153" t="n"/>
      <c r="K66" s="153" t="n"/>
      <c r="L66" s="153" t="n"/>
      <c r="M66" s="189" t="n">
        <v>59</v>
      </c>
      <c r="N66" s="199" t="n">
        <v>5.95593571118446</v>
      </c>
      <c r="O66" s="199" t="n">
        <v>3.91513437057992</v>
      </c>
      <c r="P66" s="184" t="n">
        <v>-16.1493504962669</v>
      </c>
      <c r="Q66" s="130" t="n">
        <v>168.433861912296</v>
      </c>
      <c r="R66" s="130" t="n">
        <v>110.72</v>
      </c>
      <c r="S66" s="130" t="n">
        <v>15.7654431548073</v>
      </c>
      <c r="V66" s="128" t="n"/>
      <c r="X66" s="153" t="n"/>
      <c r="Y66" s="154" t="n"/>
      <c r="Z66" s="128" t="n"/>
      <c r="AA66" s="128" t="n"/>
    </row>
    <row r="67" ht="16.5" customHeight="1" s="116">
      <c r="B67" s="129" t="n"/>
      <c r="C67" s="149" t="n"/>
      <c r="D67" s="132" t="n"/>
      <c r="E67" s="149" t="n"/>
      <c r="F67" s="149" t="n"/>
      <c r="G67" s="151" t="n"/>
      <c r="H67" s="132" t="n"/>
      <c r="I67" s="132" t="n"/>
      <c r="J67" s="153" t="n"/>
      <c r="K67" s="153" t="n"/>
      <c r="L67" s="153" t="n"/>
      <c r="M67" s="189" t="n">
        <v>58</v>
      </c>
      <c r="N67" s="199" t="n">
        <v>6.54024377737887</v>
      </c>
      <c r="O67" s="199" t="n">
        <v>4.76379066478076</v>
      </c>
      <c r="P67" s="184" t="n">
        <v>-16.8941833865037</v>
      </c>
      <c r="Q67" s="130" t="n">
        <v>184.958094024274</v>
      </c>
      <c r="R67" s="130" t="n">
        <v>134.72</v>
      </c>
      <c r="S67" s="130" t="n">
        <v>16.5242321119781</v>
      </c>
      <c r="V67" s="128" t="n"/>
      <c r="X67" s="153" t="n"/>
      <c r="Y67" s="154" t="n"/>
      <c r="Z67" s="128" t="n"/>
      <c r="AA67" s="128" t="n"/>
    </row>
    <row r="68" ht="16.5" customHeight="1" s="116">
      <c r="B68" s="129" t="n"/>
      <c r="C68" s="149" t="n"/>
      <c r="D68" s="132" t="n"/>
      <c r="E68" s="149" t="n"/>
      <c r="F68" s="149" t="n"/>
      <c r="G68" s="151" t="n"/>
      <c r="H68" s="132" t="n"/>
      <c r="I68" s="132" t="n"/>
      <c r="J68" s="153" t="n"/>
      <c r="K68" s="153" t="n"/>
      <c r="L68" s="153" t="n"/>
      <c r="M68" s="189" t="n">
        <v>57</v>
      </c>
      <c r="N68" s="199" t="n">
        <v>7.15033943880973</v>
      </c>
      <c r="O68" s="199" t="n">
        <v>5.61244695898161</v>
      </c>
      <c r="P68" s="184" t="n">
        <v>-17.6071516227293</v>
      </c>
      <c r="Q68" s="130" t="n">
        <v>202.211599329539</v>
      </c>
      <c r="R68" s="130" t="n">
        <v>158.72</v>
      </c>
      <c r="S68" s="130" t="n">
        <v>17.2535053052647</v>
      </c>
      <c r="V68" s="128" t="n"/>
      <c r="X68" s="153" t="n"/>
      <c r="Y68" s="154" t="n"/>
      <c r="Z68" s="128" t="n"/>
      <c r="AA68" s="128" t="n"/>
    </row>
    <row r="69" ht="16.5" customHeight="1" s="116">
      <c r="B69" s="166" t="n"/>
      <c r="C69" s="193" t="n"/>
      <c r="D69" s="193" t="n"/>
      <c r="E69" s="193" t="n"/>
      <c r="G69" s="118" t="n"/>
      <c r="H69" s="118" t="n">
        <v>28.28</v>
      </c>
      <c r="I69" s="118" t="n"/>
      <c r="J69" s="118" t="n"/>
      <c r="K69" s="118" t="n"/>
      <c r="L69" s="118" t="n"/>
      <c r="M69" s="206" t="n"/>
      <c r="N69" s="207" t="n">
        <v>3.45651261052778</v>
      </c>
      <c r="O69" s="117" t="n">
        <v>1.1481612446959</v>
      </c>
      <c r="Q69" s="131" t="n">
        <v>92.5468552009926</v>
      </c>
      <c r="R69" s="131" t="n"/>
      <c r="S69" s="131" t="n"/>
      <c r="V69" s="128" t="n"/>
      <c r="X69" s="153" t="n"/>
      <c r="Y69" s="154" t="n"/>
      <c r="Z69" s="128" t="n"/>
      <c r="AA69" s="128" t="n"/>
    </row>
    <row r="70" ht="13.5" customHeight="1" s="116">
      <c r="Z70" s="119" t="n"/>
    </row>
    <row r="71" ht="14.25" customHeight="1" s="116">
      <c r="B71" s="177" t="inlineStr">
        <is>
          <t>Activ</t>
        </is>
      </c>
      <c r="C71" s="178" t="n"/>
      <c r="D71" s="178" t="n"/>
      <c r="E71" s="178" t="n"/>
      <c r="F71" s="179" t="n"/>
      <c r="M71" s="177" t="inlineStr">
        <is>
          <t>Total Options</t>
        </is>
      </c>
      <c r="N71" s="178" t="n"/>
      <c r="O71" s="178" t="n"/>
      <c r="P71" s="178" t="n"/>
      <c r="Q71" s="178" t="n"/>
      <c r="R71" s="178" t="n"/>
      <c r="S71" s="178" t="n"/>
      <c r="T71" s="179" t="n"/>
      <c r="U71" s="180" t="n"/>
      <c r="X71" s="177">
        <f>B20</f>
        <v/>
      </c>
      <c r="Y71" s="179" t="n"/>
      <c r="Z71" s="177">
        <f>B21</f>
        <v/>
      </c>
      <c r="AA71" s="179" t="n"/>
      <c r="AB71" s="177">
        <f>B22</f>
        <v/>
      </c>
      <c r="AC71" s="179" t="n"/>
      <c r="AD71" s="177">
        <f>B23</f>
        <v/>
      </c>
      <c r="AE71" s="179" t="n"/>
      <c r="AF71" s="177">
        <f>B24</f>
        <v/>
      </c>
      <c r="AG71" s="179" t="n"/>
      <c r="AH71" s="177">
        <f>B25</f>
        <v/>
      </c>
      <c r="AI71" s="179" t="n"/>
      <c r="AJ71" s="177">
        <f>B26</f>
        <v/>
      </c>
      <c r="AK71" s="179" t="n"/>
      <c r="AL71" s="177">
        <f>B27</f>
        <v/>
      </c>
      <c r="AM71" s="179" t="n"/>
      <c r="AN71" s="177">
        <f>B28</f>
        <v/>
      </c>
      <c r="AO71" s="179" t="n"/>
      <c r="AP71" s="177">
        <f>B29</f>
        <v/>
      </c>
      <c r="AQ71" s="179" t="n"/>
    </row>
    <row r="72" ht="14.25" customHeight="1" s="116">
      <c r="B72" s="149" t="inlineStr">
        <is>
          <t>Price</t>
        </is>
      </c>
      <c r="C72" s="149" t="inlineStr">
        <is>
          <t>Efficien Pnl</t>
        </is>
      </c>
      <c r="D72" s="149" t="inlineStr">
        <is>
          <t>Efficien Intr</t>
        </is>
      </c>
      <c r="E72" s="149" t="inlineStr">
        <is>
          <t>Pnl</t>
        </is>
      </c>
      <c r="F72" s="149" t="inlineStr">
        <is>
          <t>%loss</t>
        </is>
      </c>
      <c r="M72" s="149" t="inlineStr">
        <is>
          <t>Price</t>
        </is>
      </c>
      <c r="N72" s="149" t="inlineStr">
        <is>
          <t>Delta</t>
        </is>
      </c>
      <c r="O72" s="149" t="inlineStr">
        <is>
          <t>Pnl</t>
        </is>
      </c>
      <c r="P72" s="149" t="inlineStr">
        <is>
          <t>Intrin</t>
        </is>
      </c>
      <c r="Q72" s="149" t="inlineStr">
        <is>
          <t>Pnl %loss</t>
        </is>
      </c>
      <c r="R72" s="149" t="inlineStr">
        <is>
          <t>Int %loss</t>
        </is>
      </c>
      <c r="S72" s="149" t="inlineStr">
        <is>
          <t>Pnl_loss</t>
        </is>
      </c>
      <c r="T72" s="149" t="inlineStr">
        <is>
          <t>Intrin_Loss</t>
        </is>
      </c>
      <c r="U72" s="149" t="n"/>
      <c r="W72" s="149" t="inlineStr">
        <is>
          <t>Price</t>
        </is>
      </c>
      <c r="X72" s="182" t="inlineStr">
        <is>
          <t>Pnl</t>
        </is>
      </c>
      <c r="Y72" s="182" t="inlineStr">
        <is>
          <t>Intrin</t>
        </is>
      </c>
      <c r="Z72" s="182" t="inlineStr">
        <is>
          <t>Pnl</t>
        </is>
      </c>
      <c r="AA72" s="182" t="inlineStr">
        <is>
          <t>Intrin</t>
        </is>
      </c>
      <c r="AB72" s="182" t="inlineStr">
        <is>
          <t>Pnl</t>
        </is>
      </c>
      <c r="AC72" s="182" t="inlineStr">
        <is>
          <t>Intrin</t>
        </is>
      </c>
      <c r="AD72" s="182" t="inlineStr">
        <is>
          <t>Pnl</t>
        </is>
      </c>
      <c r="AE72" s="182" t="inlineStr">
        <is>
          <t>Intrin</t>
        </is>
      </c>
      <c r="AF72" s="182" t="inlineStr">
        <is>
          <t>Pnl</t>
        </is>
      </c>
      <c r="AG72" s="182" t="inlineStr">
        <is>
          <t>Intrin</t>
        </is>
      </c>
      <c r="AH72" s="182" t="inlineStr">
        <is>
          <t>Pnl</t>
        </is>
      </c>
      <c r="AI72" s="182" t="inlineStr">
        <is>
          <t>Intrin</t>
        </is>
      </c>
      <c r="AJ72" s="182" t="inlineStr">
        <is>
          <t>Pnl</t>
        </is>
      </c>
      <c r="AK72" s="182" t="inlineStr">
        <is>
          <t>Intrin</t>
        </is>
      </c>
      <c r="AL72" s="182" t="inlineStr">
        <is>
          <t>Pnl</t>
        </is>
      </c>
      <c r="AM72" s="182" t="inlineStr">
        <is>
          <t>Intrin</t>
        </is>
      </c>
      <c r="AN72" s="182" t="inlineStr">
        <is>
          <t>Pnl</t>
        </is>
      </c>
      <c r="AO72" s="182" t="inlineStr">
        <is>
          <t>Intrin</t>
        </is>
      </c>
      <c r="AP72" s="182" t="inlineStr">
        <is>
          <t>Pnl</t>
        </is>
      </c>
      <c r="AQ72" s="182" t="inlineStr">
        <is>
          <t>Intrin</t>
        </is>
      </c>
    </row>
    <row r="73" ht="14.25" customHeight="1" s="116">
      <c r="B73" s="183">
        <f>ROUND(Portfolio!D10,0)</f>
        <v/>
      </c>
      <c r="C73" s="184">
        <f>O73/$H$30</f>
        <v/>
      </c>
      <c r="D73" s="184">
        <f>P73/$H$30</f>
        <v/>
      </c>
      <c r="E73" s="130">
        <f>($C$2*B73)-$E$2</f>
        <v/>
      </c>
      <c r="F73" s="185">
        <f>(E73/$E$2)</f>
        <v/>
      </c>
      <c r="M73" s="183">
        <f>B73</f>
        <v/>
      </c>
      <c r="N73" s="184">
        <f>Hedge_Far!C314</f>
        <v/>
      </c>
      <c r="O73" s="130">
        <f>Hedge_Far!G314</f>
        <v/>
      </c>
      <c r="P73" s="130">
        <f>Y73+AA73+AC73+AE73+AG73+AI73+AK73+AM73+AO73+AQ73</f>
        <v/>
      </c>
      <c r="Q73" s="185">
        <f>S73/$E$2</f>
        <v/>
      </c>
      <c r="R73" s="185">
        <f>T73/$E$2</f>
        <v/>
      </c>
      <c r="S73" s="130">
        <f>E73+O73</f>
        <v/>
      </c>
      <c r="T73" s="130">
        <f>E73+P73</f>
        <v/>
      </c>
      <c r="U73" s="130" t="n"/>
      <c r="W73" s="183">
        <f>B73</f>
        <v/>
      </c>
      <c r="X73" s="130">
        <f>Hedge_Far!G17</f>
        <v/>
      </c>
      <c r="Y73" s="130">
        <f>IF(B73&gt;$C$20,-1*$H$20,(($C$20-B73)*$G$20)-$H$20)</f>
        <v/>
      </c>
      <c r="Z73" s="130">
        <f>Hedge_Far!G46</f>
        <v/>
      </c>
      <c r="AA73" s="130">
        <f>IF(B73&gt;$C$21,-1*$H$21,(($C$21-B73)*$G$21)-$H$21)</f>
        <v/>
      </c>
      <c r="AB73" s="130">
        <f>Hedge_Far!G75</f>
        <v/>
      </c>
      <c r="AC73" s="130">
        <f>IF(B73&gt;$C$22,-1*$H$22,(($C$22-B73)*$G$22)-$H$22)</f>
        <v/>
      </c>
      <c r="AD73" s="130">
        <f>Hedge_Far!G104</f>
        <v/>
      </c>
      <c r="AE73" s="130">
        <f>IF(B73&gt;$C$23,-1*$H$23,(($C$23-B73)*$G$23)-$H$23)</f>
        <v/>
      </c>
      <c r="AF73" s="130">
        <f>Hedge_Far!G134</f>
        <v/>
      </c>
      <c r="AG73" s="130">
        <f>IF(B73&gt;$C$24,-1*$H$24,(($C$24-B73)*$G$24)-$H$24)</f>
        <v/>
      </c>
      <c r="AH73" s="130">
        <f>Hedge_Far!G164</f>
        <v/>
      </c>
      <c r="AI73" s="130">
        <f>IF(B73&gt;$C$25,-1*$H$25,(($C$25-B73)*$G$25)-$H$25)</f>
        <v/>
      </c>
      <c r="AJ73" s="130">
        <f>Hedge_Far!G194</f>
        <v/>
      </c>
      <c r="AK73" s="130">
        <f>IF(B73&gt;$C$26,-1*$H$26,(($C$26-B73)*$G$26)-$H$26)</f>
        <v/>
      </c>
      <c r="AL73" s="130">
        <f>Hedge_Far!G224</f>
        <v/>
      </c>
      <c r="AM73" s="130">
        <f>IF(B73&gt;$C$27,-1*$H$27,(($C$27-B73)*$G$27)-$H$27)</f>
        <v/>
      </c>
      <c r="AN73" s="130">
        <f>Hedge_Far!G254</f>
        <v/>
      </c>
      <c r="AO73" s="130">
        <f>IF(B73&gt;$C$28,-1*$H$28,(($C$28-B73)*$G$28)-$H$28)</f>
        <v/>
      </c>
      <c r="AP73" s="130">
        <f>Hedge_Far!G284</f>
        <v/>
      </c>
      <c r="AQ73" s="130">
        <f>IF(B73&gt;$C$29,-1*$H$29,(($C$29-B73)*$G$29)-$H$29)</f>
        <v/>
      </c>
      <c r="AR73" s="117" t="n"/>
    </row>
    <row r="74" ht="14.25" customHeight="1" s="116">
      <c r="B74" s="183">
        <f>B73-1</f>
        <v/>
      </c>
      <c r="C74" s="184">
        <f>O74/$H$30</f>
        <v/>
      </c>
      <c r="D74" s="184">
        <f>P74/$H$30</f>
        <v/>
      </c>
      <c r="E74" s="130">
        <f>($C$2*B74)-$E$2</f>
        <v/>
      </c>
      <c r="F74" s="185">
        <f>(E74/$E$2)</f>
        <v/>
      </c>
      <c r="M74" s="183">
        <f>M73-1</f>
        <v/>
      </c>
      <c r="N74" s="184">
        <f>Hedge_Far!C315</f>
        <v/>
      </c>
      <c r="O74" s="130">
        <f>Hedge_Far!G315</f>
        <v/>
      </c>
      <c r="P74" s="130">
        <f>Y74+AA74+AC74+AE74+AG74+AI74+AK74+AM74+AO74+AQ74</f>
        <v/>
      </c>
      <c r="Q74" s="185">
        <f>S74/$E$2</f>
        <v/>
      </c>
      <c r="R74" s="185">
        <f>T74/$E$2</f>
        <v/>
      </c>
      <c r="S74" s="130">
        <f>E74+O74</f>
        <v/>
      </c>
      <c r="T74" s="130">
        <f>E74+P74</f>
        <v/>
      </c>
      <c r="U74" s="186">
        <f>O75-2*O74+O73</f>
        <v/>
      </c>
      <c r="V74" s="187" t="n"/>
      <c r="W74" s="183">
        <f>W73-1</f>
        <v/>
      </c>
      <c r="X74" s="130">
        <f>Hedge_Far!G18</f>
        <v/>
      </c>
      <c r="Y74" s="130">
        <f>IF(B74&gt;$C$20,-1*$H$20,(($C$20-B74)*$G$20)-$H$20)</f>
        <v/>
      </c>
      <c r="Z74" s="130">
        <f>Hedge_Far!G47</f>
        <v/>
      </c>
      <c r="AA74" s="130">
        <f>IF(B74&gt;$C$21,-1*$H$21,(($C$21-B74)*$G$21)-$H$21)</f>
        <v/>
      </c>
      <c r="AB74" s="130">
        <f>Hedge_Far!G76</f>
        <v/>
      </c>
      <c r="AC74" s="130">
        <f>IF(B74&gt;$C$22,-1*$H$22,(($C$22-B74)*$G$22)-$H$22)</f>
        <v/>
      </c>
      <c r="AD74" s="130">
        <f>Hedge_Far!G105</f>
        <v/>
      </c>
      <c r="AE74" s="130">
        <f>IF(B74&gt;$C$23,-1*$H$23,(($C$23-B74)*$G$23)-$H$23)</f>
        <v/>
      </c>
      <c r="AF74" s="130">
        <f>Hedge_Far!G135</f>
        <v/>
      </c>
      <c r="AG74" s="130">
        <f>IF(B74&gt;$C$24,-1*$H$24,(($C$24-B74)*$G$24)-$H$24)</f>
        <v/>
      </c>
      <c r="AH74" s="130">
        <f>Hedge_Far!G165</f>
        <v/>
      </c>
      <c r="AI74" s="130">
        <f>IF(B74&gt;$C$25,-1*$H$25,(($C$25-B74)*$G$25)-$H$25)</f>
        <v/>
      </c>
      <c r="AJ74" s="130">
        <f>Hedge_Far!G195</f>
        <v/>
      </c>
      <c r="AK74" s="130">
        <f>IF(B74&gt;$C$26,-1*$H$26,(($C$26-B74)*$G$26)-$H$26)</f>
        <v/>
      </c>
      <c r="AL74" s="130">
        <f>Hedge_Far!G225</f>
        <v/>
      </c>
      <c r="AM74" s="130">
        <f>IF(B74&gt;$C$27,-1*$H$27,(($C$27-B74)*$G$27)-$H$27)</f>
        <v/>
      </c>
      <c r="AN74" s="130">
        <f>Hedge_Far!G255</f>
        <v/>
      </c>
      <c r="AO74" s="130">
        <f>IF(B74&gt;$C$28,-1*$H$28,(($C$28-B74)*$G$28)-$H$28)</f>
        <v/>
      </c>
      <c r="AP74" s="130">
        <f>Hedge_Far!G285</f>
        <v/>
      </c>
      <c r="AQ74" s="130">
        <f>IF(B74&gt;$C$29,-1*$H$29,(($C$29-B74)*$G$29)-$H$29)</f>
        <v/>
      </c>
      <c r="AR74" s="117" t="n"/>
    </row>
    <row r="75" ht="14.25" customHeight="1" s="116">
      <c r="B75" s="183">
        <f>B74-1</f>
        <v/>
      </c>
      <c r="C75" s="184">
        <f>O75/$H$30</f>
        <v/>
      </c>
      <c r="D75" s="184">
        <f>P75/$H$30</f>
        <v/>
      </c>
      <c r="E75" s="130">
        <f>($C$2*B75)-$E$2</f>
        <v/>
      </c>
      <c r="F75" s="185">
        <f>(E75/$E$2)</f>
        <v/>
      </c>
      <c r="M75" s="183">
        <f>M74-1</f>
        <v/>
      </c>
      <c r="N75" s="184">
        <f>Hedge_Far!C316</f>
        <v/>
      </c>
      <c r="O75" s="130">
        <f>Hedge_Far!G316</f>
        <v/>
      </c>
      <c r="P75" s="130">
        <f>Y75+AA75+AC75+AE75+AG75+AI75+AK75+AM75+AO75+AQ75</f>
        <v/>
      </c>
      <c r="Q75" s="185">
        <f>S75/$E$2</f>
        <v/>
      </c>
      <c r="R75" s="185">
        <f>T75/$E$2</f>
        <v/>
      </c>
      <c r="S75" s="130">
        <f>E75+O75</f>
        <v/>
      </c>
      <c r="T75" s="130">
        <f>E75+P75</f>
        <v/>
      </c>
      <c r="U75" s="186">
        <f>O76-2*O75+O74</f>
        <v/>
      </c>
      <c r="V75" s="187" t="n"/>
      <c r="W75" s="183">
        <f>W74-1</f>
        <v/>
      </c>
      <c r="X75" s="130">
        <f>Hedge_Far!G19</f>
        <v/>
      </c>
      <c r="Y75" s="130">
        <f>IF(B75&gt;$C$20,-1*$H$20,(($C$20-B75)*$G$20)-$H$20)</f>
        <v/>
      </c>
      <c r="Z75" s="130">
        <f>Hedge_Far!G48</f>
        <v/>
      </c>
      <c r="AA75" s="130">
        <f>IF(B75&gt;$C$21,-1*$H$21,(($C$21-B75)*$G$21)-$H$21)</f>
        <v/>
      </c>
      <c r="AB75" s="130">
        <f>Hedge_Far!G77</f>
        <v/>
      </c>
      <c r="AC75" s="130">
        <f>IF(B75&gt;$C$22,-1*$H$22,(($C$22-B75)*$G$22)-$H$22)</f>
        <v/>
      </c>
      <c r="AD75" s="130">
        <f>Hedge_Far!G106</f>
        <v/>
      </c>
      <c r="AE75" s="130">
        <f>IF(B75&gt;$C$23,-1*$H$23,(($C$23-B75)*$G$23)-$H$23)</f>
        <v/>
      </c>
      <c r="AF75" s="130">
        <f>Hedge_Far!G136</f>
        <v/>
      </c>
      <c r="AG75" s="130">
        <f>IF(B75&gt;$C$24,-1*$H$24,(($C$24-B75)*$G$24)-$H$24)</f>
        <v/>
      </c>
      <c r="AH75" s="130">
        <f>Hedge_Far!G166</f>
        <v/>
      </c>
      <c r="AI75" s="130">
        <f>IF(B75&gt;$C$25,-1*$H$25,(($C$25-B75)*$G$25)-$H$25)</f>
        <v/>
      </c>
      <c r="AJ75" s="130">
        <f>Hedge_Far!G196</f>
        <v/>
      </c>
      <c r="AK75" s="130">
        <f>IF(B75&gt;$C$26,-1*$H$26,(($C$26-B75)*$G$26)-$H$26)</f>
        <v/>
      </c>
      <c r="AL75" s="130">
        <f>Hedge_Far!G226</f>
        <v/>
      </c>
      <c r="AM75" s="130">
        <f>IF(B75&gt;$C$27,-1*$H$27,(($C$27-B75)*$G$27)-$H$27)</f>
        <v/>
      </c>
      <c r="AN75" s="130">
        <f>Hedge_Far!G256</f>
        <v/>
      </c>
      <c r="AO75" s="130">
        <f>IF(B75&gt;$C$28,-1*$H$28,(($C$28-B75)*$G$28)-$H$28)</f>
        <v/>
      </c>
      <c r="AP75" s="130">
        <f>Hedge_Far!G286</f>
        <v/>
      </c>
      <c r="AQ75" s="130">
        <f>IF(B75&gt;$C$29,-1*$H$29,(($C$29-B75)*$G$29)-$H$29)</f>
        <v/>
      </c>
      <c r="AR75" s="117" t="n"/>
    </row>
    <row r="76" ht="14.25" customHeight="1" s="116">
      <c r="B76" s="183">
        <f>B75-1</f>
        <v/>
      </c>
      <c r="C76" s="184">
        <f>O76/$H$30</f>
        <v/>
      </c>
      <c r="D76" s="184">
        <f>P76/$H$30</f>
        <v/>
      </c>
      <c r="E76" s="130">
        <f>($C$2*B76)-$E$2</f>
        <v/>
      </c>
      <c r="F76" s="185">
        <f>(E76/$E$2)</f>
        <v/>
      </c>
      <c r="M76" s="183">
        <f>M75-1</f>
        <v/>
      </c>
      <c r="N76" s="184">
        <f>Hedge_Far!C317</f>
        <v/>
      </c>
      <c r="O76" s="130">
        <f>Hedge_Far!G317</f>
        <v/>
      </c>
      <c r="P76" s="130">
        <f>Y76+AA76+AC76+AE76+AG76+AI76+AK76+AM76+AO76+AQ76</f>
        <v/>
      </c>
      <c r="Q76" s="185">
        <f>S76/$E$2</f>
        <v/>
      </c>
      <c r="R76" s="185">
        <f>T76/$E$2</f>
        <v/>
      </c>
      <c r="S76" s="130">
        <f>E76+O76</f>
        <v/>
      </c>
      <c r="T76" s="130">
        <f>E76+P76</f>
        <v/>
      </c>
      <c r="U76" s="186">
        <f>O77-2*O76+O75</f>
        <v/>
      </c>
      <c r="V76" s="187" t="n"/>
      <c r="W76" s="183">
        <f>W75-1</f>
        <v/>
      </c>
      <c r="X76" s="130">
        <f>Hedge_Far!G20</f>
        <v/>
      </c>
      <c r="Y76" s="130">
        <f>IF(B76&gt;$C$20,-1*$H$20,(($C$20-B76)*$G$20)-$H$20)</f>
        <v/>
      </c>
      <c r="Z76" s="130">
        <f>Hedge_Far!G49</f>
        <v/>
      </c>
      <c r="AA76" s="130">
        <f>IF(B76&gt;$C$21,-1*$H$21,(($C$21-B76)*$G$21)-$H$21)</f>
        <v/>
      </c>
      <c r="AB76" s="130">
        <f>Hedge_Far!G78</f>
        <v/>
      </c>
      <c r="AC76" s="130">
        <f>IF(B76&gt;$C$22,-1*$H$22,(($C$22-B76)*$G$22)-$H$22)</f>
        <v/>
      </c>
      <c r="AD76" s="130">
        <f>Hedge_Far!G107</f>
        <v/>
      </c>
      <c r="AE76" s="130">
        <f>IF(B76&gt;$C$23,-1*$H$23,(($C$23-B76)*$G$23)-$H$23)</f>
        <v/>
      </c>
      <c r="AF76" s="130">
        <f>Hedge_Far!G137</f>
        <v/>
      </c>
      <c r="AG76" s="130">
        <f>IF(B76&gt;$C$24,-1*$H$24,(($C$24-B76)*$G$24)-$H$24)</f>
        <v/>
      </c>
      <c r="AH76" s="130">
        <f>Hedge_Far!G167</f>
        <v/>
      </c>
      <c r="AI76" s="130">
        <f>IF(B76&gt;$C$25,-1*$H$25,(($C$25-B76)*$G$25)-$H$25)</f>
        <v/>
      </c>
      <c r="AJ76" s="130">
        <f>Hedge_Far!G197</f>
        <v/>
      </c>
      <c r="AK76" s="130">
        <f>IF(B76&gt;$C$26,-1*$H$26,(($C$26-B76)*$G$26)-$H$26)</f>
        <v/>
      </c>
      <c r="AL76" s="130">
        <f>Hedge_Far!G227</f>
        <v/>
      </c>
      <c r="AM76" s="130">
        <f>IF(B76&gt;$C$27,-1*$H$27,(($C$27-B76)*$G$27)-$H$27)</f>
        <v/>
      </c>
      <c r="AN76" s="130">
        <f>Hedge_Far!G257</f>
        <v/>
      </c>
      <c r="AO76" s="130">
        <f>IF(B76&gt;$C$28,-1*$H$28,(($C$28-B76)*$G$28)-$H$28)</f>
        <v/>
      </c>
      <c r="AP76" s="130">
        <f>Hedge_Far!G287</f>
        <v/>
      </c>
      <c r="AQ76" s="130">
        <f>IF(B76&gt;$C$29,-1*$H$29,(($C$29-B76)*$G$29)-$H$29)</f>
        <v/>
      </c>
      <c r="AR76" s="117" t="n"/>
    </row>
    <row r="77" ht="14.25" customHeight="1" s="116">
      <c r="B77" s="183">
        <f>B76-1</f>
        <v/>
      </c>
      <c r="C77" s="184">
        <f>O77/$H$30</f>
        <v/>
      </c>
      <c r="D77" s="184">
        <f>P77/$H$30</f>
        <v/>
      </c>
      <c r="E77" s="130">
        <f>($C$2*B77)-$E$2</f>
        <v/>
      </c>
      <c r="F77" s="185">
        <f>(E77/$E$2)</f>
        <v/>
      </c>
      <c r="M77" s="183">
        <f>M76-1</f>
        <v/>
      </c>
      <c r="N77" s="184">
        <f>Hedge_Far!C318</f>
        <v/>
      </c>
      <c r="O77" s="130">
        <f>Hedge_Far!G318</f>
        <v/>
      </c>
      <c r="P77" s="130">
        <f>Y77+AA77+AC77+AE77+AG77+AI77+AK77+AM77+AO77+AQ77</f>
        <v/>
      </c>
      <c r="Q77" s="185">
        <f>S77/$E$2</f>
        <v/>
      </c>
      <c r="R77" s="185">
        <f>T77/$E$2</f>
        <v/>
      </c>
      <c r="S77" s="130">
        <f>E77+O77</f>
        <v/>
      </c>
      <c r="T77" s="130">
        <f>E77+P77</f>
        <v/>
      </c>
      <c r="U77" s="186">
        <f>O78-2*O77+O76</f>
        <v/>
      </c>
      <c r="V77" s="187" t="n"/>
      <c r="W77" s="183">
        <f>W76-1</f>
        <v/>
      </c>
      <c r="X77" s="130">
        <f>Hedge_Far!G21</f>
        <v/>
      </c>
      <c r="Y77" s="130">
        <f>IF(B77&gt;$C$20,-1*$H$20,(($C$20-B77)*$G$20)-$H$20)</f>
        <v/>
      </c>
      <c r="Z77" s="130">
        <f>Hedge_Far!G50</f>
        <v/>
      </c>
      <c r="AA77" s="130">
        <f>IF(B77&gt;$C$21,-1*$H$21,(($C$21-B77)*$G$21)-$H$21)</f>
        <v/>
      </c>
      <c r="AB77" s="130">
        <f>Hedge_Far!G79</f>
        <v/>
      </c>
      <c r="AC77" s="130">
        <f>IF(B77&gt;$C$22,-1*$H$22,(($C$22-B77)*$G$22)-$H$22)</f>
        <v/>
      </c>
      <c r="AD77" s="130">
        <f>Hedge_Far!G108</f>
        <v/>
      </c>
      <c r="AE77" s="130">
        <f>IF(B77&gt;$C$23,-1*$H$23,(($C$23-B77)*$G$23)-$H$23)</f>
        <v/>
      </c>
      <c r="AF77" s="130">
        <f>Hedge_Far!G138</f>
        <v/>
      </c>
      <c r="AG77" s="130">
        <f>IF(B77&gt;$C$24,-1*$H$24,(($C$24-B77)*$G$24)-$H$24)</f>
        <v/>
      </c>
      <c r="AH77" s="130">
        <f>Hedge_Far!G168</f>
        <v/>
      </c>
      <c r="AI77" s="130">
        <f>IF(B77&gt;$C$25,-1*$H$25,(($C$25-B77)*$G$25)-$H$25)</f>
        <v/>
      </c>
      <c r="AJ77" s="130">
        <f>Hedge_Far!G198</f>
        <v/>
      </c>
      <c r="AK77" s="130">
        <f>IF(B77&gt;$C$26,-1*$H$26,(($C$26-B77)*$G$26)-$H$26)</f>
        <v/>
      </c>
      <c r="AL77" s="130">
        <f>Hedge_Far!G228</f>
        <v/>
      </c>
      <c r="AM77" s="130">
        <f>IF(B77&gt;$C$27,-1*$H$27,(($C$27-B77)*$G$27)-$H$27)</f>
        <v/>
      </c>
      <c r="AN77" s="130">
        <f>Hedge_Far!G258</f>
        <v/>
      </c>
      <c r="AO77" s="130">
        <f>IF(B77&gt;$C$28,-1*$H$28,(($C$28-B77)*$G$28)-$H$28)</f>
        <v/>
      </c>
      <c r="AP77" s="130">
        <f>Hedge_Far!G288</f>
        <v/>
      </c>
      <c r="AQ77" s="130">
        <f>IF(B77&gt;$C$29,-1*$H$29,(($C$29-B77)*$G$29)-$H$29)</f>
        <v/>
      </c>
      <c r="AR77" s="117" t="n"/>
    </row>
    <row r="78" ht="14.25" customHeight="1" s="116">
      <c r="B78" s="183">
        <f>B77-1</f>
        <v/>
      </c>
      <c r="C78" s="184">
        <f>O78/$H$30</f>
        <v/>
      </c>
      <c r="D78" s="184">
        <f>P78/$H$30</f>
        <v/>
      </c>
      <c r="E78" s="130">
        <f>($C$2*B78)-$E$2</f>
        <v/>
      </c>
      <c r="F78" s="185">
        <f>(E78/$E$2)</f>
        <v/>
      </c>
      <c r="M78" s="183">
        <f>M77-1</f>
        <v/>
      </c>
      <c r="N78" s="184">
        <f>Hedge_Far!C319</f>
        <v/>
      </c>
      <c r="O78" s="130">
        <f>Hedge_Far!G319</f>
        <v/>
      </c>
      <c r="P78" s="130">
        <f>Y78+AA78+AC78+AE78+AG78+AI78+AK78+AM78+AO78+AQ78</f>
        <v/>
      </c>
      <c r="Q78" s="185">
        <f>S78/$E$2</f>
        <v/>
      </c>
      <c r="R78" s="185">
        <f>T78/$E$2</f>
        <v/>
      </c>
      <c r="S78" s="130">
        <f>E78+O78</f>
        <v/>
      </c>
      <c r="T78" s="130">
        <f>E78+P78</f>
        <v/>
      </c>
      <c r="U78" s="186">
        <f>O79-2*O78+O77</f>
        <v/>
      </c>
      <c r="V78" s="187" t="n"/>
      <c r="W78" s="183">
        <f>W77-1</f>
        <v/>
      </c>
      <c r="X78" s="130">
        <f>Hedge_Far!G22</f>
        <v/>
      </c>
      <c r="Y78" s="130">
        <f>IF(B78&gt;$C$20,-1*$H$20,(($C$20-B78)*$G$20)-$H$20)</f>
        <v/>
      </c>
      <c r="Z78" s="130">
        <f>Hedge_Far!G51</f>
        <v/>
      </c>
      <c r="AA78" s="130">
        <f>IF(B78&gt;$C$21,-1*$H$21,(($C$21-B78)*$G$21)-$H$21)</f>
        <v/>
      </c>
      <c r="AB78" s="130">
        <f>Hedge_Far!G80</f>
        <v/>
      </c>
      <c r="AC78" s="130">
        <f>IF(B78&gt;$C$22,-1*$H$22,(($C$22-B78)*$G$22)-$H$22)</f>
        <v/>
      </c>
      <c r="AD78" s="130">
        <f>Hedge_Far!G109</f>
        <v/>
      </c>
      <c r="AE78" s="130">
        <f>IF(B78&gt;$C$23,-1*$H$23,(($C$23-B78)*$G$23)-$H$23)</f>
        <v/>
      </c>
      <c r="AF78" s="130">
        <f>Hedge_Far!G139</f>
        <v/>
      </c>
      <c r="AG78" s="130">
        <f>IF(B78&gt;$C$24,-1*$H$24,(($C$24-B78)*$G$24)-$H$24)</f>
        <v/>
      </c>
      <c r="AH78" s="130">
        <f>Hedge_Far!G169</f>
        <v/>
      </c>
      <c r="AI78" s="130">
        <f>IF(B78&gt;$C$25,-1*$H$25,(($C$25-B78)*$G$25)-$H$25)</f>
        <v/>
      </c>
      <c r="AJ78" s="130">
        <f>Hedge_Far!G199</f>
        <v/>
      </c>
      <c r="AK78" s="130">
        <f>IF(B78&gt;$C$26,-1*$H$26,(($C$26-B78)*$G$26)-$H$26)</f>
        <v/>
      </c>
      <c r="AL78" s="130">
        <f>Hedge_Far!G229</f>
        <v/>
      </c>
      <c r="AM78" s="130">
        <f>IF(B78&gt;$C$27,-1*$H$27,(($C$27-B78)*$G$27)-$H$27)</f>
        <v/>
      </c>
      <c r="AN78" s="130">
        <f>Hedge_Far!G259</f>
        <v/>
      </c>
      <c r="AO78" s="130">
        <f>IF(B78&gt;$C$28,-1*$H$28,(($C$28-B78)*$G$28)-$H$28)</f>
        <v/>
      </c>
      <c r="AP78" s="130">
        <f>Hedge_Far!G289</f>
        <v/>
      </c>
      <c r="AQ78" s="130">
        <f>IF(B78&gt;$C$29,-1*$H$29,(($C$29-B78)*$G$29)-$H$29)</f>
        <v/>
      </c>
      <c r="AR78" s="117" t="n"/>
    </row>
    <row r="79" ht="14.25" customHeight="1" s="116">
      <c r="B79" s="183">
        <f>B78-1</f>
        <v/>
      </c>
      <c r="C79" s="184">
        <f>O79/$H$30</f>
        <v/>
      </c>
      <c r="D79" s="184">
        <f>P79/$H$30</f>
        <v/>
      </c>
      <c r="E79" s="130">
        <f>($C$2*B79)-$E$2</f>
        <v/>
      </c>
      <c r="F79" s="185">
        <f>(E79/$E$2)</f>
        <v/>
      </c>
      <c r="M79" s="183">
        <f>M78-1</f>
        <v/>
      </c>
      <c r="N79" s="184">
        <f>Hedge_Far!C320</f>
        <v/>
      </c>
      <c r="O79" s="130">
        <f>Hedge_Far!G320</f>
        <v/>
      </c>
      <c r="P79" s="130">
        <f>Y79+AA79+AC79+AE79+AG79+AI79+AK79+AM79+AO79+AQ79</f>
        <v/>
      </c>
      <c r="Q79" s="185">
        <f>S79/$E$2</f>
        <v/>
      </c>
      <c r="R79" s="185">
        <f>T79/$E$2</f>
        <v/>
      </c>
      <c r="S79" s="130">
        <f>E79+O79</f>
        <v/>
      </c>
      <c r="T79" s="130">
        <f>E79+P79</f>
        <v/>
      </c>
      <c r="U79" s="186">
        <f>O80-2*O79+O78</f>
        <v/>
      </c>
      <c r="V79" s="187" t="n"/>
      <c r="W79" s="183">
        <f>W78-1</f>
        <v/>
      </c>
      <c r="X79" s="130">
        <f>Hedge_Far!G23</f>
        <v/>
      </c>
      <c r="Y79" s="130">
        <f>IF(B79&gt;$C$20,-1*$H$20,(($C$20-B79)*$G$20)-$H$20)</f>
        <v/>
      </c>
      <c r="Z79" s="130">
        <f>Hedge_Far!G52</f>
        <v/>
      </c>
      <c r="AA79" s="130">
        <f>IF(B79&gt;$C$21,-1*$H$21,(($C$21-B79)*$G$21)-$H$21)</f>
        <v/>
      </c>
      <c r="AB79" s="130">
        <f>Hedge_Far!G81</f>
        <v/>
      </c>
      <c r="AC79" s="130">
        <f>IF(B79&gt;$C$22,-1*$H$22,(($C$22-B79)*$G$22)-$H$22)</f>
        <v/>
      </c>
      <c r="AD79" s="130">
        <f>Hedge_Far!G110</f>
        <v/>
      </c>
      <c r="AE79" s="130">
        <f>IF(B79&gt;$C$23,-1*$H$23,(($C$23-B79)*$G$23)-$H$23)</f>
        <v/>
      </c>
      <c r="AF79" s="130">
        <f>Hedge_Far!G140</f>
        <v/>
      </c>
      <c r="AG79" s="130">
        <f>IF(B79&gt;$C$24,-1*$H$24,(($C$24-B79)*$G$24)-$H$24)</f>
        <v/>
      </c>
      <c r="AH79" s="130">
        <f>Hedge_Far!G170</f>
        <v/>
      </c>
      <c r="AI79" s="130">
        <f>IF(B79&gt;$C$25,-1*$H$25,(($C$25-B79)*$G$25)-$H$25)</f>
        <v/>
      </c>
      <c r="AJ79" s="130">
        <f>Hedge_Far!G200</f>
        <v/>
      </c>
      <c r="AK79" s="130">
        <f>IF(B79&gt;$C$26,-1*$H$26,(($C$26-B79)*$G$26)-$H$26)</f>
        <v/>
      </c>
      <c r="AL79" s="130">
        <f>Hedge_Far!G230</f>
        <v/>
      </c>
      <c r="AM79" s="130">
        <f>IF(B79&gt;$C$27,-1*$H$27,(($C$27-B79)*$G$27)-$H$27)</f>
        <v/>
      </c>
      <c r="AN79" s="130">
        <f>Hedge_Far!G260</f>
        <v/>
      </c>
      <c r="AO79" s="130">
        <f>IF(B79&gt;$C$28,-1*$H$28,(($C$28-B79)*$G$28)-$H$28)</f>
        <v/>
      </c>
      <c r="AP79" s="130">
        <f>Hedge_Far!G290</f>
        <v/>
      </c>
      <c r="AQ79" s="130">
        <f>IF(B79&gt;$C$29,-1*$H$29,(($C$29-B79)*$G$29)-$H$29)</f>
        <v/>
      </c>
      <c r="AR79" s="117" t="n"/>
    </row>
    <row r="80" ht="14.25" customHeight="1" s="116">
      <c r="B80" s="183">
        <f>B79-1</f>
        <v/>
      </c>
      <c r="C80" s="184">
        <f>O80/$H$30</f>
        <v/>
      </c>
      <c r="D80" s="184">
        <f>P80/$H$30</f>
        <v/>
      </c>
      <c r="E80" s="130">
        <f>($C$2*B80)-$E$2</f>
        <v/>
      </c>
      <c r="F80" s="185">
        <f>(E80/$E$2)</f>
        <v/>
      </c>
      <c r="M80" s="183">
        <f>M79-1</f>
        <v/>
      </c>
      <c r="N80" s="184">
        <f>Hedge_Far!C321</f>
        <v/>
      </c>
      <c r="O80" s="130">
        <f>Hedge_Far!G321</f>
        <v/>
      </c>
      <c r="P80" s="130">
        <f>Y80+AA80+AC80+AE80+AG80+AI80+AK80+AM80+AO80+AQ80</f>
        <v/>
      </c>
      <c r="Q80" s="185">
        <f>S80/$E$2</f>
        <v/>
      </c>
      <c r="R80" s="185">
        <f>T80/$E$2</f>
        <v/>
      </c>
      <c r="S80" s="130">
        <f>E80+O80</f>
        <v/>
      </c>
      <c r="T80" s="130">
        <f>E80+P80</f>
        <v/>
      </c>
      <c r="U80" s="186">
        <f>O81-2*O80+O79</f>
        <v/>
      </c>
      <c r="V80" s="187" t="n"/>
      <c r="W80" s="183">
        <f>W79-1</f>
        <v/>
      </c>
      <c r="X80" s="130">
        <f>Hedge_Far!G24</f>
        <v/>
      </c>
      <c r="Y80" s="130">
        <f>IF(B80&gt;$C$20,-1*$H$20,(($C$20-B80)*$G$20)-$H$20)</f>
        <v/>
      </c>
      <c r="Z80" s="130">
        <f>Hedge_Far!G53</f>
        <v/>
      </c>
      <c r="AA80" s="130">
        <f>IF(B80&gt;$C$21,-1*$H$21,(($C$21-B80)*$G$21)-$H$21)</f>
        <v/>
      </c>
      <c r="AB80" s="130">
        <f>Hedge_Far!G82</f>
        <v/>
      </c>
      <c r="AC80" s="130">
        <f>IF(B80&gt;$C$22,-1*$H$22,(($C$22-B80)*$G$22)-$H$22)</f>
        <v/>
      </c>
      <c r="AD80" s="130">
        <f>Hedge_Far!G111</f>
        <v/>
      </c>
      <c r="AE80" s="130">
        <f>IF(B80&gt;$C$23,-1*$H$23,(($C$23-B80)*$G$23)-$H$23)</f>
        <v/>
      </c>
      <c r="AF80" s="130">
        <f>Hedge_Far!G141</f>
        <v/>
      </c>
      <c r="AG80" s="130">
        <f>IF(B80&gt;$C$24,-1*$H$24,(($C$24-B80)*$G$24)-$H$24)</f>
        <v/>
      </c>
      <c r="AH80" s="130">
        <f>Hedge_Far!G171</f>
        <v/>
      </c>
      <c r="AI80" s="130">
        <f>IF(B80&gt;$C$25,-1*$H$25,(($C$25-B80)*$G$25)-$H$25)</f>
        <v/>
      </c>
      <c r="AJ80" s="130">
        <f>Hedge_Far!G201</f>
        <v/>
      </c>
      <c r="AK80" s="130">
        <f>IF(B80&gt;$C$26,-1*$H$26,(($C$26-B80)*$G$26)-$H$26)</f>
        <v/>
      </c>
      <c r="AL80" s="130">
        <f>Hedge_Far!G231</f>
        <v/>
      </c>
      <c r="AM80" s="130">
        <f>IF(B80&gt;$C$27,-1*$H$27,(($C$27-B80)*$G$27)-$H$27)</f>
        <v/>
      </c>
      <c r="AN80" s="130">
        <f>Hedge_Far!G261</f>
        <v/>
      </c>
      <c r="AO80" s="130">
        <f>IF(B80&gt;$C$28,-1*$H$28,(($C$28-B80)*$G$28)-$H$28)</f>
        <v/>
      </c>
      <c r="AP80" s="130">
        <f>Hedge_Far!G291</f>
        <v/>
      </c>
      <c r="AQ80" s="130">
        <f>IF(B80&gt;$C$29,-1*$H$29,(($C$29-B80)*$G$29)-$H$29)</f>
        <v/>
      </c>
      <c r="AR80" s="117" t="n"/>
    </row>
    <row r="81" ht="14.25" customHeight="1" s="116">
      <c r="B81" s="183">
        <f>B80-1</f>
        <v/>
      </c>
      <c r="C81" s="184">
        <f>O81/$H$30</f>
        <v/>
      </c>
      <c r="D81" s="184">
        <f>P81/$H$30</f>
        <v/>
      </c>
      <c r="E81" s="130">
        <f>($C$2*B81)-$E$2</f>
        <v/>
      </c>
      <c r="F81" s="185">
        <f>(E81/$E$2)</f>
        <v/>
      </c>
      <c r="M81" s="183">
        <f>M80-1</f>
        <v/>
      </c>
      <c r="N81" s="184">
        <f>Hedge_Far!C322</f>
        <v/>
      </c>
      <c r="O81" s="130">
        <f>Hedge_Far!G322</f>
        <v/>
      </c>
      <c r="P81" s="130">
        <f>Y81+AA81+AC81+AE81+AG81+AI81+AK81+AM81+AO81+AQ81</f>
        <v/>
      </c>
      <c r="Q81" s="185">
        <f>S81/$E$2</f>
        <v/>
      </c>
      <c r="R81" s="185">
        <f>T81/$E$2</f>
        <v/>
      </c>
      <c r="S81" s="130">
        <f>E81+O81</f>
        <v/>
      </c>
      <c r="T81" s="130">
        <f>E81+P81</f>
        <v/>
      </c>
      <c r="U81" s="186">
        <f>O82-2*O81+O80</f>
        <v/>
      </c>
      <c r="V81" s="187" t="n"/>
      <c r="W81" s="183">
        <f>W80-1</f>
        <v/>
      </c>
      <c r="X81" s="130">
        <f>Hedge_Far!G25</f>
        <v/>
      </c>
      <c r="Y81" s="130">
        <f>IF(B81&gt;$C$20,-1*$H$20,(($C$20-B81)*$G$20)-$H$20)</f>
        <v/>
      </c>
      <c r="Z81" s="130">
        <f>Hedge_Far!G54</f>
        <v/>
      </c>
      <c r="AA81" s="130">
        <f>IF(B81&gt;$C$21,-1*$H$21,(($C$21-B81)*$G$21)-$H$21)</f>
        <v/>
      </c>
      <c r="AB81" s="130">
        <f>Hedge_Far!G83</f>
        <v/>
      </c>
      <c r="AC81" s="130">
        <f>IF(B81&gt;$C$22,-1*$H$22,(($C$22-B81)*$G$22)-$H$22)</f>
        <v/>
      </c>
      <c r="AD81" s="130">
        <f>Hedge_Far!G112</f>
        <v/>
      </c>
      <c r="AE81" s="130">
        <f>IF(B81&gt;$C$23,-1*$H$23,(($C$23-B81)*$G$23)-$H$23)</f>
        <v/>
      </c>
      <c r="AF81" s="130">
        <f>Hedge_Far!G142</f>
        <v/>
      </c>
      <c r="AG81" s="130">
        <f>IF(B81&gt;$C$24,-1*$H$24,(($C$24-B81)*$G$24)-$H$24)</f>
        <v/>
      </c>
      <c r="AH81" s="130">
        <f>Hedge_Far!G172</f>
        <v/>
      </c>
      <c r="AI81" s="130">
        <f>IF(B81&gt;$C$25,-1*$H$25,(($C$25-B81)*$G$25)-$H$25)</f>
        <v/>
      </c>
      <c r="AJ81" s="130">
        <f>Hedge_Far!G202</f>
        <v/>
      </c>
      <c r="AK81" s="130">
        <f>IF(B81&gt;$C$26,-1*$H$26,(($C$26-B81)*$G$26)-$H$26)</f>
        <v/>
      </c>
      <c r="AL81" s="130">
        <f>Hedge_Far!G232</f>
        <v/>
      </c>
      <c r="AM81" s="130">
        <f>IF(B81&gt;$C$27,-1*$H$27,(($C$27-B81)*$G$27)-$H$27)</f>
        <v/>
      </c>
      <c r="AN81" s="130">
        <f>Hedge_Far!G262</f>
        <v/>
      </c>
      <c r="AO81" s="130">
        <f>IF(B81&gt;$C$28,-1*$H$28,(($C$28-B81)*$G$28)-$H$28)</f>
        <v/>
      </c>
      <c r="AP81" s="130">
        <f>Hedge_Far!G292</f>
        <v/>
      </c>
      <c r="AQ81" s="130">
        <f>IF(B81&gt;$C$29,-1*$H$29,(($C$29-B81)*$G$29)-$H$29)</f>
        <v/>
      </c>
      <c r="AR81" s="117" t="n"/>
    </row>
    <row r="82" ht="14.25" customHeight="1" s="116">
      <c r="B82" s="183">
        <f>B81-1</f>
        <v/>
      </c>
      <c r="C82" s="184">
        <f>O82/$H$30</f>
        <v/>
      </c>
      <c r="D82" s="184">
        <f>P82/$H$30</f>
        <v/>
      </c>
      <c r="E82" s="130">
        <f>($C$2*B82)-$E$2</f>
        <v/>
      </c>
      <c r="F82" s="185">
        <f>(E82/$E$2)</f>
        <v/>
      </c>
      <c r="M82" s="183">
        <f>M81-1</f>
        <v/>
      </c>
      <c r="N82" s="184">
        <f>Hedge_Far!C323</f>
        <v/>
      </c>
      <c r="O82" s="130">
        <f>Hedge_Far!G323</f>
        <v/>
      </c>
      <c r="P82" s="130">
        <f>Y82+AA82+AC82+AE82+AG82+AI82+AK82+AM82+AO82+AQ82</f>
        <v/>
      </c>
      <c r="Q82" s="185">
        <f>S82/$E$2</f>
        <v/>
      </c>
      <c r="R82" s="185">
        <f>T82/$E$2</f>
        <v/>
      </c>
      <c r="S82" s="130">
        <f>E82+O82</f>
        <v/>
      </c>
      <c r="T82" s="130">
        <f>E82+P82</f>
        <v/>
      </c>
      <c r="U82" s="186">
        <f>O83-2*O82+O81</f>
        <v/>
      </c>
      <c r="V82" s="187" t="n"/>
      <c r="W82" s="183">
        <f>W81-1</f>
        <v/>
      </c>
      <c r="X82" s="130">
        <f>Hedge_Far!G26</f>
        <v/>
      </c>
      <c r="Y82" s="130">
        <f>IF(B82&gt;$C$20,-1*$H$20,(($C$20-B82)*$G$20)-$H$20)</f>
        <v/>
      </c>
      <c r="Z82" s="130">
        <f>Hedge_Far!G55</f>
        <v/>
      </c>
      <c r="AA82" s="130">
        <f>IF(B82&gt;$C$21,-1*$H$21,(($C$21-B82)*$G$21)-$H$21)</f>
        <v/>
      </c>
      <c r="AB82" s="130">
        <f>Hedge_Far!G84</f>
        <v/>
      </c>
      <c r="AC82" s="130">
        <f>IF(B82&gt;$C$22,-1*$H$22,(($C$22-B82)*$G$22)-$H$22)</f>
        <v/>
      </c>
      <c r="AD82" s="130">
        <f>Hedge_Far!G113</f>
        <v/>
      </c>
      <c r="AE82" s="130">
        <f>IF(B82&gt;$C$23,-1*$H$23,(($C$23-B82)*$G$23)-$H$23)</f>
        <v/>
      </c>
      <c r="AF82" s="130">
        <f>Hedge_Far!G143</f>
        <v/>
      </c>
      <c r="AG82" s="130">
        <f>IF(B82&gt;$C$24,-1*$H$24,(($C$24-B82)*$G$24)-$H$24)</f>
        <v/>
      </c>
      <c r="AH82" s="130">
        <f>Hedge_Far!G173</f>
        <v/>
      </c>
      <c r="AI82" s="130">
        <f>IF(B82&gt;$C$25,-1*$H$25,(($C$25-B82)*$G$25)-$H$25)</f>
        <v/>
      </c>
      <c r="AJ82" s="130">
        <f>Hedge_Far!G203</f>
        <v/>
      </c>
      <c r="AK82" s="130">
        <f>IF(B82&gt;$C$26,-1*$H$26,(($C$26-B82)*$G$26)-$H$26)</f>
        <v/>
      </c>
      <c r="AL82" s="130">
        <f>Hedge_Far!G233</f>
        <v/>
      </c>
      <c r="AM82" s="130">
        <f>IF(B82&gt;$C$27,-1*$H$27,(($C$27-B82)*$G$27)-$H$27)</f>
        <v/>
      </c>
      <c r="AN82" s="130">
        <f>Hedge_Far!G263</f>
        <v/>
      </c>
      <c r="AO82" s="130">
        <f>IF(B82&gt;$C$28,-1*$H$28,(($C$28-B82)*$G$28)-$H$28)</f>
        <v/>
      </c>
      <c r="AP82" s="130">
        <f>Hedge_Far!G293</f>
        <v/>
      </c>
      <c r="AQ82" s="130">
        <f>IF(B82&gt;$C$29,-1*$H$29,(($C$29-B82)*$G$29)-$H$29)</f>
        <v/>
      </c>
      <c r="AR82" s="117" t="n"/>
    </row>
    <row r="83" ht="14.25" customHeight="1" s="116">
      <c r="B83" s="183">
        <f>B82-1</f>
        <v/>
      </c>
      <c r="C83" s="184">
        <f>O83/$H$30</f>
        <v/>
      </c>
      <c r="D83" s="184">
        <f>P83/$H$30</f>
        <v/>
      </c>
      <c r="E83" s="130">
        <f>($C$2*B83)-$E$2</f>
        <v/>
      </c>
      <c r="F83" s="185">
        <f>(E83/$E$2)</f>
        <v/>
      </c>
      <c r="M83" s="183">
        <f>M82-1</f>
        <v/>
      </c>
      <c r="N83" s="184">
        <f>Hedge_Far!C324</f>
        <v/>
      </c>
      <c r="O83" s="130">
        <f>Hedge_Far!G324</f>
        <v/>
      </c>
      <c r="P83" s="130">
        <f>Y83+AA83+AC83+AE83+AG83+AI83+AK83+AM83+AO83+AQ83</f>
        <v/>
      </c>
      <c r="Q83" s="185">
        <f>S83/$E$2</f>
        <v/>
      </c>
      <c r="R83" s="185">
        <f>T83/$E$2</f>
        <v/>
      </c>
      <c r="S83" s="130">
        <f>E83+O83</f>
        <v/>
      </c>
      <c r="T83" s="130">
        <f>E83+P83</f>
        <v/>
      </c>
      <c r="U83" s="186">
        <f>O84-2*O83+O82</f>
        <v/>
      </c>
      <c r="V83" s="187" t="n"/>
      <c r="W83" s="183">
        <f>W82-1</f>
        <v/>
      </c>
      <c r="X83" s="130">
        <f>Hedge_Far!G27</f>
        <v/>
      </c>
      <c r="Y83" s="130">
        <f>IF(B83&gt;$C$20,-1*$H$20,(($C$20-B83)*$G$20)-$H$20)</f>
        <v/>
      </c>
      <c r="Z83" s="130">
        <f>Hedge_Far!G56</f>
        <v/>
      </c>
      <c r="AA83" s="130">
        <f>IF(B83&gt;$C$21,-1*$H$21,(($C$21-B83)*$G$21)-$H$21)</f>
        <v/>
      </c>
      <c r="AB83" s="130">
        <f>Hedge_Far!G85</f>
        <v/>
      </c>
      <c r="AC83" s="130">
        <f>IF(B83&gt;$C$22,-1*$H$22,(($C$22-B83)*$G$22)-$H$22)</f>
        <v/>
      </c>
      <c r="AD83" s="130">
        <f>Hedge_Far!G114</f>
        <v/>
      </c>
      <c r="AE83" s="130">
        <f>IF(B83&gt;$C$23,-1*$H$23,(($C$23-B83)*$G$23)-$H$23)</f>
        <v/>
      </c>
      <c r="AF83" s="130">
        <f>Hedge_Far!G144</f>
        <v/>
      </c>
      <c r="AG83" s="130">
        <f>IF(B83&gt;$C$24,-1*$H$24,(($C$24-B83)*$G$24)-$H$24)</f>
        <v/>
      </c>
      <c r="AH83" s="130">
        <f>Hedge_Far!G174</f>
        <v/>
      </c>
      <c r="AI83" s="130">
        <f>IF(B83&gt;$C$25,-1*$H$25,(($C$25-B83)*$G$25)-$H$25)</f>
        <v/>
      </c>
      <c r="AJ83" s="130">
        <f>Hedge_Far!G204</f>
        <v/>
      </c>
      <c r="AK83" s="130">
        <f>IF(B83&gt;$C$26,-1*$H$26,(($C$26-B83)*$G$26)-$H$26)</f>
        <v/>
      </c>
      <c r="AL83" s="130">
        <f>Hedge_Far!G234</f>
        <v/>
      </c>
      <c r="AM83" s="130">
        <f>IF(B83&gt;$C$27,-1*$H$27,(($C$27-B83)*$G$27)-$H$27)</f>
        <v/>
      </c>
      <c r="AN83" s="130">
        <f>Hedge_Far!G264</f>
        <v/>
      </c>
      <c r="AO83" s="130">
        <f>IF(B83&gt;$C$28,-1*$H$28,(($C$28-B83)*$G$28)-$H$28)</f>
        <v/>
      </c>
      <c r="AP83" s="130">
        <f>Hedge_Far!G294</f>
        <v/>
      </c>
      <c r="AQ83" s="130">
        <f>IF(B83&gt;$C$29,-1*$H$29,(($C$29-B83)*$G$29)-$H$29)</f>
        <v/>
      </c>
      <c r="AR83" s="117" t="n"/>
    </row>
    <row r="84" ht="14.25" customHeight="1" s="116">
      <c r="B84" s="183">
        <f>B83-1</f>
        <v/>
      </c>
      <c r="C84" s="184">
        <f>O84/$H$30</f>
        <v/>
      </c>
      <c r="D84" s="184">
        <f>P84/$H$30</f>
        <v/>
      </c>
      <c r="E84" s="130">
        <f>($C$2*B84)-$E$2</f>
        <v/>
      </c>
      <c r="F84" s="185">
        <f>(E84/$E$2)</f>
        <v/>
      </c>
      <c r="M84" s="183">
        <f>M83-1</f>
        <v/>
      </c>
      <c r="N84" s="184">
        <f>Hedge_Far!C325</f>
        <v/>
      </c>
      <c r="O84" s="130">
        <f>Hedge_Far!G325</f>
        <v/>
      </c>
      <c r="P84" s="130">
        <f>Y84+AA84+AC84+AE84+AG84+AI84+AK84+AM84+AO84+AQ84</f>
        <v/>
      </c>
      <c r="Q84" s="185">
        <f>S84/$E$2</f>
        <v/>
      </c>
      <c r="R84" s="185">
        <f>T84/$E$2</f>
        <v/>
      </c>
      <c r="S84" s="130">
        <f>E84+O84</f>
        <v/>
      </c>
      <c r="T84" s="130">
        <f>E84+P84</f>
        <v/>
      </c>
      <c r="U84" s="186">
        <f>O85-2*O84+O83</f>
        <v/>
      </c>
      <c r="V84" s="187" t="n"/>
      <c r="W84" s="183">
        <f>W83-1</f>
        <v/>
      </c>
      <c r="X84" s="130">
        <f>Hedge_Far!G28</f>
        <v/>
      </c>
      <c r="Y84" s="130">
        <f>IF(B84&gt;$C$20,-1*$H$20,(($C$20-B84)*$G$20)-$H$20)</f>
        <v/>
      </c>
      <c r="Z84" s="130">
        <f>Hedge_Far!G57</f>
        <v/>
      </c>
      <c r="AA84" s="130">
        <f>IF(B84&gt;$C$21,-1*$H$21,(($C$21-B84)*$G$21)-$H$21)</f>
        <v/>
      </c>
      <c r="AB84" s="130">
        <f>Hedge_Far!G86</f>
        <v/>
      </c>
      <c r="AC84" s="130">
        <f>IF(B84&gt;$C$22,-1*$H$22,(($C$22-B84)*$G$22)-$H$22)</f>
        <v/>
      </c>
      <c r="AD84" s="130">
        <f>Hedge_Far!G115</f>
        <v/>
      </c>
      <c r="AE84" s="130">
        <f>IF(B84&gt;$C$23,-1*$H$23,(($C$23-B84)*$G$23)-$H$23)</f>
        <v/>
      </c>
      <c r="AF84" s="130">
        <f>Hedge_Far!G145</f>
        <v/>
      </c>
      <c r="AG84" s="130">
        <f>IF(B84&gt;$C$24,-1*$H$24,(($C$24-B84)*$G$24)-$H$24)</f>
        <v/>
      </c>
      <c r="AH84" s="130">
        <f>Hedge_Far!G175</f>
        <v/>
      </c>
      <c r="AI84" s="130">
        <f>IF(B84&gt;$C$25,-1*$H$25,(($C$25-B84)*$G$25)-$H$25)</f>
        <v/>
      </c>
      <c r="AJ84" s="130">
        <f>Hedge_Far!G205</f>
        <v/>
      </c>
      <c r="AK84" s="130">
        <f>IF(B84&gt;$C$26,-1*$H$26,(($C$26-B84)*$G$26)-$H$26)</f>
        <v/>
      </c>
      <c r="AL84" s="130">
        <f>Hedge_Far!G235</f>
        <v/>
      </c>
      <c r="AM84" s="130">
        <f>IF(B84&gt;$C$27,-1*$H$27,(($C$27-B84)*$G$27)-$H$27)</f>
        <v/>
      </c>
      <c r="AN84" s="130">
        <f>Hedge_Far!G265</f>
        <v/>
      </c>
      <c r="AO84" s="130">
        <f>IF(B84&gt;$C$28,-1*$H$28,(($C$28-B84)*$G$28)-$H$28)</f>
        <v/>
      </c>
      <c r="AP84" s="130">
        <f>Hedge_Far!G295</f>
        <v/>
      </c>
      <c r="AQ84" s="130">
        <f>IF(B84&gt;$C$29,-1*$H$29,(($C$29-B84)*$G$29)-$H$29)</f>
        <v/>
      </c>
      <c r="AR84" s="117" t="n"/>
    </row>
    <row r="85" ht="14.25" customHeight="1" s="116">
      <c r="B85" s="183">
        <f>B84-1</f>
        <v/>
      </c>
      <c r="C85" s="184">
        <f>O85/$H$30</f>
        <v/>
      </c>
      <c r="D85" s="184">
        <f>P85/$H$30</f>
        <v/>
      </c>
      <c r="E85" s="130">
        <f>($C$2*B85)-$E$2</f>
        <v/>
      </c>
      <c r="F85" s="185">
        <f>(E85/$E$2)</f>
        <v/>
      </c>
      <c r="M85" s="183">
        <f>M84-1</f>
        <v/>
      </c>
      <c r="N85" s="184">
        <f>Hedge_Far!C326</f>
        <v/>
      </c>
      <c r="O85" s="130">
        <f>Hedge_Far!G326</f>
        <v/>
      </c>
      <c r="P85" s="130">
        <f>Y85+AA85+AC85+AE85+AG85+AI85+AK85+AM85+AO85+AQ85</f>
        <v/>
      </c>
      <c r="Q85" s="185">
        <f>S85/$E$2</f>
        <v/>
      </c>
      <c r="R85" s="185">
        <f>T85/$E$2</f>
        <v/>
      </c>
      <c r="S85" s="130">
        <f>E85+O85</f>
        <v/>
      </c>
      <c r="T85" s="130">
        <f>E85+P85</f>
        <v/>
      </c>
      <c r="U85" s="186">
        <f>O86-2*O85+O84</f>
        <v/>
      </c>
      <c r="V85" s="187" t="n"/>
      <c r="W85" s="183">
        <f>W84-1</f>
        <v/>
      </c>
      <c r="X85" s="130">
        <f>Hedge_Far!G29</f>
        <v/>
      </c>
      <c r="Y85" s="130">
        <f>IF(B85&gt;$C$20,-1*$H$20,(($C$20-B85)*$G$20)-$H$20)</f>
        <v/>
      </c>
      <c r="Z85" s="130">
        <f>Hedge_Far!G58</f>
        <v/>
      </c>
      <c r="AA85" s="130">
        <f>IF(B85&gt;$C$21,-1*$H$21,(($C$21-B85)*$G$21)-$H$21)</f>
        <v/>
      </c>
      <c r="AB85" s="130">
        <f>Hedge_Far!G87</f>
        <v/>
      </c>
      <c r="AC85" s="130">
        <f>IF(B85&gt;$C$22,-1*$H$22,(($C$22-B85)*$G$22)-$H$22)</f>
        <v/>
      </c>
      <c r="AD85" s="130">
        <f>Hedge_Far!G116</f>
        <v/>
      </c>
      <c r="AE85" s="130">
        <f>IF(B85&gt;$C$23,-1*$H$23,(($C$23-B85)*$G$23)-$H$23)</f>
        <v/>
      </c>
      <c r="AF85" s="130">
        <f>Hedge_Far!G146</f>
        <v/>
      </c>
      <c r="AG85" s="130">
        <f>IF(B85&gt;$C$24,-1*$H$24,(($C$24-B85)*$G$24)-$H$24)</f>
        <v/>
      </c>
      <c r="AH85" s="130">
        <f>Hedge_Far!G176</f>
        <v/>
      </c>
      <c r="AI85" s="130">
        <f>IF(B85&gt;$C$25,-1*$H$25,(($C$25-B85)*$G$25)-$H$25)</f>
        <v/>
      </c>
      <c r="AJ85" s="130">
        <f>Hedge_Far!G206</f>
        <v/>
      </c>
      <c r="AK85" s="130">
        <f>IF(B85&gt;$C$26,-1*$H$26,(($C$26-B85)*$G$26)-$H$26)</f>
        <v/>
      </c>
      <c r="AL85" s="130">
        <f>Hedge_Far!G236</f>
        <v/>
      </c>
      <c r="AM85" s="130">
        <f>IF(B85&gt;$C$27,-1*$H$27,(($C$27-B85)*$G$27)-$H$27)</f>
        <v/>
      </c>
      <c r="AN85" s="130">
        <f>Hedge_Far!G266</f>
        <v/>
      </c>
      <c r="AO85" s="130">
        <f>IF(B85&gt;$C$28,-1*$H$28,(($C$28-B85)*$G$28)-$H$28)</f>
        <v/>
      </c>
      <c r="AP85" s="130">
        <f>Hedge_Far!G296</f>
        <v/>
      </c>
      <c r="AQ85" s="130">
        <f>IF(B85&gt;$C$29,-1*$H$29,(($C$29-B85)*$G$29)-$H$29)</f>
        <v/>
      </c>
      <c r="AR85" s="117" t="n"/>
    </row>
    <row r="86" ht="14.25" customHeight="1" s="116">
      <c r="B86" s="183">
        <f>B85-1</f>
        <v/>
      </c>
      <c r="C86" s="184">
        <f>O86/$H$30</f>
        <v/>
      </c>
      <c r="D86" s="184">
        <f>P86/$H$30</f>
        <v/>
      </c>
      <c r="E86" s="130">
        <f>($C$2*B86)-$E$2</f>
        <v/>
      </c>
      <c r="F86" s="185">
        <f>(E86/$E$2)</f>
        <v/>
      </c>
      <c r="M86" s="183">
        <f>M85-1</f>
        <v/>
      </c>
      <c r="N86" s="184">
        <f>Hedge_Far!C327</f>
        <v/>
      </c>
      <c r="O86" s="130">
        <f>Hedge_Far!G327</f>
        <v/>
      </c>
      <c r="P86" s="130">
        <f>Y86+AA86+AC86+AE86+AG86+AI86+AK86+AM86+AO86+AQ86</f>
        <v/>
      </c>
      <c r="Q86" s="185">
        <f>S86/$E$2</f>
        <v/>
      </c>
      <c r="R86" s="185">
        <f>T86/$E$2</f>
        <v/>
      </c>
      <c r="S86" s="130">
        <f>E86+O86</f>
        <v/>
      </c>
      <c r="T86" s="130">
        <f>E86+P86</f>
        <v/>
      </c>
      <c r="U86" s="186">
        <f>O87-2*O86+O85</f>
        <v/>
      </c>
      <c r="V86" s="187" t="n"/>
      <c r="W86" s="183">
        <f>W85-1</f>
        <v/>
      </c>
      <c r="X86" s="130">
        <f>Hedge_Far!G30</f>
        <v/>
      </c>
      <c r="Y86" s="130">
        <f>IF(B86&gt;$C$20,-1*$H$20,(($C$20-B86)*$G$20)-$H$20)</f>
        <v/>
      </c>
      <c r="Z86" s="130">
        <f>Hedge_Far!G59</f>
        <v/>
      </c>
      <c r="AA86" s="130">
        <f>IF(B86&gt;$C$21,-1*$H$21,(($C$21-B86)*$G$21)-$H$21)</f>
        <v/>
      </c>
      <c r="AB86" s="130">
        <f>Hedge_Far!G88</f>
        <v/>
      </c>
      <c r="AC86" s="130">
        <f>IF(B86&gt;$C$22,-1*$H$22,(($C$22-B86)*$G$22)-$H$22)</f>
        <v/>
      </c>
      <c r="AD86" s="130">
        <f>Hedge_Far!G117</f>
        <v/>
      </c>
      <c r="AE86" s="130">
        <f>IF(B86&gt;$C$23,-1*$H$23,(($C$23-B86)*$G$23)-$H$23)</f>
        <v/>
      </c>
      <c r="AF86" s="130">
        <f>Hedge_Far!G147</f>
        <v/>
      </c>
      <c r="AG86" s="130">
        <f>IF(B86&gt;$C$24,-1*$H$24,(($C$24-B86)*$G$24)-$H$24)</f>
        <v/>
      </c>
      <c r="AH86" s="130">
        <f>Hedge_Far!G177</f>
        <v/>
      </c>
      <c r="AI86" s="130">
        <f>IF(B86&gt;$C$25,-1*$H$25,(($C$25-B86)*$G$25)-$H$25)</f>
        <v/>
      </c>
      <c r="AJ86" s="130">
        <f>Hedge_Far!G207</f>
        <v/>
      </c>
      <c r="AK86" s="130">
        <f>IF(B86&gt;$C$26,-1*$H$26,(($C$26-B86)*$G$26)-$H$26)</f>
        <v/>
      </c>
      <c r="AL86" s="130">
        <f>Hedge_Far!G237</f>
        <v/>
      </c>
      <c r="AM86" s="130">
        <f>IF(B86&gt;$C$27,-1*$H$27,(($C$27-B86)*$G$27)-$H$27)</f>
        <v/>
      </c>
      <c r="AN86" s="130">
        <f>Hedge_Far!G267</f>
        <v/>
      </c>
      <c r="AO86" s="130">
        <f>IF(B86&gt;$C$28,-1*$H$28,(($C$28-B86)*$G$28)-$H$28)</f>
        <v/>
      </c>
      <c r="AP86" s="130">
        <f>Hedge_Far!G297</f>
        <v/>
      </c>
      <c r="AQ86" s="130">
        <f>IF(B86&gt;$C$29,-1*$H$29,(($C$29-B86)*$G$29)-$H$29)</f>
        <v/>
      </c>
      <c r="AR86" s="117" t="n"/>
    </row>
    <row r="87" ht="14.25" customHeight="1" s="116">
      <c r="B87" s="183">
        <f>B86-1</f>
        <v/>
      </c>
      <c r="C87" s="184">
        <f>O87/$H$30</f>
        <v/>
      </c>
      <c r="D87" s="184">
        <f>P87/$H$30</f>
        <v/>
      </c>
      <c r="E87" s="130">
        <f>($C$2*B87)-$E$2</f>
        <v/>
      </c>
      <c r="F87" s="185">
        <f>(E87/$E$2)</f>
        <v/>
      </c>
      <c r="M87" s="183">
        <f>M86-1</f>
        <v/>
      </c>
      <c r="N87" s="184">
        <f>Hedge_Far!C328</f>
        <v/>
      </c>
      <c r="O87" s="130">
        <f>Hedge_Far!G328</f>
        <v/>
      </c>
      <c r="P87" s="130">
        <f>Y87+AA87+AC87+AE87+AG87+AI87+AK87+AM87+AO87+AQ87</f>
        <v/>
      </c>
      <c r="Q87" s="185">
        <f>S87/$E$2</f>
        <v/>
      </c>
      <c r="R87" s="185">
        <f>T87/$E$2</f>
        <v/>
      </c>
      <c r="S87" s="130">
        <f>E87+O87</f>
        <v/>
      </c>
      <c r="T87" s="130">
        <f>E87+P87</f>
        <v/>
      </c>
      <c r="U87" s="186">
        <f>O88-2*O87+O86</f>
        <v/>
      </c>
      <c r="V87" s="187" t="n"/>
      <c r="W87" s="183">
        <f>W86-1</f>
        <v/>
      </c>
      <c r="X87" s="130">
        <f>Hedge_Far!G31</f>
        <v/>
      </c>
      <c r="Y87" s="130">
        <f>IF(B87&gt;$C$20,-1*$H$20,(($C$20-B87)*$G$20)-$H$20)</f>
        <v/>
      </c>
      <c r="Z87" s="130">
        <f>Hedge_Far!G60</f>
        <v/>
      </c>
      <c r="AA87" s="130">
        <f>IF(B87&gt;$C$21,-1*$H$21,(($C$21-B87)*$G$21)-$H$21)</f>
        <v/>
      </c>
      <c r="AB87" s="130">
        <f>Hedge_Far!G89</f>
        <v/>
      </c>
      <c r="AC87" s="130">
        <f>IF(B87&gt;$C$22,-1*$H$22,(($C$22-B87)*$G$22)-$H$22)</f>
        <v/>
      </c>
      <c r="AD87" s="130">
        <f>Hedge_Far!G118</f>
        <v/>
      </c>
      <c r="AE87" s="130">
        <f>IF(B87&gt;$C$23,-1*$H$23,(($C$23-B87)*$G$23)-$H$23)</f>
        <v/>
      </c>
      <c r="AF87" s="130">
        <f>Hedge_Far!G148</f>
        <v/>
      </c>
      <c r="AG87" s="130">
        <f>IF(B87&gt;$C$24,-1*$H$24,(($C$24-B87)*$G$24)-$H$24)</f>
        <v/>
      </c>
      <c r="AH87" s="130">
        <f>Hedge_Far!G178</f>
        <v/>
      </c>
      <c r="AI87" s="130">
        <f>IF(B87&gt;$C$25,-1*$H$25,(($C$25-B87)*$G$25)-$H$25)</f>
        <v/>
      </c>
      <c r="AJ87" s="130">
        <f>Hedge_Far!G208</f>
        <v/>
      </c>
      <c r="AK87" s="130">
        <f>IF(B87&gt;$C$26,-1*$H$26,(($C$26-B87)*$G$26)-$H$26)</f>
        <v/>
      </c>
      <c r="AL87" s="130">
        <f>Hedge_Far!G238</f>
        <v/>
      </c>
      <c r="AM87" s="130">
        <f>IF(B87&gt;$C$27,-1*$H$27,(($C$27-B87)*$G$27)-$H$27)</f>
        <v/>
      </c>
      <c r="AN87" s="130">
        <f>Hedge_Far!G268</f>
        <v/>
      </c>
      <c r="AO87" s="130">
        <f>IF(B87&gt;$C$28,-1*$H$28,(($C$28-B87)*$G$28)-$H$28)</f>
        <v/>
      </c>
      <c r="AP87" s="130">
        <f>Hedge_Far!G298</f>
        <v/>
      </c>
      <c r="AQ87" s="130">
        <f>IF(B87&gt;$C$29,-1*$H$29,(($C$29-B87)*$G$29)-$H$29)</f>
        <v/>
      </c>
      <c r="AR87" s="117" t="n"/>
    </row>
    <row r="88" ht="14.25" customHeight="1" s="116">
      <c r="B88" s="183">
        <f>B87-1</f>
        <v/>
      </c>
      <c r="C88" s="184">
        <f>O88/$H$30</f>
        <v/>
      </c>
      <c r="D88" s="184">
        <f>P88/$H$30</f>
        <v/>
      </c>
      <c r="E88" s="130">
        <f>($C$2*B88)-$E$2</f>
        <v/>
      </c>
      <c r="F88" s="185">
        <f>(E88/$E$2)</f>
        <v/>
      </c>
      <c r="M88" s="183">
        <f>M87-1</f>
        <v/>
      </c>
      <c r="N88" s="184">
        <f>Hedge_Far!C329</f>
        <v/>
      </c>
      <c r="O88" s="130">
        <f>Hedge_Far!G329</f>
        <v/>
      </c>
      <c r="P88" s="130">
        <f>Y88+AA88+AC88+AE88+AG88+AI88+AK88+AM88+AO88+AQ88</f>
        <v/>
      </c>
      <c r="Q88" s="185">
        <f>S88/$E$2</f>
        <v/>
      </c>
      <c r="R88" s="185">
        <f>T88/$E$2</f>
        <v/>
      </c>
      <c r="S88" s="130">
        <f>E88+O88</f>
        <v/>
      </c>
      <c r="T88" s="130">
        <f>E88+P88</f>
        <v/>
      </c>
      <c r="U88" s="186">
        <f>O89-2*O88+O87</f>
        <v/>
      </c>
      <c r="V88" s="187" t="n"/>
      <c r="W88" s="183">
        <f>W87-1</f>
        <v/>
      </c>
      <c r="X88" s="130">
        <f>Hedge_Far!G32</f>
        <v/>
      </c>
      <c r="Y88" s="130">
        <f>IF(B88&gt;$C$20,-1*$H$20,(($C$20-B88)*$G$20)-$H$20)</f>
        <v/>
      </c>
      <c r="Z88" s="130">
        <f>Hedge_Far!G61</f>
        <v/>
      </c>
      <c r="AA88" s="130">
        <f>IF(B88&gt;$C$21,-1*$H$21,(($C$21-B88)*$G$21)-$H$21)</f>
        <v/>
      </c>
      <c r="AB88" s="130">
        <f>Hedge_Far!G90</f>
        <v/>
      </c>
      <c r="AC88" s="130">
        <f>IF(B88&gt;$C$22,-1*$H$22,(($C$22-B88)*$G$22)-$H$22)</f>
        <v/>
      </c>
      <c r="AD88" s="130">
        <f>Hedge_Far!G119</f>
        <v/>
      </c>
      <c r="AE88" s="130">
        <f>IF(B88&gt;$C$23,-1*$H$23,(($C$23-B88)*$G$23)-$H$23)</f>
        <v/>
      </c>
      <c r="AF88" s="130">
        <f>Hedge_Far!G149</f>
        <v/>
      </c>
      <c r="AG88" s="130">
        <f>IF(B88&gt;$C$24,-1*$H$24,(($C$24-B88)*$G$24)-$H$24)</f>
        <v/>
      </c>
      <c r="AH88" s="130">
        <f>Hedge_Far!G179</f>
        <v/>
      </c>
      <c r="AI88" s="130">
        <f>IF(B88&gt;$C$25,-1*$H$25,(($C$25-B88)*$G$25)-$H$25)</f>
        <v/>
      </c>
      <c r="AJ88" s="130">
        <f>Hedge_Far!G209</f>
        <v/>
      </c>
      <c r="AK88" s="130">
        <f>IF(B88&gt;$C$26,-1*$H$26,(($C$26-B88)*$G$26)-$H$26)</f>
        <v/>
      </c>
      <c r="AL88" s="130">
        <f>Hedge_Far!G239</f>
        <v/>
      </c>
      <c r="AM88" s="130">
        <f>IF(B88&gt;$C$27,-1*$H$27,(($C$27-B88)*$G$27)-$H$27)</f>
        <v/>
      </c>
      <c r="AN88" s="130">
        <f>Hedge_Far!G269</f>
        <v/>
      </c>
      <c r="AO88" s="130">
        <f>IF(B88&gt;$C$28,-1*$H$28,(($C$28-B88)*$G$28)-$H$28)</f>
        <v/>
      </c>
      <c r="AP88" s="130">
        <f>Hedge_Far!G299</f>
        <v/>
      </c>
      <c r="AQ88" s="130">
        <f>IF(B88&gt;$C$29,-1*$H$29,(($C$29-B88)*$G$29)-$H$29)</f>
        <v/>
      </c>
      <c r="AR88" s="117" t="n"/>
    </row>
    <row r="89" ht="14.25" customHeight="1" s="116">
      <c r="B89" s="183">
        <f>B88-1</f>
        <v/>
      </c>
      <c r="C89" s="184">
        <f>O89/$H$30</f>
        <v/>
      </c>
      <c r="D89" s="184">
        <f>P89/$H$30</f>
        <v/>
      </c>
      <c r="E89" s="130">
        <f>($C$2*B89)-$E$2</f>
        <v/>
      </c>
      <c r="F89" s="185">
        <f>(E89/$E$2)</f>
        <v/>
      </c>
      <c r="M89" s="183">
        <f>M88-1</f>
        <v/>
      </c>
      <c r="N89" s="184">
        <f>Hedge_Far!C330</f>
        <v/>
      </c>
      <c r="O89" s="130">
        <f>Hedge_Far!G330</f>
        <v/>
      </c>
      <c r="P89" s="130">
        <f>Y89+AA89+AC89+AE89+AG89+AI89+AK89+AM89+AO89+AQ89</f>
        <v/>
      </c>
      <c r="Q89" s="185">
        <f>S89/$E$2</f>
        <v/>
      </c>
      <c r="R89" s="185">
        <f>T89/$E$2</f>
        <v/>
      </c>
      <c r="S89" s="130">
        <f>E89+O89</f>
        <v/>
      </c>
      <c r="T89" s="130">
        <f>E89+P89</f>
        <v/>
      </c>
      <c r="U89" s="186">
        <f>O90-2*O89+O88</f>
        <v/>
      </c>
      <c r="V89" s="187" t="n"/>
      <c r="W89" s="183">
        <f>W88-1</f>
        <v/>
      </c>
      <c r="X89" s="130">
        <f>Hedge_Far!G33</f>
        <v/>
      </c>
      <c r="Y89" s="130">
        <f>IF(B89&gt;$C$20,-1*$H$20,(($C$20-B89)*$G$20)-$H$20)</f>
        <v/>
      </c>
      <c r="Z89" s="130">
        <f>Hedge_Far!G62</f>
        <v/>
      </c>
      <c r="AA89" s="130">
        <f>IF(B89&gt;$C$21,-1*$H$21,(($C$21-B89)*$G$21)-$H$21)</f>
        <v/>
      </c>
      <c r="AB89" s="130">
        <f>Hedge_Far!G91</f>
        <v/>
      </c>
      <c r="AC89" s="130">
        <f>IF(B89&gt;$C$22,-1*$H$22,(($C$22-B89)*$G$22)-$H$22)</f>
        <v/>
      </c>
      <c r="AD89" s="130">
        <f>Hedge_Far!G120</f>
        <v/>
      </c>
      <c r="AE89" s="130">
        <f>IF(B89&gt;$C$23,-1*$H$23,(($C$23-B89)*$G$23)-$H$23)</f>
        <v/>
      </c>
      <c r="AF89" s="130">
        <f>Hedge_Far!G150</f>
        <v/>
      </c>
      <c r="AG89" s="130">
        <f>IF(B89&gt;$C$24,-1*$H$24,(($C$24-B89)*$G$24)-$H$24)</f>
        <v/>
      </c>
      <c r="AH89" s="130">
        <f>Hedge_Far!G180</f>
        <v/>
      </c>
      <c r="AI89" s="130">
        <f>IF(B89&gt;$C$25,-1*$H$25,(($C$25-B89)*$G$25)-$H$25)</f>
        <v/>
      </c>
      <c r="AJ89" s="130">
        <f>Hedge_Far!G210</f>
        <v/>
      </c>
      <c r="AK89" s="130">
        <f>IF(B89&gt;$C$26,-1*$H$26,(($C$26-B89)*$G$26)-$H$26)</f>
        <v/>
      </c>
      <c r="AL89" s="130">
        <f>Hedge_Far!G240</f>
        <v/>
      </c>
      <c r="AM89" s="130">
        <f>IF(B89&gt;$C$27,-1*$H$27,(($C$27-B89)*$G$27)-$H$27)</f>
        <v/>
      </c>
      <c r="AN89" s="130">
        <f>Hedge_Far!G270</f>
        <v/>
      </c>
      <c r="AO89" s="130">
        <f>IF(B89&gt;$C$28,-1*$H$28,(($C$28-B89)*$G$28)-$H$28)</f>
        <v/>
      </c>
      <c r="AP89" s="130">
        <f>Hedge_Far!G300</f>
        <v/>
      </c>
      <c r="AQ89" s="130">
        <f>IF(B89&gt;$C$29,-1*$H$29,(($C$29-B89)*$G$29)-$H$29)</f>
        <v/>
      </c>
      <c r="AR89" s="117" t="n"/>
    </row>
    <row r="90" ht="14.25" customHeight="1" s="116">
      <c r="B90" s="183">
        <f>B89-1</f>
        <v/>
      </c>
      <c r="C90" s="184">
        <f>O90/$H$30</f>
        <v/>
      </c>
      <c r="D90" s="184">
        <f>P90/$H$30</f>
        <v/>
      </c>
      <c r="E90" s="130">
        <f>($C$2*B90)-$E$2</f>
        <v/>
      </c>
      <c r="F90" s="185">
        <f>(E90/$E$2)</f>
        <v/>
      </c>
      <c r="M90" s="183">
        <f>M89-1</f>
        <v/>
      </c>
      <c r="N90" s="184">
        <f>Hedge_Far!C331</f>
        <v/>
      </c>
      <c r="O90" s="130">
        <f>Hedge_Far!G331</f>
        <v/>
      </c>
      <c r="P90" s="130">
        <f>Y90+AA90+AC90+AE90+AG90+AI90+AK90+AM90+AO90+AQ90</f>
        <v/>
      </c>
      <c r="Q90" s="185">
        <f>S90/$E$2</f>
        <v/>
      </c>
      <c r="R90" s="185">
        <f>T90/$E$2</f>
        <v/>
      </c>
      <c r="S90" s="130">
        <f>E90+O90</f>
        <v/>
      </c>
      <c r="T90" s="130">
        <f>E90+P90</f>
        <v/>
      </c>
      <c r="U90" s="186">
        <f>O91-2*O90+O89</f>
        <v/>
      </c>
      <c r="V90" s="187" t="n"/>
      <c r="W90" s="183">
        <f>W89-1</f>
        <v/>
      </c>
      <c r="X90" s="130">
        <f>Hedge_Far!G34</f>
        <v/>
      </c>
      <c r="Y90" s="130">
        <f>IF(B90&gt;$C$20,-1*$H$20,(($C$20-B90)*$G$20)-$H$20)</f>
        <v/>
      </c>
      <c r="Z90" s="130">
        <f>Hedge_Far!G63</f>
        <v/>
      </c>
      <c r="AA90" s="130">
        <f>IF(B90&gt;$C$21,-1*$H$21,(($C$21-B90)*$G$21)-$H$21)</f>
        <v/>
      </c>
      <c r="AB90" s="130">
        <f>Hedge_Far!G92</f>
        <v/>
      </c>
      <c r="AC90" s="130">
        <f>IF(B90&gt;$C$22,-1*$H$22,(($C$22-B90)*$G$22)-$H$22)</f>
        <v/>
      </c>
      <c r="AD90" s="130">
        <f>Hedge_Far!G121</f>
        <v/>
      </c>
      <c r="AE90" s="130">
        <f>IF(B90&gt;$C$23,-1*$H$23,(($C$23-B90)*$G$23)-$H$23)</f>
        <v/>
      </c>
      <c r="AF90" s="130">
        <f>Hedge_Far!G151</f>
        <v/>
      </c>
      <c r="AG90" s="130">
        <f>IF(B90&gt;$C$24,-1*$H$24,(($C$24-B90)*$G$24)-$H$24)</f>
        <v/>
      </c>
      <c r="AH90" s="130">
        <f>Hedge_Far!G181</f>
        <v/>
      </c>
      <c r="AI90" s="130">
        <f>IF(B90&gt;$C$25,-1*$H$25,(($C$25-B90)*$G$25)-$H$25)</f>
        <v/>
      </c>
      <c r="AJ90" s="130">
        <f>Hedge_Far!G211</f>
        <v/>
      </c>
      <c r="AK90" s="130">
        <f>IF(B90&gt;$C$26,-1*$H$26,(($C$26-B90)*$G$26)-$H$26)</f>
        <v/>
      </c>
      <c r="AL90" s="130">
        <f>Hedge_Far!G241</f>
        <v/>
      </c>
      <c r="AM90" s="130">
        <f>IF(B90&gt;$C$27,-1*$H$27,(($C$27-B90)*$G$27)-$H$27)</f>
        <v/>
      </c>
      <c r="AN90" s="130">
        <f>Hedge_Far!G271</f>
        <v/>
      </c>
      <c r="AO90" s="130">
        <f>IF(B90&gt;$C$28,-1*$H$28,(($C$28-B90)*$G$28)-$H$28)</f>
        <v/>
      </c>
      <c r="AP90" s="130">
        <f>Hedge_Far!G301</f>
        <v/>
      </c>
      <c r="AQ90" s="130">
        <f>IF(B90&gt;$C$29,-1*$H$29,(($C$29-B90)*$G$29)-$H$29)</f>
        <v/>
      </c>
      <c r="AR90" s="117" t="n"/>
    </row>
    <row r="91" ht="14.25" customHeight="1" s="116">
      <c r="B91" s="183">
        <f>B90-1</f>
        <v/>
      </c>
      <c r="C91" s="184">
        <f>O91/$H$30</f>
        <v/>
      </c>
      <c r="D91" s="184">
        <f>P91/$H$30</f>
        <v/>
      </c>
      <c r="E91" s="130">
        <f>($C$2*B91)-$E$2</f>
        <v/>
      </c>
      <c r="F91" s="185">
        <f>(E91/$E$2)</f>
        <v/>
      </c>
      <c r="M91" s="183">
        <f>M90-1</f>
        <v/>
      </c>
      <c r="N91" s="184">
        <f>Hedge_Far!C332</f>
        <v/>
      </c>
      <c r="O91" s="130">
        <f>Hedge_Far!G332</f>
        <v/>
      </c>
      <c r="P91" s="130">
        <f>Y91+AA91+AC91+AE91+AG91+AI91+AK91+AM91+AO91+AQ91</f>
        <v/>
      </c>
      <c r="Q91" s="185">
        <f>S91/$E$2</f>
        <v/>
      </c>
      <c r="R91" s="185">
        <f>T91/$E$2</f>
        <v/>
      </c>
      <c r="S91" s="130">
        <f>E91+O91</f>
        <v/>
      </c>
      <c r="T91" s="130">
        <f>E91+P91</f>
        <v/>
      </c>
      <c r="U91" s="186">
        <f>O92-2*O91+O90</f>
        <v/>
      </c>
      <c r="V91" s="187" t="n"/>
      <c r="W91" s="183">
        <f>W90-1</f>
        <v/>
      </c>
      <c r="X91" s="130">
        <f>Hedge_Far!G35</f>
        <v/>
      </c>
      <c r="Y91" s="130">
        <f>IF(B91&gt;$C$20,-1*$H$20,(($C$20-B91)*$G$20)-$H$20)</f>
        <v/>
      </c>
      <c r="Z91" s="130">
        <f>Hedge_Far!G64</f>
        <v/>
      </c>
      <c r="AA91" s="130">
        <f>IF(B91&gt;$C$21,-1*$H$21,(($C$21-B91)*$G$21)-$H$21)</f>
        <v/>
      </c>
      <c r="AB91" s="130">
        <f>Hedge_Far!G93</f>
        <v/>
      </c>
      <c r="AC91" s="130">
        <f>IF(B91&gt;$C$22,-1*$H$22,(($C$22-B91)*$G$22)-$H$22)</f>
        <v/>
      </c>
      <c r="AD91" s="130">
        <f>Hedge_Far!G122</f>
        <v/>
      </c>
      <c r="AE91" s="130">
        <f>IF(B91&gt;$C$23,-1*$H$23,(($C$23-B91)*$G$23)-$H$23)</f>
        <v/>
      </c>
      <c r="AF91" s="130">
        <f>Hedge_Far!G152</f>
        <v/>
      </c>
      <c r="AG91" s="130">
        <f>IF(B91&gt;$C$24,-1*$H$24,(($C$24-B91)*$G$24)-$H$24)</f>
        <v/>
      </c>
      <c r="AH91" s="130">
        <f>Hedge_Far!G182</f>
        <v/>
      </c>
      <c r="AI91" s="130">
        <f>IF(B91&gt;$C$25,-1*$H$25,(($C$25-B91)*$G$25)-$H$25)</f>
        <v/>
      </c>
      <c r="AJ91" s="130">
        <f>Hedge_Far!G212</f>
        <v/>
      </c>
      <c r="AK91" s="130">
        <f>IF(B91&gt;$C$26,-1*$H$26,(($C$26-B91)*$G$26)-$H$26)</f>
        <v/>
      </c>
      <c r="AL91" s="130">
        <f>Hedge_Far!G242</f>
        <v/>
      </c>
      <c r="AM91" s="130">
        <f>IF(B91&gt;$C$27,-1*$H$27,(($C$27-B91)*$G$27)-$H$27)</f>
        <v/>
      </c>
      <c r="AN91" s="130">
        <f>Hedge_Far!G272</f>
        <v/>
      </c>
      <c r="AO91" s="130">
        <f>IF(B91&gt;$C$28,-1*$H$28,(($C$28-B91)*$G$28)-$H$28)</f>
        <v/>
      </c>
      <c r="AP91" s="130">
        <f>Hedge_Far!G302</f>
        <v/>
      </c>
      <c r="AQ91" s="130">
        <f>IF(B91&gt;$C$29,-1*$H$29,(($C$29-B91)*$G$29)-$H$29)</f>
        <v/>
      </c>
      <c r="AR91" s="117" t="n"/>
    </row>
    <row r="92" ht="14.25" customHeight="1" s="116">
      <c r="B92" s="183">
        <f>B91-1</f>
        <v/>
      </c>
      <c r="C92" s="184">
        <f>O92/$H$30</f>
        <v/>
      </c>
      <c r="D92" s="184">
        <f>P92/$H$30</f>
        <v/>
      </c>
      <c r="E92" s="130">
        <f>($C$2*B92)-$E$2</f>
        <v/>
      </c>
      <c r="F92" s="185">
        <f>(E92/$E$2)</f>
        <v/>
      </c>
      <c r="M92" s="183">
        <f>M91-1</f>
        <v/>
      </c>
      <c r="N92" s="184">
        <f>Hedge_Far!C333</f>
        <v/>
      </c>
      <c r="O92" s="130">
        <f>Hedge_Far!G333</f>
        <v/>
      </c>
      <c r="P92" s="130">
        <f>Y92+AA92+AC92+AE92+AG92+AI92+AK92+AM92+AO92+AQ92</f>
        <v/>
      </c>
      <c r="Q92" s="185">
        <f>S92/$E$2</f>
        <v/>
      </c>
      <c r="R92" s="185">
        <f>T92/$E$2</f>
        <v/>
      </c>
      <c r="S92" s="130">
        <f>E92+O92</f>
        <v/>
      </c>
      <c r="T92" s="130">
        <f>E92+P92</f>
        <v/>
      </c>
      <c r="U92" s="186">
        <f>O93-2*O92+O91</f>
        <v/>
      </c>
      <c r="V92" s="187" t="n"/>
      <c r="W92" s="183">
        <f>W91-1</f>
        <v/>
      </c>
      <c r="X92" s="130">
        <f>Hedge_Far!G36</f>
        <v/>
      </c>
      <c r="Y92" s="130">
        <f>IF(B92&gt;$C$20,-1*$H$20,(($C$20-B92)*$G$20)-$H$20)</f>
        <v/>
      </c>
      <c r="Z92" s="130">
        <f>Hedge_Far!G65</f>
        <v/>
      </c>
      <c r="AA92" s="130">
        <f>IF(B92&gt;$C$21,-1*$H$21,(($C$21-B92)*$G$21)-$H$21)</f>
        <v/>
      </c>
      <c r="AB92" s="130">
        <f>Hedge_Far!G94</f>
        <v/>
      </c>
      <c r="AC92" s="130">
        <f>IF(B92&gt;$C$22,-1*$H$22,(($C$22-B92)*$G$22)-$H$22)</f>
        <v/>
      </c>
      <c r="AD92" s="130">
        <f>Hedge_Far!G123</f>
        <v/>
      </c>
      <c r="AE92" s="130">
        <f>IF(B92&gt;$C$23,-1*$H$23,(($C$23-B92)*$G$23)-$H$23)</f>
        <v/>
      </c>
      <c r="AF92" s="130">
        <f>Hedge_Far!G153</f>
        <v/>
      </c>
      <c r="AG92" s="130">
        <f>IF(B92&gt;$C$24,-1*$H$24,(($C$24-B92)*$G$24)-$H$24)</f>
        <v/>
      </c>
      <c r="AH92" s="130">
        <f>Hedge_Far!G183</f>
        <v/>
      </c>
      <c r="AI92" s="130">
        <f>IF(B92&gt;$C$25,-1*$H$25,(($C$25-B92)*$G$25)-$H$25)</f>
        <v/>
      </c>
      <c r="AJ92" s="130">
        <f>Hedge_Far!G213</f>
        <v/>
      </c>
      <c r="AK92" s="130">
        <f>IF(B92&gt;$C$26,-1*$H$26,(($C$26-B92)*$G$26)-$H$26)</f>
        <v/>
      </c>
      <c r="AL92" s="130">
        <f>Hedge_Far!G243</f>
        <v/>
      </c>
      <c r="AM92" s="130">
        <f>IF(B92&gt;$C$27,-1*$H$27,(($C$27-B92)*$G$27)-$H$27)</f>
        <v/>
      </c>
      <c r="AN92" s="130">
        <f>Hedge_Far!G273</f>
        <v/>
      </c>
      <c r="AO92" s="130">
        <f>IF(B92&gt;$C$28,-1*$H$28,(($C$28-B92)*$G$28)-$H$28)</f>
        <v/>
      </c>
      <c r="AP92" s="130">
        <f>Hedge_Far!G303</f>
        <v/>
      </c>
      <c r="AQ92" s="130">
        <f>IF(B92&gt;$C$29,-1*$H$29,(($C$29-B92)*$G$29)-$H$29)</f>
        <v/>
      </c>
      <c r="AR92" s="117" t="n"/>
    </row>
    <row r="93" ht="14.25" customHeight="1" s="116">
      <c r="B93" s="183">
        <f>B92-1</f>
        <v/>
      </c>
      <c r="C93" s="184">
        <f>O93/$H$30</f>
        <v/>
      </c>
      <c r="D93" s="184">
        <f>P93/$H$30</f>
        <v/>
      </c>
      <c r="E93" s="130">
        <f>($C$2*B93)-$E$2</f>
        <v/>
      </c>
      <c r="F93" s="185">
        <f>(E93/$E$2)</f>
        <v/>
      </c>
      <c r="M93" s="183">
        <f>M92-1</f>
        <v/>
      </c>
      <c r="N93" s="184">
        <f>Hedge_Far!C334</f>
        <v/>
      </c>
      <c r="O93" s="130">
        <f>Hedge_Far!G334</f>
        <v/>
      </c>
      <c r="P93" s="130">
        <f>Y93+AA93+AC93+AE93+AG93+AI93+AK93+AM93+AO93+AQ93</f>
        <v/>
      </c>
      <c r="Q93" s="185">
        <f>S93/$E$2</f>
        <v/>
      </c>
      <c r="R93" s="185">
        <f>T93/$E$2</f>
        <v/>
      </c>
      <c r="S93" s="130">
        <f>E93+O93</f>
        <v/>
      </c>
      <c r="T93" s="130">
        <f>E93+P93</f>
        <v/>
      </c>
      <c r="U93" s="186">
        <f>O94-2*O93+O92</f>
        <v/>
      </c>
      <c r="V93" s="187" t="n"/>
      <c r="W93" s="183">
        <f>W92-1</f>
        <v/>
      </c>
      <c r="X93" s="130">
        <f>Hedge_Far!G37</f>
        <v/>
      </c>
      <c r="Y93" s="130">
        <f>IF(B93&gt;$C$20,-1*$H$20,(($C$20-B93)*$G$20)-$H$20)</f>
        <v/>
      </c>
      <c r="Z93" s="130">
        <f>Hedge_Far!G66</f>
        <v/>
      </c>
      <c r="AA93" s="130">
        <f>IF(B93&gt;$C$21,-1*$H$21,(($C$21-B93)*$G$21)-$H$21)</f>
        <v/>
      </c>
      <c r="AB93" s="130">
        <f>Hedge_Far!G95</f>
        <v/>
      </c>
      <c r="AC93" s="130">
        <f>IF(B93&gt;$C$22,-1*$H$22,(($C$22-B93)*$G$22)-$H$22)</f>
        <v/>
      </c>
      <c r="AD93" s="130">
        <f>Hedge_Far!G124</f>
        <v/>
      </c>
      <c r="AE93" s="130">
        <f>IF(B93&gt;$C$23,-1*$H$23,(($C$23-B93)*$G$23)-$H$23)</f>
        <v/>
      </c>
      <c r="AF93" s="130">
        <f>Hedge_Far!G154</f>
        <v/>
      </c>
      <c r="AG93" s="130">
        <f>IF(B93&gt;$C$24,-1*$H$24,(($C$24-B93)*$G$24)-$H$24)</f>
        <v/>
      </c>
      <c r="AH93" s="130">
        <f>Hedge_Far!G184</f>
        <v/>
      </c>
      <c r="AI93" s="130">
        <f>IF(B93&gt;$C$25,-1*$H$25,(($C$25-B93)*$G$25)-$H$25)</f>
        <v/>
      </c>
      <c r="AJ93" s="130">
        <f>Hedge_Far!G214</f>
        <v/>
      </c>
      <c r="AK93" s="130">
        <f>IF(B93&gt;$C$26,-1*$H$26,(($C$26-B93)*$G$26)-$H$26)</f>
        <v/>
      </c>
      <c r="AL93" s="130">
        <f>Hedge_Far!G244</f>
        <v/>
      </c>
      <c r="AM93" s="130">
        <f>IF(B93&gt;$C$27,-1*$H$27,(($C$27-B93)*$G$27)-$H$27)</f>
        <v/>
      </c>
      <c r="AN93" s="130">
        <f>Hedge_Far!G274</f>
        <v/>
      </c>
      <c r="AO93" s="130">
        <f>IF(B93&gt;$C$28,-1*$H$28,(($C$28-B93)*$G$28)-$H$28)</f>
        <v/>
      </c>
      <c r="AP93" s="130">
        <f>Hedge_Far!G304</f>
        <v/>
      </c>
      <c r="AQ93" s="130">
        <f>IF(B93&gt;$C$29,-1*$H$29,(($C$29-B93)*$G$29)-$H$29)</f>
        <v/>
      </c>
      <c r="AR93" s="117" t="n"/>
    </row>
    <row r="94" ht="14.25" customHeight="1" s="116">
      <c r="B94" s="183">
        <f>B93-1</f>
        <v/>
      </c>
      <c r="C94" s="184">
        <f>O94/$H$30</f>
        <v/>
      </c>
      <c r="D94" s="184">
        <f>P94/$H$30</f>
        <v/>
      </c>
      <c r="E94" s="130">
        <f>($C$2*B94)-$E$2</f>
        <v/>
      </c>
      <c r="F94" s="185">
        <f>(E94/$E$2)</f>
        <v/>
      </c>
      <c r="M94" s="183">
        <f>M93-1</f>
        <v/>
      </c>
      <c r="N94" s="184">
        <f>Hedge_Far!C335</f>
        <v/>
      </c>
      <c r="O94" s="130">
        <f>Hedge_Far!G335</f>
        <v/>
      </c>
      <c r="P94" s="130">
        <f>Y94+AA94+AC94+AE94+AG94+AI94+AK94+AM94+AO94+AQ94</f>
        <v/>
      </c>
      <c r="Q94" s="185">
        <f>S94/$E$2</f>
        <v/>
      </c>
      <c r="R94" s="185">
        <f>T94/$E$2</f>
        <v/>
      </c>
      <c r="S94" s="130">
        <f>E94+O94</f>
        <v/>
      </c>
      <c r="T94" s="130">
        <f>E94+P94</f>
        <v/>
      </c>
      <c r="U94" s="186">
        <f>O95-2*O94+O93</f>
        <v/>
      </c>
      <c r="V94" s="187" t="n"/>
      <c r="W94" s="183">
        <f>W93-1</f>
        <v/>
      </c>
      <c r="X94" s="130">
        <f>Hedge_Far!G38</f>
        <v/>
      </c>
      <c r="Y94" s="130">
        <f>IF(B94&gt;$C$20,-1*$H$20,(($C$20-B94)*$G$20)-$H$20)</f>
        <v/>
      </c>
      <c r="Z94" s="130">
        <f>Hedge_Far!G67</f>
        <v/>
      </c>
      <c r="AA94" s="130">
        <f>IF(B94&gt;$C$21,-1*$H$21,(($C$21-B94)*$G$21)-$H$21)</f>
        <v/>
      </c>
      <c r="AB94" s="130">
        <f>Hedge_Far!G96</f>
        <v/>
      </c>
      <c r="AC94" s="130">
        <f>IF(B94&gt;$C$22,-1*$H$22,(($C$22-B94)*$G$22)-$H$22)</f>
        <v/>
      </c>
      <c r="AD94" s="130">
        <f>Hedge_Far!G125</f>
        <v/>
      </c>
      <c r="AE94" s="130">
        <f>IF(B94&gt;$C$23,-1*$H$23,(($C$23-B94)*$G$23)-$H$23)</f>
        <v/>
      </c>
      <c r="AF94" s="130">
        <f>Hedge_Far!G155</f>
        <v/>
      </c>
      <c r="AG94" s="130">
        <f>IF(B94&gt;$C$24,-1*$H$24,(($C$24-B94)*$G$24)-$H$24)</f>
        <v/>
      </c>
      <c r="AH94" s="130">
        <f>Hedge_Far!G185</f>
        <v/>
      </c>
      <c r="AI94" s="130">
        <f>IF(B94&gt;$C$25,-1*$H$25,(($C$25-B94)*$G$25)-$H$25)</f>
        <v/>
      </c>
      <c r="AJ94" s="130">
        <f>Hedge_Far!G215</f>
        <v/>
      </c>
      <c r="AK94" s="130">
        <f>IF(B94&gt;$C$26,-1*$H$26,(($C$26-B94)*$G$26)-$H$26)</f>
        <v/>
      </c>
      <c r="AL94" s="130">
        <f>Hedge_Far!G245</f>
        <v/>
      </c>
      <c r="AM94" s="130">
        <f>IF(B94&gt;$C$27,-1*$H$27,(($C$27-B94)*$G$27)-$H$27)</f>
        <v/>
      </c>
      <c r="AN94" s="130">
        <f>Hedge_Far!G275</f>
        <v/>
      </c>
      <c r="AO94" s="130">
        <f>IF(B94&gt;$C$28,-1*$H$28,(($C$28-B94)*$G$28)-$H$28)</f>
        <v/>
      </c>
      <c r="AP94" s="130">
        <f>Hedge_Far!G305</f>
        <v/>
      </c>
      <c r="AQ94" s="130">
        <f>IF(B94&gt;$C$29,-1*$H$29,(($C$29-B94)*$G$29)-$H$29)</f>
        <v/>
      </c>
      <c r="AR94" s="117" t="n"/>
    </row>
    <row r="95" ht="14.25" customHeight="1" s="116">
      <c r="B95" s="183">
        <f>B94-1</f>
        <v/>
      </c>
      <c r="C95" s="184">
        <f>O95/$H$30</f>
        <v/>
      </c>
      <c r="D95" s="184">
        <f>P95/$H$30</f>
        <v/>
      </c>
      <c r="E95" s="130">
        <f>($C$2*B95)-$E$2</f>
        <v/>
      </c>
      <c r="F95" s="185">
        <f>(E95/$E$2)</f>
        <v/>
      </c>
      <c r="M95" s="183">
        <f>M94-1</f>
        <v/>
      </c>
      <c r="N95" s="184">
        <f>Hedge_Far!C336</f>
        <v/>
      </c>
      <c r="O95" s="130">
        <f>Hedge_Far!G336</f>
        <v/>
      </c>
      <c r="P95" s="130">
        <f>Y95+AA95+AC95+AE95+AG95+AI95+AK95+AM95+AO95+AQ95</f>
        <v/>
      </c>
      <c r="Q95" s="185">
        <f>S95/$E$2</f>
        <v/>
      </c>
      <c r="R95" s="185">
        <f>T95/$E$2</f>
        <v/>
      </c>
      <c r="S95" s="130">
        <f>E95+O95</f>
        <v/>
      </c>
      <c r="T95" s="130">
        <f>E95+P95</f>
        <v/>
      </c>
      <c r="U95" s="186">
        <f>O96-2*O95+O94</f>
        <v/>
      </c>
      <c r="V95" s="187" t="n"/>
      <c r="W95" s="183">
        <f>W94-1</f>
        <v/>
      </c>
      <c r="X95" s="130">
        <f>Hedge_Far!G39</f>
        <v/>
      </c>
      <c r="Y95" s="130">
        <f>IF(B95&gt;$C$20,-1*$H$20,(($C$20-B95)*$G$20)-$H$20)</f>
        <v/>
      </c>
      <c r="Z95" s="130">
        <f>Hedge_Far!G68</f>
        <v/>
      </c>
      <c r="AA95" s="130">
        <f>IF(B95&gt;$C$21,-1*$H$21,(($C$21-B95)*$G$21)-$H$21)</f>
        <v/>
      </c>
      <c r="AB95" s="130">
        <f>Hedge_Far!G97</f>
        <v/>
      </c>
      <c r="AC95" s="130">
        <f>IF(B95&gt;$C$22,-1*$H$22,(($C$22-B95)*$G$22)-$H$22)</f>
        <v/>
      </c>
      <c r="AD95" s="130">
        <f>Hedge_Far!G126</f>
        <v/>
      </c>
      <c r="AE95" s="130">
        <f>IF(B95&gt;$C$23,-1*$H$23,(($C$23-B95)*$G$23)-$H$23)</f>
        <v/>
      </c>
      <c r="AF95" s="130">
        <f>Hedge_Far!G156</f>
        <v/>
      </c>
      <c r="AG95" s="130">
        <f>IF(B95&gt;$C$24,-1*$H$24,(($C$24-B95)*$G$24)-$H$24)</f>
        <v/>
      </c>
      <c r="AH95" s="130">
        <f>Hedge_Far!G186</f>
        <v/>
      </c>
      <c r="AI95" s="130">
        <f>IF(B95&gt;$C$25,-1*$H$25,(($C$25-B95)*$G$25)-$H$25)</f>
        <v/>
      </c>
      <c r="AJ95" s="130">
        <f>Hedge_Far!G216</f>
        <v/>
      </c>
      <c r="AK95" s="130">
        <f>IF(B95&gt;$C$26,-1*$H$26,(($C$26-B95)*$G$26)-$H$26)</f>
        <v/>
      </c>
      <c r="AL95" s="130">
        <f>Hedge_Far!G246</f>
        <v/>
      </c>
      <c r="AM95" s="130">
        <f>IF(B95&gt;$C$27,-1*$H$27,(($C$27-B95)*$G$27)-$H$27)</f>
        <v/>
      </c>
      <c r="AN95" s="130">
        <f>Hedge_Far!G276</f>
        <v/>
      </c>
      <c r="AO95" s="130">
        <f>IF(B95&gt;$C$28,-1*$H$28,(($C$28-B95)*$G$28)-$H$28)</f>
        <v/>
      </c>
      <c r="AP95" s="130">
        <f>Hedge_Far!G306</f>
        <v/>
      </c>
      <c r="AQ95" s="130">
        <f>IF(B95&gt;$C$29,-1*$H$29,(($C$29-B95)*$G$29)-$H$29)</f>
        <v/>
      </c>
      <c r="AR95" s="117" t="n"/>
    </row>
    <row r="96" ht="14.25" customHeight="1" s="116">
      <c r="B96" s="183">
        <f>B95-1</f>
        <v/>
      </c>
      <c r="C96" s="184">
        <f>O96/$H$30</f>
        <v/>
      </c>
      <c r="D96" s="184">
        <f>P96/$H$30</f>
        <v/>
      </c>
      <c r="E96" s="130">
        <f>($C$2*B96)-$E$2</f>
        <v/>
      </c>
      <c r="F96" s="185">
        <f>(E96/$E$2)</f>
        <v/>
      </c>
      <c r="M96" s="183">
        <f>M95-1</f>
        <v/>
      </c>
      <c r="N96" s="184">
        <f>Hedge_Far!C337</f>
        <v/>
      </c>
      <c r="O96" s="130">
        <f>Hedge_Far!G337</f>
        <v/>
      </c>
      <c r="P96" s="130">
        <f>Y96+AA96+AC96+AE96+AG96+AI96+AK96+AM96+AO96+AQ96</f>
        <v/>
      </c>
      <c r="Q96" s="185">
        <f>S96/$E$2</f>
        <v/>
      </c>
      <c r="R96" s="185">
        <f>T96/$E$2</f>
        <v/>
      </c>
      <c r="S96" s="130">
        <f>E96+O96</f>
        <v/>
      </c>
      <c r="T96" s="130">
        <f>E96+P96</f>
        <v/>
      </c>
      <c r="U96" s="186">
        <f>O97-2*O96+O95</f>
        <v/>
      </c>
      <c r="V96" s="187" t="n"/>
      <c r="W96" s="183">
        <f>W95-1</f>
        <v/>
      </c>
      <c r="X96" s="130">
        <f>Hedge_Far!G40</f>
        <v/>
      </c>
      <c r="Y96" s="130">
        <f>IF(B96&gt;$C$20,-1*$H$20,(($C$20-B96)*$G$20)-$H$20)</f>
        <v/>
      </c>
      <c r="Z96" s="130">
        <f>Hedge_Far!G69</f>
        <v/>
      </c>
      <c r="AA96" s="130">
        <f>IF(B96&gt;$C$21,-1*$H$21,(($C$21-B96)*$G$21)-$H$21)</f>
        <v/>
      </c>
      <c r="AB96" s="130">
        <f>Hedge_Far!G98</f>
        <v/>
      </c>
      <c r="AC96" s="130">
        <f>IF(B96&gt;$C$22,-1*$H$22,(($C$22-B96)*$G$22)-$H$22)</f>
        <v/>
      </c>
      <c r="AD96" s="130">
        <f>Hedge_Far!G127</f>
        <v/>
      </c>
      <c r="AE96" s="130">
        <f>IF(B96&gt;$C$23,-1*$H$23,(($C$23-B96)*$G$23)-$H$23)</f>
        <v/>
      </c>
      <c r="AF96" s="130">
        <f>Hedge_Far!G157</f>
        <v/>
      </c>
      <c r="AG96" s="130">
        <f>IF(B96&gt;$C$24,-1*$H$24,(($C$24-B96)*$G$24)-$H$24)</f>
        <v/>
      </c>
      <c r="AH96" s="130">
        <f>Hedge_Far!G187</f>
        <v/>
      </c>
      <c r="AI96" s="130">
        <f>IF(B96&gt;$C$25,-1*$H$25,(($C$25-B96)*$G$25)-$H$25)</f>
        <v/>
      </c>
      <c r="AJ96" s="130">
        <f>Hedge_Far!G217</f>
        <v/>
      </c>
      <c r="AK96" s="130">
        <f>IF(B96&gt;$C$26,-1*$H$26,(($C$26-B96)*$G$26)-$H$26)</f>
        <v/>
      </c>
      <c r="AL96" s="130">
        <f>Hedge_Far!G247</f>
        <v/>
      </c>
      <c r="AM96" s="130">
        <f>IF(B96&gt;$C$27,-1*$H$27,(($C$27-B96)*$G$27)-$H$27)</f>
        <v/>
      </c>
      <c r="AN96" s="130">
        <f>Hedge_Far!G277</f>
        <v/>
      </c>
      <c r="AO96" s="130">
        <f>IF(B96&gt;$C$28,-1*$H$28,(($C$28-B96)*$G$28)-$H$28)</f>
        <v/>
      </c>
      <c r="AP96" s="130">
        <f>Hedge_Far!G307</f>
        <v/>
      </c>
      <c r="AQ96" s="130">
        <f>IF(B96&gt;$C$29,-1*$H$29,(($C$29-B96)*$G$29)-$H$29)</f>
        <v/>
      </c>
      <c r="AR96" s="117" t="n"/>
    </row>
    <row r="97" ht="14.25" customHeight="1" s="116">
      <c r="B97" s="183">
        <f>B96-1</f>
        <v/>
      </c>
      <c r="C97" s="184">
        <f>O97/$H$30</f>
        <v/>
      </c>
      <c r="D97" s="184">
        <f>P97/$H$30</f>
        <v/>
      </c>
      <c r="E97" s="130">
        <f>($C$2*B97)-$E$2</f>
        <v/>
      </c>
      <c r="F97" s="185">
        <f>(E97/$E$2)</f>
        <v/>
      </c>
      <c r="M97" s="183">
        <f>M96-1</f>
        <v/>
      </c>
      <c r="N97" s="184">
        <f>Hedge_Far!C338</f>
        <v/>
      </c>
      <c r="O97" s="130">
        <f>Hedge_Far!G338</f>
        <v/>
      </c>
      <c r="P97" s="130">
        <f>Y97+AA97+AC97+AE97+AG97+AI97+AK97+AM97+AO97+AQ97</f>
        <v/>
      </c>
      <c r="Q97" s="185">
        <f>S97/$E$2</f>
        <v/>
      </c>
      <c r="R97" s="185">
        <f>T97/$E$2</f>
        <v/>
      </c>
      <c r="S97" s="130">
        <f>E97+O97</f>
        <v/>
      </c>
      <c r="T97" s="130">
        <f>E97+P97</f>
        <v/>
      </c>
      <c r="U97" s="186">
        <f>O98-2*O97+O96</f>
        <v/>
      </c>
      <c r="V97" s="187" t="n"/>
      <c r="W97" s="183">
        <f>W96-1</f>
        <v/>
      </c>
      <c r="X97" s="130">
        <f>Hedge_Far!G41</f>
        <v/>
      </c>
      <c r="Y97" s="130">
        <f>IF(B97&gt;$C$20,-1*$H$20,(($C$20-B97)*$G$20)-$H$20)</f>
        <v/>
      </c>
      <c r="Z97" s="130">
        <f>Hedge_Far!G70</f>
        <v/>
      </c>
      <c r="AA97" s="130">
        <f>IF(B97&gt;$C$21,-1*$H$21,(($C$21-B97)*$G$21)-$H$21)</f>
        <v/>
      </c>
      <c r="AB97" s="130">
        <f>Hedge_Far!G99</f>
        <v/>
      </c>
      <c r="AC97" s="130">
        <f>IF(B97&gt;$C$22,-1*$H$22,(($C$22-B97)*$G$22)-$H$22)</f>
        <v/>
      </c>
      <c r="AD97" s="130">
        <f>Hedge_Far!G128</f>
        <v/>
      </c>
      <c r="AE97" s="130">
        <f>IF(B97&gt;$C$23,-1*$H$23,(($C$23-B97)*$G$23)-$H$23)</f>
        <v/>
      </c>
      <c r="AF97" s="130">
        <f>Hedge_Far!G158</f>
        <v/>
      </c>
      <c r="AG97" s="130">
        <f>IF(B97&gt;$C$24,-1*$H$24,(($C$24-B97)*$G$24)-$H$24)</f>
        <v/>
      </c>
      <c r="AH97" s="130">
        <f>Hedge_Far!G188</f>
        <v/>
      </c>
      <c r="AI97" s="130">
        <f>IF(B97&gt;$C$25,-1*$H$25,(($C$25-B97)*$G$25)-$H$25)</f>
        <v/>
      </c>
      <c r="AJ97" s="130">
        <f>Hedge_Far!G218</f>
        <v/>
      </c>
      <c r="AK97" s="130">
        <f>IF(B97&gt;$C$26,-1*$H$26,(($C$26-B97)*$G$26)-$H$26)</f>
        <v/>
      </c>
      <c r="AL97" s="130">
        <f>Hedge_Far!G248</f>
        <v/>
      </c>
      <c r="AM97" s="130">
        <f>IF(B97&gt;$C$27,-1*$H$27,(($C$27-B97)*$G$27)-$H$27)</f>
        <v/>
      </c>
      <c r="AN97" s="130">
        <f>Hedge_Far!G278</f>
        <v/>
      </c>
      <c r="AO97" s="130">
        <f>IF(B97&gt;$C$28,-1*$H$28,(($C$28-B97)*$G$28)-$H$28)</f>
        <v/>
      </c>
      <c r="AP97" s="130">
        <f>Hedge_Far!G308</f>
        <v/>
      </c>
      <c r="AQ97" s="130">
        <f>IF(B97&gt;$C$29,-1*$H$29,(($C$29-B97)*$G$29)-$H$29)</f>
        <v/>
      </c>
      <c r="AR97" s="117" t="n"/>
    </row>
    <row r="98" ht="14.25" customHeight="1" s="116">
      <c r="B98" s="183">
        <f>B97-1</f>
        <v/>
      </c>
      <c r="C98" s="184">
        <f>O98/$H$30</f>
        <v/>
      </c>
      <c r="D98" s="184">
        <f>P98/$H$30</f>
        <v/>
      </c>
      <c r="E98" s="130">
        <f>($C$2*B98)-$E$2</f>
        <v/>
      </c>
      <c r="F98" s="185">
        <f>(E98/$E$2)</f>
        <v/>
      </c>
      <c r="M98" s="183">
        <f>M97-1</f>
        <v/>
      </c>
      <c r="N98" s="184">
        <f>Hedge_Far!C339</f>
        <v/>
      </c>
      <c r="O98" s="130">
        <f>Hedge_Far!G339</f>
        <v/>
      </c>
      <c r="P98" s="130">
        <f>Y98+AA98+AC98+AE98+AG98+AI98+AK98+AM98+AO98+AQ98</f>
        <v/>
      </c>
      <c r="Q98" s="185">
        <f>S98/$E$2</f>
        <v/>
      </c>
      <c r="R98" s="185">
        <f>T98/$E$2</f>
        <v/>
      </c>
      <c r="S98" s="130">
        <f>E98+O98</f>
        <v/>
      </c>
      <c r="T98" s="130">
        <f>E98+P98</f>
        <v/>
      </c>
      <c r="U98" s="186">
        <f>O99-2*O98+O97</f>
        <v/>
      </c>
      <c r="V98" s="187" t="n"/>
      <c r="W98" s="183">
        <f>W97-1</f>
        <v/>
      </c>
      <c r="X98" s="130">
        <f>Hedge_Far!G42</f>
        <v/>
      </c>
      <c r="Y98" s="130">
        <f>IF(B98&gt;$C$20,-1*$H$20,(($C$20-B98)*$G$20)-$H$20)</f>
        <v/>
      </c>
      <c r="Z98" s="130">
        <f>Hedge_Far!G71</f>
        <v/>
      </c>
      <c r="AA98" s="130">
        <f>IF(B98&gt;$C$21,-1*$H$21,(($C$21-B98)*$G$21)-$H$21)</f>
        <v/>
      </c>
      <c r="AB98" s="130">
        <f>Hedge_Far!G100</f>
        <v/>
      </c>
      <c r="AC98" s="130">
        <f>IF(B98&gt;$C$22,-1*$H$22,(($C$22-B98)*$G$22)-$H$22)</f>
        <v/>
      </c>
      <c r="AD98" s="130">
        <f>Hedge_Far!G129</f>
        <v/>
      </c>
      <c r="AE98" s="130">
        <f>IF(B98&gt;$C$23,-1*$H$23,(($C$23-B98)*$G$23)-$H$23)</f>
        <v/>
      </c>
      <c r="AF98" s="130">
        <f>Hedge_Far!G159</f>
        <v/>
      </c>
      <c r="AG98" s="130">
        <f>IF(B98&gt;$C$24,-1*$H$24,(($C$24-B98)*$G$24)-$H$24)</f>
        <v/>
      </c>
      <c r="AH98" s="130">
        <f>Hedge_Far!G189</f>
        <v/>
      </c>
      <c r="AI98" s="130">
        <f>IF(B98&gt;$C$25,-1*$H$25,(($C$25-B98)*$G$25)-$H$25)</f>
        <v/>
      </c>
      <c r="AJ98" s="130">
        <f>Hedge_Far!G219</f>
        <v/>
      </c>
      <c r="AK98" s="130">
        <f>IF(B98&gt;$C$26,-1*$H$26,(($C$26-B98)*$G$26)-$H$26)</f>
        <v/>
      </c>
      <c r="AL98" s="130">
        <f>Hedge_Far!G249</f>
        <v/>
      </c>
      <c r="AM98" s="130">
        <f>IF(B98&gt;$C$27,-1*$H$27,(($C$27-B98)*$G$27)-$H$27)</f>
        <v/>
      </c>
      <c r="AN98" s="130">
        <f>Hedge_Far!G279</f>
        <v/>
      </c>
      <c r="AO98" s="130">
        <f>IF(B98&gt;$C$28,-1*$H$28,(($C$28-B98)*$G$28)-$H$28)</f>
        <v/>
      </c>
      <c r="AP98" s="130">
        <f>Hedge_Far!G309</f>
        <v/>
      </c>
      <c r="AQ98" s="130">
        <f>IF(B98&gt;$C$29,-1*$H$29,(($C$29-B98)*$G$29)-$H$29)</f>
        <v/>
      </c>
      <c r="AR98" s="117" t="n"/>
    </row>
    <row r="99" ht="14.25" customHeight="1" s="116">
      <c r="B99" s="183">
        <f>B98-1</f>
        <v/>
      </c>
      <c r="C99" s="184">
        <f>O99/$H$30</f>
        <v/>
      </c>
      <c r="D99" s="184">
        <f>P99/$H$30</f>
        <v/>
      </c>
      <c r="E99" s="130">
        <f>($C$2*B99)-$E$2</f>
        <v/>
      </c>
      <c r="F99" s="185">
        <f>(E99/$E$2)</f>
        <v/>
      </c>
      <c r="M99" s="183">
        <f>M98-1</f>
        <v/>
      </c>
      <c r="N99" s="184">
        <f>Hedge_Far!C340</f>
        <v/>
      </c>
      <c r="O99" s="130">
        <f>Hedge_Far!G340</f>
        <v/>
      </c>
      <c r="P99" s="130">
        <f>Y99+AA99+AC99+AE99+AG99+AI99+AK99+AM99+AO99+AQ99</f>
        <v/>
      </c>
      <c r="Q99" s="185">
        <f>S99/$E$2</f>
        <v/>
      </c>
      <c r="R99" s="185">
        <f>T99/$E$2</f>
        <v/>
      </c>
      <c r="S99" s="130">
        <f>E99+O99</f>
        <v/>
      </c>
      <c r="T99" s="130">
        <f>E99+P99</f>
        <v/>
      </c>
      <c r="U99" s="129" t="n"/>
      <c r="W99" s="183">
        <f>W98-1</f>
        <v/>
      </c>
      <c r="X99" s="130">
        <f>Hedge_Far!G43</f>
        <v/>
      </c>
      <c r="Y99" s="130">
        <f>IF(B99&gt;$C$20,-1*$H$20,(($C$20-B99)*$G$20)-$H$20)</f>
        <v/>
      </c>
      <c r="Z99" s="130">
        <f>Hedge_Far!G72</f>
        <v/>
      </c>
      <c r="AA99" s="130">
        <f>IF(B99&gt;$C$21,-1*$H$21,(($C$21-B99)*$G$21)-$H$21)</f>
        <v/>
      </c>
      <c r="AB99" s="130">
        <f>Hedge_Far!G101</f>
        <v/>
      </c>
      <c r="AC99" s="130">
        <f>IF(B99&gt;$C$22,-1*$H$22,(($C$22-B99)*$G$22)-$H$22)</f>
        <v/>
      </c>
      <c r="AD99" s="130">
        <f>Hedge_Far!G130</f>
        <v/>
      </c>
      <c r="AE99" s="130">
        <f>IF(B99&gt;$C$23,-1*$H$23,(($C$23-B99)*$G$23)-$H$23)</f>
        <v/>
      </c>
      <c r="AF99" s="130">
        <f>Hedge_Far!G160</f>
        <v/>
      </c>
      <c r="AG99" s="130">
        <f>IF(B99&gt;$C$24,-1*$H$24,(($C$24-B99)*$G$24)-$H$24)</f>
        <v/>
      </c>
      <c r="AH99" s="130">
        <f>Hedge_Far!G190</f>
        <v/>
      </c>
      <c r="AI99" s="130">
        <f>IF(B99&gt;$C$25,-1*$H$25,(($C$25-B99)*$G$25)-$H$25)</f>
        <v/>
      </c>
      <c r="AJ99" s="130">
        <f>Hedge_Far!G220</f>
        <v/>
      </c>
      <c r="AK99" s="130">
        <f>IF(B99&gt;$C$26,-1*$H$26,(($C$26-B99)*$G$26)-$H$26)</f>
        <v/>
      </c>
      <c r="AL99" s="130">
        <f>Hedge_Far!G250</f>
        <v/>
      </c>
      <c r="AM99" s="130">
        <f>IF(B99&gt;$C$27,-1*$H$27,(($C$27-B99)*$G$27)-$H$27)</f>
        <v/>
      </c>
      <c r="AN99" s="130">
        <f>Hedge_Far!G280</f>
        <v/>
      </c>
      <c r="AO99" s="130">
        <f>IF(B99&gt;$C$28,-1*$H$28,(($C$28-B99)*$G$28)-$H$28)</f>
        <v/>
      </c>
      <c r="AP99" s="130">
        <f>Hedge_Far!G310</f>
        <v/>
      </c>
      <c r="AQ99" s="130">
        <f>IF(B99&gt;$C$29,-1*$H$29,(($C$29-B99)*$G$29)-$H$29)</f>
        <v/>
      </c>
      <c r="AR99" s="117" t="n"/>
    </row>
    <row r="100" ht="14.25" customHeight="1" s="116"/>
    <row r="101" ht="14.25" customHeight="1" s="116">
      <c r="B101" s="129" t="n"/>
      <c r="C101" s="143">
        <f>B9</f>
        <v/>
      </c>
      <c r="D101" s="143">
        <f>B10</f>
        <v/>
      </c>
      <c r="E101" s="143">
        <f>B11</f>
        <v/>
      </c>
      <c r="F101" s="143">
        <f>B12</f>
        <v/>
      </c>
      <c r="G101" s="143">
        <f>B13</f>
        <v/>
      </c>
      <c r="H101" s="143">
        <f>B14</f>
        <v/>
      </c>
      <c r="I101" s="143">
        <f>B15</f>
        <v/>
      </c>
      <c r="M101" s="129" t="n">
        <v>1</v>
      </c>
      <c r="N101" s="129" t="n">
        <v>2</v>
      </c>
      <c r="O101" s="129" t="n">
        <v>3</v>
      </c>
      <c r="P101" s="129" t="n">
        <v>4</v>
      </c>
      <c r="Q101" s="129" t="n">
        <v>5</v>
      </c>
      <c r="R101" s="129" t="n">
        <v>6</v>
      </c>
      <c r="S101" s="129" t="n">
        <v>7</v>
      </c>
      <c r="W101" s="129" t="n">
        <v>1</v>
      </c>
      <c r="X101" s="129" t="n">
        <v>2</v>
      </c>
      <c r="Y101" s="129" t="n">
        <v>3</v>
      </c>
      <c r="Z101" s="129" t="n">
        <v>4</v>
      </c>
      <c r="AA101" s="129" t="n">
        <v>5</v>
      </c>
      <c r="AB101" s="129" t="n">
        <v>6</v>
      </c>
      <c r="AC101" s="129" t="n">
        <v>7</v>
      </c>
    </row>
    <row r="102" ht="14.25" customHeight="1" s="116">
      <c r="B102" s="130">
        <f>W73</f>
        <v/>
      </c>
      <c r="C102" s="209">
        <f>VLOOKUP(B102,$W$73:$AQ$99,2,0)/$H$20</f>
        <v/>
      </c>
      <c r="D102" s="209">
        <f>VLOOKUP(B102,$W$73:$AQ$99,4,0)/$H$21</f>
        <v/>
      </c>
      <c r="E102" s="129">
        <f>VLOOKUP(B102,$W$73:$AQ$99,6,0)/$H$22</f>
        <v/>
      </c>
      <c r="F102" s="129" t="n"/>
      <c r="G102" s="129" t="n"/>
      <c r="H102" s="129" t="n"/>
      <c r="I102" s="129" t="n"/>
      <c r="M102" s="199">
        <f>C102-C103</f>
        <v/>
      </c>
      <c r="N102" s="199">
        <f>D102-D103</f>
        <v/>
      </c>
      <c r="O102" s="129" t="n"/>
      <c r="P102" s="129" t="n"/>
      <c r="Q102" s="129" t="n"/>
      <c r="R102" s="129" t="n"/>
      <c r="S102" s="129" t="n"/>
      <c r="W102" s="199">
        <f>M102-M103</f>
        <v/>
      </c>
      <c r="X102" s="199">
        <f>N102-N103</f>
        <v/>
      </c>
      <c r="Y102" s="129" t="n"/>
      <c r="Z102" s="129" t="n"/>
      <c r="AA102" s="129" t="n"/>
      <c r="AB102" s="129" t="n"/>
      <c r="AC102" s="129" t="n"/>
    </row>
    <row r="103" ht="14.25" customHeight="1" s="116">
      <c r="B103" s="130">
        <f>W74</f>
        <v/>
      </c>
      <c r="C103" s="209">
        <f>VLOOKUP(B103,$W$73:$AQ$99,2,0)/$H$20</f>
        <v/>
      </c>
      <c r="D103" s="209">
        <f>VLOOKUP(B103,$W$73:$AQ$99,4,0)/$H$21</f>
        <v/>
      </c>
      <c r="E103" s="129">
        <f>VLOOKUP(B103,$W$73:$AQ$99,6,0)/$H$22</f>
        <v/>
      </c>
      <c r="F103" s="129" t="n"/>
      <c r="G103" s="129" t="n"/>
      <c r="H103" s="129" t="n"/>
      <c r="I103" s="129" t="n"/>
      <c r="M103" s="199">
        <f>C103-C104</f>
        <v/>
      </c>
      <c r="N103" s="199">
        <f>D103-D104</f>
        <v/>
      </c>
      <c r="O103" s="129" t="n"/>
      <c r="P103" s="129" t="n"/>
      <c r="Q103" s="129" t="n"/>
      <c r="R103" s="129" t="n"/>
      <c r="S103" s="129" t="n"/>
      <c r="W103" s="199">
        <f>M103-M104</f>
        <v/>
      </c>
      <c r="X103" s="199">
        <f>N103-N104</f>
        <v/>
      </c>
      <c r="Y103" s="129" t="n"/>
      <c r="Z103" s="129" t="n"/>
      <c r="AA103" s="129" t="n"/>
      <c r="AB103" s="129" t="n"/>
      <c r="AC103" s="129" t="n"/>
    </row>
    <row r="104" ht="14.25" customHeight="1" s="116">
      <c r="B104" s="130">
        <f>W75</f>
        <v/>
      </c>
      <c r="C104" s="209">
        <f>VLOOKUP(B104,$W$73:$AQ$99,2,0)/$H$20</f>
        <v/>
      </c>
      <c r="D104" s="209">
        <f>VLOOKUP(B104,$W$73:$AQ$99,4,0)/$H$21</f>
        <v/>
      </c>
      <c r="E104" s="129">
        <f>VLOOKUP(B104,$W$73:$AQ$99,6,0)/$H$22</f>
        <v/>
      </c>
      <c r="F104" s="129" t="n"/>
      <c r="G104" s="129" t="n"/>
      <c r="H104" s="129" t="n"/>
      <c r="I104" s="129" t="n"/>
      <c r="M104" s="199">
        <f>C104-C105</f>
        <v/>
      </c>
      <c r="N104" s="199">
        <f>D104-D105</f>
        <v/>
      </c>
      <c r="O104" s="129" t="n"/>
      <c r="P104" s="129" t="n"/>
      <c r="Q104" s="129" t="n"/>
      <c r="R104" s="129" t="n"/>
      <c r="S104" s="129" t="n"/>
      <c r="W104" s="199">
        <f>M104-M105</f>
        <v/>
      </c>
      <c r="X104" s="199">
        <f>N104-N105</f>
        <v/>
      </c>
      <c r="Y104" s="129" t="n"/>
      <c r="Z104" s="129" t="n"/>
      <c r="AA104" s="129" t="n"/>
      <c r="AB104" s="129" t="n"/>
      <c r="AC104" s="129" t="n"/>
    </row>
    <row r="105" ht="14.25" customHeight="1" s="116">
      <c r="B105" s="130">
        <f>W76</f>
        <v/>
      </c>
      <c r="C105" s="209">
        <f>VLOOKUP(B105,$W$73:$AQ$99,2,0)/$H$20</f>
        <v/>
      </c>
      <c r="D105" s="209">
        <f>VLOOKUP(B105,$W$73:$AQ$99,4,0)/$H$21</f>
        <v/>
      </c>
      <c r="E105" s="129">
        <f>VLOOKUP(B105,$W$73:$AQ$99,6,0)/$H$22</f>
        <v/>
      </c>
      <c r="F105" s="129" t="n"/>
      <c r="G105" s="129" t="n"/>
      <c r="H105" s="129" t="n"/>
      <c r="I105" s="129" t="n"/>
      <c r="M105" s="199">
        <f>C105-C106</f>
        <v/>
      </c>
      <c r="N105" s="199">
        <f>D105-D106</f>
        <v/>
      </c>
      <c r="O105" s="129" t="n"/>
      <c r="P105" s="129" t="n"/>
      <c r="Q105" s="129" t="n"/>
      <c r="R105" s="129" t="n"/>
      <c r="S105" s="129" t="n"/>
      <c r="W105" s="199">
        <f>M105-M106</f>
        <v/>
      </c>
      <c r="X105" s="199">
        <f>N105-N106</f>
        <v/>
      </c>
      <c r="Y105" s="129" t="n"/>
      <c r="Z105" s="129" t="n"/>
      <c r="AA105" s="129" t="n"/>
      <c r="AB105" s="129" t="n"/>
      <c r="AC105" s="129" t="n"/>
    </row>
    <row r="106" ht="14.25" customHeight="1" s="116">
      <c r="B106" s="130">
        <f>W77</f>
        <v/>
      </c>
      <c r="C106" s="209">
        <f>VLOOKUP(B106,$W$73:$AQ$99,2,0)/$H$20</f>
        <v/>
      </c>
      <c r="D106" s="209">
        <f>VLOOKUP(B106,$W$73:$AQ$99,4,0)/$H$21</f>
        <v/>
      </c>
      <c r="E106" s="129">
        <f>VLOOKUP(B106,$W$73:$AQ$99,6,0)/$H$22</f>
        <v/>
      </c>
      <c r="F106" s="129" t="n"/>
      <c r="G106" s="129" t="n"/>
      <c r="H106" s="129" t="n"/>
      <c r="I106" s="129" t="n"/>
      <c r="M106" s="199">
        <f>C106-C107</f>
        <v/>
      </c>
      <c r="N106" s="199">
        <f>D106-D107</f>
        <v/>
      </c>
      <c r="O106" s="129" t="n"/>
      <c r="P106" s="129" t="n"/>
      <c r="Q106" s="129" t="n"/>
      <c r="R106" s="129" t="n"/>
      <c r="S106" s="129" t="n"/>
      <c r="W106" s="199">
        <f>M106-M107</f>
        <v/>
      </c>
      <c r="X106" s="199">
        <f>N106-N107</f>
        <v/>
      </c>
      <c r="Y106" s="129" t="n"/>
      <c r="Z106" s="129" t="n"/>
      <c r="AA106" s="129" t="n"/>
      <c r="AB106" s="129" t="n"/>
      <c r="AC106" s="129" t="n"/>
    </row>
    <row r="107" ht="14.25" customHeight="1" s="116">
      <c r="B107" s="130">
        <f>W78</f>
        <v/>
      </c>
      <c r="C107" s="209">
        <f>VLOOKUP(B107,$W$73:$AQ$99,2,0)/$H$20</f>
        <v/>
      </c>
      <c r="D107" s="209">
        <f>VLOOKUP(B107,$W$73:$AQ$99,4,0)/$H$21</f>
        <v/>
      </c>
      <c r="E107" s="129">
        <f>VLOOKUP(B107,$W$73:$AQ$99,6,0)/$H$22</f>
        <v/>
      </c>
      <c r="F107" s="129" t="n"/>
      <c r="G107" s="129" t="n"/>
      <c r="H107" s="129" t="n"/>
      <c r="I107" s="129" t="n"/>
      <c r="M107" s="199">
        <f>C107-C108</f>
        <v/>
      </c>
      <c r="N107" s="199">
        <f>D107-D108</f>
        <v/>
      </c>
      <c r="O107" s="129" t="n"/>
      <c r="P107" s="129" t="n"/>
      <c r="Q107" s="129" t="n"/>
      <c r="R107" s="129" t="n"/>
      <c r="S107" s="129" t="n"/>
      <c r="W107" s="199">
        <f>M107-M108</f>
        <v/>
      </c>
      <c r="X107" s="199">
        <f>N107-N108</f>
        <v/>
      </c>
      <c r="Y107" s="129" t="n"/>
      <c r="Z107" s="129" t="n"/>
      <c r="AA107" s="129" t="n"/>
      <c r="AB107" s="129" t="n"/>
      <c r="AC107" s="129" t="n"/>
    </row>
    <row r="108" ht="14.25" customHeight="1" s="116">
      <c r="B108" s="130">
        <f>W79</f>
        <v/>
      </c>
      <c r="C108" s="209">
        <f>VLOOKUP(B108,$W$73:$AQ$99,2,0)/$H$20</f>
        <v/>
      </c>
      <c r="D108" s="209">
        <f>VLOOKUP(B108,$W$73:$AQ$99,4,0)/$H$21</f>
        <v/>
      </c>
      <c r="E108" s="129">
        <f>VLOOKUP(B108,$W$73:$AQ$99,6,0)/$H$22</f>
        <v/>
      </c>
      <c r="F108" s="129" t="n"/>
      <c r="G108" s="129" t="n"/>
      <c r="H108" s="129" t="n"/>
      <c r="I108" s="129" t="n"/>
      <c r="M108" s="199">
        <f>C108-C109</f>
        <v/>
      </c>
      <c r="N108" s="199">
        <f>D108-D109</f>
        <v/>
      </c>
      <c r="O108" s="129" t="n"/>
      <c r="P108" s="129" t="n"/>
      <c r="Q108" s="129" t="n"/>
      <c r="R108" s="129" t="n"/>
      <c r="S108" s="129" t="n"/>
      <c r="W108" s="199">
        <f>M108-M109</f>
        <v/>
      </c>
      <c r="X108" s="199">
        <f>N108-N109</f>
        <v/>
      </c>
      <c r="Y108" s="129" t="n"/>
      <c r="Z108" s="129" t="n"/>
      <c r="AA108" s="129" t="n"/>
      <c r="AB108" s="129" t="n"/>
      <c r="AC108" s="129" t="n"/>
    </row>
    <row r="109" ht="14.25" customHeight="1" s="116">
      <c r="B109" s="130">
        <f>W80</f>
        <v/>
      </c>
      <c r="C109" s="209">
        <f>VLOOKUP(B109,$W$73:$AQ$99,2,0)/$H$20</f>
        <v/>
      </c>
      <c r="D109" s="209">
        <f>VLOOKUP(B109,$W$73:$AQ$99,4,0)/$H$21</f>
        <v/>
      </c>
      <c r="E109" s="129">
        <f>VLOOKUP(B109,$W$73:$AQ$99,6,0)/$H$22</f>
        <v/>
      </c>
      <c r="F109" s="129" t="n"/>
      <c r="G109" s="129" t="n"/>
      <c r="H109" s="129" t="n"/>
      <c r="I109" s="129" t="n"/>
      <c r="M109" s="199">
        <f>C109-C110</f>
        <v/>
      </c>
      <c r="N109" s="199">
        <f>D109-D110</f>
        <v/>
      </c>
      <c r="O109" s="129" t="n"/>
      <c r="P109" s="129" t="n"/>
      <c r="Q109" s="129" t="n"/>
      <c r="R109" s="129" t="n"/>
      <c r="S109" s="129" t="n"/>
      <c r="W109" s="199">
        <f>M109-M110</f>
        <v/>
      </c>
      <c r="X109" s="199">
        <f>N109-N110</f>
        <v/>
      </c>
      <c r="Y109" s="129" t="n"/>
      <c r="Z109" s="129" t="n"/>
      <c r="AA109" s="129" t="n"/>
      <c r="AB109" s="129" t="n"/>
      <c r="AC109" s="129" t="n"/>
    </row>
    <row r="110" ht="14.25" customHeight="1" s="116">
      <c r="B110" s="130">
        <f>W81</f>
        <v/>
      </c>
      <c r="C110" s="209">
        <f>VLOOKUP(B110,$W$73:$AQ$99,2,0)/$H$20</f>
        <v/>
      </c>
      <c r="D110" s="209">
        <f>VLOOKUP(B110,$W$73:$AQ$99,4,0)/$H$21</f>
        <v/>
      </c>
      <c r="E110" s="129">
        <f>VLOOKUP(B110,$W$73:$AQ$99,6,0)/$H$22</f>
        <v/>
      </c>
      <c r="F110" s="129" t="n"/>
      <c r="G110" s="129" t="n"/>
      <c r="H110" s="129" t="n"/>
      <c r="I110" s="129" t="n"/>
      <c r="M110" s="199">
        <f>C110-C111</f>
        <v/>
      </c>
      <c r="N110" s="199">
        <f>D110-D111</f>
        <v/>
      </c>
      <c r="O110" s="129" t="n"/>
      <c r="P110" s="129" t="n"/>
      <c r="Q110" s="129" t="n"/>
      <c r="R110" s="129" t="n"/>
      <c r="S110" s="129" t="n"/>
      <c r="W110" s="199">
        <f>M110-M111</f>
        <v/>
      </c>
      <c r="X110" s="199">
        <f>N110-N111</f>
        <v/>
      </c>
      <c r="Y110" s="129" t="n"/>
      <c r="Z110" s="129" t="n"/>
      <c r="AA110" s="129" t="n"/>
      <c r="AB110" s="129" t="n"/>
      <c r="AC110" s="129" t="n"/>
    </row>
    <row r="111" ht="14.25" customHeight="1" s="116">
      <c r="B111" s="130">
        <f>W82</f>
        <v/>
      </c>
      <c r="C111" s="209">
        <f>VLOOKUP(B111,$W$73:$AQ$99,2,0)/$H$20</f>
        <v/>
      </c>
      <c r="D111" s="209">
        <f>VLOOKUP(B111,$W$73:$AQ$99,4,0)/$H$21</f>
        <v/>
      </c>
      <c r="E111" s="129">
        <f>VLOOKUP(B111,$W$73:$AQ$99,6,0)/$H$22</f>
        <v/>
      </c>
      <c r="F111" s="129" t="n"/>
      <c r="G111" s="129" t="n"/>
      <c r="H111" s="129" t="n"/>
      <c r="I111" s="129" t="n"/>
      <c r="M111" s="199">
        <f>C111-C112</f>
        <v/>
      </c>
      <c r="N111" s="199">
        <f>D111-D112</f>
        <v/>
      </c>
      <c r="O111" s="129" t="n"/>
      <c r="P111" s="129" t="n"/>
      <c r="Q111" s="129" t="n"/>
      <c r="R111" s="129" t="n"/>
      <c r="S111" s="129" t="n"/>
      <c r="W111" s="199">
        <f>M111-M112</f>
        <v/>
      </c>
      <c r="X111" s="199">
        <f>N111-N112</f>
        <v/>
      </c>
      <c r="Y111" s="129" t="n"/>
      <c r="Z111" s="129" t="n"/>
      <c r="AA111" s="129" t="n"/>
      <c r="AB111" s="129" t="n"/>
      <c r="AC111" s="129" t="n"/>
    </row>
    <row r="112" ht="14.25" customHeight="1" s="116">
      <c r="B112" s="130">
        <f>W83</f>
        <v/>
      </c>
      <c r="C112" s="209">
        <f>VLOOKUP(B112,$W$73:$AQ$99,2,0)/$H$20</f>
        <v/>
      </c>
      <c r="D112" s="209">
        <f>VLOOKUP(B112,$W$73:$AQ$99,4,0)/$H$21</f>
        <v/>
      </c>
      <c r="E112" s="129">
        <f>VLOOKUP(B112,$W$73:$AQ$99,6,0)/$H$22</f>
        <v/>
      </c>
      <c r="F112" s="129" t="n"/>
      <c r="G112" s="129" t="n"/>
      <c r="H112" s="129" t="n"/>
      <c r="I112" s="129" t="n"/>
      <c r="M112" s="199">
        <f>C112-C113</f>
        <v/>
      </c>
      <c r="N112" s="199">
        <f>D112-D113</f>
        <v/>
      </c>
      <c r="O112" s="129" t="n"/>
      <c r="P112" s="129" t="n"/>
      <c r="Q112" s="129" t="n"/>
      <c r="R112" s="129" t="n"/>
      <c r="S112" s="129" t="n"/>
      <c r="W112" s="199">
        <f>M112-M113</f>
        <v/>
      </c>
      <c r="X112" s="199">
        <f>N112-N113</f>
        <v/>
      </c>
      <c r="Y112" s="129" t="n"/>
      <c r="Z112" s="129" t="n"/>
      <c r="AA112" s="129" t="n"/>
      <c r="AB112" s="129" t="n"/>
      <c r="AC112" s="129" t="n"/>
    </row>
    <row r="113" ht="14.25" customHeight="1" s="116">
      <c r="B113" s="130">
        <f>W84</f>
        <v/>
      </c>
      <c r="C113" s="209">
        <f>VLOOKUP(B113,$W$73:$AQ$99,2,0)/$H$20</f>
        <v/>
      </c>
      <c r="D113" s="209">
        <f>VLOOKUP(B113,$W$73:$AQ$99,4,0)/$H$21</f>
        <v/>
      </c>
      <c r="E113" s="129">
        <f>VLOOKUP(B113,$W$73:$AQ$99,6,0)/$H$22</f>
        <v/>
      </c>
      <c r="F113" s="129" t="n"/>
      <c r="G113" s="129" t="n"/>
      <c r="H113" s="129" t="n"/>
      <c r="I113" s="129" t="n"/>
      <c r="M113" s="199">
        <f>C113-C114</f>
        <v/>
      </c>
      <c r="N113" s="199">
        <f>D113-D114</f>
        <v/>
      </c>
      <c r="O113" s="129" t="n"/>
      <c r="P113" s="129" t="n"/>
      <c r="Q113" s="129" t="n"/>
      <c r="R113" s="129" t="n"/>
      <c r="S113" s="129" t="n"/>
      <c r="W113" s="199">
        <f>M113-M114</f>
        <v/>
      </c>
      <c r="X113" s="199">
        <f>N113-N114</f>
        <v/>
      </c>
      <c r="Y113" s="129" t="n"/>
      <c r="Z113" s="129" t="n"/>
      <c r="AA113" s="129" t="n"/>
      <c r="AB113" s="129" t="n"/>
      <c r="AC113" s="129" t="n"/>
    </row>
    <row r="114" ht="14.25" customHeight="1" s="116">
      <c r="B114" s="130">
        <f>W85</f>
        <v/>
      </c>
      <c r="C114" s="209">
        <f>VLOOKUP(B114,$W$73:$AQ$99,2,0)/$H$20</f>
        <v/>
      </c>
      <c r="D114" s="209">
        <f>VLOOKUP(B114,$W$73:$AQ$99,4,0)/$H$21</f>
        <v/>
      </c>
      <c r="E114" s="129">
        <f>VLOOKUP(B114,$W$73:$AQ$99,6,0)/$H$22</f>
        <v/>
      </c>
      <c r="F114" s="129" t="n"/>
      <c r="G114" s="129" t="n"/>
      <c r="H114" s="129" t="n"/>
      <c r="I114" s="129" t="n"/>
      <c r="M114" s="199">
        <f>C114-C115</f>
        <v/>
      </c>
      <c r="N114" s="199">
        <f>D114-D115</f>
        <v/>
      </c>
      <c r="O114" s="129" t="n"/>
      <c r="P114" s="129" t="n"/>
      <c r="Q114" s="129" t="n"/>
      <c r="R114" s="129" t="n"/>
      <c r="S114" s="129" t="n"/>
      <c r="W114" s="199">
        <f>M114-M115</f>
        <v/>
      </c>
      <c r="X114" s="199">
        <f>N114-N115</f>
        <v/>
      </c>
      <c r="Y114" s="129" t="n"/>
      <c r="Z114" s="129" t="n"/>
      <c r="AA114" s="129" t="n"/>
      <c r="AB114" s="129" t="n"/>
      <c r="AC114" s="129" t="n"/>
    </row>
    <row r="115" ht="14.25" customHeight="1" s="116">
      <c r="B115" s="210">
        <f>W86</f>
        <v/>
      </c>
      <c r="C115" s="209">
        <f>VLOOKUP(B115,$W$73:$AQ$99,2,0)/$H$20</f>
        <v/>
      </c>
      <c r="D115" s="209">
        <f>VLOOKUP(B115,$W$73:$AQ$99,4,0)/$H$21</f>
        <v/>
      </c>
      <c r="E115" s="129">
        <f>VLOOKUP(B115,$W$73:$AQ$99,6,0)/$H$22</f>
        <v/>
      </c>
      <c r="F115" s="129" t="n"/>
      <c r="G115" s="129" t="n"/>
      <c r="H115" s="129" t="n"/>
      <c r="I115" s="129" t="n"/>
      <c r="M115" s="199">
        <f>C115-C116</f>
        <v/>
      </c>
      <c r="N115" s="199">
        <f>D115-D116</f>
        <v/>
      </c>
      <c r="O115" s="129" t="n"/>
      <c r="P115" s="129" t="n"/>
      <c r="Q115" s="129" t="n"/>
      <c r="R115" s="129" t="n"/>
      <c r="S115" s="129" t="n"/>
      <c r="W115" s="199">
        <f>M115-M116</f>
        <v/>
      </c>
      <c r="X115" s="199">
        <f>N115-N116</f>
        <v/>
      </c>
      <c r="Y115" s="129" t="n"/>
      <c r="Z115" s="129" t="n"/>
      <c r="AA115" s="129" t="n"/>
      <c r="AB115" s="129" t="n"/>
      <c r="AC115" s="129" t="n"/>
    </row>
    <row r="116" ht="14.25" customHeight="1" s="116">
      <c r="B116" s="130">
        <f>W87</f>
        <v/>
      </c>
      <c r="C116" s="209">
        <f>VLOOKUP(B116,$W$73:$AQ$99,2,0)/$H$20</f>
        <v/>
      </c>
      <c r="D116" s="209">
        <f>VLOOKUP(B116,$W$73:$AQ$99,4,0)/$H$21</f>
        <v/>
      </c>
      <c r="E116" s="129">
        <f>VLOOKUP(B116,$W$73:$AQ$99,6,0)/$H$22</f>
        <v/>
      </c>
      <c r="F116" s="129" t="n"/>
      <c r="G116" s="129" t="n"/>
      <c r="H116" s="129" t="n"/>
      <c r="I116" s="129" t="n"/>
      <c r="M116" s="199">
        <f>C116-C117</f>
        <v/>
      </c>
      <c r="N116" s="199">
        <f>D116-D117</f>
        <v/>
      </c>
      <c r="O116" s="129" t="n"/>
      <c r="P116" s="129" t="n"/>
      <c r="Q116" s="129" t="n"/>
      <c r="R116" s="129" t="n"/>
      <c r="S116" s="129" t="n"/>
      <c r="W116" s="199">
        <f>M116-M117</f>
        <v/>
      </c>
      <c r="X116" s="199">
        <f>N116-N117</f>
        <v/>
      </c>
      <c r="Y116" s="129" t="n"/>
      <c r="Z116" s="129" t="n"/>
      <c r="AA116" s="129" t="n"/>
      <c r="AB116" s="129" t="n"/>
      <c r="AC116" s="129" t="n"/>
    </row>
    <row r="117" ht="14.25" customHeight="1" s="116">
      <c r="B117" s="130">
        <f>W88</f>
        <v/>
      </c>
      <c r="C117" s="209">
        <f>VLOOKUP(B117,$W$73:$AQ$99,2,0)/$H$20</f>
        <v/>
      </c>
      <c r="D117" s="209">
        <f>VLOOKUP(B117,$W$73:$AQ$99,4,0)/$H$21</f>
        <v/>
      </c>
      <c r="E117" s="129">
        <f>VLOOKUP(B117,$W$73:$AQ$99,6,0)/$H$22</f>
        <v/>
      </c>
      <c r="F117" s="129" t="n"/>
      <c r="G117" s="129" t="n"/>
      <c r="H117" s="129" t="n"/>
      <c r="I117" s="129" t="n"/>
      <c r="M117" s="199">
        <f>C117-C118</f>
        <v/>
      </c>
      <c r="N117" s="199">
        <f>D117-D118</f>
        <v/>
      </c>
      <c r="O117" s="129" t="n"/>
      <c r="P117" s="129" t="n"/>
      <c r="Q117" s="129" t="n"/>
      <c r="R117" s="129" t="n"/>
      <c r="S117" s="129" t="n"/>
      <c r="W117" s="199">
        <f>M117-M118</f>
        <v/>
      </c>
      <c r="X117" s="199">
        <f>N117-N118</f>
        <v/>
      </c>
      <c r="Y117" s="129" t="n"/>
      <c r="Z117" s="129" t="n"/>
      <c r="AA117" s="129" t="n"/>
      <c r="AB117" s="129" t="n"/>
      <c r="AC117" s="129" t="n"/>
    </row>
    <row r="118" ht="14.25" customHeight="1" s="116">
      <c r="B118" s="130">
        <f>W89</f>
        <v/>
      </c>
      <c r="C118" s="209">
        <f>VLOOKUP(B118,$W$73:$AQ$99,2,0)/$H$20</f>
        <v/>
      </c>
      <c r="D118" s="209">
        <f>VLOOKUP(B118,$W$73:$AQ$99,4,0)/$H$21</f>
        <v/>
      </c>
      <c r="E118" s="129">
        <f>VLOOKUP(B118,$W$73:$AQ$99,6,0)/$H$22</f>
        <v/>
      </c>
      <c r="F118" s="129" t="n"/>
      <c r="G118" s="129" t="n"/>
      <c r="H118" s="129" t="n"/>
      <c r="I118" s="129" t="n"/>
      <c r="M118" s="199">
        <f>C118-C119</f>
        <v/>
      </c>
      <c r="N118" s="199">
        <f>D118-D119</f>
        <v/>
      </c>
      <c r="O118" s="129" t="n"/>
      <c r="P118" s="129" t="n"/>
      <c r="Q118" s="129" t="n"/>
      <c r="R118" s="129" t="n"/>
      <c r="S118" s="129" t="n"/>
      <c r="W118" s="199">
        <f>M118-M119</f>
        <v/>
      </c>
      <c r="X118" s="199">
        <f>N118-N119</f>
        <v/>
      </c>
      <c r="Y118" s="129" t="n"/>
      <c r="Z118" s="129" t="n"/>
      <c r="AA118" s="129" t="n"/>
      <c r="AB118" s="129" t="n"/>
      <c r="AC118" s="129" t="n"/>
    </row>
    <row r="119" ht="14.25" customHeight="1" s="116">
      <c r="B119" s="130">
        <f>W90</f>
        <v/>
      </c>
      <c r="C119" s="209">
        <f>VLOOKUP(B119,$W$73:$AQ$99,2,0)/$H$20</f>
        <v/>
      </c>
      <c r="D119" s="209">
        <f>VLOOKUP(B119,$W$73:$AQ$99,4,0)/$H$21</f>
        <v/>
      </c>
      <c r="E119" s="129">
        <f>VLOOKUP(B119,$W$73:$AQ$99,6,0)/$H$22</f>
        <v/>
      </c>
      <c r="F119" s="129" t="n"/>
      <c r="G119" s="129" t="n"/>
      <c r="H119" s="129" t="n"/>
      <c r="I119" s="129" t="n"/>
      <c r="M119" s="199">
        <f>C119-C120</f>
        <v/>
      </c>
      <c r="N119" s="199">
        <f>D119-D120</f>
        <v/>
      </c>
      <c r="O119" s="129" t="n"/>
      <c r="P119" s="129" t="n"/>
      <c r="Q119" s="129" t="n"/>
      <c r="R119" s="129" t="n"/>
      <c r="S119" s="129" t="n"/>
      <c r="W119" s="199">
        <f>M119-M120</f>
        <v/>
      </c>
      <c r="X119" s="199">
        <f>N119-N120</f>
        <v/>
      </c>
      <c r="Y119" s="129" t="n"/>
      <c r="Z119" s="129" t="n"/>
      <c r="AA119" s="129" t="n"/>
      <c r="AB119" s="129" t="n"/>
      <c r="AC119" s="129" t="n"/>
    </row>
    <row r="120" ht="14.25" customHeight="1" s="116">
      <c r="B120" s="130">
        <f>W91</f>
        <v/>
      </c>
      <c r="C120" s="209">
        <f>VLOOKUP(B120,$W$73:$AQ$99,2,0)/$H$20</f>
        <v/>
      </c>
      <c r="D120" s="209">
        <f>VLOOKUP(B120,$W$73:$AQ$99,4,0)/$H$21</f>
        <v/>
      </c>
      <c r="E120" s="129">
        <f>VLOOKUP(B120,$W$73:$AQ$99,6,0)/$H$22</f>
        <v/>
      </c>
      <c r="F120" s="129" t="n"/>
      <c r="G120" s="129" t="n"/>
      <c r="H120" s="129" t="n"/>
      <c r="I120" s="129" t="n"/>
      <c r="M120" s="199">
        <f>C120-C121</f>
        <v/>
      </c>
      <c r="N120" s="199">
        <f>D120-D121</f>
        <v/>
      </c>
      <c r="O120" s="129" t="n"/>
      <c r="P120" s="129" t="n"/>
      <c r="Q120" s="129" t="n"/>
      <c r="R120" s="129" t="n"/>
      <c r="S120" s="129" t="n"/>
      <c r="W120" s="199">
        <f>M120-M121</f>
        <v/>
      </c>
      <c r="X120" s="199">
        <f>N120-N121</f>
        <v/>
      </c>
      <c r="Y120" s="129" t="n"/>
      <c r="Z120" s="129" t="n"/>
      <c r="AA120" s="129" t="n"/>
      <c r="AB120" s="129" t="n"/>
      <c r="AC120" s="129" t="n"/>
    </row>
    <row r="121" ht="14.25" customHeight="1" s="116">
      <c r="B121" s="130">
        <f>W92</f>
        <v/>
      </c>
      <c r="C121" s="209">
        <f>VLOOKUP(B121,$W$73:$AQ$99,2,0)/$H$20</f>
        <v/>
      </c>
      <c r="D121" s="209">
        <f>VLOOKUP(B121,$W$73:$AQ$99,4,0)/$H$21</f>
        <v/>
      </c>
      <c r="E121" s="129">
        <f>VLOOKUP(B121,$W$73:$AQ$99,6,0)/$H$22</f>
        <v/>
      </c>
      <c r="F121" s="129" t="n"/>
      <c r="G121" s="129" t="n"/>
      <c r="H121" s="129" t="n"/>
      <c r="I121" s="129" t="n"/>
      <c r="M121" s="199">
        <f>C121-C122</f>
        <v/>
      </c>
      <c r="N121" s="199">
        <f>D121-D122</f>
        <v/>
      </c>
      <c r="O121" s="129" t="n"/>
      <c r="P121" s="129" t="n"/>
      <c r="Q121" s="129" t="n"/>
      <c r="R121" s="129" t="n"/>
      <c r="S121" s="129" t="n"/>
      <c r="W121" s="199">
        <f>M121-M122</f>
        <v/>
      </c>
      <c r="X121" s="199">
        <f>N121-N122</f>
        <v/>
      </c>
      <c r="Y121" s="129" t="n"/>
      <c r="Z121" s="129" t="n"/>
      <c r="AA121" s="129" t="n"/>
      <c r="AB121" s="129" t="n"/>
      <c r="AC121" s="129" t="n"/>
    </row>
    <row r="122" ht="14.25" customHeight="1" s="116">
      <c r="B122" s="130">
        <f>W93</f>
        <v/>
      </c>
      <c r="C122" s="209">
        <f>VLOOKUP(B122,$W$73:$AQ$99,2,0)/$H$20</f>
        <v/>
      </c>
      <c r="D122" s="209">
        <f>VLOOKUP(B122,$W$73:$AQ$99,4,0)/$H$21</f>
        <v/>
      </c>
      <c r="E122" s="129">
        <f>VLOOKUP(B122,$W$73:$AQ$99,6,0)/$H$22</f>
        <v/>
      </c>
      <c r="F122" s="129" t="n"/>
      <c r="G122" s="129" t="n"/>
      <c r="H122" s="129" t="n"/>
      <c r="I122" s="129" t="n"/>
      <c r="M122" s="199">
        <f>C122-C123</f>
        <v/>
      </c>
      <c r="N122" s="199">
        <f>D122-D123</f>
        <v/>
      </c>
      <c r="O122" s="129" t="n"/>
      <c r="P122" s="129" t="n"/>
      <c r="Q122" s="129" t="n"/>
      <c r="R122" s="129" t="n"/>
      <c r="S122" s="129" t="n"/>
      <c r="W122" s="199">
        <f>M122-M123</f>
        <v/>
      </c>
      <c r="X122" s="199">
        <f>N122-N123</f>
        <v/>
      </c>
      <c r="Y122" s="129" t="n"/>
      <c r="Z122" s="129" t="n"/>
      <c r="AA122" s="129" t="n"/>
      <c r="AB122" s="129" t="n"/>
      <c r="AC122" s="129" t="n"/>
    </row>
    <row r="123" ht="14.25" customHeight="1" s="116">
      <c r="B123" s="130">
        <f>W94</f>
        <v/>
      </c>
      <c r="C123" s="209">
        <f>VLOOKUP(B123,$W$73:$AQ$99,2,0)/$H$20</f>
        <v/>
      </c>
      <c r="D123" s="209">
        <f>VLOOKUP(B123,$W$73:$AQ$99,4,0)/$H$21</f>
        <v/>
      </c>
      <c r="E123" s="129">
        <f>VLOOKUP(B123,$W$73:$AQ$99,6,0)/$H$22</f>
        <v/>
      </c>
      <c r="F123" s="129" t="n"/>
      <c r="G123" s="129" t="n"/>
      <c r="H123" s="129" t="n"/>
      <c r="I123" s="129" t="n"/>
      <c r="M123" s="199">
        <f>C123-C124</f>
        <v/>
      </c>
      <c r="N123" s="199">
        <f>D123-D124</f>
        <v/>
      </c>
      <c r="O123" s="129" t="n"/>
      <c r="P123" s="129" t="n"/>
      <c r="Q123" s="129" t="n"/>
      <c r="R123" s="129" t="n"/>
      <c r="S123" s="129" t="n"/>
      <c r="W123" s="199">
        <f>M123-M124</f>
        <v/>
      </c>
      <c r="X123" s="199">
        <f>N123-N124</f>
        <v/>
      </c>
      <c r="Y123" s="129" t="n"/>
      <c r="Z123" s="129" t="n"/>
      <c r="AA123" s="129" t="n"/>
      <c r="AB123" s="129" t="n"/>
      <c r="AC123" s="129" t="n"/>
    </row>
    <row r="124" ht="14.25" customHeight="1" s="116">
      <c r="B124" s="130">
        <f>W95</f>
        <v/>
      </c>
      <c r="C124" s="209">
        <f>VLOOKUP(B124,$W$73:$AQ$99,2,0)/$H$20</f>
        <v/>
      </c>
      <c r="D124" s="209">
        <f>VLOOKUP(B124,$W$73:$AQ$99,4,0)/$H$21</f>
        <v/>
      </c>
      <c r="E124" s="129">
        <f>VLOOKUP(B124,$W$73:$AQ$99,6,0)/$H$22</f>
        <v/>
      </c>
      <c r="F124" s="129" t="n"/>
      <c r="G124" s="129" t="n"/>
      <c r="H124" s="129" t="n"/>
      <c r="I124" s="129" t="n"/>
      <c r="M124" s="199">
        <f>C124-C125</f>
        <v/>
      </c>
      <c r="N124" s="199">
        <f>D124-D125</f>
        <v/>
      </c>
      <c r="O124" s="129" t="n"/>
      <c r="P124" s="129" t="n"/>
      <c r="Q124" s="129" t="n"/>
      <c r="R124" s="129" t="n"/>
      <c r="S124" s="129" t="n"/>
      <c r="W124" s="199">
        <f>M124-M125</f>
        <v/>
      </c>
      <c r="X124" s="199">
        <f>N124-N125</f>
        <v/>
      </c>
      <c r="Y124" s="129" t="n"/>
      <c r="Z124" s="129" t="n"/>
      <c r="AA124" s="129" t="n"/>
      <c r="AB124" s="129" t="n"/>
      <c r="AC124" s="129" t="n"/>
    </row>
    <row r="125" ht="14.25" customHeight="1" s="116">
      <c r="B125" s="130">
        <f>W96</f>
        <v/>
      </c>
      <c r="C125" s="209">
        <f>VLOOKUP(B125,$W$73:$AQ$99,2,0)/$H$20</f>
        <v/>
      </c>
      <c r="D125" s="209">
        <f>VLOOKUP(B125,$W$73:$AQ$99,4,0)/$H$21</f>
        <v/>
      </c>
      <c r="E125" s="129">
        <f>VLOOKUP(B125,$W$73:$AQ$99,6,0)/$H$22</f>
        <v/>
      </c>
      <c r="F125" s="129" t="n"/>
      <c r="G125" s="129" t="n"/>
      <c r="H125" s="129" t="n"/>
      <c r="I125" s="129" t="n"/>
      <c r="M125" s="199">
        <f>C125-C126</f>
        <v/>
      </c>
      <c r="N125" s="199">
        <f>D125-D126</f>
        <v/>
      </c>
      <c r="O125" s="129" t="n"/>
      <c r="P125" s="129" t="n"/>
      <c r="Q125" s="129" t="n"/>
      <c r="R125" s="129" t="n"/>
      <c r="S125" s="129" t="n"/>
      <c r="W125" s="199">
        <f>M125-M126</f>
        <v/>
      </c>
      <c r="X125" s="199">
        <f>N125-N126</f>
        <v/>
      </c>
      <c r="Y125" s="129" t="n"/>
      <c r="Z125" s="129" t="n"/>
      <c r="AA125" s="129" t="n"/>
      <c r="AB125" s="129" t="n"/>
      <c r="AC125" s="129" t="n"/>
    </row>
    <row r="126" ht="14.25" customHeight="1" s="116">
      <c r="B126" s="130">
        <f>W97</f>
        <v/>
      </c>
      <c r="C126" s="209">
        <f>VLOOKUP(B126,$W$73:$AQ$99,2,0)/$H$20</f>
        <v/>
      </c>
      <c r="D126" s="209">
        <f>VLOOKUP(B126,$W$73:$AQ$99,4,0)/$H$21</f>
        <v/>
      </c>
      <c r="E126" s="129">
        <f>VLOOKUP(B126,$W$73:$AQ$99,6,0)/$H$22</f>
        <v/>
      </c>
      <c r="F126" s="129" t="n"/>
      <c r="G126" s="129" t="n"/>
      <c r="H126" s="129" t="n"/>
      <c r="I126" s="129" t="n"/>
      <c r="M126" s="199">
        <f>C126-C127</f>
        <v/>
      </c>
      <c r="N126" s="199">
        <f>D126-D127</f>
        <v/>
      </c>
      <c r="O126" s="129" t="n"/>
      <c r="P126" s="129" t="n"/>
      <c r="Q126" s="129" t="n"/>
      <c r="R126" s="129" t="n"/>
      <c r="S126" s="129" t="n"/>
      <c r="W126" s="199">
        <f>M126-M127</f>
        <v/>
      </c>
      <c r="X126" s="199">
        <f>N126-N127</f>
        <v/>
      </c>
      <c r="Y126" s="129" t="n"/>
      <c r="Z126" s="129" t="n"/>
      <c r="AA126" s="129" t="n"/>
      <c r="AB126" s="129" t="n"/>
      <c r="AC126" s="129" t="n"/>
    </row>
    <row r="127" ht="14.25" customHeight="1" s="116">
      <c r="B127" s="130">
        <f>W98</f>
        <v/>
      </c>
      <c r="C127" s="209">
        <f>VLOOKUP(B127,$W$73:$AQ$99,2,0)/$H$20</f>
        <v/>
      </c>
      <c r="D127" s="209">
        <f>VLOOKUP(B127,$W$73:$AQ$99,4,0)/$H$21</f>
        <v/>
      </c>
      <c r="E127" s="129">
        <f>VLOOKUP(B127,$W$73:$AQ$99,6,0)/$H$22</f>
        <v/>
      </c>
      <c r="F127" s="129" t="n"/>
      <c r="G127" s="129" t="n"/>
      <c r="H127" s="129" t="n"/>
      <c r="I127" s="129" t="n"/>
      <c r="M127" s="199">
        <f>C127-C128</f>
        <v/>
      </c>
      <c r="N127" s="199">
        <f>D127-D128</f>
        <v/>
      </c>
      <c r="O127" s="129" t="n"/>
      <c r="P127" s="129" t="n"/>
      <c r="Q127" s="129" t="n"/>
      <c r="R127" s="129" t="n"/>
      <c r="S127" s="129" t="n"/>
      <c r="W127" s="207" t="n"/>
    </row>
    <row r="128" ht="14.25" customHeight="1" s="116">
      <c r="B128" s="130">
        <f>W99</f>
        <v/>
      </c>
      <c r="C128" s="209">
        <f>VLOOKUP(B128,$W$73:$AQ$99,2,0)/$H$20</f>
        <v/>
      </c>
      <c r="D128" s="209">
        <f>VLOOKUP(B128,$W$73:$AQ$99,4,0)/$H$21</f>
        <v/>
      </c>
      <c r="E128" s="129">
        <f>VLOOKUP(B128,$W$73:$AQ$99,6,0)/$H$22</f>
        <v/>
      </c>
      <c r="F128" s="129" t="n"/>
      <c r="G128" s="129" t="n"/>
      <c r="H128" s="129" t="n"/>
      <c r="I128" s="129" t="n"/>
      <c r="M128" s="207" t="n"/>
      <c r="N128" s="207" t="n"/>
      <c r="W128" s="207" t="n"/>
    </row>
    <row r="129" ht="14.25" customHeight="1" s="116">
      <c r="W129" s="131" t="n"/>
    </row>
    <row r="130" ht="14.25" customHeight="1" s="116">
      <c r="W130" s="131" t="n"/>
    </row>
    <row r="131" ht="14.25" customHeight="1" s="116">
      <c r="W131" s="131" t="n"/>
    </row>
    <row r="132" ht="14.25" customHeight="1" s="116">
      <c r="W132" s="131" t="n"/>
    </row>
    <row r="133" ht="14.25" customHeight="1" s="116">
      <c r="W133" s="131" t="n"/>
    </row>
    <row r="1048526" ht="12.75" customHeight="1" s="116"/>
    <row r="1048527" ht="12.75" customHeight="1" s="116"/>
    <row r="1048528" ht="12.75" customHeight="1" s="116"/>
    <row r="1048529" ht="12.75" customHeight="1" s="116"/>
    <row r="1048530" ht="12.75" customHeight="1" s="116"/>
    <row r="1048531" ht="12.75" customHeight="1" s="116"/>
    <row r="1048532" ht="12.75" customHeight="1" s="116"/>
    <row r="1048533" ht="12.75" customHeight="1" s="116"/>
    <row r="1048534" ht="12.75" customHeight="1" s="116"/>
    <row r="1048535" ht="12.75" customHeight="1" s="116"/>
    <row r="1048536" ht="12.75" customHeight="1" s="116"/>
    <row r="1048537" ht="12.75" customHeight="1" s="116"/>
    <row r="1048538" ht="12.75" customHeight="1" s="116"/>
    <row r="1048539" ht="12.75" customHeight="1" s="116"/>
    <row r="1048540" ht="12.75" customHeight="1" s="116"/>
    <row r="1048541" ht="12.75" customHeight="1" s="116"/>
    <row r="1048542" ht="12.75" customHeight="1" s="116"/>
    <row r="1048543" ht="12.75" customHeight="1" s="116"/>
    <row r="1048544" ht="12.75" customHeight="1" s="116"/>
    <row r="1048545" ht="12.75" customHeight="1" s="116"/>
    <row r="1048546" ht="12.75" customHeight="1" s="116"/>
    <row r="1048547" ht="12.75" customHeight="1" s="116"/>
    <row r="1048548" ht="12.75" customHeight="1" s="116"/>
    <row r="1048549" ht="12.75" customHeight="1" s="116"/>
    <row r="1048550" ht="12.75" customHeight="1" s="116"/>
    <row r="1048551" ht="12.75" customHeight="1" s="116"/>
    <row r="1048552" ht="12.75" customHeight="1" s="116"/>
    <row r="1048553" ht="12.75" customHeight="1" s="116"/>
    <row r="1048554" ht="12.75" customHeight="1" s="116"/>
    <row r="1048555" ht="12.75" customHeight="1" s="116"/>
    <row r="1048556" ht="12.75" customHeight="1" s="116"/>
    <row r="1048557" ht="12.75" customHeight="1" s="116"/>
    <row r="1048558" ht="12.75" customHeight="1" s="116"/>
    <row r="1048559" ht="12.75" customHeight="1" s="116"/>
    <row r="1048560" ht="12.75" customHeight="1" s="116"/>
    <row r="1048561" ht="12.75" customHeight="1" s="116"/>
    <row r="1048562" ht="12.75" customHeight="1" s="116"/>
    <row r="1048563" ht="12.75" customHeight="1" s="116"/>
    <row r="1048564" ht="12.75" customHeight="1" s="116"/>
    <row r="1048565" ht="12.75" customHeight="1" s="116"/>
    <row r="1048566" ht="12.75" customHeight="1" s="116"/>
    <row r="1048567" ht="12.75" customHeight="1" s="116"/>
    <row r="1048568" ht="12.75" customHeight="1" s="116"/>
    <row r="1048569" ht="12.75" customHeight="1" s="116"/>
    <row r="1048570" ht="12.75" customHeight="1" s="116"/>
    <row r="1048571" ht="12.75" customHeight="1" s="116"/>
    <row r="1048572" ht="12.75" customHeight="1" s="116"/>
    <row r="1048573" ht="12.75" customHeight="1" s="116"/>
    <row r="1048574" ht="12.75" customHeight="1" s="116"/>
    <row r="1048575" ht="12.75" customHeight="1" s="116"/>
    <row r="1048576" ht="12.75" customHeight="1" s="116"/>
  </sheetData>
  <mergeCells count="13">
    <mergeCell ref="M71:T71"/>
    <mergeCell ref="AH71:AI71"/>
    <mergeCell ref="AL71:AM71"/>
    <mergeCell ref="AJ71:AK71"/>
    <mergeCell ref="AP71:AQ71"/>
    <mergeCell ref="AN71:AO71"/>
    <mergeCell ref="Z71:AA71"/>
    <mergeCell ref="X71:Y71"/>
    <mergeCell ref="AD71:AE71"/>
    <mergeCell ref="AB71:AC71"/>
    <mergeCell ref="B71:F71"/>
    <mergeCell ref="AF71:AG71"/>
    <mergeCell ref="I7:K7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U340"/>
  <sheetViews>
    <sheetView showFormulas="0" showGridLines="1" showRowColHeaders="1" showZeros="1" rightToLeft="0" tabSelected="0" showOutlineSymbols="1" defaultGridColor="1" view="normal" topLeftCell="A250" colorId="64" zoomScale="100" zoomScaleNormal="100" zoomScalePageLayoutView="100" workbookViewId="0">
      <selection pane="topLeft" activeCell="P2" activeCellId="0" sqref="P2"/>
    </sheetView>
  </sheetViews>
  <sheetFormatPr baseColWidth="8" defaultColWidth="11.53515625" defaultRowHeight="13.5" zeroHeight="0" outlineLevelRow="0"/>
  <cols>
    <col width="23.97" customWidth="1" style="117" min="1" max="1"/>
    <col width="19.73" customWidth="1" style="117" min="13" max="13"/>
  </cols>
  <sheetData>
    <row r="1" ht="15" customHeight="1" s="116">
      <c r="A1" s="133" t="inlineStr">
        <is>
          <t>symbol</t>
        </is>
      </c>
      <c r="B1" s="133" t="inlineStr">
        <is>
          <t>strike</t>
        </is>
      </c>
      <c r="C1" s="133" t="inlineStr">
        <is>
          <t>delta</t>
        </is>
      </c>
      <c r="D1" s="133" t="inlineStr">
        <is>
          <t>gamma</t>
        </is>
      </c>
      <c r="E1" s="133" t="inlineStr">
        <is>
          <t>vega</t>
        </is>
      </c>
      <c r="F1" s="133" t="inlineStr">
        <is>
          <t>theta</t>
        </is>
      </c>
      <c r="G1" s="133" t="inlineStr">
        <is>
          <t>mark_price</t>
        </is>
      </c>
      <c r="H1" s="133" t="inlineStr">
        <is>
          <t>iv</t>
        </is>
      </c>
      <c r="I1" s="133" t="inlineStr">
        <is>
          <t>dte</t>
        </is>
      </c>
      <c r="J1" s="133" t="inlineStr">
        <is>
          <t>T</t>
        </is>
      </c>
      <c r="K1" s="133" t="inlineStr">
        <is>
          <t>type</t>
        </is>
      </c>
      <c r="L1" s="133" t="inlineStr">
        <is>
          <t>spot_price</t>
        </is>
      </c>
      <c r="M1" s="133" t="inlineStr">
        <is>
          <t>hedge_cost_per_day</t>
        </is>
      </c>
      <c r="N1" s="133" t="inlineStr">
        <is>
          <t>total_price</t>
        </is>
      </c>
      <c r="O1" s="133" t="inlineStr">
        <is>
          <t>position</t>
        </is>
      </c>
      <c r="P1" s="133" t="inlineStr">
        <is>
          <t>contracts</t>
        </is>
      </c>
      <c r="R1" s="117" t="inlineStr">
        <is>
          <t>Start</t>
        </is>
      </c>
      <c r="S1" s="117" t="inlineStr">
        <is>
          <t>Current</t>
        </is>
      </c>
    </row>
    <row r="2" ht="13.5" customHeight="1" s="116">
      <c r="A2" s="117">
        <f>MID_laeyr!B23</f>
        <v/>
      </c>
      <c r="B2" s="117">
        <f>VLOOKUP(A2,OptionBoard!$A$2:$M$86,2,FALSE())</f>
        <v/>
      </c>
      <c r="C2" s="117">
        <f>VLOOKUP(A2,OptionBoard!$A$2:$M$86,3,0)</f>
        <v/>
      </c>
      <c r="D2" s="117">
        <f>VLOOKUP(A2,OptionBoard!$A$2:$M$86,4,0)</f>
        <v/>
      </c>
      <c r="E2" s="117">
        <f>VLOOKUP(A2,OptionBoard!$A$2:$M$86,5,0)</f>
        <v/>
      </c>
      <c r="F2" s="117">
        <f>VLOOKUP(A2,OptionBoard!$A$2:$M$86,6,0)</f>
        <v/>
      </c>
      <c r="G2" s="117">
        <f>VLOOKUP(A2,MID_laeyr!$B$9:$H$19,7,0)</f>
        <v/>
      </c>
      <c r="H2" s="117">
        <f>VLOOKUP(A2,OptionBoard!$A$2:$M$86,8,0)</f>
        <v/>
      </c>
      <c r="I2" s="117">
        <f>VLOOKUP(A2,OptionBoard!$A$2:$M$86,9,0)</f>
        <v/>
      </c>
      <c r="J2" s="117">
        <f>VLOOKUP(A2,OptionBoard!$A$2:$M$86,10,0)</f>
        <v/>
      </c>
      <c r="K2" s="117">
        <f>VLOOKUP(A2,OptionBoard!$A$2:$M$86,11,FALSE())</f>
        <v/>
      </c>
      <c r="L2" s="117">
        <f>VLOOKUP(A2,OptionBoard!$A$2:$M$86,12,0)</f>
        <v/>
      </c>
      <c r="M2" s="117">
        <f>VLOOKUP(A2,OptionBoard!$A$2:$M$86,13,0)</f>
        <v/>
      </c>
      <c r="N2" s="134">
        <f>G2*P2</f>
        <v/>
      </c>
      <c r="O2" s="135" t="inlineStr">
        <is>
          <t>buy</t>
        </is>
      </c>
      <c r="P2" s="135">
        <f>MID_laeyr!G23</f>
        <v/>
      </c>
      <c r="R2" s="117">
        <f>G2</f>
        <v/>
      </c>
      <c r="S2" s="117">
        <f>VLOOKUP(A2,OptionBoard!$A$2:$G$93,7,FALSE())</f>
        <v/>
      </c>
      <c r="U2" s="117">
        <f>R2-S2</f>
        <v/>
      </c>
    </row>
    <row r="3" ht="13.5" customHeight="1" s="116">
      <c r="A3" s="117">
        <f>MID_laeyr!B24</f>
        <v/>
      </c>
      <c r="B3" s="117">
        <f>VLOOKUP(A3,OptionBoard!$A$2:$M$86,2,FALSE())</f>
        <v/>
      </c>
      <c r="C3" s="117">
        <f>VLOOKUP(A3,OptionBoard!$A$2:$M$86,3,0)</f>
        <v/>
      </c>
      <c r="D3" s="117">
        <f>VLOOKUP(A3,OptionBoard!$A$2:$M$86,4,0)</f>
        <v/>
      </c>
      <c r="E3" s="117">
        <f>VLOOKUP(A3,OptionBoard!$A$2:$M$86,5,0)</f>
        <v/>
      </c>
      <c r="F3" s="117">
        <f>VLOOKUP(A3,OptionBoard!$A$2:$M$86,6,0)</f>
        <v/>
      </c>
      <c r="G3" s="117">
        <f>VLOOKUP(A3,MID_laeyr!$B$9:$H$19,7,0)</f>
        <v/>
      </c>
      <c r="H3" s="117">
        <f>VLOOKUP(A3,OptionBoard!$A$2:$M$86,8,0)</f>
        <v/>
      </c>
      <c r="I3" s="117">
        <f>VLOOKUP(A3,OptionBoard!$A$2:$M$86,9,0)</f>
        <v/>
      </c>
      <c r="J3" s="117">
        <f>VLOOKUP(A3,OptionBoard!$A$2:$M$86,10,0)</f>
        <v/>
      </c>
      <c r="K3" s="117">
        <f>VLOOKUP(A3,OptionBoard!$A$2:$M$86,11,FALSE())</f>
        <v/>
      </c>
      <c r="L3" s="117">
        <f>VLOOKUP(A3,OptionBoard!$A$2:$M$86,12,0)</f>
        <v/>
      </c>
      <c r="M3" s="117">
        <f>VLOOKUP(A3,OptionBoard!$A$2:$M$86,13,0)</f>
        <v/>
      </c>
      <c r="N3" s="134">
        <f>G3*P3</f>
        <v/>
      </c>
      <c r="O3" s="135" t="inlineStr">
        <is>
          <t>buy</t>
        </is>
      </c>
      <c r="P3" s="135">
        <f>MID_laeyr!G24</f>
        <v/>
      </c>
      <c r="R3" s="117">
        <f>G3</f>
        <v/>
      </c>
      <c r="S3" s="117">
        <f>VLOOKUP(A3,OptionBoard!$A$2:$G$93,7,FALSE())</f>
        <v/>
      </c>
      <c r="U3" s="117">
        <f>R3-S3</f>
        <v/>
      </c>
    </row>
    <row r="4" ht="13.5" customHeight="1" s="116">
      <c r="A4" s="117">
        <f>MID_laeyr!B25</f>
        <v/>
      </c>
      <c r="B4" s="117">
        <f>VLOOKUP(A4,OptionBoard!$A$2:$M$86,2,FALSE())</f>
        <v/>
      </c>
      <c r="C4" s="117">
        <f>VLOOKUP(A4,OptionBoard!$A$2:$M$86,3,0)</f>
        <v/>
      </c>
      <c r="D4" s="117">
        <f>VLOOKUP(A4,OptionBoard!$A$2:$M$86,4,0)</f>
        <v/>
      </c>
      <c r="E4" s="117">
        <f>VLOOKUP(A4,OptionBoard!$A$2:$M$86,5,0)</f>
        <v/>
      </c>
      <c r="F4" s="117">
        <f>VLOOKUP(A4,OptionBoard!$A$2:$M$86,6,0)</f>
        <v/>
      </c>
      <c r="G4" s="117">
        <f>VLOOKUP(A4,MID_laeyr!$B$9:$H$19,7,0)</f>
        <v/>
      </c>
      <c r="H4" s="117">
        <f>VLOOKUP(A4,OptionBoard!$A$2:$M$86,8,0)</f>
        <v/>
      </c>
      <c r="I4" s="117">
        <f>VLOOKUP(A4,OptionBoard!$A$2:$M$86,9,0)</f>
        <v/>
      </c>
      <c r="J4" s="117">
        <f>VLOOKUP(A4,OptionBoard!$A$2:$M$86,10,0)</f>
        <v/>
      </c>
      <c r="K4" s="117">
        <f>VLOOKUP(A4,OptionBoard!$A$2:$M$86,11,FALSE())</f>
        <v/>
      </c>
      <c r="L4" s="117">
        <f>VLOOKUP(A4,OptionBoard!$A$2:$M$86,12,0)</f>
        <v/>
      </c>
      <c r="M4" s="117">
        <f>VLOOKUP(A4,OptionBoard!$A$2:$M$86,13,0)</f>
        <v/>
      </c>
      <c r="N4" s="134">
        <f>G4*P4</f>
        <v/>
      </c>
      <c r="O4" s="135" t="inlineStr">
        <is>
          <t>buy</t>
        </is>
      </c>
      <c r="P4" s="135">
        <f>MID_laeyr!G25</f>
        <v/>
      </c>
      <c r="R4" s="117" t="n">
        <v>1.4</v>
      </c>
      <c r="S4" s="117">
        <f>VLOOKUP(A4,OptionBoard!$A$2:$G$93,7,FALSE())</f>
        <v/>
      </c>
      <c r="U4" s="117">
        <f>R4-S4</f>
        <v/>
      </c>
    </row>
    <row r="5" ht="13.5" customHeight="1" s="116">
      <c r="A5" s="117">
        <f>MID_laeyr!B26</f>
        <v/>
      </c>
      <c r="B5" s="117">
        <f>VLOOKUP(A5,OptionBoard!$A$2:$M$86,2,FALSE())</f>
        <v/>
      </c>
      <c r="C5" s="117">
        <f>VLOOKUP(A5,OptionBoard!$A$2:$M$86,3,0)</f>
        <v/>
      </c>
      <c r="D5" s="117">
        <f>VLOOKUP(A5,OptionBoard!$A$2:$M$86,4,0)</f>
        <v/>
      </c>
      <c r="E5" s="117">
        <f>VLOOKUP(A5,OptionBoard!$A$2:$M$86,5,0)</f>
        <v/>
      </c>
      <c r="F5" s="117">
        <f>VLOOKUP(A5,OptionBoard!$A$2:$M$86,6,0)</f>
        <v/>
      </c>
      <c r="G5" s="117">
        <f>VLOOKUP(A5,MID_laeyr!$B$9:$H$19,7,0)</f>
        <v/>
      </c>
      <c r="H5" s="117">
        <f>VLOOKUP(A5,OptionBoard!$A$2:$M$86,8,0)</f>
        <v/>
      </c>
      <c r="I5" s="117">
        <f>VLOOKUP(A5,OptionBoard!$A$2:$M$86,9,0)</f>
        <v/>
      </c>
      <c r="J5" s="117">
        <f>VLOOKUP(A5,OptionBoard!$A$2:$M$86,10,0)</f>
        <v/>
      </c>
      <c r="K5" s="117">
        <f>VLOOKUP(A5,OptionBoard!$A$2:$M$86,11,FALSE())</f>
        <v/>
      </c>
      <c r="L5" s="117">
        <f>VLOOKUP(A5,OptionBoard!$A$2:$M$86,12,0)</f>
        <v/>
      </c>
      <c r="M5" s="117">
        <f>VLOOKUP(A5,OptionBoard!$A$2:$M$86,13,0)</f>
        <v/>
      </c>
      <c r="N5" s="134">
        <f>G5*P5</f>
        <v/>
      </c>
      <c r="O5" s="135" t="inlineStr">
        <is>
          <t>buy</t>
        </is>
      </c>
      <c r="P5" s="135">
        <f>MID_laeyr!G26</f>
        <v/>
      </c>
      <c r="R5" s="117">
        <f>G5</f>
        <v/>
      </c>
      <c r="S5" s="117">
        <f>VLOOKUP(A5,OptionBoard!$A$2:$G$93,7,FALSE())</f>
        <v/>
      </c>
      <c r="U5" s="117">
        <f>R5-S5</f>
        <v/>
      </c>
    </row>
    <row r="6" ht="13.5" customHeight="1" s="116">
      <c r="A6" s="117">
        <f>MID_laeyr!B27</f>
        <v/>
      </c>
      <c r="B6" s="117">
        <f>VLOOKUP(A6,OptionBoard!$A$2:$M$86,2,FALSE())</f>
        <v/>
      </c>
      <c r="C6" s="117">
        <f>VLOOKUP(A6,OptionBoard!$A$2:$M$86,3,0)</f>
        <v/>
      </c>
      <c r="D6" s="117">
        <f>VLOOKUP(A6,OptionBoard!$A$2:$M$86,4,0)</f>
        <v/>
      </c>
      <c r="E6" s="117">
        <f>VLOOKUP(A6,OptionBoard!$A$2:$M$86,5,0)</f>
        <v/>
      </c>
      <c r="F6" s="117">
        <f>VLOOKUP(A6,OptionBoard!$A$2:$M$86,6,0)</f>
        <v/>
      </c>
      <c r="G6" s="117">
        <f>VLOOKUP(A6,MID_laeyr!$B$9:$H$19,7,0)</f>
        <v/>
      </c>
      <c r="H6" s="117">
        <f>VLOOKUP(A6,OptionBoard!$A$2:$M$86,8,0)</f>
        <v/>
      </c>
      <c r="I6" s="117">
        <f>VLOOKUP(A6,OptionBoard!$A$2:$M$86,9,0)</f>
        <v/>
      </c>
      <c r="J6" s="117">
        <f>VLOOKUP(A6,OptionBoard!$A$2:$M$86,10,0)</f>
        <v/>
      </c>
      <c r="K6" s="117">
        <f>VLOOKUP(A6,OptionBoard!$A$2:$M$86,11,FALSE())</f>
        <v/>
      </c>
      <c r="L6" s="117">
        <f>VLOOKUP(A6,OptionBoard!$A$2:$M$86,12,0)</f>
        <v/>
      </c>
      <c r="M6" s="117">
        <f>VLOOKUP(A6,OptionBoard!$A$2:$M$86,13,0)</f>
        <v/>
      </c>
      <c r="N6" s="134">
        <f>G6*P6</f>
        <v/>
      </c>
      <c r="O6" s="135" t="inlineStr">
        <is>
          <t>buy</t>
        </is>
      </c>
      <c r="P6" s="135">
        <f>MID_laeyr!G27</f>
        <v/>
      </c>
      <c r="R6" s="117">
        <f>G6</f>
        <v/>
      </c>
      <c r="S6" s="117">
        <f>VLOOKUP(A6,OptionBoard!$A$2:$G$93,7,FALSE())</f>
        <v/>
      </c>
      <c r="U6" s="117">
        <f>R6-S6</f>
        <v/>
      </c>
    </row>
    <row r="7" ht="13.5" customHeight="1" s="116">
      <c r="A7" s="117">
        <f>MID_laeyr!B28</f>
        <v/>
      </c>
      <c r="B7" s="117">
        <f>VLOOKUP(A7,OptionBoard!$A$2:$M$86,2,FALSE())</f>
        <v/>
      </c>
      <c r="C7" s="117">
        <f>VLOOKUP(A7,OptionBoard!$A$2:$M$86,3,0)</f>
        <v/>
      </c>
      <c r="D7" s="117">
        <f>VLOOKUP(A7,OptionBoard!$A$2:$M$86,4,0)</f>
        <v/>
      </c>
      <c r="E7" s="117">
        <f>VLOOKUP(A7,OptionBoard!$A$2:$M$86,5,0)</f>
        <v/>
      </c>
      <c r="F7" s="117">
        <f>VLOOKUP(A7,OptionBoard!$A$2:$M$86,6,0)</f>
        <v/>
      </c>
      <c r="G7" s="117">
        <f>VLOOKUP(A7,MID_laeyr!$B$9:$H$19,7,0)</f>
        <v/>
      </c>
      <c r="H7" s="117">
        <f>VLOOKUP(A7,OptionBoard!$A$2:$M$86,8,0)</f>
        <v/>
      </c>
      <c r="I7" s="117">
        <f>VLOOKUP(A7,OptionBoard!$A$2:$M$86,9,0)</f>
        <v/>
      </c>
      <c r="J7" s="117">
        <f>VLOOKUP(A7,OptionBoard!$A$2:$M$86,10,0)</f>
        <v/>
      </c>
      <c r="K7" s="117">
        <f>VLOOKUP(A7,OptionBoard!$A$2:$M$86,11,FALSE())</f>
        <v/>
      </c>
      <c r="L7" s="117">
        <f>VLOOKUP(A7,OptionBoard!$A$2:$M$86,12,0)</f>
        <v/>
      </c>
      <c r="M7" s="117">
        <f>VLOOKUP(A7,OptionBoard!$A$2:$M$86,13,0)</f>
        <v/>
      </c>
      <c r="N7" s="134">
        <f>G7*P7</f>
        <v/>
      </c>
      <c r="O7" s="135" t="inlineStr">
        <is>
          <t>buy</t>
        </is>
      </c>
      <c r="P7" s="135">
        <f>MID_laeyr!G28</f>
        <v/>
      </c>
      <c r="R7" s="117">
        <f>G7</f>
        <v/>
      </c>
      <c r="S7" s="117">
        <f>VLOOKUP(A7,OptionBoard!$A$2:$G$93,7,FALSE())</f>
        <v/>
      </c>
      <c r="U7" s="117">
        <f>R7-S7</f>
        <v/>
      </c>
    </row>
    <row r="8" ht="13.5" customHeight="1" s="116">
      <c r="A8" s="117">
        <f>MID_laeyr!B29</f>
        <v/>
      </c>
      <c r="B8" s="117">
        <f>VLOOKUP(A8,OptionBoard!$A$2:$M$86,2,FALSE())</f>
        <v/>
      </c>
      <c r="C8" s="117">
        <f>VLOOKUP(A8,OptionBoard!$A$2:$M$86,3,0)</f>
        <v/>
      </c>
      <c r="D8" s="117">
        <f>VLOOKUP(A8,OptionBoard!$A$2:$M$86,4,0)</f>
        <v/>
      </c>
      <c r="E8" s="117">
        <f>VLOOKUP(A8,OptionBoard!$A$2:$M$86,5,0)</f>
        <v/>
      </c>
      <c r="F8" s="117">
        <f>VLOOKUP(A8,OptionBoard!$A$2:$M$86,6,0)</f>
        <v/>
      </c>
      <c r="G8" s="117">
        <f>VLOOKUP(A8,MID_laeyr!$B$9:$H$19,7,0)</f>
        <v/>
      </c>
      <c r="H8" s="117">
        <f>VLOOKUP(A8,OptionBoard!$A$2:$M$86,8,0)</f>
        <v/>
      </c>
      <c r="I8" s="117">
        <f>VLOOKUP(A8,OptionBoard!$A$2:$M$86,9,0)</f>
        <v/>
      </c>
      <c r="J8" s="117">
        <f>VLOOKUP(A8,OptionBoard!$A$2:$M$86,10,0)</f>
        <v/>
      </c>
      <c r="K8" s="117">
        <f>VLOOKUP(A8,OptionBoard!$A$2:$M$86,11,FALSE())</f>
        <v/>
      </c>
      <c r="L8" s="117">
        <f>VLOOKUP(A8,OptionBoard!$A$2:$M$86,12,0)</f>
        <v/>
      </c>
      <c r="M8" s="117">
        <f>VLOOKUP(A8,OptionBoard!$A$2:$M$86,13,0)</f>
        <v/>
      </c>
      <c r="N8" s="134">
        <f>G8*P8</f>
        <v/>
      </c>
      <c r="O8" s="135" t="inlineStr">
        <is>
          <t>buy</t>
        </is>
      </c>
      <c r="P8" s="135">
        <f>MID_laeyr!G29</f>
        <v/>
      </c>
      <c r="R8" s="117" t="n"/>
      <c r="S8" s="117">
        <f>VLOOKUP(A8,OptionBoard!$A$2:$G$93,7,FALSE())</f>
        <v/>
      </c>
      <c r="U8" s="117">
        <f>R8-S8</f>
        <v/>
      </c>
    </row>
    <row r="9" ht="13.5" customHeight="1" s="116">
      <c r="A9" s="117">
        <f>MID_laeyr!B30</f>
        <v/>
      </c>
      <c r="B9" s="117">
        <f>VLOOKUP(A9,OptionBoard!$A$2:$M$86,2,FALSE())</f>
        <v/>
      </c>
      <c r="C9" s="117">
        <f>VLOOKUP(A9,OptionBoard!$A$2:$M$86,3,0)</f>
        <v/>
      </c>
      <c r="D9" s="117">
        <f>VLOOKUP(A9,OptionBoard!$A$2:$M$86,4,0)</f>
        <v/>
      </c>
      <c r="E9" s="117">
        <f>VLOOKUP(A9,OptionBoard!$A$2:$M$86,5,0)</f>
        <v/>
      </c>
      <c r="F9" s="117">
        <f>VLOOKUP(A9,OptionBoard!$A$2:$M$86,6,0)</f>
        <v/>
      </c>
      <c r="G9" s="117">
        <f>VLOOKUP(A9,MID_laeyr!$B$9:$H$19,7,0)</f>
        <v/>
      </c>
      <c r="H9" s="117">
        <f>VLOOKUP(A9,OptionBoard!$A$2:$M$86,8,0)</f>
        <v/>
      </c>
      <c r="I9" s="117">
        <f>VLOOKUP(A9,OptionBoard!$A$2:$M$86,9,0)</f>
        <v/>
      </c>
      <c r="J9" s="117">
        <f>VLOOKUP(A9,OptionBoard!$A$2:$M$86,10,0)</f>
        <v/>
      </c>
      <c r="K9" s="117">
        <f>VLOOKUP(A9,OptionBoard!$A$2:$M$86,11,FALSE())</f>
        <v/>
      </c>
      <c r="L9" s="117">
        <f>VLOOKUP(A9,OptionBoard!$A$2:$M$86,12,0)</f>
        <v/>
      </c>
      <c r="M9" s="117">
        <f>VLOOKUP(A9,OptionBoard!$A$2:$M$86,13,0)</f>
        <v/>
      </c>
      <c r="N9" s="134">
        <f>G9*P9</f>
        <v/>
      </c>
      <c r="O9" s="135" t="inlineStr">
        <is>
          <t>buy</t>
        </is>
      </c>
      <c r="P9" s="135">
        <f>MID_laeyr!G30</f>
        <v/>
      </c>
      <c r="R9" s="117" t="n"/>
      <c r="S9" s="117">
        <f>VLOOKUP(A9,OptionBoard!$A$2:$G$93,7,FALSE())</f>
        <v/>
      </c>
      <c r="U9" s="117">
        <f>R9-S9</f>
        <v/>
      </c>
    </row>
    <row r="10" ht="13.5" customHeight="1" s="116">
      <c r="A10" s="117">
        <f>MID_laeyr!B31</f>
        <v/>
      </c>
      <c r="B10" s="117">
        <f>VLOOKUP(A10,OptionBoard!$A$2:$M$86,2,FALSE())</f>
        <v/>
      </c>
      <c r="C10" s="117">
        <f>VLOOKUP(A10,OptionBoard!$A$2:$M$86,3,0)</f>
        <v/>
      </c>
      <c r="D10" s="117">
        <f>VLOOKUP(A10,OptionBoard!$A$2:$M$86,4,0)</f>
        <v/>
      </c>
      <c r="E10" s="117">
        <f>VLOOKUP(A10,OptionBoard!$A$2:$M$86,5,0)</f>
        <v/>
      </c>
      <c r="F10" s="117">
        <f>VLOOKUP(A10,OptionBoard!$A$2:$M$86,6,0)</f>
        <v/>
      </c>
      <c r="G10" s="117">
        <f>VLOOKUP(A10,MID_laeyr!$B$9:$H$19,7,0)</f>
        <v/>
      </c>
      <c r="H10" s="117">
        <f>VLOOKUP(A10,OptionBoard!$A$2:$M$86,8,0)</f>
        <v/>
      </c>
      <c r="I10" s="117">
        <f>VLOOKUP(A10,OptionBoard!$A$2:$M$86,9,0)</f>
        <v/>
      </c>
      <c r="J10" s="117">
        <f>VLOOKUP(A10,OptionBoard!$A$2:$M$86,10,0)</f>
        <v/>
      </c>
      <c r="K10" s="117">
        <f>VLOOKUP(A10,OptionBoard!$A$2:$M$86,11,FALSE())</f>
        <v/>
      </c>
      <c r="L10" s="117">
        <f>VLOOKUP(A10,OptionBoard!$A$2:$M$86,12,0)</f>
        <v/>
      </c>
      <c r="M10" s="117">
        <f>VLOOKUP(A10,OptionBoard!$A$2:$M$86,13,0)</f>
        <v/>
      </c>
      <c r="N10" s="134">
        <f>G10*P10</f>
        <v/>
      </c>
      <c r="O10" s="135" t="inlineStr">
        <is>
          <t>buy</t>
        </is>
      </c>
      <c r="P10" s="135">
        <f>MID_laeyr!G31</f>
        <v/>
      </c>
      <c r="R10" s="117" t="n"/>
      <c r="S10" s="117">
        <f>VLOOKUP(A10,OptionBoard!$A$2:$G$93,7,FALSE())</f>
        <v/>
      </c>
      <c r="U10" s="117">
        <f>R10-S10</f>
        <v/>
      </c>
    </row>
    <row r="11" ht="13.5" customHeight="1" s="116">
      <c r="A11" s="117">
        <f>MID_laeyr!B32</f>
        <v/>
      </c>
      <c r="B11" s="117">
        <f>VLOOKUP(A11,OptionBoard!$A$2:$M$86,2,FALSE())</f>
        <v/>
      </c>
      <c r="C11" s="117">
        <f>VLOOKUP(A11,OptionBoard!$A$2:$M$86,3,0)</f>
        <v/>
      </c>
      <c r="D11" s="117">
        <f>VLOOKUP(A11,OptionBoard!$A$2:$M$86,4,0)</f>
        <v/>
      </c>
      <c r="E11" s="117">
        <f>VLOOKUP(A11,OptionBoard!$A$2:$M$86,5,0)</f>
        <v/>
      </c>
      <c r="F11" s="117">
        <f>VLOOKUP(A11,OptionBoard!$A$2:$M$86,6,0)</f>
        <v/>
      </c>
      <c r="G11" s="117">
        <f>VLOOKUP(A11,MID_laeyr!$B$9:$H$19,7,0)</f>
        <v/>
      </c>
      <c r="H11" s="117">
        <f>VLOOKUP(A11,OptionBoard!$A$2:$M$86,8,0)</f>
        <v/>
      </c>
      <c r="I11" s="117">
        <f>VLOOKUP(A11,OptionBoard!$A$2:$M$86,9,0)</f>
        <v/>
      </c>
      <c r="J11" s="117">
        <f>VLOOKUP(A11,OptionBoard!$A$2:$M$86,10,0)</f>
        <v/>
      </c>
      <c r="K11" s="117">
        <f>VLOOKUP(A11,OptionBoard!$A$2:$M$86,11,FALSE())</f>
        <v/>
      </c>
      <c r="L11" s="117">
        <f>VLOOKUP(A11,OptionBoard!$A$2:$M$86,12,0)</f>
        <v/>
      </c>
      <c r="M11" s="117">
        <f>VLOOKUP(A11,OptionBoard!$A$2:$M$86,13,0)</f>
        <v/>
      </c>
      <c r="N11" s="134">
        <f>G11*P11</f>
        <v/>
      </c>
      <c r="O11" s="135" t="inlineStr">
        <is>
          <t>buy</t>
        </is>
      </c>
      <c r="P11" s="135">
        <f>MID_laeyr!G32</f>
        <v/>
      </c>
      <c r="R11" s="117" t="n"/>
      <c r="S11" s="117">
        <f>VLOOKUP(A11,OptionBoard!$A$2:$G$93,7,FALSE())</f>
        <v/>
      </c>
      <c r="U11" s="117">
        <f>R11-S11</f>
        <v/>
      </c>
    </row>
    <row r="12" ht="13.5" customHeight="1" s="116">
      <c r="N12" s="134" t="n"/>
      <c r="O12" s="135" t="n"/>
      <c r="P12" s="135" t="n"/>
    </row>
    <row r="13" ht="13.5" customHeight="1" s="116">
      <c r="B13" s="118" t="n"/>
      <c r="C13" s="136" t="n"/>
      <c r="D13" s="136" t="n"/>
      <c r="E13" s="136" t="n"/>
      <c r="F13" s="136" t="n"/>
      <c r="G13" s="136" t="n"/>
      <c r="H13" s="118" t="n"/>
      <c r="I13" s="118" t="n"/>
      <c r="J13" s="136" t="n"/>
      <c r="K13" s="118" t="n"/>
      <c r="L13" s="118" t="n"/>
      <c r="M13" s="118" t="n"/>
      <c r="N13" s="118" t="n"/>
      <c r="O13" s="118" t="n"/>
      <c r="P13" s="118" t="n"/>
    </row>
    <row r="14" ht="13.5" customHeight="1" s="116">
      <c r="A14" s="117" t="inlineStr">
        <is>
          <t>Now_Greeks</t>
        </is>
      </c>
      <c r="C14" s="117">
        <f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</f>
        <v/>
      </c>
      <c r="D14" s="117">
        <f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</f>
        <v/>
      </c>
      <c r="E14" s="117">
        <f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</f>
        <v/>
      </c>
      <c r="F14" s="117">
        <f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</f>
        <v/>
      </c>
      <c r="G14" s="117">
        <f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</f>
        <v/>
      </c>
      <c r="H14" s="117" t="n"/>
      <c r="M14" s="117">
        <f>M2*P2+M3*P3+M5*P5+M4*P4+M6*P6+M7*P7+M8*P8+M9*P9+M10*P10</f>
        <v/>
      </c>
      <c r="S14" s="117">
        <f>F14/C14</f>
        <v/>
      </c>
    </row>
    <row r="16" ht="17.25" customHeight="1" s="116">
      <c r="A16" s="117">
        <f>A2</f>
        <v/>
      </c>
      <c r="B16" s="137" t="n"/>
      <c r="C16" s="133" t="inlineStr">
        <is>
          <t>delta</t>
        </is>
      </c>
      <c r="D16" s="133" t="inlineStr">
        <is>
          <t>gamma</t>
        </is>
      </c>
      <c r="E16" s="133" t="inlineStr">
        <is>
          <t>vega</t>
        </is>
      </c>
      <c r="F16" s="133" t="inlineStr">
        <is>
          <t>theta</t>
        </is>
      </c>
      <c r="G16" s="133" t="inlineStr">
        <is>
          <t>mark_price</t>
        </is>
      </c>
      <c r="I16" s="133" t="inlineStr">
        <is>
          <t>d1</t>
        </is>
      </c>
      <c r="J16" s="133" t="inlineStr">
        <is>
          <t>d2</t>
        </is>
      </c>
    </row>
    <row r="17" ht="13.5" customHeight="1" s="116">
      <c r="B17" s="138">
        <f>Portfolio!B28</f>
        <v/>
      </c>
      <c r="C17" s="139">
        <f>IF($O$2="sell",-1,1) *  IF($K$2="call",  NORMDIST(I17,0,1,1),  NORMDIST(I17,0,1,1)-1  ) * $P$2</f>
        <v/>
      </c>
      <c r="D17" s="139">
        <f>IF($O$2="sell",-1,1) * NORMDIST(I17,0,1,0)/(B17*$H$2*SQRT($J$2)) * $P$2</f>
        <v/>
      </c>
      <c r="E17" s="139">
        <f>IF($O$2="sell",-1,1) * (B17*NORMDIST(I17,0,1,0)*SQRT($J$2)/365) * $P$2</f>
        <v/>
      </c>
      <c r="F17" s="139">
        <f>IF($O$2="sell",-1,1) * (-(B17*NORMDIST(I17,0,1,0)*$H$2)/(2*SQRT($J$2))/365) *$P$2</f>
        <v/>
      </c>
      <c r="G17" s="139">
        <f>IF($O$2="buy",1,-1)*( IF($K$2="call",B17*NORMDIST(I17,0,1,1) - $B$2*NORMDIST(J17,0,1,1),$B$2*NORMDIST(-J17,0,1,1) - B17*NORMDIST(-I17,0,1,1) ) - $G$2) * $P$2</f>
        <v/>
      </c>
      <c r="I17" s="140">
        <f>(LN(B17/$B$2)+($H$2^2/2)*($J$2))/($H$2*SQRT($J$2))</f>
        <v/>
      </c>
      <c r="J17" s="140">
        <f>I17 - $H$2*SQRT($J$2)</f>
        <v/>
      </c>
    </row>
    <row r="18" ht="13.5" customHeight="1" s="116">
      <c r="B18" s="138">
        <f>Portfolio!B29</f>
        <v/>
      </c>
      <c r="C18" s="139">
        <f>IF($O$2="sell",-1,1) *  IF($K$2="call",  NORMDIST(I18,0,1,1),  NORMDIST(I18,0,1,1)-1  ) * $P$2</f>
        <v/>
      </c>
      <c r="D18" s="139">
        <f>IF($O$2="sell",-1,1) * NORMDIST(I18,0,1,0)/(B18*$H$2*SQRT($J$2)) * $P$2</f>
        <v/>
      </c>
      <c r="E18" s="139">
        <f>IF($O$2="sell",-1,1) * (B18*NORMDIST(I18,0,1,0)*SQRT($J$2)/365) * $P$2</f>
        <v/>
      </c>
      <c r="F18" s="139">
        <f>IF($O$2="sell",-1,1) * (-(B18*NORMDIST(I18,0,1,0)*$H$2)/(2*SQRT($J$2))/365) *$P$2</f>
        <v/>
      </c>
      <c r="G18" s="139">
        <f>IF($O$2="buy",1,-1)*( IF($K$2="call",B18*NORMDIST(I18,0,1,1) - $B$2*NORMDIST(J18,0,1,1),$B$2*NORMDIST(-J18,0,1,1) - B18*NORMDIST(-I18,0,1,1) ) - $G$2) * $P$2</f>
        <v/>
      </c>
      <c r="I18" s="140">
        <f>(LN(B18/$B$2)+($H$2^2/2)*($J$2))/($H$2*SQRT($J$2))</f>
        <v/>
      </c>
      <c r="J18" s="140">
        <f>I18 - $H$2*SQRT($J$2)</f>
        <v/>
      </c>
      <c r="L18" s="117" t="n"/>
    </row>
    <row r="19" ht="13.5" customHeight="1" s="116">
      <c r="B19" s="138">
        <f>Portfolio!B30</f>
        <v/>
      </c>
      <c r="C19" s="139">
        <f>IF($O$2="sell",-1,1) *  IF($K$2="call",  NORMDIST(I19,0,1,1),  NORMDIST(I19,0,1,1)-1  ) * $P$2</f>
        <v/>
      </c>
      <c r="D19" s="139">
        <f>IF($O$2="sell",-1,1) * NORMDIST(I19,0,1,0)/(B19*$H$2*SQRT($J$2)) * $P$2</f>
        <v/>
      </c>
      <c r="E19" s="139">
        <f>IF($O$2="sell",-1,1) * (B19*NORMDIST(I19,0,1,0)*SQRT($J$2)/365) * $P$2</f>
        <v/>
      </c>
      <c r="F19" s="139">
        <f>IF($O$2="sell",-1,1) * (-(B19*NORMDIST(I19,0,1,0)*$H$2)/(2*SQRT($J$2))/365) *$P$2</f>
        <v/>
      </c>
      <c r="G19" s="139">
        <f>IF($O$2="buy",1,-1)*( IF($K$2="call",B19*NORMDIST(I19,0,1,1) - $B$2*NORMDIST(J19,0,1,1),$B$2*NORMDIST(-J19,0,1,1) - B19*NORMDIST(-I19,0,1,1) ) - $G$2) * $P$2</f>
        <v/>
      </c>
      <c r="I19" s="140">
        <f>(LN(B19/$B$2)+($H$2^2/2)*($J$2))/($H$2*SQRT($J$2))</f>
        <v/>
      </c>
      <c r="J19" s="140">
        <f>I19 - $H$2*SQRT($J$2)</f>
        <v/>
      </c>
      <c r="L19" s="117" t="n"/>
      <c r="M19" s="141" t="n"/>
    </row>
    <row r="20" ht="13.5" customHeight="1" s="116">
      <c r="B20" s="138">
        <f>Portfolio!B31</f>
        <v/>
      </c>
      <c r="C20" s="139">
        <f>IF($O$2="sell",-1,1) *  IF($K$2="call",  NORMDIST(I20,0,1,1),  NORMDIST(I20,0,1,1)-1  ) * $P$2</f>
        <v/>
      </c>
      <c r="D20" s="139">
        <f>IF($O$2="sell",-1,1) * NORMDIST(I20,0,1,0)/(B20*$H$2*SQRT($J$2)) * $P$2</f>
        <v/>
      </c>
      <c r="E20" s="139">
        <f>IF($O$2="sell",-1,1) * (B20*NORMDIST(I20,0,1,0)*SQRT($J$2)/365) * $P$2</f>
        <v/>
      </c>
      <c r="F20" s="139">
        <f>IF($O$2="sell",-1,1) * (-(B20*NORMDIST(I20,0,1,0)*$H$2)/(2*SQRT($J$2))/365) *$P$2</f>
        <v/>
      </c>
      <c r="G20" s="139">
        <f>IF($O$2="buy",1,-1)*( IF($K$2="call",B20*NORMDIST(I20,0,1,1) - $B$2*NORMDIST(J20,0,1,1),$B$2*NORMDIST(-J20,0,1,1) - B20*NORMDIST(-I20,0,1,1) ) - $G$2) * $P$2</f>
        <v/>
      </c>
      <c r="I20" s="140">
        <f>(LN(B20/$B$2)+($H$2^2/2)*($J$2))/($H$2*SQRT($J$2))</f>
        <v/>
      </c>
      <c r="J20" s="140">
        <f>I20 - $H$2*SQRT($J$2)</f>
        <v/>
      </c>
      <c r="L20" s="117" t="n"/>
      <c r="M20" s="141" t="n"/>
      <c r="N20" s="141" t="n"/>
    </row>
    <row r="21" ht="13.5" customHeight="1" s="116">
      <c r="B21" s="138">
        <f>Portfolio!B32</f>
        <v/>
      </c>
      <c r="C21" s="139">
        <f>IF($O$2="sell",-1,1) *  IF($K$2="call",  NORMDIST(I21,0,1,1),  NORMDIST(I21,0,1,1)-1  ) * $P$2</f>
        <v/>
      </c>
      <c r="D21" s="139">
        <f>IF($O$2="sell",-1,1) * NORMDIST(I21,0,1,0)/(B21*$H$2*SQRT($J$2)) * $P$2</f>
        <v/>
      </c>
      <c r="E21" s="139">
        <f>IF($O$2="sell",-1,1) * (B21*NORMDIST(I21,0,1,0)*SQRT($J$2)/365) * $P$2</f>
        <v/>
      </c>
      <c r="F21" s="139">
        <f>IF($O$2="sell",-1,1) * (-(B21*NORMDIST(I21,0,1,0)*$H$2)/(2*SQRT($J$2))/365) *$P$2</f>
        <v/>
      </c>
      <c r="G21" s="139">
        <f>IF($O$2="buy",1,-1)*( IF($K$2="call",B21*NORMDIST(I21,0,1,1) - $B$2*NORMDIST(J21,0,1,1),$B$2*NORMDIST(-J21,0,1,1) - B21*NORMDIST(-I21,0,1,1) ) - $G$2) * $P$2</f>
        <v/>
      </c>
      <c r="I21" s="140">
        <f>(LN(B21/$B$2)+($H$2^2/2)*($J$2))/($H$2*SQRT($J$2))</f>
        <v/>
      </c>
      <c r="J21" s="140">
        <f>I21 - $H$2*SQRT($J$2)</f>
        <v/>
      </c>
      <c r="L21" s="117" t="n"/>
      <c r="M21" s="141" t="n"/>
      <c r="N21" s="141" t="n"/>
    </row>
    <row r="22" ht="13.5" customHeight="1" s="116">
      <c r="B22" s="138">
        <f>Portfolio!B33</f>
        <v/>
      </c>
      <c r="C22" s="139">
        <f>IF($O$2="sell",-1,1) *  IF($K$2="call",  NORMDIST(I22,0,1,1),  NORMDIST(I22,0,1,1)-1  ) * $P$2</f>
        <v/>
      </c>
      <c r="D22" s="139">
        <f>IF($O$2="sell",-1,1) * NORMDIST(I22,0,1,0)/(B22*$H$2*SQRT($J$2)) * $P$2</f>
        <v/>
      </c>
      <c r="E22" s="139">
        <f>IF($O$2="sell",-1,1) * (B22*NORMDIST(I22,0,1,0)*SQRT($J$2)/365) * $P$2</f>
        <v/>
      </c>
      <c r="F22" s="139">
        <f>IF($O$2="sell",-1,1) * (-(B22*NORMDIST(I22,0,1,0)*$H$2)/(2*SQRT($J$2))/365) *$P$2</f>
        <v/>
      </c>
      <c r="G22" s="139">
        <f>IF($O$2="buy",1,-1)*( IF($K$2="call",B22*NORMDIST(I22,0,1,1) - $B$2*NORMDIST(J22,0,1,1),$B$2*NORMDIST(-J22,0,1,1) - B22*NORMDIST(-I22,0,1,1) ) - $G$2) * $P$2</f>
        <v/>
      </c>
      <c r="I22" s="140">
        <f>(LN(B22/$B$2)+($H$2^2/2)*($J$2))/($H$2*SQRT($J$2))</f>
        <v/>
      </c>
      <c r="J22" s="140">
        <f>I22 - $H$2*SQRT($J$2)</f>
        <v/>
      </c>
      <c r="L22" s="117" t="n"/>
      <c r="M22" s="141" t="n"/>
      <c r="N22" s="141" t="n"/>
    </row>
    <row r="23" ht="13.5" customHeight="1" s="116">
      <c r="B23" s="138">
        <f>Portfolio!B34</f>
        <v/>
      </c>
      <c r="C23" s="139">
        <f>IF($O$2="sell",-1,1) *  IF($K$2="call",  NORMDIST(I23,0,1,1),  NORMDIST(I23,0,1,1)-1  ) * $P$2</f>
        <v/>
      </c>
      <c r="D23" s="139">
        <f>IF($O$2="sell",-1,1) * NORMDIST(I23,0,1,0)/(B23*$H$2*SQRT($J$2)) * $P$2</f>
        <v/>
      </c>
      <c r="E23" s="139">
        <f>IF($O$2="sell",-1,1) * (B23*NORMDIST(I23,0,1,0)*SQRT($J$2)/365) * $P$2</f>
        <v/>
      </c>
      <c r="F23" s="139">
        <f>IF($O$2="sell",-1,1) * (-(B23*NORMDIST(I23,0,1,0)*$H$2)/(2*SQRT($J$2))/365) *$P$2</f>
        <v/>
      </c>
      <c r="G23" s="139">
        <f>IF($O$2="buy",1,-1)*( IF($K$2="call",B23*NORMDIST(I23,0,1,1) - $B$2*NORMDIST(J23,0,1,1),$B$2*NORMDIST(-J23,0,1,1) - B23*NORMDIST(-I23,0,1,1) ) - $G$2) * $P$2</f>
        <v/>
      </c>
      <c r="I23" s="140">
        <f>(LN(B23/$B$2)+($H$2^2/2)*($J$2))/($H$2*SQRT($J$2))</f>
        <v/>
      </c>
      <c r="J23" s="140">
        <f>I23 - $H$2*SQRT($J$2)</f>
        <v/>
      </c>
      <c r="L23" s="117" t="n"/>
      <c r="M23" s="141" t="n"/>
      <c r="N23" s="141" t="n"/>
    </row>
    <row r="24" ht="13.5" customHeight="1" s="116">
      <c r="B24" s="138">
        <f>Portfolio!B35</f>
        <v/>
      </c>
      <c r="C24" s="139">
        <f>IF($O$2="sell",-1,1) *  IF($K$2="call",  NORMDIST(I24,0,1,1),  NORMDIST(I24,0,1,1)-1  ) * $P$2</f>
        <v/>
      </c>
      <c r="D24" s="139">
        <f>IF($O$2="sell",-1,1) * NORMDIST(I24,0,1,0)/(B24*$H$2*SQRT($J$2)) * $P$2</f>
        <v/>
      </c>
      <c r="E24" s="139">
        <f>IF($O$2="sell",-1,1) * (B24*NORMDIST(I24,0,1,0)*SQRT($J$2)/365) * $P$2</f>
        <v/>
      </c>
      <c r="F24" s="139">
        <f>IF($O$2="sell",-1,1) * (-(B24*NORMDIST(I24,0,1,0)*$H$2)/(2*SQRT($J$2))/365) *$P$2</f>
        <v/>
      </c>
      <c r="G24" s="139">
        <f>IF($O$2="buy",1,-1)*( IF($K$2="call",B24*NORMDIST(I24,0,1,1) - $B$2*NORMDIST(J24,0,1,1),$B$2*NORMDIST(-J24,0,1,1) - B24*NORMDIST(-I24,0,1,1) ) - $G$2) * $P$2</f>
        <v/>
      </c>
      <c r="I24" s="140">
        <f>(LN(B24/$B$2)+($H$2^2/2)*($J$2))/($H$2*SQRT($J$2))</f>
        <v/>
      </c>
      <c r="J24" s="140">
        <f>I24 - $H$2*SQRT($J$2)</f>
        <v/>
      </c>
      <c r="L24" s="117" t="n"/>
      <c r="M24" s="141" t="n"/>
      <c r="N24" s="141" t="n"/>
    </row>
    <row r="25" ht="13.5" customHeight="1" s="116">
      <c r="B25" s="138">
        <f>Portfolio!B36</f>
        <v/>
      </c>
      <c r="C25" s="139">
        <f>IF($O$2="sell",-1,1) *  IF($K$2="call",  NORMDIST(I25,0,1,1),  NORMDIST(I25,0,1,1)-1  ) * $P$2</f>
        <v/>
      </c>
      <c r="D25" s="139">
        <f>IF($O$2="sell",-1,1) * NORMDIST(I25,0,1,0)/(B25*$H$2*SQRT($J$2)) * $P$2</f>
        <v/>
      </c>
      <c r="E25" s="139">
        <f>IF($O$2="sell",-1,1) * (B25*NORMDIST(I25,0,1,0)*SQRT($J$2)/365) * $P$2</f>
        <v/>
      </c>
      <c r="F25" s="139">
        <f>IF($O$2="sell",-1,1) * (-(B25*NORMDIST(I25,0,1,0)*$H$2)/(2*SQRT($J$2))/365) *$P$2</f>
        <v/>
      </c>
      <c r="G25" s="139">
        <f>IF($O$2="buy",1,-1)*( IF($K$2="call",B25*NORMDIST(I25,0,1,1) - $B$2*NORMDIST(J25,0,1,1),$B$2*NORMDIST(-J25,0,1,1) - B25*NORMDIST(-I25,0,1,1) ) - $G$2) * $P$2</f>
        <v/>
      </c>
      <c r="I25" s="140">
        <f>(LN(B25/$B$2)+($H$2^2/2)*($J$2))/($H$2*SQRT($J$2))</f>
        <v/>
      </c>
      <c r="J25" s="140">
        <f>I25 - $H$2*SQRT($J$2)</f>
        <v/>
      </c>
      <c r="L25" s="117" t="n"/>
      <c r="M25" s="141" t="n"/>
      <c r="N25" s="141" t="n"/>
    </row>
    <row r="26" ht="13.5" customHeight="1" s="116">
      <c r="B26" s="138">
        <f>Portfolio!B37</f>
        <v/>
      </c>
      <c r="C26" s="139">
        <f>IF($O$2="sell",-1,1) *  IF($K$2="call",  NORMDIST(I26,0,1,1),  NORMDIST(I26,0,1,1)-1  ) * $P$2</f>
        <v/>
      </c>
      <c r="D26" s="139">
        <f>IF($O$2="sell",-1,1) * NORMDIST(I26,0,1,0)/(B26*$H$2*SQRT($J$2)) * $P$2</f>
        <v/>
      </c>
      <c r="E26" s="139">
        <f>IF($O$2="sell",-1,1) * (B26*NORMDIST(I26,0,1,0)*SQRT($J$2)/365) * $P$2</f>
        <v/>
      </c>
      <c r="F26" s="139">
        <f>IF($O$2="sell",-1,1) * (-(B26*NORMDIST(I26,0,1,0)*$H$2)/(2*SQRT($J$2))/365) *$P$2</f>
        <v/>
      </c>
      <c r="G26" s="139">
        <f>IF($O$2="buy",1,-1)*( IF($K$2="call",B26*NORMDIST(I26,0,1,1) - $B$2*NORMDIST(J26,0,1,1),$B$2*NORMDIST(-J26,0,1,1) - B26*NORMDIST(-I26,0,1,1) ) - $G$2) * $P$2</f>
        <v/>
      </c>
      <c r="I26" s="140">
        <f>(LN(B26/$B$2)+($H$2^2/2)*($J$2))/($H$2*SQRT($J$2))</f>
        <v/>
      </c>
      <c r="J26" s="140">
        <f>I26 - $H$2*SQRT($J$2)</f>
        <v/>
      </c>
      <c r="L26" s="117" t="n"/>
      <c r="M26" s="141" t="n"/>
      <c r="N26" s="141" t="n"/>
    </row>
    <row r="27" ht="13.5" customHeight="1" s="116">
      <c r="B27" s="138">
        <f>Portfolio!B38</f>
        <v/>
      </c>
      <c r="C27" s="139">
        <f>IF($O$2="sell",-1,1) *  IF($K$2="call",  NORMDIST(I27,0,1,1),  NORMDIST(I27,0,1,1)-1  ) * $P$2</f>
        <v/>
      </c>
      <c r="D27" s="139">
        <f>IF($O$2="sell",-1,1) * NORMDIST(I27,0,1,0)/(B27*$H$2*SQRT($J$2)) * $P$2</f>
        <v/>
      </c>
      <c r="E27" s="139">
        <f>IF($O$2="sell",-1,1) * (B27*NORMDIST(I27,0,1,0)*SQRT($J$2)/365) * $P$2</f>
        <v/>
      </c>
      <c r="F27" s="139">
        <f>IF($O$2="sell",-1,1) * (-(B27*NORMDIST(I27,0,1,0)*$H$2)/(2*SQRT($J$2))/365) *$P$2</f>
        <v/>
      </c>
      <c r="G27" s="139">
        <f>IF($O$2="buy",1,-1)*( IF($K$2="call",B27*NORMDIST(I27,0,1,1) - $B$2*NORMDIST(J27,0,1,1),$B$2*NORMDIST(-J27,0,1,1) - B27*NORMDIST(-I27,0,1,1) ) - $G$2) * $P$2</f>
        <v/>
      </c>
      <c r="I27" s="140">
        <f>(LN(B27/$B$2)+($H$2^2/2)*($J$2))/($H$2*SQRT($J$2))</f>
        <v/>
      </c>
      <c r="J27" s="140">
        <f>I27 - $H$2*SQRT($J$2)</f>
        <v/>
      </c>
      <c r="L27" s="117" t="n"/>
      <c r="M27" s="141" t="n"/>
      <c r="N27" s="141" t="n"/>
    </row>
    <row r="28" ht="13.5" customHeight="1" s="116">
      <c r="B28" s="138">
        <f>Portfolio!B39</f>
        <v/>
      </c>
      <c r="C28" s="139">
        <f>IF($O$2="sell",-1,1) *  IF($K$2="call",  NORMDIST(I28,0,1,1),  NORMDIST(I28,0,1,1)-1  ) * $P$2</f>
        <v/>
      </c>
      <c r="D28" s="139">
        <f>IF($O$2="sell",-1,1) * NORMDIST(I28,0,1,0)/(B28*$H$2*SQRT($J$2)) * $P$2</f>
        <v/>
      </c>
      <c r="E28" s="139">
        <f>IF($O$2="sell",-1,1) * (B28*NORMDIST(I28,0,1,0)*SQRT($J$2)/365) * $P$2</f>
        <v/>
      </c>
      <c r="F28" s="139">
        <f>IF($O$2="sell",-1,1) * (-(B28*NORMDIST(I28,0,1,0)*$H$2)/(2*SQRT($J$2))/365) *$P$2</f>
        <v/>
      </c>
      <c r="G28" s="139">
        <f>IF($O$2="buy",1,-1)*( IF($K$2="call",B28*NORMDIST(I28,0,1,1) - $B$2*NORMDIST(J28,0,1,1),$B$2*NORMDIST(-J28,0,1,1) - B28*NORMDIST(-I28,0,1,1) ) - $G$2) * $P$2</f>
        <v/>
      </c>
      <c r="I28" s="140">
        <f>(LN(B28/$B$2)+($H$2^2/2)*($J$2))/($H$2*SQRT($J$2))</f>
        <v/>
      </c>
      <c r="J28" s="140">
        <f>I28 - $H$2*SQRT($J$2)</f>
        <v/>
      </c>
      <c r="L28" s="117" t="n"/>
      <c r="M28" s="141" t="n"/>
      <c r="N28" s="141" t="n"/>
    </row>
    <row r="29" ht="13.5" customHeight="1" s="116">
      <c r="B29" s="138">
        <f>Portfolio!B40</f>
        <v/>
      </c>
      <c r="C29" s="139">
        <f>IF($O$2="sell",-1,1) *  IF($K$2="call",  NORMDIST(I29,0,1,1),  NORMDIST(I29,0,1,1)-1  ) * $P$2</f>
        <v/>
      </c>
      <c r="D29" s="139">
        <f>IF($O$2="sell",-1,1) * NORMDIST(I29,0,1,0)/(B29*$H$2*SQRT($J$2)) * $P$2</f>
        <v/>
      </c>
      <c r="E29" s="139">
        <f>IF($O$2="sell",-1,1) * (B29*NORMDIST(I29,0,1,0)*SQRT($J$2)/365) * $P$2</f>
        <v/>
      </c>
      <c r="F29" s="139">
        <f>IF($O$2="sell",-1,1) * (-(B29*NORMDIST(I29,0,1,0)*$H$2)/(2*SQRT($J$2))/365) *$P$2</f>
        <v/>
      </c>
      <c r="G29" s="139">
        <f>IF($O$2="buy",1,-1)*( IF($K$2="call",B29*NORMDIST(I29,0,1,1) - $B$2*NORMDIST(J29,0,1,1),$B$2*NORMDIST(-J29,0,1,1) - B29*NORMDIST(-I29,0,1,1) ) - $G$2) * $P$2</f>
        <v/>
      </c>
      <c r="I29" s="140">
        <f>(LN(B29/$B$2)+($H$2^2/2)*($J$2))/($H$2*SQRT($J$2))</f>
        <v/>
      </c>
      <c r="J29" s="140">
        <f>I29 - $H$2*SQRT($J$2)</f>
        <v/>
      </c>
      <c r="L29" s="117" t="n"/>
      <c r="M29" s="141" t="n"/>
      <c r="N29" s="141" t="n"/>
    </row>
    <row r="30" ht="13.5" customHeight="1" s="116">
      <c r="B30" s="138">
        <f>Portfolio!B41</f>
        <v/>
      </c>
      <c r="C30" s="139">
        <f>IF($O$2="sell",-1,1) *  IF($K$2="call",  NORMDIST(I30,0,1,1),  NORMDIST(I30,0,1,1)-1  ) * $P$2</f>
        <v/>
      </c>
      <c r="D30" s="139">
        <f>IF($O$2="sell",-1,1) * NORMDIST(I30,0,1,0)/(B30*$H$2*SQRT($J$2)) * $P$2</f>
        <v/>
      </c>
      <c r="E30" s="139">
        <f>IF($O$2="sell",-1,1) * (B30*NORMDIST(I30,0,1,0)*SQRT($J$2)/365) * $P$2</f>
        <v/>
      </c>
      <c r="F30" s="139">
        <f>IF($O$2="sell",-1,1) * (-(B30*NORMDIST(I30,0,1,0)*$H$2)/(2*SQRT($J$2))/365) *$P$2</f>
        <v/>
      </c>
      <c r="G30" s="139">
        <f>IF($O$2="buy",1,-1)*( IF($K$2="call",B30*NORMDIST(I30,0,1,1) - $B$2*NORMDIST(J30,0,1,1),$B$2*NORMDIST(-J30,0,1,1) - B30*NORMDIST(-I30,0,1,1) ) - $G$2) * $P$2</f>
        <v/>
      </c>
      <c r="I30" s="140">
        <f>(LN(B30/$B$2)+($H$2^2/2)*($J$2))/($H$2*SQRT($J$2))</f>
        <v/>
      </c>
      <c r="J30" s="140">
        <f>I30 - $H$2*SQRT($J$2)</f>
        <v/>
      </c>
      <c r="L30" s="117" t="n"/>
      <c r="M30" s="141" t="n"/>
      <c r="N30" s="141" t="n"/>
    </row>
    <row r="31" ht="13.5" customHeight="1" s="116">
      <c r="B31" s="138">
        <f>Portfolio!B42</f>
        <v/>
      </c>
      <c r="C31" s="139">
        <f>IF($O$2="sell",-1,1) *  IF($K$2="call",  NORMDIST(I31,0,1,1),  NORMDIST(I31,0,1,1)-1  ) * $P$2</f>
        <v/>
      </c>
      <c r="D31" s="139">
        <f>IF($O$2="sell",-1,1) * NORMDIST(I31,0,1,0)/(B31*$H$2*SQRT($J$2)) * $P$2</f>
        <v/>
      </c>
      <c r="E31" s="139">
        <f>IF($O$2="sell",-1,1) * (B31*NORMDIST(I31,0,1,0)*SQRT($J$2)/365) * $P$2</f>
        <v/>
      </c>
      <c r="F31" s="139">
        <f>IF($O$2="sell",-1,1) * (-(B31*NORMDIST(I31,0,1,0)*$H$2)/(2*SQRT($J$2))/365) *$P$2</f>
        <v/>
      </c>
      <c r="G31" s="139">
        <f>IF($O$2="buy",1,-1)*( IF($K$2="call",B31*NORMDIST(I31,0,1,1) - $B$2*NORMDIST(J31,0,1,1),$B$2*NORMDIST(-J31,0,1,1) - B31*NORMDIST(-I31,0,1,1) ) - $G$2) * $P$2</f>
        <v/>
      </c>
      <c r="I31" s="140">
        <f>(LN(B31/$B$2)+($H$2^2/2)*($J$2))/($H$2*SQRT($J$2))</f>
        <v/>
      </c>
      <c r="J31" s="140">
        <f>I31 - $H$2*SQRT($J$2)</f>
        <v/>
      </c>
      <c r="L31" s="117" t="n"/>
      <c r="M31" s="141" t="n"/>
      <c r="N31" s="141" t="n"/>
    </row>
    <row r="32" ht="13.5" customHeight="1" s="116">
      <c r="B32" s="138">
        <f>Portfolio!B43</f>
        <v/>
      </c>
      <c r="C32" s="139">
        <f>IF($O$2="sell",-1,1) *  IF($K$2="call",  NORMDIST(I32,0,1,1),  NORMDIST(I32,0,1,1)-1  ) * $P$2</f>
        <v/>
      </c>
      <c r="D32" s="139">
        <f>IF($O$2="sell",-1,1) * NORMDIST(I32,0,1,0)/(B32*$H$2*SQRT($J$2)) * $P$2</f>
        <v/>
      </c>
      <c r="E32" s="139">
        <f>IF($O$2="sell",-1,1) * (B32*NORMDIST(I32,0,1,0)*SQRT($J$2)/365) * $P$2</f>
        <v/>
      </c>
      <c r="F32" s="139">
        <f>IF($O$2="sell",-1,1) * (-(B32*NORMDIST(I32,0,1,0)*$H$2)/(2*SQRT($J$2))/365) *$P$2</f>
        <v/>
      </c>
      <c r="G32" s="139">
        <f>IF($O$2="buy",1,-1)*( IF($K$2="call",B32*NORMDIST(I32,0,1,1) - $B$2*NORMDIST(J32,0,1,1),$B$2*NORMDIST(-J32,0,1,1) - B32*NORMDIST(-I32,0,1,1) ) - $G$2) * $P$2</f>
        <v/>
      </c>
      <c r="I32" s="140">
        <f>(LN(B32/$B$2)+($H$2^2/2)*($J$2))/($H$2*SQRT($J$2))</f>
        <v/>
      </c>
      <c r="J32" s="140">
        <f>I32 - $H$2*SQRT($J$2)</f>
        <v/>
      </c>
      <c r="L32" s="117" t="n"/>
      <c r="M32" s="141" t="n"/>
      <c r="N32" s="141" t="n"/>
    </row>
    <row r="33" ht="13.5" customHeight="1" s="116">
      <c r="B33" s="138">
        <f>Portfolio!B44</f>
        <v/>
      </c>
      <c r="C33" s="139">
        <f>IF($O$2="sell",-1,1) *  IF($K$2="call",  NORMDIST(I33,0,1,1),  NORMDIST(I33,0,1,1)-1  ) * $P$2</f>
        <v/>
      </c>
      <c r="D33" s="139">
        <f>IF($O$2="sell",-1,1) * NORMDIST(I33,0,1,0)/(B33*$H$2*SQRT($J$2)) * $P$2</f>
        <v/>
      </c>
      <c r="E33" s="139">
        <f>IF($O$2="sell",-1,1) * (B33*NORMDIST(I33,0,1,0)*SQRT($J$2)/365) * $P$2</f>
        <v/>
      </c>
      <c r="F33" s="139">
        <f>IF($O$2="sell",-1,1) * (-(B33*NORMDIST(I33,0,1,0)*$H$2)/(2*SQRT($J$2))/365) *$P$2</f>
        <v/>
      </c>
      <c r="G33" s="139">
        <f>IF($O$2="buy",1,-1)*( IF($K$2="call",B33*NORMDIST(I33,0,1,1) - $B$2*NORMDIST(J33,0,1,1),$B$2*NORMDIST(-J33,0,1,1) - B33*NORMDIST(-I33,0,1,1) ) - $G$2) * $P$2</f>
        <v/>
      </c>
      <c r="I33" s="140">
        <f>(LN(B33/$B$2)+($H$2^2/2)*($J$2))/($H$2*SQRT($J$2))</f>
        <v/>
      </c>
      <c r="J33" s="140">
        <f>I33 - $H$2*SQRT($J$2)</f>
        <v/>
      </c>
      <c r="L33" s="117" t="n"/>
      <c r="M33" s="141" t="n"/>
      <c r="N33" s="141" t="n"/>
    </row>
    <row r="34" ht="13.5" customHeight="1" s="116">
      <c r="B34" s="138">
        <f>Portfolio!B45</f>
        <v/>
      </c>
      <c r="C34" s="139">
        <f>IF($O$2="sell",-1,1) *  IF($K$2="call",  NORMDIST(I34,0,1,1),  NORMDIST(I34,0,1,1)-1  ) * $P$2</f>
        <v/>
      </c>
      <c r="D34" s="139">
        <f>IF($O$2="sell",-1,1) * NORMDIST(I34,0,1,0)/(B34*$H$2*SQRT($J$2)) * $P$2</f>
        <v/>
      </c>
      <c r="E34" s="139">
        <f>IF($O$2="sell",-1,1) * (B34*NORMDIST(I34,0,1,0)*SQRT($J$2)/365) * $P$2</f>
        <v/>
      </c>
      <c r="F34" s="139">
        <f>IF($O$2="sell",-1,1) * (-(B34*NORMDIST(I34,0,1,0)*$H$2)/(2*SQRT($J$2))/365) *$P$2</f>
        <v/>
      </c>
      <c r="G34" s="139">
        <f>IF($O$2="buy",1,-1)*( IF($K$2="call",B34*NORMDIST(I34,0,1,1) - $B$2*NORMDIST(J34,0,1,1),$B$2*NORMDIST(-J34,0,1,1) - B34*NORMDIST(-I34,0,1,1) ) - $G$2) * $P$2</f>
        <v/>
      </c>
      <c r="I34" s="140">
        <f>(LN(B34/$B$2)+($H$2^2/2)*($J$2))/($H$2*SQRT($J$2))</f>
        <v/>
      </c>
      <c r="J34" s="140">
        <f>I34 - $H$2*SQRT($J$2)</f>
        <v/>
      </c>
      <c r="L34" s="117" t="n"/>
      <c r="M34" s="141" t="n"/>
      <c r="N34" s="141" t="n"/>
    </row>
    <row r="35" ht="13.5" customHeight="1" s="116">
      <c r="B35" s="138">
        <f>Portfolio!B46</f>
        <v/>
      </c>
      <c r="C35" s="139">
        <f>IF($O$2="sell",-1,1) *  IF($K$2="call",  NORMDIST(I35,0,1,1),  NORMDIST(I35,0,1,1)-1  ) * $P$2</f>
        <v/>
      </c>
      <c r="D35" s="139">
        <f>IF($O$2="sell",-1,1) * NORMDIST(I35,0,1,0)/(B35*$H$2*SQRT($J$2)) * $P$2</f>
        <v/>
      </c>
      <c r="E35" s="139">
        <f>IF($O$2="sell",-1,1) * (B35*NORMDIST(I35,0,1,0)*SQRT($J$2)/365) * $P$2</f>
        <v/>
      </c>
      <c r="F35" s="139">
        <f>IF($O$2="sell",-1,1) * (-(B35*NORMDIST(I35,0,1,0)*$H$2)/(2*SQRT($J$2))/365) *$P$2</f>
        <v/>
      </c>
      <c r="G35" s="139">
        <f>IF($O$2="buy",1,-1)*( IF($K$2="call",B35*NORMDIST(I35,0,1,1) - $B$2*NORMDIST(J35,0,1,1),$B$2*NORMDIST(-J35,0,1,1) - B35*NORMDIST(-I35,0,1,1) ) - $G$2) * $P$2</f>
        <v/>
      </c>
      <c r="I35" s="140">
        <f>(LN(B35/$B$2)+($H$2^2/2)*($J$2))/($H$2*SQRT($J$2))</f>
        <v/>
      </c>
      <c r="J35" s="140">
        <f>I35 - $H$2*SQRT($J$2)</f>
        <v/>
      </c>
      <c r="L35" s="117" t="n"/>
      <c r="M35" s="141" t="n"/>
      <c r="N35" s="141" t="n"/>
    </row>
    <row r="36" ht="13.5" customHeight="1" s="116">
      <c r="B36" s="138">
        <f>Portfolio!B47</f>
        <v/>
      </c>
      <c r="C36" s="139">
        <f>IF($O$2="sell",-1,1) *  IF($K$2="call",  NORMDIST(I36,0,1,1),  NORMDIST(I36,0,1,1)-1  ) * $P$2</f>
        <v/>
      </c>
      <c r="D36" s="139">
        <f>IF($O$2="sell",-1,1) * NORMDIST(I36,0,1,0)/(B36*$H$2*SQRT($J$2)) * $P$2</f>
        <v/>
      </c>
      <c r="E36" s="139">
        <f>IF($O$2="sell",-1,1) * (B36*NORMDIST(I36,0,1,0)*SQRT($J$2)/365) * $P$2</f>
        <v/>
      </c>
      <c r="F36" s="139">
        <f>IF($O$2="sell",-1,1) * (-(B36*NORMDIST(I36,0,1,0)*$H$2)/(2*SQRT($J$2))/365) *$P$2</f>
        <v/>
      </c>
      <c r="G36" s="139">
        <f>IF($O$2="buy",1,-1)*( IF($K$2="call",B36*NORMDIST(I36,0,1,1) - $B$2*NORMDIST(J36,0,1,1),$B$2*NORMDIST(-J36,0,1,1) - B36*NORMDIST(-I36,0,1,1) ) - $G$2) * $P$2</f>
        <v/>
      </c>
      <c r="I36" s="140">
        <f>(LN(B36/$B$2)+($H$2^2/2)*($J$2))/($H$2*SQRT($J$2))</f>
        <v/>
      </c>
      <c r="J36" s="140">
        <f>I36 - $H$2*SQRT($J$2)</f>
        <v/>
      </c>
      <c r="L36" s="117" t="n"/>
      <c r="M36" s="141" t="n"/>
      <c r="N36" s="141" t="n"/>
    </row>
    <row r="37" ht="13.5" customHeight="1" s="116">
      <c r="B37" s="138">
        <f>Portfolio!B48</f>
        <v/>
      </c>
      <c r="C37" s="139">
        <f>IF($O$2="sell",-1,1) *  IF($K$2="call",  NORMDIST(I37,0,1,1),  NORMDIST(I37,0,1,1)-1  ) * $P$2</f>
        <v/>
      </c>
      <c r="D37" s="139">
        <f>IF($O$2="sell",-1,1) * NORMDIST(I37,0,1,0)/(B37*$H$2*SQRT($J$2)) * $P$2</f>
        <v/>
      </c>
      <c r="E37" s="139">
        <f>IF($O$2="sell",-1,1) * (B37*NORMDIST(I37,0,1,0)*SQRT($J$2)/365) * $P$2</f>
        <v/>
      </c>
      <c r="F37" s="139">
        <f>IF($O$2="sell",-1,1) * (-(B37*NORMDIST(I37,0,1,0)*$H$2)/(2*SQRT($J$2))/365) *$P$2</f>
        <v/>
      </c>
      <c r="G37" s="139">
        <f>IF($O$2="buy",1,-1)*( IF($K$2="call",B37*NORMDIST(I37,0,1,1) - $B$2*NORMDIST(J37,0,1,1),$B$2*NORMDIST(-J37,0,1,1) - B37*NORMDIST(-I37,0,1,1) ) - $G$2) * $P$2</f>
        <v/>
      </c>
      <c r="I37" s="140">
        <f>(LN(B37/$B$2)+($H$2^2/2)*($J$2))/($H$2*SQRT($J$2))</f>
        <v/>
      </c>
      <c r="J37" s="140">
        <f>I37 - $H$2*SQRT($J$2)</f>
        <v/>
      </c>
      <c r="L37" s="117" t="n"/>
      <c r="M37" s="141" t="n"/>
      <c r="N37" s="141" t="n"/>
    </row>
    <row r="38" ht="13.5" customHeight="1" s="116">
      <c r="B38" s="138">
        <f>Portfolio!B49</f>
        <v/>
      </c>
      <c r="C38" s="139">
        <f>IF($O$2="sell",-1,1) *  IF($K$2="call",  NORMDIST(I38,0,1,1),  NORMDIST(I38,0,1,1)-1  ) * $P$2</f>
        <v/>
      </c>
      <c r="D38" s="139">
        <f>IF($O$2="sell",-1,1) * NORMDIST(I38,0,1,0)/(B38*$H$2*SQRT($J$2)) * $P$2</f>
        <v/>
      </c>
      <c r="E38" s="139">
        <f>IF($O$2="sell",-1,1) * (B38*NORMDIST(I38,0,1,0)*SQRT($J$2)/365) * $P$2</f>
        <v/>
      </c>
      <c r="F38" s="139">
        <f>IF($O$2="sell",-1,1) * (-(B38*NORMDIST(I38,0,1,0)*$H$2)/(2*SQRT($J$2))/365) *$P$2</f>
        <v/>
      </c>
      <c r="G38" s="139">
        <f>IF($O$2="buy",1,-1)*( IF($K$2="call",B38*NORMDIST(I38,0,1,1) - $B$2*NORMDIST(J38,0,1,1),$B$2*NORMDIST(-J38,0,1,1) - B38*NORMDIST(-I38,0,1,1) ) - $G$2) * $P$2</f>
        <v/>
      </c>
      <c r="I38" s="140">
        <f>(LN(B38/$B$2)+($H$2^2/2)*($J$2))/($H$2*SQRT($J$2))</f>
        <v/>
      </c>
      <c r="J38" s="140">
        <f>I38 - $H$2*SQRT($J$2)</f>
        <v/>
      </c>
      <c r="L38" s="117" t="n"/>
      <c r="M38" s="141" t="n"/>
      <c r="N38" s="141" t="n"/>
    </row>
    <row r="39" ht="13.5" customHeight="1" s="116">
      <c r="B39" s="138">
        <f>Portfolio!B50</f>
        <v/>
      </c>
      <c r="C39" s="139">
        <f>IF($O$2="sell",-1,1) *  IF($K$2="call",  NORMDIST(I39,0,1,1),  NORMDIST(I39,0,1,1)-1  ) * $P$2</f>
        <v/>
      </c>
      <c r="D39" s="139">
        <f>IF($O$2="sell",-1,1) * NORMDIST(I39,0,1,0)/(B39*$H$2*SQRT($J$2)) * $P$2</f>
        <v/>
      </c>
      <c r="E39" s="139">
        <f>IF($O$2="sell",-1,1) * (B39*NORMDIST(I39,0,1,0)*SQRT($J$2)/365) * $P$2</f>
        <v/>
      </c>
      <c r="F39" s="139">
        <f>IF($O$2="sell",-1,1) * (-(B39*NORMDIST(I39,0,1,0)*$H$2)/(2*SQRT($J$2))/365) *$P$2</f>
        <v/>
      </c>
      <c r="G39" s="139">
        <f>IF($O$2="buy",1,-1)*( IF($K$2="call",B39*NORMDIST(I39,0,1,1) - $B$2*NORMDIST(J39,0,1,1),$B$2*NORMDIST(-J39,0,1,1) - B39*NORMDIST(-I39,0,1,1) ) - $G$2) * $P$2</f>
        <v/>
      </c>
      <c r="I39" s="140">
        <f>(LN(B39/$B$2)+($H$2^2/2)*($J$2))/($H$2*SQRT($J$2))</f>
        <v/>
      </c>
      <c r="J39" s="140">
        <f>I39 - $H$2*SQRT($J$2)</f>
        <v/>
      </c>
      <c r="L39" s="117" t="n"/>
      <c r="M39" s="141" t="n"/>
      <c r="N39" s="141" t="n"/>
    </row>
    <row r="40" ht="13.5" customHeight="1" s="116">
      <c r="B40" s="138">
        <f>Portfolio!B51</f>
        <v/>
      </c>
      <c r="C40" s="139">
        <f>IF($O$2="sell",-1,1) *  IF($K$2="call",  NORMDIST(I40,0,1,1),  NORMDIST(I40,0,1,1)-1  ) * $P$2</f>
        <v/>
      </c>
      <c r="D40" s="139">
        <f>IF($O$2="sell",-1,1) * NORMDIST(I40,0,1,0)/(B40*$H$2*SQRT($J$2)) * $P$2</f>
        <v/>
      </c>
      <c r="E40" s="139">
        <f>IF($O$2="sell",-1,1) * (B40*NORMDIST(I40,0,1,0)*SQRT($J$2)/365) * $P$2</f>
        <v/>
      </c>
      <c r="F40" s="139">
        <f>IF($O$2="sell",-1,1) * (-(B40*NORMDIST(I40,0,1,0)*$H$2)/(2*SQRT($J$2))/365) *$P$2</f>
        <v/>
      </c>
      <c r="G40" s="139">
        <f>IF($O$2="buy",1,-1)*( IF($K$2="call",B40*NORMDIST(I40,0,1,1) - $B$2*NORMDIST(J40,0,1,1),$B$2*NORMDIST(-J40,0,1,1) - B40*NORMDIST(-I40,0,1,1) ) - $G$2) * $P$2</f>
        <v/>
      </c>
      <c r="I40" s="140">
        <f>(LN(B40/$B$2)+($H$2^2/2)*($J$2))/($H$2*SQRT($J$2))</f>
        <v/>
      </c>
      <c r="J40" s="140">
        <f>I40 - $H$2*SQRT($J$2)</f>
        <v/>
      </c>
      <c r="L40" s="117" t="n"/>
      <c r="M40" s="141" t="n"/>
      <c r="N40" s="141" t="n"/>
    </row>
    <row r="41" ht="13.5" customHeight="1" s="116">
      <c r="B41" s="138">
        <f>Portfolio!B52</f>
        <v/>
      </c>
      <c r="C41" s="139">
        <f>IF($O$2="sell",-1,1) *  IF($K$2="call",  NORMDIST(I41,0,1,1),  NORMDIST(I41,0,1,1)-1  ) * $P$2</f>
        <v/>
      </c>
      <c r="D41" s="139">
        <f>IF($O$2="sell",-1,1) * NORMDIST(I41,0,1,0)/(B41*$H$2*SQRT($J$2)) * $P$2</f>
        <v/>
      </c>
      <c r="E41" s="139">
        <f>IF($O$2="sell",-1,1) * (B41*NORMDIST(I41,0,1,0)*SQRT($J$2)/365) * $P$2</f>
        <v/>
      </c>
      <c r="F41" s="139">
        <f>IF($O$2="sell",-1,1) * (-(B41*NORMDIST(I41,0,1,0)*$H$2)/(2*SQRT($J$2))/365) *$P$2</f>
        <v/>
      </c>
      <c r="G41" s="139">
        <f>IF($O$2="buy",1,-1)*( IF($K$2="call",B41*NORMDIST(I41,0,1,1) - $B$2*NORMDIST(J41,0,1,1),$B$2*NORMDIST(-J41,0,1,1) - B41*NORMDIST(-I41,0,1,1) ) - $G$2) * $P$2</f>
        <v/>
      </c>
      <c r="I41" s="140">
        <f>(LN(B41/$B$2)+($H$2^2/2)*($J$2))/($H$2*SQRT($J$2))</f>
        <v/>
      </c>
      <c r="J41" s="140">
        <f>I41 - $H$2*SQRT($J$2)</f>
        <v/>
      </c>
      <c r="L41" s="117" t="n"/>
      <c r="M41" s="141" t="n"/>
      <c r="N41" s="141" t="n"/>
    </row>
    <row r="42" ht="13.5" customHeight="1" s="116">
      <c r="B42" s="138">
        <f>Portfolio!B53</f>
        <v/>
      </c>
      <c r="C42" s="139">
        <f>IF($O$2="sell",-1,1) *  IF($K$2="call",  NORMDIST(I42,0,1,1),  NORMDIST(I42,0,1,1)-1  ) * $P$2</f>
        <v/>
      </c>
      <c r="D42" s="139">
        <f>IF($O$2="sell",-1,1) * NORMDIST(I42,0,1,0)/(B42*$H$2*SQRT($J$2)) * $P$2</f>
        <v/>
      </c>
      <c r="E42" s="139">
        <f>IF($O$2="sell",-1,1) * (B42*NORMDIST(I42,0,1,0)*SQRT($J$2)/365) * $P$2</f>
        <v/>
      </c>
      <c r="F42" s="139">
        <f>IF($O$2="sell",-1,1) * (-(B42*NORMDIST(I42,0,1,0)*$H$2)/(2*SQRT($J$2))/365) *$P$2</f>
        <v/>
      </c>
      <c r="G42" s="139">
        <f>IF($O$2="buy",1,-1)*( IF($K$2="call",B42*NORMDIST(I42,0,1,1) - $B$2*NORMDIST(J42,0,1,1),$B$2*NORMDIST(-J42,0,1,1) - B42*NORMDIST(-I42,0,1,1) ) - $G$2) * $P$2</f>
        <v/>
      </c>
      <c r="I42" s="140">
        <f>(LN(B42/$B$2)+($H$2^2/2)*($J$2))/($H$2*SQRT($J$2))</f>
        <v/>
      </c>
      <c r="J42" s="140">
        <f>I42 - $H$2*SQRT($J$2)</f>
        <v/>
      </c>
      <c r="L42" s="117" t="n"/>
      <c r="M42" s="141" t="n"/>
      <c r="N42" s="141" t="n"/>
    </row>
    <row r="43" ht="13.5" customHeight="1" s="116">
      <c r="B43" s="138">
        <f>Portfolio!B54</f>
        <v/>
      </c>
      <c r="C43" s="139">
        <f>IF($O$2="sell",-1,1) *  IF($K$2="call",  NORMDIST(I43,0,1,1),  NORMDIST(I43,0,1,1)-1  ) * $P$2</f>
        <v/>
      </c>
      <c r="D43" s="139">
        <f>IF($O$2="sell",-1,1) * NORMDIST(I43,0,1,0)/(B43*$H$2*SQRT($J$2)) * $P$2</f>
        <v/>
      </c>
      <c r="E43" s="139">
        <f>IF($O$2="sell",-1,1) * (B43*NORMDIST(I43,0,1,0)*SQRT($J$2)/365) * $P$2</f>
        <v/>
      </c>
      <c r="F43" s="139">
        <f>IF($O$2="sell",-1,1) * (-(B43*NORMDIST(I43,0,1,0)*$H$2)/(2*SQRT($J$2))/365) *$P$2</f>
        <v/>
      </c>
      <c r="G43" s="139">
        <f>IF($O$2="buy",1,-1)*( IF($K$2="call",B43*NORMDIST(I43,0,1,1) - $B$2*NORMDIST(J43,0,1,1),$B$2*NORMDIST(-J43,0,1,1) - B43*NORMDIST(-I43,0,1,1) ) - $G$2) * $P$2</f>
        <v/>
      </c>
      <c r="I43" s="140">
        <f>(LN(B43/$B$2)+($H$2^2/2)*($J$2))/($H$2*SQRT($J$2))</f>
        <v/>
      </c>
      <c r="J43" s="140">
        <f>I43 - $H$2*SQRT($J$2)</f>
        <v/>
      </c>
      <c r="L43" s="117" t="n"/>
      <c r="M43" s="141" t="n"/>
      <c r="N43" s="141" t="n"/>
    </row>
    <row r="45" ht="17.25" customHeight="1" s="116">
      <c r="A45" s="117">
        <f>A3</f>
        <v/>
      </c>
      <c r="B45" s="137" t="n"/>
      <c r="C45" s="133" t="inlineStr">
        <is>
          <t>delta</t>
        </is>
      </c>
      <c r="D45" s="133" t="inlineStr">
        <is>
          <t>gamma</t>
        </is>
      </c>
      <c r="E45" s="133" t="inlineStr">
        <is>
          <t>vega</t>
        </is>
      </c>
      <c r="F45" s="133" t="inlineStr">
        <is>
          <t>theta</t>
        </is>
      </c>
      <c r="G45" s="133" t="inlineStr">
        <is>
          <t>mark_price</t>
        </is>
      </c>
      <c r="I45" s="133" t="inlineStr">
        <is>
          <t>d1</t>
        </is>
      </c>
      <c r="J45" s="133" t="inlineStr">
        <is>
          <t>d2</t>
        </is>
      </c>
    </row>
    <row r="46" ht="13.5" customHeight="1" s="116">
      <c r="B46" s="138">
        <f>B17</f>
        <v/>
      </c>
      <c r="C46" s="139">
        <f>IF($O$3="sell",-1,1) *  IF($K$3="call",  NORMDIST(I46,0,1,1),  NORMDIST(I46,0,1,1)-1  ) * $P$3</f>
        <v/>
      </c>
      <c r="D46" s="139">
        <f>IF($O$3="sell",-1,1) * NORMDIST(I46,0,1,0)/(B46*$H$3*SQRT($J$3)) * $P$3</f>
        <v/>
      </c>
      <c r="E46" s="139">
        <f>IF($O$3="sell",-1,1) * (B46*NORMDIST(I46,0,1,0)*SQRT($J$3)/365) * $P$3</f>
        <v/>
      </c>
      <c r="F46" s="139">
        <f>IF($O$3="sell",-1,1) * (-(B46*NORMDIST(I46,0,1,0)*$H$3)/(2*SQRT($J$3))/365) *$P$3</f>
        <v/>
      </c>
      <c r="G46" s="139">
        <f>IF($O$3="buy",1,-1)*( IF($K$3="call",B46*NORMDIST(I46,0,1,1) - $B$3*NORMDIST(J46,0,1,1),$B$3*NORMDIST(-J46,0,1,1) - B46*NORMDIST(-I46,0,1,1) ) - $G$3) * $P$3</f>
        <v/>
      </c>
      <c r="I46" s="142">
        <f>(LN(B46/$B$3)+($H$3^2/2)*($J$3))/($H$3*SQRT($J$3))</f>
        <v/>
      </c>
      <c r="J46" s="140">
        <f>I46 - $H$3*SQRT($J$3)</f>
        <v/>
      </c>
    </row>
    <row r="47" ht="13.5" customHeight="1" s="116">
      <c r="B47" s="138">
        <f>B18</f>
        <v/>
      </c>
      <c r="C47" s="139">
        <f>IF($O$3="sell",-1,1) *  IF($K$3="call",  NORMDIST(I47,0,1,1),  NORMDIST(I47,0,1,1)-1  ) * $P$3</f>
        <v/>
      </c>
      <c r="D47" s="139">
        <f>IF($O$3="sell",-1,1) * NORMDIST(I47,0,1,0)/(B47*$H$3*SQRT($J$3)) * $P$3</f>
        <v/>
      </c>
      <c r="E47" s="139">
        <f>IF($O$3="sell",-1,1) * (B47*NORMDIST(I47,0,1,0)*SQRT($J$3)/365) * $P$3</f>
        <v/>
      </c>
      <c r="F47" s="139">
        <f>IF($O$3="sell",-1,1) * (-(B47*NORMDIST(I47,0,1,0)*$H$3)/(2*SQRT($J$3))/365) *$P$3</f>
        <v/>
      </c>
      <c r="G47" s="139">
        <f>IF($O$3="buy",1,-1)*( IF($K$3="call",B47*NORMDIST(I47,0,1,1) - $B$3*NORMDIST(J47,0,1,1),$B$3*NORMDIST(-J47,0,1,1) - B47*NORMDIST(-I47,0,1,1) ) - $G$3) * $P$3</f>
        <v/>
      </c>
      <c r="I47" s="142">
        <f>(LN(B47/$B$3)+($H$3^2/2)*($J$3))/($H$3*SQRT($J$3))</f>
        <v/>
      </c>
      <c r="J47" s="140">
        <f>I47 - $H$3*SQRT($J$3)</f>
        <v/>
      </c>
      <c r="L47" s="117" t="n"/>
    </row>
    <row r="48" ht="13.5" customHeight="1" s="116">
      <c r="B48" s="138">
        <f>B19</f>
        <v/>
      </c>
      <c r="C48" s="139">
        <f>IF($O$3="sell",-1,1) *  IF($K$3="call",  NORMDIST(I48,0,1,1),  NORMDIST(I48,0,1,1)-1  ) * $P$3</f>
        <v/>
      </c>
      <c r="D48" s="139">
        <f>IF($O$3="sell",-1,1) * NORMDIST(I48,0,1,0)/(B48*$H$3*SQRT($J$3)) * $P$3</f>
        <v/>
      </c>
      <c r="E48" s="139">
        <f>IF($O$3="sell",-1,1) * (B48*NORMDIST(I48,0,1,0)*SQRT($J$3)/365) * $P$3</f>
        <v/>
      </c>
      <c r="F48" s="139">
        <f>IF($O$3="sell",-1,1) * (-(B48*NORMDIST(I48,0,1,0)*$H$3)/(2*SQRT($J$3))/365) *$P$3</f>
        <v/>
      </c>
      <c r="G48" s="139">
        <f>IF($O$3="buy",1,-1)*( IF($K$3="call",B48*NORMDIST(I48,0,1,1) - $B$3*NORMDIST(J48,0,1,1),$B$3*NORMDIST(-J48,0,1,1) - B48*NORMDIST(-I48,0,1,1) ) - $G$3) * $P$3</f>
        <v/>
      </c>
      <c r="I48" s="142">
        <f>(LN(B48/$B$3)+($H$3^2/2)*($J$3))/($H$3*SQRT($J$3))</f>
        <v/>
      </c>
      <c r="J48" s="140">
        <f>I48 - $H$3*SQRT($J$3)</f>
        <v/>
      </c>
      <c r="L48" s="117" t="n"/>
      <c r="M48" s="141" t="n"/>
    </row>
    <row r="49" ht="13.5" customHeight="1" s="116">
      <c r="B49" s="138">
        <f>B20</f>
        <v/>
      </c>
      <c r="C49" s="139">
        <f>IF($O$3="sell",-1,1) *  IF($K$3="call",  NORMDIST(I49,0,1,1),  NORMDIST(I49,0,1,1)-1  ) * $P$3</f>
        <v/>
      </c>
      <c r="D49" s="139">
        <f>IF($O$3="sell",-1,1) * NORMDIST(I49,0,1,0)/(B49*$H$3*SQRT($J$3)) * $P$3</f>
        <v/>
      </c>
      <c r="E49" s="139">
        <f>IF($O$3="sell",-1,1) * (B49*NORMDIST(I49,0,1,0)*SQRT($J$3)/365) * $P$3</f>
        <v/>
      </c>
      <c r="F49" s="139">
        <f>IF($O$3="sell",-1,1) * (-(B49*NORMDIST(I49,0,1,0)*$H$3)/(2*SQRT($J$3))/365) *$P$3</f>
        <v/>
      </c>
      <c r="G49" s="139">
        <f>IF($O$3="buy",1,-1)*( IF($K$3="call",B49*NORMDIST(I49,0,1,1) - $B$3*NORMDIST(J49,0,1,1),$B$3*NORMDIST(-J49,0,1,1) - B49*NORMDIST(-I49,0,1,1) ) - $G$3) * $P$3</f>
        <v/>
      </c>
      <c r="I49" s="142">
        <f>(LN(B49/$B$3)+($H$3^2/2)*($J$3))/($H$3*SQRT($J$3))</f>
        <v/>
      </c>
      <c r="J49" s="140">
        <f>I49 - $H$3*SQRT($J$3)</f>
        <v/>
      </c>
      <c r="L49" s="117" t="n"/>
      <c r="M49" s="141" t="n"/>
      <c r="N49" s="141" t="n"/>
    </row>
    <row r="50" ht="13.5" customHeight="1" s="116">
      <c r="B50" s="138">
        <f>B21</f>
        <v/>
      </c>
      <c r="C50" s="139">
        <f>IF($O$3="sell",-1,1) *  IF($K$3="call",  NORMDIST(I50,0,1,1),  NORMDIST(I50,0,1,1)-1  ) * $P$3</f>
        <v/>
      </c>
      <c r="D50" s="139">
        <f>IF($O$3="sell",-1,1) * NORMDIST(I50,0,1,0)/(B50*$H$3*SQRT($J$3)) * $P$3</f>
        <v/>
      </c>
      <c r="E50" s="139">
        <f>IF($O$3="sell",-1,1) * (B50*NORMDIST(I50,0,1,0)*SQRT($J$3)/365) * $P$3</f>
        <v/>
      </c>
      <c r="F50" s="139">
        <f>IF($O$3="sell",-1,1) * (-(B50*NORMDIST(I50,0,1,0)*$H$3)/(2*SQRT($J$3))/365) *$P$3</f>
        <v/>
      </c>
      <c r="G50" s="139">
        <f>IF($O$3="buy",1,-1)*( IF($K$3="call",B50*NORMDIST(I50,0,1,1) - $B$3*NORMDIST(J50,0,1,1),$B$3*NORMDIST(-J50,0,1,1) - B50*NORMDIST(-I50,0,1,1) ) - $G$3) * $P$3</f>
        <v/>
      </c>
      <c r="I50" s="142">
        <f>(LN(B50/$B$3)+($H$3^2/2)*($J$3))/($H$3*SQRT($J$3))</f>
        <v/>
      </c>
      <c r="J50" s="140">
        <f>I50 - $H$3*SQRT($J$3)</f>
        <v/>
      </c>
      <c r="L50" s="117" t="n"/>
      <c r="M50" s="141" t="n"/>
      <c r="N50" s="141" t="n"/>
    </row>
    <row r="51" ht="13.5" customHeight="1" s="116">
      <c r="B51" s="138">
        <f>B22</f>
        <v/>
      </c>
      <c r="C51" s="139">
        <f>IF($O$3="sell",-1,1) *  IF($K$3="call",  NORMDIST(I51,0,1,1),  NORMDIST(I51,0,1,1)-1  ) * $P$3</f>
        <v/>
      </c>
      <c r="D51" s="139">
        <f>IF($O$3="sell",-1,1) * NORMDIST(I51,0,1,0)/(B51*$H$3*SQRT($J$3)) * $P$3</f>
        <v/>
      </c>
      <c r="E51" s="139">
        <f>IF($O$3="sell",-1,1) * (B51*NORMDIST(I51,0,1,0)*SQRT($J$3)/365) * $P$3</f>
        <v/>
      </c>
      <c r="F51" s="139">
        <f>IF($O$3="sell",-1,1) * (-(B51*NORMDIST(I51,0,1,0)*$H$3)/(2*SQRT($J$3))/365) *$P$3</f>
        <v/>
      </c>
      <c r="G51" s="139">
        <f>IF($O$3="buy",1,-1)*( IF($K$3="call",B51*NORMDIST(I51,0,1,1) - $B$3*NORMDIST(J51,0,1,1),$B$3*NORMDIST(-J51,0,1,1) - B51*NORMDIST(-I51,0,1,1) ) - $G$3) * $P$3</f>
        <v/>
      </c>
      <c r="I51" s="142">
        <f>(LN(B51/$B$3)+($H$3^2/2)*($J$3))/($H$3*SQRT($J$3))</f>
        <v/>
      </c>
      <c r="J51" s="140">
        <f>I51 - $H$3*SQRT($J$3)</f>
        <v/>
      </c>
      <c r="L51" s="117" t="n"/>
      <c r="M51" s="141" t="n"/>
      <c r="N51" s="141" t="n"/>
    </row>
    <row r="52" ht="13.5" customHeight="1" s="116">
      <c r="B52" s="138">
        <f>B23</f>
        <v/>
      </c>
      <c r="C52" s="139">
        <f>IF($O$3="sell",-1,1) *  IF($K$3="call",  NORMDIST(I52,0,1,1),  NORMDIST(I52,0,1,1)-1  ) * $P$3</f>
        <v/>
      </c>
      <c r="D52" s="139">
        <f>IF($O$3="sell",-1,1) * NORMDIST(I52,0,1,0)/(B52*$H$3*SQRT($J$3)) * $P$3</f>
        <v/>
      </c>
      <c r="E52" s="139">
        <f>IF($O$3="sell",-1,1) * (B52*NORMDIST(I52,0,1,0)*SQRT($J$3)/365) * $P$3</f>
        <v/>
      </c>
      <c r="F52" s="139">
        <f>IF($O$3="sell",-1,1) * (-(B52*NORMDIST(I52,0,1,0)*$H$3)/(2*SQRT($J$3))/365) *$P$3</f>
        <v/>
      </c>
      <c r="G52" s="139">
        <f>IF($O$3="buy",1,-1)*( IF($K$3="call",B52*NORMDIST(I52,0,1,1) - $B$3*NORMDIST(J52,0,1,1),$B$3*NORMDIST(-J52,0,1,1) - B52*NORMDIST(-I52,0,1,1) ) - $G$3) * $P$3</f>
        <v/>
      </c>
      <c r="I52" s="142">
        <f>(LN(B52/$B$3)+($H$3^2/2)*($J$3))/($H$3*SQRT($J$3))</f>
        <v/>
      </c>
      <c r="J52" s="140">
        <f>I52 - $H$3*SQRT($J$3)</f>
        <v/>
      </c>
      <c r="L52" s="117" t="n"/>
      <c r="M52" s="141" t="n"/>
      <c r="N52" s="141" t="n"/>
    </row>
    <row r="53" ht="13.5" customHeight="1" s="116">
      <c r="B53" s="138">
        <f>B24</f>
        <v/>
      </c>
      <c r="C53" s="139">
        <f>IF($O$3="sell",-1,1) *  IF($K$3="call",  NORMDIST(I53,0,1,1),  NORMDIST(I53,0,1,1)-1  ) * $P$3</f>
        <v/>
      </c>
      <c r="D53" s="139">
        <f>IF($O$3="sell",-1,1) * NORMDIST(I53,0,1,0)/(B53*$H$3*SQRT($J$3)) * $P$3</f>
        <v/>
      </c>
      <c r="E53" s="139">
        <f>IF($O$3="sell",-1,1) * (B53*NORMDIST(I53,0,1,0)*SQRT($J$3)/365) * $P$3</f>
        <v/>
      </c>
      <c r="F53" s="139">
        <f>IF($O$3="sell",-1,1) * (-(B53*NORMDIST(I53,0,1,0)*$H$3)/(2*SQRT($J$3))/365) *$P$3</f>
        <v/>
      </c>
      <c r="G53" s="139">
        <f>IF($O$3="buy",1,-1)*( IF($K$3="call",B53*NORMDIST(I53,0,1,1) - $B$3*NORMDIST(J53,0,1,1),$B$3*NORMDIST(-J53,0,1,1) - B53*NORMDIST(-I53,0,1,1) ) - $G$3) * $P$3</f>
        <v/>
      </c>
      <c r="I53" s="142">
        <f>(LN(B53/$B$3)+($H$3^2/2)*($J$3))/($H$3*SQRT($J$3))</f>
        <v/>
      </c>
      <c r="J53" s="140">
        <f>I53 - $H$3*SQRT($J$3)</f>
        <v/>
      </c>
      <c r="L53" s="117" t="n"/>
      <c r="M53" s="141" t="n"/>
      <c r="N53" s="141" t="n"/>
    </row>
    <row r="54" ht="13.5" customHeight="1" s="116">
      <c r="B54" s="138">
        <f>B25</f>
        <v/>
      </c>
      <c r="C54" s="139">
        <f>IF($O$3="sell",-1,1) *  IF($K$3="call",  NORMDIST(I54,0,1,1),  NORMDIST(I54,0,1,1)-1  ) * $P$3</f>
        <v/>
      </c>
      <c r="D54" s="139">
        <f>IF($O$3="sell",-1,1) * NORMDIST(I54,0,1,0)/(B54*$H$3*SQRT($J$3)) * $P$3</f>
        <v/>
      </c>
      <c r="E54" s="139">
        <f>IF($O$3="sell",-1,1) * (B54*NORMDIST(I54,0,1,0)*SQRT($J$3)/365) * $P$3</f>
        <v/>
      </c>
      <c r="F54" s="139">
        <f>IF($O$3="sell",-1,1) * (-(B54*NORMDIST(I54,0,1,0)*$H$3)/(2*SQRT($J$3))/365) *$P$3</f>
        <v/>
      </c>
      <c r="G54" s="139">
        <f>IF($O$3="buy",1,-1)*( IF($K$3="call",B54*NORMDIST(I54,0,1,1) - $B$3*NORMDIST(J54,0,1,1),$B$3*NORMDIST(-J54,0,1,1) - B54*NORMDIST(-I54,0,1,1) ) - $G$3) * $P$3</f>
        <v/>
      </c>
      <c r="I54" s="142">
        <f>(LN(B54/$B$3)+($H$3^2/2)*($J$3))/($H$3*SQRT($J$3))</f>
        <v/>
      </c>
      <c r="J54" s="140">
        <f>I54 - $H$3*SQRT($J$3)</f>
        <v/>
      </c>
      <c r="L54" s="117" t="n"/>
      <c r="M54" s="141" t="n"/>
      <c r="N54" s="141" t="n"/>
    </row>
    <row r="55" ht="13.5" customHeight="1" s="116">
      <c r="B55" s="138">
        <f>B26</f>
        <v/>
      </c>
      <c r="C55" s="139">
        <f>IF($O$3="sell",-1,1) *  IF($K$3="call",  NORMDIST(I55,0,1,1),  NORMDIST(I55,0,1,1)-1  ) * $P$3</f>
        <v/>
      </c>
      <c r="D55" s="139">
        <f>IF($O$3="sell",-1,1) * NORMDIST(I55,0,1,0)/(B55*$H$3*SQRT($J$3)) * $P$3</f>
        <v/>
      </c>
      <c r="E55" s="139">
        <f>IF($O$3="sell",-1,1) * (B55*NORMDIST(I55,0,1,0)*SQRT($J$3)/365) * $P$3</f>
        <v/>
      </c>
      <c r="F55" s="139">
        <f>IF($O$3="sell",-1,1) * (-(B55*NORMDIST(I55,0,1,0)*$H$3)/(2*SQRT($J$3))/365) *$P$3</f>
        <v/>
      </c>
      <c r="G55" s="139">
        <f>IF($O$3="buy",1,-1)*( IF($K$3="call",B55*NORMDIST(I55,0,1,1) - $B$3*NORMDIST(J55,0,1,1),$B$3*NORMDIST(-J55,0,1,1) - B55*NORMDIST(-I55,0,1,1) ) - $G$3) * $P$3</f>
        <v/>
      </c>
      <c r="I55" s="142">
        <f>(LN(B55/$B$3)+($H$3^2/2)*($J$3))/($H$3*SQRT($J$3))</f>
        <v/>
      </c>
      <c r="J55" s="140">
        <f>I55 - $H$3*SQRT($J$3)</f>
        <v/>
      </c>
      <c r="L55" s="117" t="n"/>
      <c r="M55" s="141" t="n"/>
      <c r="N55" s="141" t="n"/>
    </row>
    <row r="56" ht="13.5" customHeight="1" s="116">
      <c r="B56" s="138">
        <f>B27</f>
        <v/>
      </c>
      <c r="C56" s="139">
        <f>IF($O$3="sell",-1,1) *  IF($K$3="call",  NORMDIST(I56,0,1,1),  NORMDIST(I56,0,1,1)-1  ) * $P$3</f>
        <v/>
      </c>
      <c r="D56" s="139">
        <f>IF($O$3="sell",-1,1) * NORMDIST(I56,0,1,0)/(B56*$H$3*SQRT($J$3)) * $P$3</f>
        <v/>
      </c>
      <c r="E56" s="139">
        <f>IF($O$3="sell",-1,1) * (B56*NORMDIST(I56,0,1,0)*SQRT($J$3)/365) * $P$3</f>
        <v/>
      </c>
      <c r="F56" s="139">
        <f>IF($O$3="sell",-1,1) * (-(B56*NORMDIST(I56,0,1,0)*$H$3)/(2*SQRT($J$3))/365) *$P$3</f>
        <v/>
      </c>
      <c r="G56" s="139">
        <f>IF($O$3="buy",1,-1)*( IF($K$3="call",B56*NORMDIST(I56,0,1,1) - $B$3*NORMDIST(J56,0,1,1),$B$3*NORMDIST(-J56,0,1,1) - B56*NORMDIST(-I56,0,1,1) ) - $G$3) * $P$3</f>
        <v/>
      </c>
      <c r="I56" s="142">
        <f>(LN(B56/$B$3)+($H$3^2/2)*($J$3))/($H$3*SQRT($J$3))</f>
        <v/>
      </c>
      <c r="J56" s="140">
        <f>I56 - $H$3*SQRT($J$3)</f>
        <v/>
      </c>
      <c r="L56" s="117" t="n"/>
      <c r="M56" s="141" t="n"/>
      <c r="N56" s="141" t="n"/>
    </row>
    <row r="57" ht="13.5" customHeight="1" s="116">
      <c r="B57" s="138">
        <f>B28</f>
        <v/>
      </c>
      <c r="C57" s="139">
        <f>IF($O$3="sell",-1,1) *  IF($K$3="call",  NORMDIST(I57,0,1,1),  NORMDIST(I57,0,1,1)-1  ) * $P$3</f>
        <v/>
      </c>
      <c r="D57" s="139">
        <f>IF($O$3="sell",-1,1) * NORMDIST(I57,0,1,0)/(B57*$H$3*SQRT($J$3)) * $P$3</f>
        <v/>
      </c>
      <c r="E57" s="139">
        <f>IF($O$3="sell",-1,1) * (B57*NORMDIST(I57,0,1,0)*SQRT($J$3)/365) * $P$3</f>
        <v/>
      </c>
      <c r="F57" s="139">
        <f>IF($O$3="sell",-1,1) * (-(B57*NORMDIST(I57,0,1,0)*$H$3)/(2*SQRT($J$3))/365) *$P$3</f>
        <v/>
      </c>
      <c r="G57" s="139">
        <f>IF($O$3="buy",1,-1)*( IF($K$3="call",B57*NORMDIST(I57,0,1,1) - $B$3*NORMDIST(J57,0,1,1),$B$3*NORMDIST(-J57,0,1,1) - B57*NORMDIST(-I57,0,1,1) ) - $G$3) * $P$3</f>
        <v/>
      </c>
      <c r="I57" s="142">
        <f>(LN(B57/$B$3)+($H$3^2/2)*($J$3))/($H$3*SQRT($J$3))</f>
        <v/>
      </c>
      <c r="J57" s="140">
        <f>I57 - $H$3*SQRT($J$3)</f>
        <v/>
      </c>
      <c r="L57" s="117" t="n"/>
      <c r="M57" s="141" t="n"/>
      <c r="N57" s="141" t="n"/>
    </row>
    <row r="58" ht="13.5" customHeight="1" s="116">
      <c r="B58" s="138">
        <f>B29</f>
        <v/>
      </c>
      <c r="C58" s="139">
        <f>IF($O$3="sell",-1,1) *  IF($K$3="call",  NORMDIST(I58,0,1,1),  NORMDIST(I58,0,1,1)-1  ) * $P$3</f>
        <v/>
      </c>
      <c r="D58" s="139">
        <f>IF($O$3="sell",-1,1) * NORMDIST(I58,0,1,0)/(B58*$H$3*SQRT($J$3)) * $P$3</f>
        <v/>
      </c>
      <c r="E58" s="139">
        <f>IF($O$3="sell",-1,1) * (B58*NORMDIST(I58,0,1,0)*SQRT($J$3)/365) * $P$3</f>
        <v/>
      </c>
      <c r="F58" s="139">
        <f>IF($O$3="sell",-1,1) * (-(B58*NORMDIST(I58,0,1,0)*$H$3)/(2*SQRT($J$3))/365) *$P$3</f>
        <v/>
      </c>
      <c r="G58" s="139">
        <f>IF($O$3="buy",1,-1)*( IF($K$3="call",B58*NORMDIST(I58,0,1,1) - $B$3*NORMDIST(J58,0,1,1),$B$3*NORMDIST(-J58,0,1,1) - B58*NORMDIST(-I58,0,1,1) ) - $G$3) * $P$3</f>
        <v/>
      </c>
      <c r="I58" s="142">
        <f>(LN(B58/$B$3)+($H$3^2/2)*($J$3))/($H$3*SQRT($J$3))</f>
        <v/>
      </c>
      <c r="J58" s="140">
        <f>I58 - $H$3*SQRT($J$3)</f>
        <v/>
      </c>
      <c r="L58" s="117" t="n"/>
      <c r="M58" s="141" t="n"/>
      <c r="N58" s="141" t="n"/>
    </row>
    <row r="59" ht="13.5" customHeight="1" s="116">
      <c r="B59" s="138">
        <f>B30</f>
        <v/>
      </c>
      <c r="C59" s="139">
        <f>IF($O$3="sell",-1,1) *  IF($K$3="call",  NORMDIST(I59,0,1,1),  NORMDIST(I59,0,1,1)-1  ) * $P$3</f>
        <v/>
      </c>
      <c r="D59" s="139">
        <f>IF($O$3="sell",-1,1) * NORMDIST(I59,0,1,0)/(B59*$H$3*SQRT($J$3)) * $P$3</f>
        <v/>
      </c>
      <c r="E59" s="139">
        <f>IF($O$3="sell",-1,1) * (B59*NORMDIST(I59,0,1,0)*SQRT($J$3)/365) * $P$3</f>
        <v/>
      </c>
      <c r="F59" s="139">
        <f>IF($O$3="sell",-1,1) * (-(B59*NORMDIST(I59,0,1,0)*$H$3)/(2*SQRT($J$3))/365) *$P$3</f>
        <v/>
      </c>
      <c r="G59" s="139">
        <f>IF($O$3="buy",1,-1)*( IF($K$3="call",B59*NORMDIST(I59,0,1,1) - $B$3*NORMDIST(J59,0,1,1),$B$3*NORMDIST(-J59,0,1,1) - B59*NORMDIST(-I59,0,1,1) ) - $G$3) * $P$3</f>
        <v/>
      </c>
      <c r="I59" s="142">
        <f>(LN(B59/$B$3)+($H$3^2/2)*($J$3))/($H$3*SQRT($J$3))</f>
        <v/>
      </c>
      <c r="J59" s="140">
        <f>I59 - $H$3*SQRT($J$3)</f>
        <v/>
      </c>
      <c r="L59" s="117" t="n"/>
      <c r="M59" s="141" t="n"/>
      <c r="N59" s="141" t="n"/>
    </row>
    <row r="60" ht="13.5" customHeight="1" s="116">
      <c r="B60" s="138">
        <f>B31</f>
        <v/>
      </c>
      <c r="C60" s="139">
        <f>IF($O$3="sell",-1,1) *  IF($K$3="call",  NORMDIST(I60,0,1,1),  NORMDIST(I60,0,1,1)-1  ) * $P$3</f>
        <v/>
      </c>
      <c r="D60" s="139">
        <f>IF($O$3="sell",-1,1) * NORMDIST(I60,0,1,0)/(B60*$H$3*SQRT($J$3)) * $P$3</f>
        <v/>
      </c>
      <c r="E60" s="139">
        <f>IF($O$3="sell",-1,1) * (B60*NORMDIST(I60,0,1,0)*SQRT($J$3)/365) * $P$3</f>
        <v/>
      </c>
      <c r="F60" s="139">
        <f>IF($O$3="sell",-1,1) * (-(B60*NORMDIST(I60,0,1,0)*$H$3)/(2*SQRT($J$3))/365) *$P$3</f>
        <v/>
      </c>
      <c r="G60" s="139">
        <f>IF($O$3="buy",1,-1)*( IF($K$3="call",B60*NORMDIST(I60,0,1,1) - $B$3*NORMDIST(J60,0,1,1),$B$3*NORMDIST(-J60,0,1,1) - B60*NORMDIST(-I60,0,1,1) ) - $G$3) * $P$3</f>
        <v/>
      </c>
      <c r="I60" s="142">
        <f>(LN(B60/$B$3)+($H$3^2/2)*($J$3))/($H$3*SQRT($J$3))</f>
        <v/>
      </c>
      <c r="J60" s="140">
        <f>I60 - $H$3*SQRT($J$3)</f>
        <v/>
      </c>
      <c r="L60" s="117" t="n"/>
      <c r="M60" s="141" t="n"/>
      <c r="N60" s="141" t="n"/>
    </row>
    <row r="61" ht="13.5" customHeight="1" s="116">
      <c r="B61" s="138">
        <f>B32</f>
        <v/>
      </c>
      <c r="C61" s="139">
        <f>IF($O$3="sell",-1,1) *  IF($K$3="call",  NORMDIST(I61,0,1,1),  NORMDIST(I61,0,1,1)-1  ) * $P$3</f>
        <v/>
      </c>
      <c r="D61" s="139">
        <f>IF($O$3="sell",-1,1) * NORMDIST(I61,0,1,0)/(B61*$H$3*SQRT($J$3)) * $P$3</f>
        <v/>
      </c>
      <c r="E61" s="139">
        <f>IF($O$3="sell",-1,1) * (B61*NORMDIST(I61,0,1,0)*SQRT($J$3)/365) * $P$3</f>
        <v/>
      </c>
      <c r="F61" s="139">
        <f>IF($O$3="sell",-1,1) * (-(B61*NORMDIST(I61,0,1,0)*$H$3)/(2*SQRT($J$3))/365) *$P$3</f>
        <v/>
      </c>
      <c r="G61" s="139">
        <f>IF($O$3="buy",1,-1)*( IF($K$3="call",B61*NORMDIST(I61,0,1,1) - $B$3*NORMDIST(J61,0,1,1),$B$3*NORMDIST(-J61,0,1,1) - B61*NORMDIST(-I61,0,1,1) ) - $G$3) * $P$3</f>
        <v/>
      </c>
      <c r="I61" s="142">
        <f>(LN(B61/$B$3)+($H$3^2/2)*($J$3))/($H$3*SQRT($J$3))</f>
        <v/>
      </c>
      <c r="J61" s="140">
        <f>I61 - $H$3*SQRT($J$3)</f>
        <v/>
      </c>
      <c r="L61" s="117" t="n"/>
      <c r="M61" s="141" t="n"/>
      <c r="N61" s="141" t="n"/>
    </row>
    <row r="62" ht="13.5" customHeight="1" s="116">
      <c r="B62" s="138">
        <f>B33</f>
        <v/>
      </c>
      <c r="C62" s="139">
        <f>IF($O$3="sell",-1,1) *  IF($K$3="call",  NORMDIST(I62,0,1,1),  NORMDIST(I62,0,1,1)-1  ) * $P$3</f>
        <v/>
      </c>
      <c r="D62" s="139">
        <f>IF($O$3="sell",-1,1) * NORMDIST(I62,0,1,0)/(B62*$H$3*SQRT($J$3)) * $P$3</f>
        <v/>
      </c>
      <c r="E62" s="139">
        <f>IF($O$3="sell",-1,1) * (B62*NORMDIST(I62,0,1,0)*SQRT($J$3)/365) * $P$3</f>
        <v/>
      </c>
      <c r="F62" s="139">
        <f>IF($O$3="sell",-1,1) * (-(B62*NORMDIST(I62,0,1,0)*$H$3)/(2*SQRT($J$3))/365) *$P$3</f>
        <v/>
      </c>
      <c r="G62" s="139">
        <f>IF($O$3="buy",1,-1)*( IF($K$3="call",B62*NORMDIST(I62,0,1,1) - $B$3*NORMDIST(J62,0,1,1),$B$3*NORMDIST(-J62,0,1,1) - B62*NORMDIST(-I62,0,1,1) ) - $G$3) * $P$3</f>
        <v/>
      </c>
      <c r="I62" s="142">
        <f>(LN(B62/$B$3)+($H$3^2/2)*($J$3))/($H$3*SQRT($J$3))</f>
        <v/>
      </c>
      <c r="J62" s="140">
        <f>I62 - $H$3*SQRT($J$3)</f>
        <v/>
      </c>
      <c r="L62" s="117" t="n"/>
      <c r="M62" s="141" t="n"/>
      <c r="N62" s="141" t="n"/>
    </row>
    <row r="63" ht="13.5" customHeight="1" s="116">
      <c r="B63" s="138">
        <f>B34</f>
        <v/>
      </c>
      <c r="C63" s="139">
        <f>IF($O$3="sell",-1,1) *  IF($K$3="call",  NORMDIST(I63,0,1,1),  NORMDIST(I63,0,1,1)-1  ) * $P$3</f>
        <v/>
      </c>
      <c r="D63" s="139">
        <f>IF($O$3="sell",-1,1) * NORMDIST(I63,0,1,0)/(B63*$H$3*SQRT($J$3)) * $P$3</f>
        <v/>
      </c>
      <c r="E63" s="139">
        <f>IF($O$3="sell",-1,1) * (B63*NORMDIST(I63,0,1,0)*SQRT($J$3)/365) * $P$3</f>
        <v/>
      </c>
      <c r="F63" s="139">
        <f>IF($O$3="sell",-1,1) * (-(B63*NORMDIST(I63,0,1,0)*$H$3)/(2*SQRT($J$3))/365) *$P$3</f>
        <v/>
      </c>
      <c r="G63" s="139">
        <f>IF($O$3="buy",1,-1)*( IF($K$3="call",B63*NORMDIST(I63,0,1,1) - $B$3*NORMDIST(J63,0,1,1),$B$3*NORMDIST(-J63,0,1,1) - B63*NORMDIST(-I63,0,1,1) ) - $G$3) * $P$3</f>
        <v/>
      </c>
      <c r="I63" s="142">
        <f>(LN(B63/$B$3)+($H$3^2/2)*($J$3))/($H$3*SQRT($J$3))</f>
        <v/>
      </c>
      <c r="J63" s="140">
        <f>I63 - $H$3*SQRT($J$3)</f>
        <v/>
      </c>
      <c r="L63" s="117" t="n"/>
      <c r="M63" s="141" t="n"/>
      <c r="N63" s="141" t="n"/>
    </row>
    <row r="64" ht="13.5" customHeight="1" s="116">
      <c r="B64" s="138">
        <f>B35</f>
        <v/>
      </c>
      <c r="C64" s="139">
        <f>IF($O$3="sell",-1,1) *  IF($K$3="call",  NORMDIST(I64,0,1,1),  NORMDIST(I64,0,1,1)-1  ) * $P$3</f>
        <v/>
      </c>
      <c r="D64" s="139">
        <f>IF($O$3="sell",-1,1) * NORMDIST(I64,0,1,0)/(B64*$H$3*SQRT($J$3)) * $P$3</f>
        <v/>
      </c>
      <c r="E64" s="139">
        <f>IF($O$3="sell",-1,1) * (B64*NORMDIST(I64,0,1,0)*SQRT($J$3)/365) * $P$3</f>
        <v/>
      </c>
      <c r="F64" s="139">
        <f>IF($O$3="sell",-1,1) * (-(B64*NORMDIST(I64,0,1,0)*$H$3)/(2*SQRT($J$3))/365) *$P$3</f>
        <v/>
      </c>
      <c r="G64" s="139">
        <f>IF($O$3="buy",1,-1)*( IF($K$3="call",B64*NORMDIST(I64,0,1,1) - $B$3*NORMDIST(J64,0,1,1),$B$3*NORMDIST(-J64,0,1,1) - B64*NORMDIST(-I64,0,1,1) ) - $G$3) * $P$3</f>
        <v/>
      </c>
      <c r="I64" s="142">
        <f>(LN(B64/$B$3)+($H$3^2/2)*($J$3))/($H$3*SQRT($J$3))</f>
        <v/>
      </c>
      <c r="J64" s="140">
        <f>I64 - $H$3*SQRT($J$3)</f>
        <v/>
      </c>
      <c r="L64" s="117" t="n"/>
      <c r="M64" s="141" t="n"/>
      <c r="N64" s="141" t="n"/>
    </row>
    <row r="65" ht="13.5" customHeight="1" s="116">
      <c r="B65" s="138">
        <f>B36</f>
        <v/>
      </c>
      <c r="C65" s="139">
        <f>IF($O$3="sell",-1,1) *  IF($K$3="call",  NORMDIST(I65,0,1,1),  NORMDIST(I65,0,1,1)-1  ) * $P$3</f>
        <v/>
      </c>
      <c r="D65" s="139">
        <f>IF($O$3="sell",-1,1) * NORMDIST(I65,0,1,0)/(B65*$H$3*SQRT($J$3)) * $P$3</f>
        <v/>
      </c>
      <c r="E65" s="139">
        <f>IF($O$3="sell",-1,1) * (B65*NORMDIST(I65,0,1,0)*SQRT($J$3)/365) * $P$3</f>
        <v/>
      </c>
      <c r="F65" s="139">
        <f>IF($O$3="sell",-1,1) * (-(B65*NORMDIST(I65,0,1,0)*$H$3)/(2*SQRT($J$3))/365) *$P$3</f>
        <v/>
      </c>
      <c r="G65" s="139">
        <f>IF($O$3="buy",1,-1)*( IF($K$3="call",B65*NORMDIST(I65,0,1,1) - $B$3*NORMDIST(J65,0,1,1),$B$3*NORMDIST(-J65,0,1,1) - B65*NORMDIST(-I65,0,1,1) ) - $G$3) * $P$3</f>
        <v/>
      </c>
      <c r="I65" s="142">
        <f>(LN(B65/$B$3)+($H$3^2/2)*($J$3))/($H$3*SQRT($J$3))</f>
        <v/>
      </c>
      <c r="J65" s="140">
        <f>I65 - $H$3*SQRT($J$3)</f>
        <v/>
      </c>
      <c r="L65" s="117" t="n"/>
      <c r="M65" s="141" t="n"/>
      <c r="N65" s="141" t="n"/>
    </row>
    <row r="66" ht="13.5" customHeight="1" s="116">
      <c r="B66" s="138">
        <f>B37</f>
        <v/>
      </c>
      <c r="C66" s="139">
        <f>IF($O$3="sell",-1,1) *  IF($K$3="call",  NORMDIST(I66,0,1,1),  NORMDIST(I66,0,1,1)-1  ) * $P$3</f>
        <v/>
      </c>
      <c r="D66" s="139">
        <f>IF($O$3="sell",-1,1) * NORMDIST(I66,0,1,0)/(B66*$H$3*SQRT($J$3)) * $P$3</f>
        <v/>
      </c>
      <c r="E66" s="139">
        <f>IF($O$3="sell",-1,1) * (B66*NORMDIST(I66,0,1,0)*SQRT($J$3)/365) * $P$3</f>
        <v/>
      </c>
      <c r="F66" s="139">
        <f>IF($O$3="sell",-1,1) * (-(B66*NORMDIST(I66,0,1,0)*$H$3)/(2*SQRT($J$3))/365) *$P$3</f>
        <v/>
      </c>
      <c r="G66" s="139">
        <f>IF($O$3="buy",1,-1)*( IF($K$3="call",B66*NORMDIST(I66,0,1,1) - $B$3*NORMDIST(J66,0,1,1),$B$3*NORMDIST(-J66,0,1,1) - B66*NORMDIST(-I66,0,1,1) ) - $G$3) * $P$3</f>
        <v/>
      </c>
      <c r="I66" s="142">
        <f>(LN(B66/$B$3)+($H$3^2/2)*($J$3))/($H$3*SQRT($J$3))</f>
        <v/>
      </c>
      <c r="J66" s="140">
        <f>I66 - $H$3*SQRT($J$3)</f>
        <v/>
      </c>
      <c r="L66" s="117" t="n"/>
      <c r="M66" s="141" t="n"/>
      <c r="N66" s="141" t="n"/>
    </row>
    <row r="67" ht="13.5" customHeight="1" s="116">
      <c r="B67" s="138">
        <f>B38</f>
        <v/>
      </c>
      <c r="C67" s="139">
        <f>IF($O$3="sell",-1,1) *  IF($K$3="call",  NORMDIST(I67,0,1,1),  NORMDIST(I67,0,1,1)-1  ) * $P$3</f>
        <v/>
      </c>
      <c r="D67" s="139">
        <f>IF($O$3="sell",-1,1) * NORMDIST(I67,0,1,0)/(B67*$H$3*SQRT($J$3)) * $P$3</f>
        <v/>
      </c>
      <c r="E67" s="139">
        <f>IF($O$3="sell",-1,1) * (B67*NORMDIST(I67,0,1,0)*SQRT($J$3)/365) * $P$3</f>
        <v/>
      </c>
      <c r="F67" s="139">
        <f>IF($O$3="sell",-1,1) * (-(B67*NORMDIST(I67,0,1,0)*$H$3)/(2*SQRT($J$3))/365) *$P$3</f>
        <v/>
      </c>
      <c r="G67" s="139">
        <f>IF($O$3="buy",1,-1)*( IF($K$3="call",B67*NORMDIST(I67,0,1,1) - $B$3*NORMDIST(J67,0,1,1),$B$3*NORMDIST(-J67,0,1,1) - B67*NORMDIST(-I67,0,1,1) ) - $G$3) * $P$3</f>
        <v/>
      </c>
      <c r="I67" s="142">
        <f>(LN(B67/$B$3)+($H$3^2/2)*($J$3))/($H$3*SQRT($J$3))</f>
        <v/>
      </c>
      <c r="J67" s="140">
        <f>I67 - $H$3*SQRT($J$3)</f>
        <v/>
      </c>
      <c r="L67" s="117" t="n"/>
      <c r="M67" s="141" t="n"/>
      <c r="N67" s="141" t="n"/>
    </row>
    <row r="68" ht="13.5" customHeight="1" s="116">
      <c r="B68" s="138">
        <f>B39</f>
        <v/>
      </c>
      <c r="C68" s="139">
        <f>IF($O$3="sell",-1,1) *  IF($K$3="call",  NORMDIST(I68,0,1,1),  NORMDIST(I68,0,1,1)-1  ) * $P$3</f>
        <v/>
      </c>
      <c r="D68" s="139">
        <f>IF($O$3="sell",-1,1) * NORMDIST(I68,0,1,0)/(B68*$H$3*SQRT($J$3)) * $P$3</f>
        <v/>
      </c>
      <c r="E68" s="139">
        <f>IF($O$3="sell",-1,1) * (B68*NORMDIST(I68,0,1,0)*SQRT($J$3)/365) * $P$3</f>
        <v/>
      </c>
      <c r="F68" s="139">
        <f>IF($O$3="sell",-1,1) * (-(B68*NORMDIST(I68,0,1,0)*$H$3)/(2*SQRT($J$3))/365) *$P$3</f>
        <v/>
      </c>
      <c r="G68" s="139">
        <f>IF($O$3="buy",1,-1)*( IF($K$3="call",B68*NORMDIST(I68,0,1,1) - $B$3*NORMDIST(J68,0,1,1),$B$3*NORMDIST(-J68,0,1,1) - B68*NORMDIST(-I68,0,1,1) ) - $G$3) * $P$3</f>
        <v/>
      </c>
      <c r="I68" s="142">
        <f>(LN(B68/$B$3)+($H$3^2/2)*($J$3))/($H$3*SQRT($J$3))</f>
        <v/>
      </c>
      <c r="J68" s="140">
        <f>I68 - $H$3*SQRT($J$3)</f>
        <v/>
      </c>
      <c r="L68" s="117" t="n"/>
      <c r="M68" s="141" t="n"/>
      <c r="N68" s="141" t="n"/>
    </row>
    <row r="69" ht="13.5" customHeight="1" s="116">
      <c r="B69" s="138">
        <f>B40</f>
        <v/>
      </c>
      <c r="C69" s="139">
        <f>IF($O$3="sell",-1,1) *  IF($K$3="call",  NORMDIST(I69,0,1,1),  NORMDIST(I69,0,1,1)-1  ) * $P$3</f>
        <v/>
      </c>
      <c r="D69" s="139">
        <f>IF($O$3="sell",-1,1) * NORMDIST(I69,0,1,0)/(B69*$H$3*SQRT($J$3)) * $P$3</f>
        <v/>
      </c>
      <c r="E69" s="139">
        <f>IF($O$3="sell",-1,1) * (B69*NORMDIST(I69,0,1,0)*SQRT($J$3)/365) * $P$3</f>
        <v/>
      </c>
      <c r="F69" s="139">
        <f>IF($O$3="sell",-1,1) * (-(B69*NORMDIST(I69,0,1,0)*$H$3)/(2*SQRT($J$3))/365) *$P$3</f>
        <v/>
      </c>
      <c r="G69" s="139">
        <f>IF($O$3="buy",1,-1)*( IF($K$3="call",B69*NORMDIST(I69,0,1,1) - $B$3*NORMDIST(J69,0,1,1),$B$3*NORMDIST(-J69,0,1,1) - B69*NORMDIST(-I69,0,1,1) ) - $G$3) * $P$3</f>
        <v/>
      </c>
      <c r="I69" s="142">
        <f>(LN(B69/$B$3)+($H$3^2/2)*($J$3))/($H$3*SQRT($J$3))</f>
        <v/>
      </c>
      <c r="J69" s="140">
        <f>I69 - $H$3*SQRT($J$3)</f>
        <v/>
      </c>
      <c r="L69" s="117" t="n"/>
      <c r="M69" s="141" t="n"/>
      <c r="N69" s="141" t="n"/>
    </row>
    <row r="70" ht="13.5" customHeight="1" s="116">
      <c r="B70" s="138">
        <f>B41</f>
        <v/>
      </c>
      <c r="C70" s="139">
        <f>IF($O$3="sell",-1,1) *  IF($K$3="call",  NORMDIST(I70,0,1,1),  NORMDIST(I70,0,1,1)-1  ) * $P$3</f>
        <v/>
      </c>
      <c r="D70" s="139">
        <f>IF($O$3="sell",-1,1) * NORMDIST(I70,0,1,0)/(B70*$H$3*SQRT($J$3)) * $P$3</f>
        <v/>
      </c>
      <c r="E70" s="139">
        <f>IF($O$3="sell",-1,1) * (B70*NORMDIST(I70,0,1,0)*SQRT($J$3)/365) * $P$3</f>
        <v/>
      </c>
      <c r="F70" s="139">
        <f>IF($O$3="sell",-1,1) * (-(B70*NORMDIST(I70,0,1,0)*$H$3)/(2*SQRT($J$3))/365) *$P$3</f>
        <v/>
      </c>
      <c r="G70" s="139">
        <f>IF($O$3="buy",1,-1)*( IF($K$3="call",B70*NORMDIST(I70,0,1,1) - $B$3*NORMDIST(J70,0,1,1),$B$3*NORMDIST(-J70,0,1,1) - B70*NORMDIST(-I70,0,1,1) ) - $G$3) * $P$3</f>
        <v/>
      </c>
      <c r="I70" s="142">
        <f>(LN(B70/$B$3)+($H$3^2/2)*($J$3))/($H$3*SQRT($J$3))</f>
        <v/>
      </c>
      <c r="J70" s="140">
        <f>I70 - $H$3*SQRT($J$3)</f>
        <v/>
      </c>
      <c r="L70" s="117" t="n"/>
      <c r="M70" s="141" t="n"/>
      <c r="N70" s="141" t="n"/>
    </row>
    <row r="71" ht="13.5" customHeight="1" s="116">
      <c r="B71" s="138">
        <f>B42</f>
        <v/>
      </c>
      <c r="C71" s="139">
        <f>IF($O$3="sell",-1,1) *  IF($K$3="call",  NORMDIST(I71,0,1,1),  NORMDIST(I71,0,1,1)-1  ) * $P$3</f>
        <v/>
      </c>
      <c r="D71" s="139">
        <f>IF($O$3="sell",-1,1) * NORMDIST(I71,0,1,0)/(B71*$H$3*SQRT($J$3)) * $P$3</f>
        <v/>
      </c>
      <c r="E71" s="139">
        <f>IF($O$3="sell",-1,1) * (B71*NORMDIST(I71,0,1,0)*SQRT($J$3)/365) * $P$3</f>
        <v/>
      </c>
      <c r="F71" s="139">
        <f>IF($O$3="sell",-1,1) * (-(B71*NORMDIST(I71,0,1,0)*$H$3)/(2*SQRT($J$3))/365) *$P$3</f>
        <v/>
      </c>
      <c r="G71" s="139">
        <f>IF($O$3="buy",1,-1)*( IF($K$3="call",B71*NORMDIST(I71,0,1,1) - $B$3*NORMDIST(J71,0,1,1),$B$3*NORMDIST(-J71,0,1,1) - B71*NORMDIST(-I71,0,1,1) ) - $G$3) * $P$3</f>
        <v/>
      </c>
      <c r="I71" s="142">
        <f>(LN(B71/$B$3)+($H$3^2/2)*($J$3))/($H$3*SQRT($J$3))</f>
        <v/>
      </c>
      <c r="J71" s="140">
        <f>I71 - $H$3*SQRT($J$3)</f>
        <v/>
      </c>
      <c r="L71" s="117" t="n"/>
      <c r="M71" s="141" t="n"/>
      <c r="N71" s="141" t="n"/>
    </row>
    <row r="72" ht="13.5" customHeight="1" s="116">
      <c r="B72" s="138">
        <f>B43</f>
        <v/>
      </c>
      <c r="C72" s="139">
        <f>IF($O$3="sell",-1,1) *  IF($K$3="call",  NORMDIST(I72,0,1,1),  NORMDIST(I72,0,1,1)-1  ) * $P$3</f>
        <v/>
      </c>
      <c r="D72" s="139">
        <f>IF($O$3="sell",-1,1) * NORMDIST(I72,0,1,0)/(B72*$H$3*SQRT($J$3)) * $P$3</f>
        <v/>
      </c>
      <c r="E72" s="139">
        <f>IF($O$3="sell",-1,1) * (B72*NORMDIST(I72,0,1,0)*SQRT($J$3)/365) * $P$3</f>
        <v/>
      </c>
      <c r="F72" s="139">
        <f>IF($O$3="sell",-1,1) * (-(B72*NORMDIST(I72,0,1,0)*$H$3)/(2*SQRT($J$3))/365) *$P$3</f>
        <v/>
      </c>
      <c r="G72" s="139">
        <f>IF($O$3="buy",1,-1)*( IF($K$3="call",B72*NORMDIST(I72,0,1,1) - $B$3*NORMDIST(J72,0,1,1),$B$3*NORMDIST(-J72,0,1,1) - B72*NORMDIST(-I72,0,1,1) ) - $G$3) * $P$3</f>
        <v/>
      </c>
      <c r="I72" s="142">
        <f>(LN(B72/$B$3)+($H$3^2/2)*($J$3))/($H$3*SQRT($J$3))</f>
        <v/>
      </c>
      <c r="J72" s="140">
        <f>I72 - $H$3*SQRT($J$3)</f>
        <v/>
      </c>
      <c r="L72" s="117" t="n"/>
      <c r="M72" s="141" t="n"/>
      <c r="N72" s="141" t="n"/>
    </row>
    <row r="74" ht="17.25" customHeight="1" s="116">
      <c r="B74" s="137" t="n"/>
      <c r="C74" s="133" t="inlineStr">
        <is>
          <t>delta</t>
        </is>
      </c>
      <c r="D74" s="133" t="inlineStr">
        <is>
          <t>gamma</t>
        </is>
      </c>
      <c r="E74" s="133" t="inlineStr">
        <is>
          <t>vega</t>
        </is>
      </c>
      <c r="F74" s="133" t="inlineStr">
        <is>
          <t>theta</t>
        </is>
      </c>
      <c r="G74" s="133" t="inlineStr">
        <is>
          <t>mark_price</t>
        </is>
      </c>
      <c r="I74" s="133" t="inlineStr">
        <is>
          <t>d1</t>
        </is>
      </c>
      <c r="J74" s="133" t="inlineStr">
        <is>
          <t>d2</t>
        </is>
      </c>
    </row>
    <row r="75" ht="13.5" customHeight="1" s="116">
      <c r="A75" s="117">
        <f>A4</f>
        <v/>
      </c>
      <c r="B75" s="144">
        <f>B46</f>
        <v/>
      </c>
      <c r="C75" s="139">
        <f>IF($O$4="sell",-1,1) *  IF($K$4="call",  NORMDIST(I75,0,1,1),  NORMDIST(I75,0,1,1)-1  ) * $P$4</f>
        <v/>
      </c>
      <c r="D75" s="139">
        <f>IF($O$4="sell",-1,1) * NORMDIST(I75,0,1,0)/(B75*$H$4*SQRT($J$4)) * $P$4</f>
        <v/>
      </c>
      <c r="E75" s="139">
        <f>IF($O$4="sell",-1,1) * (B75*NORMDIST(I75,0,1,0)*SQRT($J$4)/365) * $P$4</f>
        <v/>
      </c>
      <c r="F75" s="139">
        <f>IF($O$4="sell",-1,1) * (-(B75*NORMDIST(I75,0,1,0)*$H$4)/(2*SQRT($J$4))/365) *$P$4</f>
        <v/>
      </c>
      <c r="G75" s="139">
        <f>IF($O$4="buy",1,-1)*( IF($K$4="call",B75*NORMDIST(I75,0,1,1) - $B$4*NORMDIST(J75,0,1,1),$B$4*NORMDIST(-J75,0,1,1) - B75*NORMDIST(-I75,0,1,1) ) - $G$4) * $P$4</f>
        <v/>
      </c>
      <c r="I75" s="140">
        <f>(LN(B75/$B$4)+($H$4^2/2)*($J$4))/($H$4*SQRT($J$4))</f>
        <v/>
      </c>
      <c r="J75" s="140">
        <f>I75 - $H$4*SQRT($J$4)</f>
        <v/>
      </c>
    </row>
    <row r="76" ht="13.5" customHeight="1" s="116">
      <c r="B76" s="144">
        <f>B47</f>
        <v/>
      </c>
      <c r="C76" s="139">
        <f>IF($O$4="sell",-1,1) *  IF($K$4="call",  NORMDIST(I76,0,1,1),  NORMDIST(I76,0,1,1)-1  ) * $P$4</f>
        <v/>
      </c>
      <c r="D76" s="139">
        <f>IF($O$4="sell",-1,1) * NORMDIST(I76,0,1,0)/(B76*$H$4*SQRT($J$4)) * $P$4</f>
        <v/>
      </c>
      <c r="E76" s="139">
        <f>IF($O$4="sell",-1,1) * (B76*NORMDIST(I76,0,1,0)*SQRT($J$4)/365) * $P$4</f>
        <v/>
      </c>
      <c r="F76" s="139">
        <f>IF($O$4="sell",-1,1) * (-(B76*NORMDIST(I76,0,1,0)*$H$4)/(2*SQRT($J$4))/365) *$P$4</f>
        <v/>
      </c>
      <c r="G76" s="139">
        <f>IF($O$4="buy",1,-1)*( IF($K$4="call",B76*NORMDIST(I76,0,1,1) - $B$4*NORMDIST(J76,0,1,1),$B$4*NORMDIST(-J76,0,1,1) - B76*NORMDIST(-I76,0,1,1) ) - $G$4) * $P$4</f>
        <v/>
      </c>
      <c r="I76" s="140">
        <f>(LN(B76/$B$4)+($H$4^2/2)*($J$4))/($H$4*SQRT($J$4))</f>
        <v/>
      </c>
      <c r="J76" s="140">
        <f>I76 - $H$4*SQRT($J$4)</f>
        <v/>
      </c>
    </row>
    <row r="77" ht="13.5" customHeight="1" s="116">
      <c r="B77" s="144">
        <f>B48</f>
        <v/>
      </c>
      <c r="C77" s="139">
        <f>IF($O$4="sell",-1,1) *  IF($K$4="call",  NORMDIST(I77,0,1,1),  NORMDIST(I77,0,1,1)-1  ) * $P$4</f>
        <v/>
      </c>
      <c r="D77" s="139">
        <f>IF($O$4="sell",-1,1) * NORMDIST(I77,0,1,0)/(B77*$H$4*SQRT($J$4)) * $P$4</f>
        <v/>
      </c>
      <c r="E77" s="139">
        <f>IF($O$4="sell",-1,1) * (B77*NORMDIST(I77,0,1,0)*SQRT($J$4)/365) * $P$4</f>
        <v/>
      </c>
      <c r="F77" s="139">
        <f>IF($O$4="sell",-1,1) * (-(B77*NORMDIST(I77,0,1,0)*$H$4)/(2*SQRT($J$4))/365) *$P$4</f>
        <v/>
      </c>
      <c r="G77" s="139">
        <f>IF($O$4="buy",1,-1)*( IF($K$4="call",B77*NORMDIST(I77,0,1,1) - $B$4*NORMDIST(J77,0,1,1),$B$4*NORMDIST(-J77,0,1,1) - B77*NORMDIST(-I77,0,1,1) ) - $G$4) * $P$4</f>
        <v/>
      </c>
      <c r="I77" s="140">
        <f>(LN(B77/$B$4)+($H$4^2/2)*($J$4))/($H$4*SQRT($J$4))</f>
        <v/>
      </c>
      <c r="J77" s="140">
        <f>I77 - $H$4*SQRT($J$4)</f>
        <v/>
      </c>
    </row>
    <row r="78" ht="13.5" customHeight="1" s="116">
      <c r="B78" s="144">
        <f>B49</f>
        <v/>
      </c>
      <c r="C78" s="139">
        <f>IF($O$4="sell",-1,1) *  IF($K$4="call",  NORMDIST(I78,0,1,1),  NORMDIST(I78,0,1,1)-1  ) * $P$4</f>
        <v/>
      </c>
      <c r="D78" s="139">
        <f>IF($O$4="sell",-1,1) * NORMDIST(I78,0,1,0)/(B78*$H$4*SQRT($J$4)) * $P$4</f>
        <v/>
      </c>
      <c r="E78" s="139">
        <f>IF($O$4="sell",-1,1) * (B78*NORMDIST(I78,0,1,0)*SQRT($J$4)/365) * $P$4</f>
        <v/>
      </c>
      <c r="F78" s="139">
        <f>IF($O$4="sell",-1,1) * (-(B78*NORMDIST(I78,0,1,0)*$H$4)/(2*SQRT($J$4))/365) *$P$4</f>
        <v/>
      </c>
      <c r="G78" s="139">
        <f>IF($O$4="buy",1,-1)*( IF($K$4="call",B78*NORMDIST(I78,0,1,1) - $B$4*NORMDIST(J78,0,1,1),$B$4*NORMDIST(-J78,0,1,1) - B78*NORMDIST(-I78,0,1,1) ) - $G$4) * $P$4</f>
        <v/>
      </c>
      <c r="I78" s="140">
        <f>(LN(B78/$B$4)+($H$4^2/2)*($J$4))/($H$4*SQRT($J$4))</f>
        <v/>
      </c>
      <c r="J78" s="140">
        <f>I78 - $H$4*SQRT($J$4)</f>
        <v/>
      </c>
    </row>
    <row r="79" ht="13.5" customHeight="1" s="116">
      <c r="B79" s="144">
        <f>B50</f>
        <v/>
      </c>
      <c r="C79" s="139">
        <f>IF($O$4="sell",-1,1) *  IF($K$4="call",  NORMDIST(I79,0,1,1),  NORMDIST(I79,0,1,1)-1  ) * $P$4</f>
        <v/>
      </c>
      <c r="D79" s="139">
        <f>IF($O$4="sell",-1,1) * NORMDIST(I79,0,1,0)/(B79*$H$4*SQRT($J$4)) * $P$4</f>
        <v/>
      </c>
      <c r="E79" s="139">
        <f>IF($O$4="sell",-1,1) * (B79*NORMDIST(I79,0,1,0)*SQRT($J$4)/365) * $P$4</f>
        <v/>
      </c>
      <c r="F79" s="139">
        <f>IF($O$4="sell",-1,1) * (-(B79*NORMDIST(I79,0,1,0)*$H$4)/(2*SQRT($J$4))/365) *$P$4</f>
        <v/>
      </c>
      <c r="G79" s="139">
        <f>IF($O$4="buy",1,-1)*( IF($K$4="call",B79*NORMDIST(I79,0,1,1) - $B$4*NORMDIST(J79,0,1,1),$B$4*NORMDIST(-J79,0,1,1) - B79*NORMDIST(-I79,0,1,1) ) - $G$4) * $P$4</f>
        <v/>
      </c>
      <c r="I79" s="140">
        <f>(LN(B79/$B$4)+($H$4^2/2)*($J$4))/($H$4*SQRT($J$4))</f>
        <v/>
      </c>
      <c r="J79" s="140">
        <f>I79 - $H$4*SQRT($J$4)</f>
        <v/>
      </c>
    </row>
    <row r="80" ht="13.5" customHeight="1" s="116">
      <c r="B80" s="144">
        <f>B51</f>
        <v/>
      </c>
      <c r="C80" s="139">
        <f>IF($O$4="sell",-1,1) *  IF($K$4="call",  NORMDIST(I80,0,1,1),  NORMDIST(I80,0,1,1)-1  ) * $P$4</f>
        <v/>
      </c>
      <c r="D80" s="139">
        <f>IF($O$4="sell",-1,1) * NORMDIST(I80,0,1,0)/(B80*$H$4*SQRT($J$4)) * $P$4</f>
        <v/>
      </c>
      <c r="E80" s="139">
        <f>IF($O$4="sell",-1,1) * (B80*NORMDIST(I80,0,1,0)*SQRT($J$4)/365) * $P$4</f>
        <v/>
      </c>
      <c r="F80" s="139">
        <f>IF($O$4="sell",-1,1) * (-(B80*NORMDIST(I80,0,1,0)*$H$4)/(2*SQRT($J$4))/365) *$P$4</f>
        <v/>
      </c>
      <c r="G80" s="139">
        <f>IF($O$4="buy",1,-1)*( IF($K$4="call",B80*NORMDIST(I80,0,1,1) - $B$4*NORMDIST(J80,0,1,1),$B$4*NORMDIST(-J80,0,1,1) - B80*NORMDIST(-I80,0,1,1) ) - $G$4) * $P$4</f>
        <v/>
      </c>
      <c r="I80" s="140">
        <f>(LN(B80/$B$4)+($H$4^2/2)*($J$4))/($H$4*SQRT($J$4))</f>
        <v/>
      </c>
      <c r="J80" s="140">
        <f>I80 - $H$4*SQRT($J$4)</f>
        <v/>
      </c>
    </row>
    <row r="81" ht="13.5" customHeight="1" s="116">
      <c r="B81" s="144">
        <f>B52</f>
        <v/>
      </c>
      <c r="C81" s="139">
        <f>IF($O$4="sell",-1,1) *  IF($K$4="call",  NORMDIST(I81,0,1,1),  NORMDIST(I81,0,1,1)-1  ) * $P$4</f>
        <v/>
      </c>
      <c r="D81" s="139">
        <f>IF($O$4="sell",-1,1) * NORMDIST(I81,0,1,0)/(B81*$H$4*SQRT($J$4)) * $P$4</f>
        <v/>
      </c>
      <c r="E81" s="139">
        <f>IF($O$4="sell",-1,1) * (B81*NORMDIST(I81,0,1,0)*SQRT($J$4)/365) * $P$4</f>
        <v/>
      </c>
      <c r="F81" s="139">
        <f>IF($O$4="sell",-1,1) * (-(B81*NORMDIST(I81,0,1,0)*$H$4)/(2*SQRT($J$4))/365) *$P$4</f>
        <v/>
      </c>
      <c r="G81" s="139">
        <f>IF($O$4="buy",1,-1)*( IF($K$4="call",B81*NORMDIST(I81,0,1,1) - $B$4*NORMDIST(J81,0,1,1),$B$4*NORMDIST(-J81,0,1,1) - B81*NORMDIST(-I81,0,1,1) ) - $G$4) * $P$4</f>
        <v/>
      </c>
      <c r="I81" s="140">
        <f>(LN(B81/$B$4)+($H$4^2/2)*($J$4))/($H$4*SQRT($J$4))</f>
        <v/>
      </c>
      <c r="J81" s="140">
        <f>I81 - $H$4*SQRT($J$4)</f>
        <v/>
      </c>
    </row>
    <row r="82" ht="13.5" customHeight="1" s="116">
      <c r="B82" s="144">
        <f>B53</f>
        <v/>
      </c>
      <c r="C82" s="139">
        <f>IF($O$4="sell",-1,1) *  IF($K$4="call",  NORMDIST(I82,0,1,1),  NORMDIST(I82,0,1,1)-1  ) * $P$4</f>
        <v/>
      </c>
      <c r="D82" s="139">
        <f>IF($O$4="sell",-1,1) * NORMDIST(I82,0,1,0)/(B82*$H$4*SQRT($J$4)) * $P$4</f>
        <v/>
      </c>
      <c r="E82" s="139">
        <f>IF($O$4="sell",-1,1) * (B82*NORMDIST(I82,0,1,0)*SQRT($J$4)/365) * $P$4</f>
        <v/>
      </c>
      <c r="F82" s="139">
        <f>IF($O$4="sell",-1,1) * (-(B82*NORMDIST(I82,0,1,0)*$H$4)/(2*SQRT($J$4))/365) *$P$4</f>
        <v/>
      </c>
      <c r="G82" s="139">
        <f>IF($O$4="buy",1,-1)*( IF($K$4="call",B82*NORMDIST(I82,0,1,1) - $B$4*NORMDIST(J82,0,1,1),$B$4*NORMDIST(-J82,0,1,1) - B82*NORMDIST(-I82,0,1,1) ) - $G$4) * $P$4</f>
        <v/>
      </c>
      <c r="I82" s="140">
        <f>(LN(B82/$B$4)+($H$4^2/2)*($J$4))/($H$4*SQRT($J$4))</f>
        <v/>
      </c>
      <c r="J82" s="140">
        <f>I82 - $H$4*SQRT($J$4)</f>
        <v/>
      </c>
    </row>
    <row r="83" ht="13.5" customHeight="1" s="116">
      <c r="B83" s="144">
        <f>B54</f>
        <v/>
      </c>
      <c r="C83" s="139">
        <f>IF($O$4="sell",-1,1) *  IF($K$4="call",  NORMDIST(I83,0,1,1),  NORMDIST(I83,0,1,1)-1  ) * $P$4</f>
        <v/>
      </c>
      <c r="D83" s="139">
        <f>IF($O$4="sell",-1,1) * NORMDIST(I83,0,1,0)/(B83*$H$4*SQRT($J$4)) * $P$4</f>
        <v/>
      </c>
      <c r="E83" s="139">
        <f>IF($O$4="sell",-1,1) * (B83*NORMDIST(I83,0,1,0)*SQRT($J$4)/365) * $P$4</f>
        <v/>
      </c>
      <c r="F83" s="139">
        <f>IF($O$4="sell",-1,1) * (-(B83*NORMDIST(I83,0,1,0)*$H$4)/(2*SQRT($J$4))/365) *$P$4</f>
        <v/>
      </c>
      <c r="G83" s="139">
        <f>IF($O$4="buy",1,-1)*( IF($K$4="call",B83*NORMDIST(I83,0,1,1) - $B$4*NORMDIST(J83,0,1,1),$B$4*NORMDIST(-J83,0,1,1) - B83*NORMDIST(-I83,0,1,1) ) - $G$4) * $P$4</f>
        <v/>
      </c>
      <c r="I83" s="140">
        <f>(LN(B83/$B$4)+($H$4^2/2)*($J$4))/($H$4*SQRT($J$4))</f>
        <v/>
      </c>
      <c r="J83" s="140">
        <f>I83 - $H$4*SQRT($J$4)</f>
        <v/>
      </c>
    </row>
    <row r="84" ht="13.5" customHeight="1" s="116">
      <c r="B84" s="144">
        <f>B55</f>
        <v/>
      </c>
      <c r="C84" s="139">
        <f>IF($O$4="sell",-1,1) *  IF($K$4="call",  NORMDIST(I84,0,1,1),  NORMDIST(I84,0,1,1)-1  ) * $P$4</f>
        <v/>
      </c>
      <c r="D84" s="139">
        <f>IF($O$4="sell",-1,1) * NORMDIST(I84,0,1,0)/(B84*$H$4*SQRT($J$4)) * $P$4</f>
        <v/>
      </c>
      <c r="E84" s="139">
        <f>IF($O$4="sell",-1,1) * (B84*NORMDIST(I84,0,1,0)*SQRT($J$4)/365) * $P$4</f>
        <v/>
      </c>
      <c r="F84" s="139">
        <f>IF($O$4="sell",-1,1) * (-(B84*NORMDIST(I84,0,1,0)*$H$4)/(2*SQRT($J$4))/365) *$P$4</f>
        <v/>
      </c>
      <c r="G84" s="139">
        <f>IF($O$4="buy",1,-1)*( IF($K$4="call",B84*NORMDIST(I84,0,1,1) - $B$4*NORMDIST(J84,0,1,1),$B$4*NORMDIST(-J84,0,1,1) - B84*NORMDIST(-I84,0,1,1) ) - $G$4) * $P$4</f>
        <v/>
      </c>
      <c r="I84" s="140">
        <f>(LN(B84/$B$4)+($H$4^2/2)*($J$4))/($H$4*SQRT($J$4))</f>
        <v/>
      </c>
      <c r="J84" s="140">
        <f>I84 - $H$4*SQRT($J$4)</f>
        <v/>
      </c>
    </row>
    <row r="85" ht="13.5" customHeight="1" s="116">
      <c r="B85" s="144">
        <f>B56</f>
        <v/>
      </c>
      <c r="C85" s="139">
        <f>IF($O$4="sell",-1,1) *  IF($K$4="call",  NORMDIST(I85,0,1,1),  NORMDIST(I85,0,1,1)-1  ) * $P$4</f>
        <v/>
      </c>
      <c r="D85" s="139">
        <f>IF($O$4="sell",-1,1) * NORMDIST(I85,0,1,0)/(B85*$H$4*SQRT($J$4)) * $P$4</f>
        <v/>
      </c>
      <c r="E85" s="139">
        <f>IF($O$4="sell",-1,1) * (B85*NORMDIST(I85,0,1,0)*SQRT($J$4)/365) * $P$4</f>
        <v/>
      </c>
      <c r="F85" s="139">
        <f>IF($O$4="sell",-1,1) * (-(B85*NORMDIST(I85,0,1,0)*$H$4)/(2*SQRT($J$4))/365) *$P$4</f>
        <v/>
      </c>
      <c r="G85" s="139">
        <f>IF($O$4="buy",1,-1)*( IF($K$4="call",B85*NORMDIST(I85,0,1,1) - $B$4*NORMDIST(J85,0,1,1),$B$4*NORMDIST(-J85,0,1,1) - B85*NORMDIST(-I85,0,1,1) ) - $G$4) * $P$4</f>
        <v/>
      </c>
      <c r="I85" s="140">
        <f>(LN(B85/$B$4)+($H$4^2/2)*($J$4))/($H$4*SQRT($J$4))</f>
        <v/>
      </c>
      <c r="J85" s="140">
        <f>I85 - $H$4*SQRT($J$4)</f>
        <v/>
      </c>
    </row>
    <row r="86" ht="13.5" customHeight="1" s="116">
      <c r="B86" s="144">
        <f>B57</f>
        <v/>
      </c>
      <c r="C86" s="139">
        <f>IF($O$4="sell",-1,1) *  IF($K$4="call",  NORMDIST(I86,0,1,1),  NORMDIST(I86,0,1,1)-1  ) * $P$4</f>
        <v/>
      </c>
      <c r="D86" s="139">
        <f>IF($O$4="sell",-1,1) * NORMDIST(I86,0,1,0)/(B86*$H$4*SQRT($J$4)) * $P$4</f>
        <v/>
      </c>
      <c r="E86" s="139">
        <f>IF($O$4="sell",-1,1) * (B86*NORMDIST(I86,0,1,0)*SQRT($J$4)/365) * $P$4</f>
        <v/>
      </c>
      <c r="F86" s="139">
        <f>IF($O$4="sell",-1,1) * (-(B86*NORMDIST(I86,0,1,0)*$H$4)/(2*SQRT($J$4))/365) *$P$4</f>
        <v/>
      </c>
      <c r="G86" s="139">
        <f>IF($O$4="buy",1,-1)*( IF($K$4="call",B86*NORMDIST(I86,0,1,1) - $B$4*NORMDIST(J86,0,1,1),$B$4*NORMDIST(-J86,0,1,1) - B86*NORMDIST(-I86,0,1,1) ) - $G$4) * $P$4</f>
        <v/>
      </c>
      <c r="I86" s="140">
        <f>(LN(B86/$B$4)+($H$4^2/2)*($J$4))/($H$4*SQRT($J$4))</f>
        <v/>
      </c>
      <c r="J86" s="140">
        <f>I86 - $H$4*SQRT($J$4)</f>
        <v/>
      </c>
    </row>
    <row r="87" ht="13.5" customHeight="1" s="116">
      <c r="B87" s="144">
        <f>B58</f>
        <v/>
      </c>
      <c r="C87" s="139">
        <f>IF($O$4="sell",-1,1) *  IF($K$4="call",  NORMDIST(I87,0,1,1),  NORMDIST(I87,0,1,1)-1  ) * $P$4</f>
        <v/>
      </c>
      <c r="D87" s="139">
        <f>IF($O$4="sell",-1,1) * NORMDIST(I87,0,1,0)/(B87*$H$4*SQRT($J$4)) * $P$4</f>
        <v/>
      </c>
      <c r="E87" s="139">
        <f>IF($O$4="sell",-1,1) * (B87*NORMDIST(I87,0,1,0)*SQRT($J$4)/365) * $P$4</f>
        <v/>
      </c>
      <c r="F87" s="139">
        <f>IF($O$4="sell",-1,1) * (-(B87*NORMDIST(I87,0,1,0)*$H$4)/(2*SQRT($J$4))/365) *$P$4</f>
        <v/>
      </c>
      <c r="G87" s="139">
        <f>IF($O$4="buy",1,-1)*( IF($K$4="call",B87*NORMDIST(I87,0,1,1) - $B$4*NORMDIST(J87,0,1,1),$B$4*NORMDIST(-J87,0,1,1) - B87*NORMDIST(-I87,0,1,1) ) - $G$4) * $P$4</f>
        <v/>
      </c>
      <c r="I87" s="140">
        <f>(LN(B87/$B$4)+($H$4^2/2)*($J$4))/($H$4*SQRT($J$4))</f>
        <v/>
      </c>
      <c r="J87" s="140">
        <f>I87 - $H$4*SQRT($J$4)</f>
        <v/>
      </c>
    </row>
    <row r="88" ht="13.5" customHeight="1" s="116">
      <c r="B88" s="144">
        <f>B59</f>
        <v/>
      </c>
      <c r="C88" s="139">
        <f>IF($O$4="sell",-1,1) *  IF($K$4="call",  NORMDIST(I88,0,1,1),  NORMDIST(I88,0,1,1)-1  ) * $P$4</f>
        <v/>
      </c>
      <c r="D88" s="139">
        <f>IF($O$4="sell",-1,1) * NORMDIST(I88,0,1,0)/(B88*$H$4*SQRT($J$4)) * $P$4</f>
        <v/>
      </c>
      <c r="E88" s="139">
        <f>IF($O$4="sell",-1,1) * (B88*NORMDIST(I88,0,1,0)*SQRT($J$4)/365) * $P$4</f>
        <v/>
      </c>
      <c r="F88" s="139">
        <f>IF($O$4="sell",-1,1) * (-(B88*NORMDIST(I88,0,1,0)*$H$4)/(2*SQRT($J$4))/365) *$P$4</f>
        <v/>
      </c>
      <c r="G88" s="139">
        <f>IF($O$4="buy",1,-1)*( IF($K$4="call",B88*NORMDIST(I88,0,1,1) - $B$4*NORMDIST(J88,0,1,1),$B$4*NORMDIST(-J88,0,1,1) - B88*NORMDIST(-I88,0,1,1) ) - $G$4) * $P$4</f>
        <v/>
      </c>
      <c r="I88" s="140">
        <f>(LN(B88/$B$4)+($H$4^2/2)*($J$4))/($H$4*SQRT($J$4))</f>
        <v/>
      </c>
      <c r="J88" s="140">
        <f>I88 - $H$4*SQRT($J$4)</f>
        <v/>
      </c>
    </row>
    <row r="89" ht="13.5" customHeight="1" s="116">
      <c r="B89" s="144">
        <f>B60</f>
        <v/>
      </c>
      <c r="C89" s="139">
        <f>IF($O$4="sell",-1,1) *  IF($K$4="call",  NORMDIST(I89,0,1,1),  NORMDIST(I89,0,1,1)-1  ) * $P$4</f>
        <v/>
      </c>
      <c r="D89" s="139">
        <f>IF($O$4="sell",-1,1) * NORMDIST(I89,0,1,0)/(B89*$H$4*SQRT($J$4)) * $P$4</f>
        <v/>
      </c>
      <c r="E89" s="139">
        <f>IF($O$4="sell",-1,1) * (B89*NORMDIST(I89,0,1,0)*SQRT($J$4)/365) * $P$4</f>
        <v/>
      </c>
      <c r="F89" s="139">
        <f>IF($O$4="sell",-1,1) * (-(B89*NORMDIST(I89,0,1,0)*$H$4)/(2*SQRT($J$4))/365) *$P$4</f>
        <v/>
      </c>
      <c r="G89" s="139">
        <f>IF($O$4="buy",1,-1)*( IF($K$4="call",B89*NORMDIST(I89,0,1,1) - $B$4*NORMDIST(J89,0,1,1),$B$4*NORMDIST(-J89,0,1,1) - B89*NORMDIST(-I89,0,1,1) ) - $G$4) * $P$4</f>
        <v/>
      </c>
      <c r="I89" s="140">
        <f>(LN(B89/$B$4)+($H$4^2/2)*($J$4))/($H$4*SQRT($J$4))</f>
        <v/>
      </c>
      <c r="J89" s="140">
        <f>I89 - $H$4*SQRT($J$4)</f>
        <v/>
      </c>
    </row>
    <row r="90" ht="13.5" customHeight="1" s="116">
      <c r="B90" s="144">
        <f>B61</f>
        <v/>
      </c>
      <c r="C90" s="139">
        <f>IF($O$4="sell",-1,1) *  IF($K$4="call",  NORMDIST(I90,0,1,1),  NORMDIST(I90,0,1,1)-1  ) * $P$4</f>
        <v/>
      </c>
      <c r="D90" s="139">
        <f>IF($O$4="sell",-1,1) * NORMDIST(I90,0,1,0)/(B90*$H$4*SQRT($J$4)) * $P$4</f>
        <v/>
      </c>
      <c r="E90" s="139">
        <f>IF($O$4="sell",-1,1) * (B90*NORMDIST(I90,0,1,0)*SQRT($J$4)/365) * $P$4</f>
        <v/>
      </c>
      <c r="F90" s="139">
        <f>IF($O$4="sell",-1,1) * (-(B90*NORMDIST(I90,0,1,0)*$H$4)/(2*SQRT($J$4))/365) *$P$4</f>
        <v/>
      </c>
      <c r="G90" s="139">
        <f>IF($O$4="buy",1,-1)*( IF($K$4="call",B90*NORMDIST(I90,0,1,1) - $B$4*NORMDIST(J90,0,1,1),$B$4*NORMDIST(-J90,0,1,1) - B90*NORMDIST(-I90,0,1,1) ) - $G$4) * $P$4</f>
        <v/>
      </c>
      <c r="I90" s="140">
        <f>(LN(B90/$B$4)+($H$4^2/2)*($J$4))/($H$4*SQRT($J$4))</f>
        <v/>
      </c>
      <c r="J90" s="140">
        <f>I90 - $H$4*SQRT($J$4)</f>
        <v/>
      </c>
    </row>
    <row r="91" ht="13.5" customHeight="1" s="116">
      <c r="B91" s="144">
        <f>B62</f>
        <v/>
      </c>
      <c r="C91" s="139">
        <f>IF($O$4="sell",-1,1) *  IF($K$4="call",  NORMDIST(I91,0,1,1),  NORMDIST(I91,0,1,1)-1  ) * $P$4</f>
        <v/>
      </c>
      <c r="D91" s="139">
        <f>IF($O$4="sell",-1,1) * NORMDIST(I91,0,1,0)/(B91*$H$4*SQRT($J$4)) * $P$4</f>
        <v/>
      </c>
      <c r="E91" s="139">
        <f>IF($O$4="sell",-1,1) * (B91*NORMDIST(I91,0,1,0)*SQRT($J$4)/365) * $P$4</f>
        <v/>
      </c>
      <c r="F91" s="139">
        <f>IF($O$4="sell",-1,1) * (-(B91*NORMDIST(I91,0,1,0)*$H$4)/(2*SQRT($J$4))/365) *$P$4</f>
        <v/>
      </c>
      <c r="G91" s="139">
        <f>IF($O$4="buy",1,-1)*( IF($K$4="call",B91*NORMDIST(I91,0,1,1) - $B$4*NORMDIST(J91,0,1,1),$B$4*NORMDIST(-J91,0,1,1) - B91*NORMDIST(-I91,0,1,1) ) - $G$4) * $P$4</f>
        <v/>
      </c>
      <c r="I91" s="140">
        <f>(LN(B91/$B$4)+($H$4^2/2)*($J$4))/($H$4*SQRT($J$4))</f>
        <v/>
      </c>
      <c r="J91" s="140">
        <f>I91 - $H$4*SQRT($J$4)</f>
        <v/>
      </c>
    </row>
    <row r="92" ht="13.5" customHeight="1" s="116">
      <c r="B92" s="144">
        <f>B63</f>
        <v/>
      </c>
      <c r="C92" s="139">
        <f>IF($O$4="sell",-1,1) *  IF($K$4="call",  NORMDIST(I92,0,1,1),  NORMDIST(I92,0,1,1)-1  ) * $P$4</f>
        <v/>
      </c>
      <c r="D92" s="139">
        <f>IF($O$4="sell",-1,1) * NORMDIST(I92,0,1,0)/(B92*$H$4*SQRT($J$4)) * $P$4</f>
        <v/>
      </c>
      <c r="E92" s="139">
        <f>IF($O$4="sell",-1,1) * (B92*NORMDIST(I92,0,1,0)*SQRT($J$4)/365) * $P$4</f>
        <v/>
      </c>
      <c r="F92" s="139">
        <f>IF($O$4="sell",-1,1) * (-(B92*NORMDIST(I92,0,1,0)*$H$4)/(2*SQRT($J$4))/365) *$P$4</f>
        <v/>
      </c>
      <c r="G92" s="139">
        <f>IF($O$4="buy",1,-1)*( IF($K$4="call",B92*NORMDIST(I92,0,1,1) - $B$4*NORMDIST(J92,0,1,1),$B$4*NORMDIST(-J92,0,1,1) - B92*NORMDIST(-I92,0,1,1) ) - $G$4) * $P$4</f>
        <v/>
      </c>
      <c r="I92" s="140">
        <f>(LN(B92/$B$4)+($H$4^2/2)*($J$4))/($H$4*SQRT($J$4))</f>
        <v/>
      </c>
      <c r="J92" s="140">
        <f>I92 - $H$4*SQRT($J$4)</f>
        <v/>
      </c>
    </row>
    <row r="93" ht="13.5" customHeight="1" s="116">
      <c r="B93" s="144">
        <f>B64</f>
        <v/>
      </c>
      <c r="C93" s="139">
        <f>IF($O$4="sell",-1,1) *  IF($K$4="call",  NORMDIST(I93,0,1,1),  NORMDIST(I93,0,1,1)-1  ) * $P$4</f>
        <v/>
      </c>
      <c r="D93" s="139">
        <f>IF($O$4="sell",-1,1) * NORMDIST(I93,0,1,0)/(B93*$H$4*SQRT($J$4)) * $P$4</f>
        <v/>
      </c>
      <c r="E93" s="139">
        <f>IF($O$4="sell",-1,1) * (B93*NORMDIST(I93,0,1,0)*SQRT($J$4)/365) * $P$4</f>
        <v/>
      </c>
      <c r="F93" s="139">
        <f>IF($O$4="sell",-1,1) * (-(B93*NORMDIST(I93,0,1,0)*$H$4)/(2*SQRT($J$4))/365) *$P$4</f>
        <v/>
      </c>
      <c r="G93" s="139">
        <f>IF($O$4="buy",1,-1)*( IF($K$4="call",B93*NORMDIST(I93,0,1,1) - $B$4*NORMDIST(J93,0,1,1),$B$4*NORMDIST(-J93,0,1,1) - B93*NORMDIST(-I93,0,1,1) ) - $G$4) * $P$4</f>
        <v/>
      </c>
      <c r="I93" s="140">
        <f>(LN(B93/$B$4)+($H$4^2/2)*($J$4))/($H$4*SQRT($J$4))</f>
        <v/>
      </c>
      <c r="J93" s="140">
        <f>I93 - $H$4*SQRT($J$4)</f>
        <v/>
      </c>
    </row>
    <row r="94" ht="13.5" customHeight="1" s="116">
      <c r="B94" s="144">
        <f>B65</f>
        <v/>
      </c>
      <c r="C94" s="139">
        <f>IF($O$4="sell",-1,1) *  IF($K$4="call",  NORMDIST(I94,0,1,1),  NORMDIST(I94,0,1,1)-1  ) * $P$4</f>
        <v/>
      </c>
      <c r="D94" s="139">
        <f>IF($O$4="sell",-1,1) * NORMDIST(I94,0,1,0)/(B94*$H$4*SQRT($J$4)) * $P$4</f>
        <v/>
      </c>
      <c r="E94" s="139">
        <f>IF($O$4="sell",-1,1) * (B94*NORMDIST(I94,0,1,0)*SQRT($J$4)/365) * $P$4</f>
        <v/>
      </c>
      <c r="F94" s="139">
        <f>IF($O$4="sell",-1,1) * (-(B94*NORMDIST(I94,0,1,0)*$H$4)/(2*SQRT($J$4))/365) *$P$4</f>
        <v/>
      </c>
      <c r="G94" s="139">
        <f>IF($O$4="buy",1,-1)*( IF($K$4="call",B94*NORMDIST(I94,0,1,1) - $B$4*NORMDIST(J94,0,1,1),$B$4*NORMDIST(-J94,0,1,1) - B94*NORMDIST(-I94,0,1,1) ) - $G$4) * $P$4</f>
        <v/>
      </c>
      <c r="I94" s="140">
        <f>(LN(B94/$B$4)+($H$4^2/2)*($J$4))/($H$4*SQRT($J$4))</f>
        <v/>
      </c>
      <c r="J94" s="140">
        <f>I94 - $H$4*SQRT($J$4)</f>
        <v/>
      </c>
    </row>
    <row r="95" ht="13.5" customHeight="1" s="116">
      <c r="B95" s="144">
        <f>B66</f>
        <v/>
      </c>
      <c r="C95" s="139">
        <f>IF($O$4="sell",-1,1) *  IF($K$4="call",  NORMDIST(I95,0,1,1),  NORMDIST(I95,0,1,1)-1  ) * $P$4</f>
        <v/>
      </c>
      <c r="D95" s="139">
        <f>IF($O$4="sell",-1,1) * NORMDIST(I95,0,1,0)/(B95*$H$4*SQRT($J$4)) * $P$4</f>
        <v/>
      </c>
      <c r="E95" s="139">
        <f>IF($O$4="sell",-1,1) * (B95*NORMDIST(I95,0,1,0)*SQRT($J$4)/365) * $P$4</f>
        <v/>
      </c>
      <c r="F95" s="139">
        <f>IF($O$4="sell",-1,1) * (-(B95*NORMDIST(I95,0,1,0)*$H$4)/(2*SQRT($J$4))/365) *$P$4</f>
        <v/>
      </c>
      <c r="G95" s="139">
        <f>IF($O$4="buy",1,-1)*( IF($K$4="call",B95*NORMDIST(I95,0,1,1) - $B$4*NORMDIST(J95,0,1,1),$B$4*NORMDIST(-J95,0,1,1) - B95*NORMDIST(-I95,0,1,1) ) - $G$4) * $P$4</f>
        <v/>
      </c>
      <c r="I95" s="140">
        <f>(LN(B95/$B$4)+($H$4^2/2)*($J$4))/($H$4*SQRT($J$4))</f>
        <v/>
      </c>
      <c r="J95" s="140">
        <f>I95 - $H$4*SQRT($J$4)</f>
        <v/>
      </c>
    </row>
    <row r="96" ht="13.5" customHeight="1" s="116">
      <c r="B96" s="144">
        <f>B67</f>
        <v/>
      </c>
      <c r="C96" s="139">
        <f>IF($O$4="sell",-1,1) *  IF($K$4="call",  NORMDIST(I96,0,1,1),  NORMDIST(I96,0,1,1)-1  ) * $P$4</f>
        <v/>
      </c>
      <c r="D96" s="139">
        <f>IF($O$4="sell",-1,1) * NORMDIST(I96,0,1,0)/(B96*$H$4*SQRT($J$4)) * $P$4</f>
        <v/>
      </c>
      <c r="E96" s="139">
        <f>IF($O$4="sell",-1,1) * (B96*NORMDIST(I96,0,1,0)*SQRT($J$4)/365) * $P$4</f>
        <v/>
      </c>
      <c r="F96" s="139">
        <f>IF($O$4="sell",-1,1) * (-(B96*NORMDIST(I96,0,1,0)*$H$4)/(2*SQRT($J$4))/365) *$P$4</f>
        <v/>
      </c>
      <c r="G96" s="139">
        <f>IF($O$4="buy",1,-1)*( IF($K$4="call",B96*NORMDIST(I96,0,1,1) - $B$4*NORMDIST(J96,0,1,1),$B$4*NORMDIST(-J96,0,1,1) - B96*NORMDIST(-I96,0,1,1) ) - $G$4) * $P$4</f>
        <v/>
      </c>
      <c r="I96" s="140">
        <f>(LN(B96/$B$4)+($H$4^2/2)*($J$4))/($H$4*SQRT($J$4))</f>
        <v/>
      </c>
      <c r="J96" s="140">
        <f>I96 - $H$4*SQRT($J$4)</f>
        <v/>
      </c>
    </row>
    <row r="97" ht="13.5" customHeight="1" s="116">
      <c r="B97" s="144">
        <f>B68</f>
        <v/>
      </c>
      <c r="C97" s="139">
        <f>IF($O$4="sell",-1,1) *  IF($K$4="call",  NORMDIST(I97,0,1,1),  NORMDIST(I97,0,1,1)-1  ) * $P$4</f>
        <v/>
      </c>
      <c r="D97" s="139">
        <f>IF($O$4="sell",-1,1) * NORMDIST(I97,0,1,0)/(B97*$H$4*SQRT($J$4)) * $P$4</f>
        <v/>
      </c>
      <c r="E97" s="139">
        <f>IF($O$4="sell",-1,1) * (B97*NORMDIST(I97,0,1,0)*SQRT($J$4)/365) * $P$4</f>
        <v/>
      </c>
      <c r="F97" s="139">
        <f>IF($O$4="sell",-1,1) * (-(B97*NORMDIST(I97,0,1,0)*$H$4)/(2*SQRT($J$4))/365) *$P$4</f>
        <v/>
      </c>
      <c r="G97" s="139">
        <f>IF($O$4="buy",1,-1)*( IF($K$4="call",B97*NORMDIST(I97,0,1,1) - $B$4*NORMDIST(J97,0,1,1),$B$4*NORMDIST(-J97,0,1,1) - B97*NORMDIST(-I97,0,1,1) ) - $G$4) * $P$4</f>
        <v/>
      </c>
      <c r="I97" s="140">
        <f>(LN(B97/$B$4)+($H$4^2/2)*($J$4))/($H$4*SQRT($J$4))</f>
        <v/>
      </c>
      <c r="J97" s="140">
        <f>I97 - $H$4*SQRT($J$4)</f>
        <v/>
      </c>
    </row>
    <row r="98" ht="13.5" customHeight="1" s="116">
      <c r="B98" s="144">
        <f>B69</f>
        <v/>
      </c>
      <c r="C98" s="139">
        <f>IF($O$4="sell",-1,1) *  IF($K$4="call",  NORMDIST(I98,0,1,1),  NORMDIST(I98,0,1,1)-1  ) * $P$4</f>
        <v/>
      </c>
      <c r="D98" s="139">
        <f>IF($O$4="sell",-1,1) * NORMDIST(I98,0,1,0)/(B98*$H$4*SQRT($J$4)) * $P$4</f>
        <v/>
      </c>
      <c r="E98" s="139">
        <f>IF($O$4="sell",-1,1) * (B98*NORMDIST(I98,0,1,0)*SQRT($J$4)/365) * $P$4</f>
        <v/>
      </c>
      <c r="F98" s="139">
        <f>IF($O$4="sell",-1,1) * (-(B98*NORMDIST(I98,0,1,0)*$H$4)/(2*SQRT($J$4))/365) *$P$4</f>
        <v/>
      </c>
      <c r="G98" s="139">
        <f>IF($O$4="buy",1,-1)*( IF($K$4="call",B98*NORMDIST(I98,0,1,1) - $B$4*NORMDIST(J98,0,1,1),$B$4*NORMDIST(-J98,0,1,1) - B98*NORMDIST(-I98,0,1,1) ) - $G$4) * $P$4</f>
        <v/>
      </c>
      <c r="I98" s="140">
        <f>(LN(B98/$B$4)+($H$4^2/2)*($J$4))/($H$4*SQRT($J$4))</f>
        <v/>
      </c>
      <c r="J98" s="140">
        <f>I98 - $H$4*SQRT($J$4)</f>
        <v/>
      </c>
    </row>
    <row r="99" ht="13.5" customHeight="1" s="116">
      <c r="B99" s="144">
        <f>B70</f>
        <v/>
      </c>
      <c r="C99" s="139">
        <f>IF($O$4="sell",-1,1) *  IF($K$4="call",  NORMDIST(I99,0,1,1),  NORMDIST(I99,0,1,1)-1  ) * $P$4</f>
        <v/>
      </c>
      <c r="D99" s="139">
        <f>IF($O$4="sell",-1,1) * NORMDIST(I99,0,1,0)/(B99*$H$4*SQRT($J$4)) * $P$4</f>
        <v/>
      </c>
      <c r="E99" s="139">
        <f>IF($O$4="sell",-1,1) * (B99*NORMDIST(I99,0,1,0)*SQRT($J$4)/365) * $P$4</f>
        <v/>
      </c>
      <c r="F99" s="139">
        <f>IF($O$4="sell",-1,1) * (-(B99*NORMDIST(I99,0,1,0)*$H$4)/(2*SQRT($J$4))/365) *$P$4</f>
        <v/>
      </c>
      <c r="G99" s="139">
        <f>IF($O$4="buy",1,-1)*( IF($K$4="call",B99*NORMDIST(I99,0,1,1) - $B$4*NORMDIST(J99,0,1,1),$B$4*NORMDIST(-J99,0,1,1) - B99*NORMDIST(-I99,0,1,1) ) - $G$4) * $P$4</f>
        <v/>
      </c>
      <c r="I99" s="140">
        <f>(LN(B99/$B$4)+($H$4^2/2)*($J$4))/($H$4*SQRT($J$4))</f>
        <v/>
      </c>
      <c r="J99" s="140">
        <f>I99 - $H$4*SQRT($J$4)</f>
        <v/>
      </c>
    </row>
    <row r="100" ht="13.5" customHeight="1" s="116">
      <c r="B100" s="144">
        <f>B71</f>
        <v/>
      </c>
      <c r="C100" s="139">
        <f>IF($O$4="sell",-1,1) *  IF($K$4="call",  NORMDIST(I100,0,1,1),  NORMDIST(I100,0,1,1)-1  ) * $P$4</f>
        <v/>
      </c>
      <c r="D100" s="139">
        <f>IF($O$4="sell",-1,1) * NORMDIST(I100,0,1,0)/(B100*$H$4*SQRT($J$4)) * $P$4</f>
        <v/>
      </c>
      <c r="E100" s="139">
        <f>IF($O$4="sell",-1,1) * (B100*NORMDIST(I100,0,1,0)*SQRT($J$4)/365) * $P$4</f>
        <v/>
      </c>
      <c r="F100" s="139">
        <f>IF($O$4="sell",-1,1) * (-(B100*NORMDIST(I100,0,1,0)*$H$4)/(2*SQRT($J$4))/365) *$P$4</f>
        <v/>
      </c>
      <c r="G100" s="139">
        <f>IF($O$4="buy",1,-1)*( IF($K$4="call",B100*NORMDIST(I100,0,1,1) - $B$4*NORMDIST(J100,0,1,1),$B$4*NORMDIST(-J100,0,1,1) - B100*NORMDIST(-I100,0,1,1) ) - $G$4) * $P$4</f>
        <v/>
      </c>
      <c r="I100" s="140">
        <f>(LN(B100/$B$4)+($H$4^2/2)*($J$4))/($H$4*SQRT($J$4))</f>
        <v/>
      </c>
      <c r="J100" s="140">
        <f>I100 - $H$4*SQRT($J$4)</f>
        <v/>
      </c>
    </row>
    <row r="101" ht="13.5" customHeight="1" s="116">
      <c r="B101" s="144">
        <f>B72</f>
        <v/>
      </c>
      <c r="C101" s="139">
        <f>IF($O$4="sell",-1,1) *  IF($K$4="call",  NORMDIST(I101,0,1,1),  NORMDIST(I101,0,1,1)-1  ) * $P$4</f>
        <v/>
      </c>
      <c r="D101" s="139">
        <f>IF($O$4="sell",-1,1) * NORMDIST(I101,0,1,0)/(B101*$H$4*SQRT($J$4)) * $P$4</f>
        <v/>
      </c>
      <c r="E101" s="139">
        <f>IF($O$4="sell",-1,1) * (B101*NORMDIST(I101,0,1,0)*SQRT($J$4)/365) * $P$4</f>
        <v/>
      </c>
      <c r="F101" s="139">
        <f>IF($O$4="sell",-1,1) * (-(B101*NORMDIST(I101,0,1,0)*$H$4)/(2*SQRT($J$4))/365) *$P$4</f>
        <v/>
      </c>
      <c r="G101" s="139">
        <f>IF($O$4="buy",1,-1)*( IF($K$4="call",B101*NORMDIST(I101,0,1,1) - $B$4*NORMDIST(J101,0,1,1),$B$4*NORMDIST(-J101,0,1,1) - B101*NORMDIST(-I101,0,1,1) ) - $G$4) * $P$4</f>
        <v/>
      </c>
      <c r="I101" s="140">
        <f>(LN(B101/$B$4)+($H$4^2/2)*($J$4))/($H$4*SQRT($J$4))</f>
        <v/>
      </c>
      <c r="J101" s="140">
        <f>I101 - $H$4*SQRT($J$4)</f>
        <v/>
      </c>
    </row>
    <row r="102" ht="13.5" customHeight="1" s="116">
      <c r="B102" s="145" t="n"/>
      <c r="C102" s="136" t="n"/>
      <c r="D102" s="136" t="n"/>
      <c r="E102" s="136" t="n"/>
      <c r="F102" s="136" t="n"/>
      <c r="G102" s="136" t="n"/>
      <c r="I102" s="146" t="n"/>
      <c r="J102" s="146" t="n"/>
    </row>
    <row r="103" ht="17.25" customHeight="1" s="116">
      <c r="B103" s="137" t="n"/>
      <c r="C103" s="133" t="inlineStr">
        <is>
          <t>delta</t>
        </is>
      </c>
      <c r="D103" s="133" t="inlineStr">
        <is>
          <t>gamma</t>
        </is>
      </c>
      <c r="E103" s="133" t="inlineStr">
        <is>
          <t>vega</t>
        </is>
      </c>
      <c r="F103" s="133" t="inlineStr">
        <is>
          <t>theta</t>
        </is>
      </c>
      <c r="G103" s="133" t="inlineStr">
        <is>
          <t>mark_price</t>
        </is>
      </c>
      <c r="I103" s="133" t="inlineStr">
        <is>
          <t>d1</t>
        </is>
      </c>
      <c r="J103" s="133" t="inlineStr">
        <is>
          <t>d2</t>
        </is>
      </c>
    </row>
    <row r="104" ht="13.5" customHeight="1" s="116">
      <c r="A104" s="117">
        <f>A5</f>
        <v/>
      </c>
      <c r="B104" s="144">
        <f>B75</f>
        <v/>
      </c>
      <c r="C104" s="139">
        <f>IF($O$5="sell",-1,1) *  IF($K$5="call",  NORMDIST(I104,0,1,1),  NORMDIST(I104,0,1,1)-1  ) * $P$5</f>
        <v/>
      </c>
      <c r="D104" s="139">
        <f>IF($O$5="sell",-1,1) * NORMDIST(I104,0,1,0)/(B104*$H$5*SQRT($J$5)) * $P$5</f>
        <v/>
      </c>
      <c r="E104" s="139">
        <f>IF($O$5="sell",-1,1) * (B104*NORMDIST(I104,0,1,0)*SQRT($J$5)/365) * $P$5</f>
        <v/>
      </c>
      <c r="F104" s="139">
        <f>IF($O$5="sell",-1,1) * (-(B104*NORMDIST(I104,0,1,0)*$H$5)/(2*SQRT($J$5))/365) *$P$5</f>
        <v/>
      </c>
      <c r="G104" s="139">
        <f>IF($O$5="buy",1,-1)*( IF($K$5="call",B104*NORMDIST(I104,0,1,1) - $B$5*NORMDIST(J104,0,1,1),$B$5*NORMDIST(-J104,0,1,1) - B104*NORMDIST(-I104,0,1,1) ) - $G$5) * $P$5</f>
        <v/>
      </c>
      <c r="I104" s="140">
        <f>(LN(B104/$B$5)+($H$5^2/2)*($J$5))/($H$5*SQRT($J$5))</f>
        <v/>
      </c>
      <c r="J104" s="140">
        <f>I104 - $H$5*SQRT($J$5)</f>
        <v/>
      </c>
    </row>
    <row r="105" ht="13.5" customHeight="1" s="116">
      <c r="B105" s="144">
        <f>B76</f>
        <v/>
      </c>
      <c r="C105" s="139">
        <f>IF($O$5="sell",-1,1) *  IF($K$5="call",  NORMDIST(I105,0,1,1),  NORMDIST(I105,0,1,1)-1  ) * $P$5</f>
        <v/>
      </c>
      <c r="D105" s="139">
        <f>IF($O$5="sell",-1,1) * NORMDIST(I105,0,1,0)/(B105*$H$5*SQRT($J$5)) * $P$5</f>
        <v/>
      </c>
      <c r="E105" s="139">
        <f>IF($O$5="sell",-1,1) * (B105*NORMDIST(I105,0,1,0)*SQRT($J$5)/365) * $P$5</f>
        <v/>
      </c>
      <c r="F105" s="139">
        <f>IF($O$5="sell",-1,1) * (-(B105*NORMDIST(I105,0,1,0)*$H$5)/(2*SQRT($J$5))/365) *$P$5</f>
        <v/>
      </c>
      <c r="G105" s="139">
        <f>IF($O$5="buy",1,-1)*( IF($K$5="call",B105*NORMDIST(I105,0,1,1) - $B$5*NORMDIST(J105,0,1,1),$B$5*NORMDIST(-J105,0,1,1) - B105*NORMDIST(-I105,0,1,1) ) - $G$5) * $P$5</f>
        <v/>
      </c>
      <c r="I105" s="140">
        <f>(LN(B105/$B$5)+($H$5^2/2)*($J$5))/($H$5*SQRT($J$5))</f>
        <v/>
      </c>
      <c r="J105" s="140">
        <f>I105 - $H$5*SQRT($J$5)</f>
        <v/>
      </c>
    </row>
    <row r="106" ht="13.5" customHeight="1" s="116">
      <c r="B106" s="144">
        <f>B77</f>
        <v/>
      </c>
      <c r="C106" s="139">
        <f>IF($O$5="sell",-1,1) *  IF($K$5="call",  NORMDIST(I106,0,1,1),  NORMDIST(I106,0,1,1)-1  ) * $P$5</f>
        <v/>
      </c>
      <c r="D106" s="139">
        <f>IF($O$5="sell",-1,1) * NORMDIST(I106,0,1,0)/(B106*$H$5*SQRT($J$5)) * $P$5</f>
        <v/>
      </c>
      <c r="E106" s="139">
        <f>IF($O$5="sell",-1,1) * (B106*NORMDIST(I106,0,1,0)*SQRT($J$5)/365) * $P$5</f>
        <v/>
      </c>
      <c r="F106" s="139">
        <f>IF($O$5="sell",-1,1) * (-(B106*NORMDIST(I106,0,1,0)*$H$5)/(2*SQRT($J$5))/365) *$P$5</f>
        <v/>
      </c>
      <c r="G106" s="139">
        <f>IF($O$5="buy",1,-1)*( IF($K$5="call",B106*NORMDIST(I106,0,1,1) - $B$5*NORMDIST(J106,0,1,1),$B$5*NORMDIST(-J106,0,1,1) - B106*NORMDIST(-I106,0,1,1) ) - $G$5) * $P$5</f>
        <v/>
      </c>
      <c r="I106" s="140">
        <f>(LN(B106/$B$5)+($H$5^2/2)*($J$5))/($H$5*SQRT($J$5))</f>
        <v/>
      </c>
      <c r="J106" s="140">
        <f>I106 - $H$5*SQRT($J$5)</f>
        <v/>
      </c>
    </row>
    <row r="107" ht="13.5" customHeight="1" s="116">
      <c r="B107" s="144">
        <f>B78</f>
        <v/>
      </c>
      <c r="C107" s="139">
        <f>IF($O$5="sell",-1,1) *  IF($K$5="call",  NORMDIST(I107,0,1,1),  NORMDIST(I107,0,1,1)-1  ) * $P$5</f>
        <v/>
      </c>
      <c r="D107" s="139">
        <f>IF($O$5="sell",-1,1) * NORMDIST(I107,0,1,0)/(B107*$H$5*SQRT($J$5)) * $P$5</f>
        <v/>
      </c>
      <c r="E107" s="139">
        <f>IF($O$5="sell",-1,1) * (B107*NORMDIST(I107,0,1,0)*SQRT($J$5)/365) * $P$5</f>
        <v/>
      </c>
      <c r="F107" s="139">
        <f>IF($O$5="sell",-1,1) * (-(B107*NORMDIST(I107,0,1,0)*$H$5)/(2*SQRT($J$5))/365) *$P$5</f>
        <v/>
      </c>
      <c r="G107" s="139">
        <f>IF($O$5="buy",1,-1)*( IF($K$5="call",B107*NORMDIST(I107,0,1,1) - $B$5*NORMDIST(J107,0,1,1),$B$5*NORMDIST(-J107,0,1,1) - B107*NORMDIST(-I107,0,1,1) ) - $G$5) * $P$5</f>
        <v/>
      </c>
      <c r="I107" s="140">
        <f>(LN(B107/$B$5)+($H$5^2/2)*($J$5))/($H$5*SQRT($J$5))</f>
        <v/>
      </c>
      <c r="J107" s="140">
        <f>I107 - $H$5*SQRT($J$5)</f>
        <v/>
      </c>
    </row>
    <row r="108" ht="13.5" customHeight="1" s="116">
      <c r="B108" s="144">
        <f>B79</f>
        <v/>
      </c>
      <c r="C108" s="139">
        <f>IF($O$5="sell",-1,1) *  IF($K$5="call",  NORMDIST(I108,0,1,1),  NORMDIST(I108,0,1,1)-1  ) * $P$5</f>
        <v/>
      </c>
      <c r="D108" s="139">
        <f>IF($O$5="sell",-1,1) * NORMDIST(I108,0,1,0)/(B108*$H$5*SQRT($J$5)) * $P$5</f>
        <v/>
      </c>
      <c r="E108" s="139">
        <f>IF($O$5="sell",-1,1) * (B108*NORMDIST(I108,0,1,0)*SQRT($J$5)/365) * $P$5</f>
        <v/>
      </c>
      <c r="F108" s="139">
        <f>IF($O$5="sell",-1,1) * (-(B108*NORMDIST(I108,0,1,0)*$H$5)/(2*SQRT($J$5))/365) *$P$5</f>
        <v/>
      </c>
      <c r="G108" s="139">
        <f>IF($O$5="buy",1,-1)*( IF($K$5="call",B108*NORMDIST(I108,0,1,1) - $B$5*NORMDIST(J108,0,1,1),$B$5*NORMDIST(-J108,0,1,1) - B108*NORMDIST(-I108,0,1,1) ) - $G$5) * $P$5</f>
        <v/>
      </c>
      <c r="I108" s="140">
        <f>(LN(B108/$B$5)+($H$5^2/2)*($J$5))/($H$5*SQRT($J$5))</f>
        <v/>
      </c>
      <c r="J108" s="140">
        <f>I108 - $H$5*SQRT($J$5)</f>
        <v/>
      </c>
    </row>
    <row r="109" ht="13.5" customHeight="1" s="116">
      <c r="B109" s="144">
        <f>B80</f>
        <v/>
      </c>
      <c r="C109" s="139">
        <f>IF($O$5="sell",-1,1) *  IF($K$5="call",  NORMDIST(I109,0,1,1),  NORMDIST(I109,0,1,1)-1  ) * $P$5</f>
        <v/>
      </c>
      <c r="D109" s="139">
        <f>IF($O$5="sell",-1,1) * NORMDIST(I109,0,1,0)/(B109*$H$5*SQRT($J$5)) * $P$5</f>
        <v/>
      </c>
      <c r="E109" s="139">
        <f>IF($O$5="sell",-1,1) * (B109*NORMDIST(I109,0,1,0)*SQRT($J$5)/365) * $P$5</f>
        <v/>
      </c>
      <c r="F109" s="139">
        <f>IF($O$5="sell",-1,1) * (-(B109*NORMDIST(I109,0,1,0)*$H$5)/(2*SQRT($J$5))/365) *$P$5</f>
        <v/>
      </c>
      <c r="G109" s="139">
        <f>IF($O$5="buy",1,-1)*( IF($K$5="call",B109*NORMDIST(I109,0,1,1) - $B$5*NORMDIST(J109,0,1,1),$B$5*NORMDIST(-J109,0,1,1) - B109*NORMDIST(-I109,0,1,1) ) - $G$5) * $P$5</f>
        <v/>
      </c>
      <c r="I109" s="140">
        <f>(LN(B109/$B$5)+($H$5^2/2)*($J$5))/($H$5*SQRT($J$5))</f>
        <v/>
      </c>
      <c r="J109" s="140">
        <f>I109 - $H$5*SQRT($J$5)</f>
        <v/>
      </c>
    </row>
    <row r="110" ht="13.5" customHeight="1" s="116">
      <c r="B110" s="144">
        <f>B81</f>
        <v/>
      </c>
      <c r="C110" s="139">
        <f>IF($O$5="sell",-1,1) *  IF($K$5="call",  NORMDIST(I110,0,1,1),  NORMDIST(I110,0,1,1)-1  ) * $P$5</f>
        <v/>
      </c>
      <c r="D110" s="139">
        <f>IF($O$5="sell",-1,1) * NORMDIST(I110,0,1,0)/(B110*$H$5*SQRT($J$5)) * $P$5</f>
        <v/>
      </c>
      <c r="E110" s="139">
        <f>IF($O$5="sell",-1,1) * (B110*NORMDIST(I110,0,1,0)*SQRT($J$5)/365) * $P$5</f>
        <v/>
      </c>
      <c r="F110" s="139">
        <f>IF($O$5="sell",-1,1) * (-(B110*NORMDIST(I110,0,1,0)*$H$5)/(2*SQRT($J$5))/365) *$P$5</f>
        <v/>
      </c>
      <c r="G110" s="139">
        <f>IF($O$5="buy",1,-1)*( IF($K$5="call",B110*NORMDIST(I110,0,1,1) - $B$5*NORMDIST(J110,0,1,1),$B$5*NORMDIST(-J110,0,1,1) - B110*NORMDIST(-I110,0,1,1) ) - $G$5) * $P$5</f>
        <v/>
      </c>
      <c r="I110" s="140">
        <f>(LN(B110/$B$5)+($H$5^2/2)*($J$5))/($H$5*SQRT($J$5))</f>
        <v/>
      </c>
      <c r="J110" s="140">
        <f>I110 - $H$5*SQRT($J$5)</f>
        <v/>
      </c>
    </row>
    <row r="111" ht="13.5" customHeight="1" s="116">
      <c r="B111" s="144">
        <f>B82</f>
        <v/>
      </c>
      <c r="C111" s="139">
        <f>IF($O$5="sell",-1,1) *  IF($K$5="call",  NORMDIST(I111,0,1,1),  NORMDIST(I111,0,1,1)-1  ) * $P$5</f>
        <v/>
      </c>
      <c r="D111" s="139">
        <f>IF($O$5="sell",-1,1) * NORMDIST(I111,0,1,0)/(B111*$H$5*SQRT($J$5)) * $P$5</f>
        <v/>
      </c>
      <c r="E111" s="139">
        <f>IF($O$5="sell",-1,1) * (B111*NORMDIST(I111,0,1,0)*SQRT($J$5)/365) * $P$5</f>
        <v/>
      </c>
      <c r="F111" s="139">
        <f>IF($O$5="sell",-1,1) * (-(B111*NORMDIST(I111,0,1,0)*$H$5)/(2*SQRT($J$5))/365) *$P$5</f>
        <v/>
      </c>
      <c r="G111" s="139">
        <f>IF($O$5="buy",1,-1)*( IF($K$5="call",B111*NORMDIST(I111,0,1,1) - $B$5*NORMDIST(J111,0,1,1),$B$5*NORMDIST(-J111,0,1,1) - B111*NORMDIST(-I111,0,1,1) ) - $G$5) * $P$5</f>
        <v/>
      </c>
      <c r="I111" s="140">
        <f>(LN(B111/$B$5)+($H$5^2/2)*($J$5))/($H$5*SQRT($J$5))</f>
        <v/>
      </c>
      <c r="J111" s="140">
        <f>I111 - $H$5*SQRT($J$5)</f>
        <v/>
      </c>
    </row>
    <row r="112" ht="13.5" customHeight="1" s="116">
      <c r="B112" s="144">
        <f>B83</f>
        <v/>
      </c>
      <c r="C112" s="139">
        <f>IF($O$5="sell",-1,1) *  IF($K$5="call",  NORMDIST(I112,0,1,1),  NORMDIST(I112,0,1,1)-1  ) * $P$5</f>
        <v/>
      </c>
      <c r="D112" s="139">
        <f>IF($O$5="sell",-1,1) * NORMDIST(I112,0,1,0)/(B112*$H$5*SQRT($J$5)) * $P$5</f>
        <v/>
      </c>
      <c r="E112" s="139">
        <f>IF($O$5="sell",-1,1) * (B112*NORMDIST(I112,0,1,0)*SQRT($J$5)/365) * $P$5</f>
        <v/>
      </c>
      <c r="F112" s="139">
        <f>IF($O$5="sell",-1,1) * (-(B112*NORMDIST(I112,0,1,0)*$H$5)/(2*SQRT($J$5))/365) *$P$5</f>
        <v/>
      </c>
      <c r="G112" s="139">
        <f>IF($O$5="buy",1,-1)*( IF($K$5="call",B112*NORMDIST(I112,0,1,1) - $B$5*NORMDIST(J112,0,1,1),$B$5*NORMDIST(-J112,0,1,1) - B112*NORMDIST(-I112,0,1,1) ) - $G$5) * $P$5</f>
        <v/>
      </c>
      <c r="I112" s="140">
        <f>(LN(B112/$B$5)+($H$5^2/2)*($J$5))/($H$5*SQRT($J$5))</f>
        <v/>
      </c>
      <c r="J112" s="140">
        <f>I112 - $H$5*SQRT($J$5)</f>
        <v/>
      </c>
    </row>
    <row r="113" ht="13.5" customHeight="1" s="116">
      <c r="B113" s="144">
        <f>B84</f>
        <v/>
      </c>
      <c r="C113" s="139">
        <f>IF($O$5="sell",-1,1) *  IF($K$5="call",  NORMDIST(I113,0,1,1),  NORMDIST(I113,0,1,1)-1  ) * $P$5</f>
        <v/>
      </c>
      <c r="D113" s="139">
        <f>IF($O$5="sell",-1,1) * NORMDIST(I113,0,1,0)/(B113*$H$5*SQRT($J$5)) * $P$5</f>
        <v/>
      </c>
      <c r="E113" s="139">
        <f>IF($O$5="sell",-1,1) * (B113*NORMDIST(I113,0,1,0)*SQRT($J$5)/365) * $P$5</f>
        <v/>
      </c>
      <c r="F113" s="139">
        <f>IF($O$5="sell",-1,1) * (-(B113*NORMDIST(I113,0,1,0)*$H$5)/(2*SQRT($J$5))/365) *$P$5</f>
        <v/>
      </c>
      <c r="G113" s="139">
        <f>IF($O$5="buy",1,-1)*( IF($K$5="call",B113*NORMDIST(I113,0,1,1) - $B$5*NORMDIST(J113,0,1,1),$B$5*NORMDIST(-J113,0,1,1) - B113*NORMDIST(-I113,0,1,1) ) - $G$5) * $P$5</f>
        <v/>
      </c>
      <c r="I113" s="140">
        <f>(LN(B113/$B$5)+($H$5^2/2)*($J$5))/($H$5*SQRT($J$5))</f>
        <v/>
      </c>
      <c r="J113" s="140">
        <f>I113 - $H$5*SQRT($J$5)</f>
        <v/>
      </c>
    </row>
    <row r="114" ht="13.5" customHeight="1" s="116">
      <c r="B114" s="144">
        <f>B85</f>
        <v/>
      </c>
      <c r="C114" s="139">
        <f>IF($O$5="sell",-1,1) *  IF($K$5="call",  NORMDIST(I114,0,1,1),  NORMDIST(I114,0,1,1)-1  ) * $P$5</f>
        <v/>
      </c>
      <c r="D114" s="139">
        <f>IF($O$5="sell",-1,1) * NORMDIST(I114,0,1,0)/(B114*$H$5*SQRT($J$5)) * $P$5</f>
        <v/>
      </c>
      <c r="E114" s="139">
        <f>IF($O$5="sell",-1,1) * (B114*NORMDIST(I114,0,1,0)*SQRT($J$5)/365) * $P$5</f>
        <v/>
      </c>
      <c r="F114" s="139">
        <f>IF($O$5="sell",-1,1) * (-(B114*NORMDIST(I114,0,1,0)*$H$5)/(2*SQRT($J$5))/365) *$P$5</f>
        <v/>
      </c>
      <c r="G114" s="139">
        <f>IF($O$5="buy",1,-1)*( IF($K$5="call",B114*NORMDIST(I114,0,1,1) - $B$5*NORMDIST(J114,0,1,1),$B$5*NORMDIST(-J114,0,1,1) - B114*NORMDIST(-I114,0,1,1) ) - $G$5) * $P$5</f>
        <v/>
      </c>
      <c r="I114" s="140">
        <f>(LN(B114/$B$5)+($H$5^2/2)*($J$5))/($H$5*SQRT($J$5))</f>
        <v/>
      </c>
      <c r="J114" s="140">
        <f>I114 - $H$5*SQRT($J$5)</f>
        <v/>
      </c>
    </row>
    <row r="115" ht="13.5" customHeight="1" s="116">
      <c r="B115" s="144">
        <f>B86</f>
        <v/>
      </c>
      <c r="C115" s="139">
        <f>IF($O$5="sell",-1,1) *  IF($K$5="call",  NORMDIST(I115,0,1,1),  NORMDIST(I115,0,1,1)-1  ) * $P$5</f>
        <v/>
      </c>
      <c r="D115" s="139">
        <f>IF($O$5="sell",-1,1) * NORMDIST(I115,0,1,0)/(B115*$H$5*SQRT($J$5)) * $P$5</f>
        <v/>
      </c>
      <c r="E115" s="139">
        <f>IF($O$5="sell",-1,1) * (B115*NORMDIST(I115,0,1,0)*SQRT($J$5)/365) * $P$5</f>
        <v/>
      </c>
      <c r="F115" s="139">
        <f>IF($O$5="sell",-1,1) * (-(B115*NORMDIST(I115,0,1,0)*$H$5)/(2*SQRT($J$5))/365) *$P$5</f>
        <v/>
      </c>
      <c r="G115" s="139">
        <f>IF($O$5="buy",1,-1)*( IF($K$5="call",B115*NORMDIST(I115,0,1,1) - $B$5*NORMDIST(J115,0,1,1),$B$5*NORMDIST(-J115,0,1,1) - B115*NORMDIST(-I115,0,1,1) ) - $G$5) * $P$5</f>
        <v/>
      </c>
      <c r="I115" s="140">
        <f>(LN(B115/$B$5)+($H$5^2/2)*($J$5))/($H$5*SQRT($J$5))</f>
        <v/>
      </c>
      <c r="J115" s="140">
        <f>I115 - $H$5*SQRT($J$5)</f>
        <v/>
      </c>
    </row>
    <row r="116" ht="13.5" customHeight="1" s="116">
      <c r="B116" s="144">
        <f>B87</f>
        <v/>
      </c>
      <c r="C116" s="139">
        <f>IF($O$5="sell",-1,1) *  IF($K$5="call",  NORMDIST(I116,0,1,1),  NORMDIST(I116,0,1,1)-1  ) * $P$5</f>
        <v/>
      </c>
      <c r="D116" s="139">
        <f>IF($O$5="sell",-1,1) * NORMDIST(I116,0,1,0)/(B116*$H$5*SQRT($J$5)) * $P$5</f>
        <v/>
      </c>
      <c r="E116" s="139">
        <f>IF($O$5="sell",-1,1) * (B116*NORMDIST(I116,0,1,0)*SQRT($J$5)/365) * $P$5</f>
        <v/>
      </c>
      <c r="F116" s="139">
        <f>IF($O$5="sell",-1,1) * (-(B116*NORMDIST(I116,0,1,0)*$H$5)/(2*SQRT($J$5))/365) *$P$5</f>
        <v/>
      </c>
      <c r="G116" s="139">
        <f>IF($O$5="buy",1,-1)*( IF($K$5="call",B116*NORMDIST(I116,0,1,1) - $B$5*NORMDIST(J116,0,1,1),$B$5*NORMDIST(-J116,0,1,1) - B116*NORMDIST(-I116,0,1,1) ) - $G$5) * $P$5</f>
        <v/>
      </c>
      <c r="I116" s="140">
        <f>(LN(B116/$B$5)+($H$5^2/2)*($J$5))/($H$5*SQRT($J$5))</f>
        <v/>
      </c>
      <c r="J116" s="140">
        <f>I116 - $H$5*SQRT($J$5)</f>
        <v/>
      </c>
    </row>
    <row r="117" ht="13.5" customHeight="1" s="116">
      <c r="B117" s="144">
        <f>B88</f>
        <v/>
      </c>
      <c r="C117" s="139">
        <f>IF($O$5="sell",-1,1) *  IF($K$5="call",  NORMDIST(I117,0,1,1),  NORMDIST(I117,0,1,1)-1  ) * $P$5</f>
        <v/>
      </c>
      <c r="D117" s="139">
        <f>IF($O$5="sell",-1,1) * NORMDIST(I117,0,1,0)/(B117*$H$5*SQRT($J$5)) * $P$5</f>
        <v/>
      </c>
      <c r="E117" s="139">
        <f>IF($O$5="sell",-1,1) * (B117*NORMDIST(I117,0,1,0)*SQRT($J$5)/365) * $P$5</f>
        <v/>
      </c>
      <c r="F117" s="139">
        <f>IF($O$5="sell",-1,1) * (-(B117*NORMDIST(I117,0,1,0)*$H$5)/(2*SQRT($J$5))/365) *$P$5</f>
        <v/>
      </c>
      <c r="G117" s="139">
        <f>IF($O$5="buy",1,-1)*( IF($K$5="call",B117*NORMDIST(I117,0,1,1) - $B$5*NORMDIST(J117,0,1,1),$B$5*NORMDIST(-J117,0,1,1) - B117*NORMDIST(-I117,0,1,1) ) - $G$5) * $P$5</f>
        <v/>
      </c>
      <c r="I117" s="140">
        <f>(LN(B117/$B$5)+($H$5^2/2)*($J$5))/($H$5*SQRT($J$5))</f>
        <v/>
      </c>
      <c r="J117" s="140">
        <f>I117 - $H$5*SQRT($J$5)</f>
        <v/>
      </c>
    </row>
    <row r="118" ht="13.5" customHeight="1" s="116">
      <c r="B118" s="144">
        <f>B89</f>
        <v/>
      </c>
      <c r="C118" s="139">
        <f>IF($O$5="sell",-1,1) *  IF($K$5="call",  NORMDIST(I118,0,1,1),  NORMDIST(I118,0,1,1)-1  ) * $P$5</f>
        <v/>
      </c>
      <c r="D118" s="139">
        <f>IF($O$5="sell",-1,1) * NORMDIST(I118,0,1,0)/(B118*$H$5*SQRT($J$5)) * $P$5</f>
        <v/>
      </c>
      <c r="E118" s="139">
        <f>IF($O$5="sell",-1,1) * (B118*NORMDIST(I118,0,1,0)*SQRT($J$5)/365) * $P$5</f>
        <v/>
      </c>
      <c r="F118" s="139">
        <f>IF($O$5="sell",-1,1) * (-(B118*NORMDIST(I118,0,1,0)*$H$5)/(2*SQRT($J$5))/365) *$P$5</f>
        <v/>
      </c>
      <c r="G118" s="139">
        <f>IF($O$5="buy",1,-1)*( IF($K$5="call",B118*NORMDIST(I118,0,1,1) - $B$5*NORMDIST(J118,0,1,1),$B$5*NORMDIST(-J118,0,1,1) - B118*NORMDIST(-I118,0,1,1) ) - $G$5) * $P$5</f>
        <v/>
      </c>
      <c r="I118" s="140">
        <f>(LN(B118/$B$5)+($H$5^2/2)*($J$5))/($H$5*SQRT($J$5))</f>
        <v/>
      </c>
      <c r="J118" s="140">
        <f>I118 - $H$5*SQRT($J$5)</f>
        <v/>
      </c>
    </row>
    <row r="119" ht="13.5" customHeight="1" s="116">
      <c r="B119" s="144">
        <f>B90</f>
        <v/>
      </c>
      <c r="C119" s="139">
        <f>IF($O$5="sell",-1,1) *  IF($K$5="call",  NORMDIST(I119,0,1,1),  NORMDIST(I119,0,1,1)-1  ) * $P$5</f>
        <v/>
      </c>
      <c r="D119" s="139">
        <f>IF($O$5="sell",-1,1) * NORMDIST(I119,0,1,0)/(B119*$H$5*SQRT($J$5)) * $P$5</f>
        <v/>
      </c>
      <c r="E119" s="139">
        <f>IF($O$5="sell",-1,1) * (B119*NORMDIST(I119,0,1,0)*SQRT($J$5)/365) * $P$5</f>
        <v/>
      </c>
      <c r="F119" s="139">
        <f>IF($O$5="sell",-1,1) * (-(B119*NORMDIST(I119,0,1,0)*$H$5)/(2*SQRT($J$5))/365) *$P$5</f>
        <v/>
      </c>
      <c r="G119" s="139">
        <f>IF($O$5="buy",1,-1)*( IF($K$5="call",B119*NORMDIST(I119,0,1,1) - $B$5*NORMDIST(J119,0,1,1),$B$5*NORMDIST(-J119,0,1,1) - B119*NORMDIST(-I119,0,1,1) ) - $G$5) * $P$5</f>
        <v/>
      </c>
      <c r="I119" s="140">
        <f>(LN(B119/$B$5)+($H$5^2/2)*($J$5))/($H$5*SQRT($J$5))</f>
        <v/>
      </c>
      <c r="J119" s="140">
        <f>I119 - $H$5*SQRT($J$5)</f>
        <v/>
      </c>
    </row>
    <row r="120" ht="13.5" customHeight="1" s="116">
      <c r="B120" s="144">
        <f>B91</f>
        <v/>
      </c>
      <c r="C120" s="139">
        <f>IF($O$5="sell",-1,1) *  IF($K$5="call",  NORMDIST(I120,0,1,1),  NORMDIST(I120,0,1,1)-1  ) * $P$5</f>
        <v/>
      </c>
      <c r="D120" s="139">
        <f>IF($O$5="sell",-1,1) * NORMDIST(I120,0,1,0)/(B120*$H$5*SQRT($J$5)) * $P$5</f>
        <v/>
      </c>
      <c r="E120" s="139">
        <f>IF($O$5="sell",-1,1) * (B120*NORMDIST(I120,0,1,0)*SQRT($J$5)/365) * $P$5</f>
        <v/>
      </c>
      <c r="F120" s="139">
        <f>IF($O$5="sell",-1,1) * (-(B120*NORMDIST(I120,0,1,0)*$H$5)/(2*SQRT($J$5))/365) *$P$5</f>
        <v/>
      </c>
      <c r="G120" s="139">
        <f>IF($O$5="buy",1,-1)*( IF($K$5="call",B120*NORMDIST(I120,0,1,1) - $B$5*NORMDIST(J120,0,1,1),$B$5*NORMDIST(-J120,0,1,1) - B120*NORMDIST(-I120,0,1,1) ) - $G$5) * $P$5</f>
        <v/>
      </c>
      <c r="I120" s="140">
        <f>(LN(B120/$B$5)+($H$5^2/2)*($J$5))/($H$5*SQRT($J$5))</f>
        <v/>
      </c>
      <c r="J120" s="140">
        <f>I120 - $H$5*SQRT($J$5)</f>
        <v/>
      </c>
    </row>
    <row r="121" ht="13.5" customHeight="1" s="116">
      <c r="B121" s="144">
        <f>B92</f>
        <v/>
      </c>
      <c r="C121" s="139">
        <f>IF($O$5="sell",-1,1) *  IF($K$5="call",  NORMDIST(I121,0,1,1),  NORMDIST(I121,0,1,1)-1  ) * $P$5</f>
        <v/>
      </c>
      <c r="D121" s="139">
        <f>IF($O$5="sell",-1,1) * NORMDIST(I121,0,1,0)/(B121*$H$5*SQRT($J$5)) * $P$5</f>
        <v/>
      </c>
      <c r="E121" s="139">
        <f>IF($O$5="sell",-1,1) * (B121*NORMDIST(I121,0,1,0)*SQRT($J$5)/365) * $P$5</f>
        <v/>
      </c>
      <c r="F121" s="139">
        <f>IF($O$5="sell",-1,1) * (-(B121*NORMDIST(I121,0,1,0)*$H$5)/(2*SQRT($J$5))/365) *$P$5</f>
        <v/>
      </c>
      <c r="G121" s="139">
        <f>IF($O$5="buy",1,-1)*( IF($K$5="call",B121*NORMDIST(I121,0,1,1) - $B$5*NORMDIST(J121,0,1,1),$B$5*NORMDIST(-J121,0,1,1) - B121*NORMDIST(-I121,0,1,1) ) - $G$5) * $P$5</f>
        <v/>
      </c>
      <c r="I121" s="140">
        <f>(LN(B121/$B$5)+($H$5^2/2)*($J$5))/($H$5*SQRT($J$5))</f>
        <v/>
      </c>
      <c r="J121" s="140">
        <f>I121 - $H$5*SQRT($J$5)</f>
        <v/>
      </c>
    </row>
    <row r="122" ht="13.5" customHeight="1" s="116">
      <c r="B122" s="144">
        <f>B93</f>
        <v/>
      </c>
      <c r="C122" s="139">
        <f>IF($O$5="sell",-1,1) *  IF($K$5="call",  NORMDIST(I122,0,1,1),  NORMDIST(I122,0,1,1)-1  ) * $P$5</f>
        <v/>
      </c>
      <c r="D122" s="139">
        <f>IF($O$5="sell",-1,1) * NORMDIST(I122,0,1,0)/(B122*$H$5*SQRT($J$5)) * $P$5</f>
        <v/>
      </c>
      <c r="E122" s="139">
        <f>IF($O$5="sell",-1,1) * (B122*NORMDIST(I122,0,1,0)*SQRT($J$5)/365) * $P$5</f>
        <v/>
      </c>
      <c r="F122" s="139">
        <f>IF($O$5="sell",-1,1) * (-(B122*NORMDIST(I122,0,1,0)*$H$5)/(2*SQRT($J$5))/365) *$P$5</f>
        <v/>
      </c>
      <c r="G122" s="139">
        <f>IF($O$5="buy",1,-1)*( IF($K$5="call",B122*NORMDIST(I122,0,1,1) - $B$5*NORMDIST(J122,0,1,1),$B$5*NORMDIST(-J122,0,1,1) - B122*NORMDIST(-I122,0,1,1) ) - $G$5) * $P$5</f>
        <v/>
      </c>
      <c r="I122" s="140">
        <f>(LN(B122/$B$5)+($H$5^2/2)*($J$5))/($H$5*SQRT($J$5))</f>
        <v/>
      </c>
      <c r="J122" s="140">
        <f>I122 - $H$5*SQRT($J$5)</f>
        <v/>
      </c>
    </row>
    <row r="123" ht="13.5" customHeight="1" s="116">
      <c r="B123" s="144">
        <f>B94</f>
        <v/>
      </c>
      <c r="C123" s="139">
        <f>IF($O$5="sell",-1,1) *  IF($K$5="call",  NORMDIST(I123,0,1,1),  NORMDIST(I123,0,1,1)-1  ) * $P$5</f>
        <v/>
      </c>
      <c r="D123" s="139">
        <f>IF($O$5="sell",-1,1) * NORMDIST(I123,0,1,0)/(B123*$H$5*SQRT($J$5)) * $P$5</f>
        <v/>
      </c>
      <c r="E123" s="139">
        <f>IF($O$5="sell",-1,1) * (B123*NORMDIST(I123,0,1,0)*SQRT($J$5)/365) * $P$5</f>
        <v/>
      </c>
      <c r="F123" s="139">
        <f>IF($O$5="sell",-1,1) * (-(B123*NORMDIST(I123,0,1,0)*$H$5)/(2*SQRT($J$5))/365) *$P$5</f>
        <v/>
      </c>
      <c r="G123" s="139">
        <f>IF($O$5="buy",1,-1)*( IF($K$5="call",B123*NORMDIST(I123,0,1,1) - $B$5*NORMDIST(J123,0,1,1),$B$5*NORMDIST(-J123,0,1,1) - B123*NORMDIST(-I123,0,1,1) ) - $G$5) * $P$5</f>
        <v/>
      </c>
      <c r="I123" s="140">
        <f>(LN(B123/$B$5)+($H$5^2/2)*($J$5))/($H$5*SQRT($J$5))</f>
        <v/>
      </c>
      <c r="J123" s="140">
        <f>I123 - $H$5*SQRT($J$5)</f>
        <v/>
      </c>
    </row>
    <row r="124" ht="13.5" customHeight="1" s="116">
      <c r="B124" s="144">
        <f>B95</f>
        <v/>
      </c>
      <c r="C124" s="139">
        <f>IF($O$5="sell",-1,1) *  IF($K$5="call",  NORMDIST(I124,0,1,1),  NORMDIST(I124,0,1,1)-1  ) * $P$5</f>
        <v/>
      </c>
      <c r="D124" s="139">
        <f>IF($O$5="sell",-1,1) * NORMDIST(I124,0,1,0)/(B124*$H$5*SQRT($J$5)) * $P$5</f>
        <v/>
      </c>
      <c r="E124" s="139">
        <f>IF($O$5="sell",-1,1) * (B124*NORMDIST(I124,0,1,0)*SQRT($J$5)/365) * $P$5</f>
        <v/>
      </c>
      <c r="F124" s="139">
        <f>IF($O$5="sell",-1,1) * (-(B124*NORMDIST(I124,0,1,0)*$H$5)/(2*SQRT($J$5))/365) *$P$5</f>
        <v/>
      </c>
      <c r="G124" s="139">
        <f>IF($O$5="buy",1,-1)*( IF($K$5="call",B124*NORMDIST(I124,0,1,1) - $B$5*NORMDIST(J124,0,1,1),$B$5*NORMDIST(-J124,0,1,1) - B124*NORMDIST(-I124,0,1,1) ) - $G$5) * $P$5</f>
        <v/>
      </c>
      <c r="I124" s="140">
        <f>(LN(B124/$B$5)+($H$5^2/2)*($J$5))/($H$5*SQRT($J$5))</f>
        <v/>
      </c>
      <c r="J124" s="140">
        <f>I124 - $H$5*SQRT($J$5)</f>
        <v/>
      </c>
    </row>
    <row r="125" ht="13.5" customHeight="1" s="116">
      <c r="B125" s="144">
        <f>B96</f>
        <v/>
      </c>
      <c r="C125" s="139">
        <f>IF($O$5="sell",-1,1) *  IF($K$5="call",  NORMDIST(I125,0,1,1),  NORMDIST(I125,0,1,1)-1  ) * $P$5</f>
        <v/>
      </c>
      <c r="D125" s="139">
        <f>IF($O$5="sell",-1,1) * NORMDIST(I125,0,1,0)/(B125*$H$5*SQRT($J$5)) * $P$5</f>
        <v/>
      </c>
      <c r="E125" s="139">
        <f>IF($O$5="sell",-1,1) * (B125*NORMDIST(I125,0,1,0)*SQRT($J$5)/365) * $P$5</f>
        <v/>
      </c>
      <c r="F125" s="139">
        <f>IF($O$5="sell",-1,1) * (-(B125*NORMDIST(I125,0,1,0)*$H$5)/(2*SQRT($J$5))/365) *$P$5</f>
        <v/>
      </c>
      <c r="G125" s="139">
        <f>IF($O$5="buy",1,-1)*( IF($K$5="call",B125*NORMDIST(I125,0,1,1) - $B$5*NORMDIST(J125,0,1,1),$B$5*NORMDIST(-J125,0,1,1) - B125*NORMDIST(-I125,0,1,1) ) - $G$5) * $P$5</f>
        <v/>
      </c>
      <c r="I125" s="140">
        <f>(LN(B125/$B$5)+($H$5^2/2)*($J$5))/($H$5*SQRT($J$5))</f>
        <v/>
      </c>
      <c r="J125" s="140">
        <f>I125 - $H$5*SQRT($J$5)</f>
        <v/>
      </c>
    </row>
    <row r="126" ht="13.5" customHeight="1" s="116">
      <c r="B126" s="144">
        <f>B97</f>
        <v/>
      </c>
      <c r="C126" s="139">
        <f>IF($O$5="sell",-1,1) *  IF($K$5="call",  NORMDIST(I126,0,1,1),  NORMDIST(I126,0,1,1)-1  ) * $P$5</f>
        <v/>
      </c>
      <c r="D126" s="139">
        <f>IF($O$5="sell",-1,1) * NORMDIST(I126,0,1,0)/(B126*$H$5*SQRT($J$5)) * $P$5</f>
        <v/>
      </c>
      <c r="E126" s="139">
        <f>IF($O$5="sell",-1,1) * (B126*NORMDIST(I126,0,1,0)*SQRT($J$5)/365) * $P$5</f>
        <v/>
      </c>
      <c r="F126" s="139">
        <f>IF($O$5="sell",-1,1) * (-(B126*NORMDIST(I126,0,1,0)*$H$5)/(2*SQRT($J$5))/365) *$P$5</f>
        <v/>
      </c>
      <c r="G126" s="139">
        <f>IF($O$5="buy",1,-1)*( IF($K$5="call",B126*NORMDIST(I126,0,1,1) - $B$5*NORMDIST(J126,0,1,1),$B$5*NORMDIST(-J126,0,1,1) - B126*NORMDIST(-I126,0,1,1) ) - $G$5) * $P$5</f>
        <v/>
      </c>
      <c r="I126" s="140">
        <f>(LN(B126/$B$5)+($H$5^2/2)*($J$5))/($H$5*SQRT($J$5))</f>
        <v/>
      </c>
      <c r="J126" s="140">
        <f>I126 - $H$5*SQRT($J$5)</f>
        <v/>
      </c>
    </row>
    <row r="127" ht="13.5" customHeight="1" s="116">
      <c r="B127" s="144">
        <f>B98</f>
        <v/>
      </c>
      <c r="C127" s="139">
        <f>IF($O$5="sell",-1,1) *  IF($K$5="call",  NORMDIST(I127,0,1,1),  NORMDIST(I127,0,1,1)-1  ) * $P$5</f>
        <v/>
      </c>
      <c r="D127" s="139">
        <f>IF($O$5="sell",-1,1) * NORMDIST(I127,0,1,0)/(B127*$H$5*SQRT($J$5)) * $P$5</f>
        <v/>
      </c>
      <c r="E127" s="139">
        <f>IF($O$5="sell",-1,1) * (B127*NORMDIST(I127,0,1,0)*SQRT($J$5)/365) * $P$5</f>
        <v/>
      </c>
      <c r="F127" s="139">
        <f>IF($O$5="sell",-1,1) * (-(B127*NORMDIST(I127,0,1,0)*$H$5)/(2*SQRT($J$5))/365) *$P$5</f>
        <v/>
      </c>
      <c r="G127" s="139">
        <f>IF($O$5="buy",1,-1)*( IF($K$5="call",B127*NORMDIST(I127,0,1,1) - $B$5*NORMDIST(J127,0,1,1),$B$5*NORMDIST(-J127,0,1,1) - B127*NORMDIST(-I127,0,1,1) ) - $G$5) * $P$5</f>
        <v/>
      </c>
      <c r="I127" s="140">
        <f>(LN(B127/$B$5)+($H$5^2/2)*($J$5))/($H$5*SQRT($J$5))</f>
        <v/>
      </c>
      <c r="J127" s="140">
        <f>I127 - $H$5*SQRT($J$5)</f>
        <v/>
      </c>
    </row>
    <row r="128" ht="13.5" customHeight="1" s="116">
      <c r="B128" s="144">
        <f>B99</f>
        <v/>
      </c>
      <c r="C128" s="139">
        <f>IF($O$5="sell",-1,1) *  IF($K$5="call",  NORMDIST(I128,0,1,1),  NORMDIST(I128,0,1,1)-1  ) * $P$5</f>
        <v/>
      </c>
      <c r="D128" s="139">
        <f>IF($O$5="sell",-1,1) * NORMDIST(I128,0,1,0)/(B128*$H$5*SQRT($J$5)) * $P$5</f>
        <v/>
      </c>
      <c r="E128" s="139">
        <f>IF($O$5="sell",-1,1) * (B128*NORMDIST(I128,0,1,0)*SQRT($J$5)/365) * $P$5</f>
        <v/>
      </c>
      <c r="F128" s="139">
        <f>IF($O$5="sell",-1,1) * (-(B128*NORMDIST(I128,0,1,0)*$H$5)/(2*SQRT($J$5))/365) *$P$5</f>
        <v/>
      </c>
      <c r="G128" s="139">
        <f>IF($O$5="buy",1,-1)*( IF($K$5="call",B128*NORMDIST(I128,0,1,1) - $B$5*NORMDIST(J128,0,1,1),$B$5*NORMDIST(-J128,0,1,1) - B128*NORMDIST(-I128,0,1,1) ) - $G$5) * $P$5</f>
        <v/>
      </c>
      <c r="I128" s="140">
        <f>(LN(B128/$B$5)+($H$5^2/2)*($J$5))/($H$5*SQRT($J$5))</f>
        <v/>
      </c>
      <c r="J128" s="140">
        <f>I128 - $H$5*SQRT($J$5)</f>
        <v/>
      </c>
    </row>
    <row r="129" ht="13.5" customHeight="1" s="116">
      <c r="B129" s="144">
        <f>B100</f>
        <v/>
      </c>
      <c r="C129" s="139">
        <f>IF($O$5="sell",-1,1) *  IF($K$5="call",  NORMDIST(I129,0,1,1),  NORMDIST(I129,0,1,1)-1  ) * $P$5</f>
        <v/>
      </c>
      <c r="D129" s="139">
        <f>IF($O$5="sell",-1,1) * NORMDIST(I129,0,1,0)/(B129*$H$5*SQRT($J$5)) * $P$5</f>
        <v/>
      </c>
      <c r="E129" s="139">
        <f>IF($O$5="sell",-1,1) * (B129*NORMDIST(I129,0,1,0)*SQRT($J$5)/365) * $P$5</f>
        <v/>
      </c>
      <c r="F129" s="139">
        <f>IF($O$5="sell",-1,1) * (-(B129*NORMDIST(I129,0,1,0)*$H$5)/(2*SQRT($J$5))/365) *$P$5</f>
        <v/>
      </c>
      <c r="G129" s="139">
        <f>IF($O$5="buy",1,-1)*( IF($K$5="call",B129*NORMDIST(I129,0,1,1) - $B$5*NORMDIST(J129,0,1,1),$B$5*NORMDIST(-J129,0,1,1) - B129*NORMDIST(-I129,0,1,1) ) - $G$5) * $P$5</f>
        <v/>
      </c>
      <c r="I129" s="140">
        <f>(LN(B129/$B$5)+($H$5^2/2)*($J$5))/($H$5*SQRT($J$5))</f>
        <v/>
      </c>
      <c r="J129" s="140">
        <f>I129 - $H$5*SQRT($J$5)</f>
        <v/>
      </c>
    </row>
    <row r="130" ht="13.5" customHeight="1" s="116">
      <c r="B130" s="144">
        <f>B101</f>
        <v/>
      </c>
      <c r="C130" s="139">
        <f>IF($O$5="sell",-1,1) *  IF($K$5="call",  NORMDIST(I130,0,1,1),  NORMDIST(I130,0,1,1)-1  ) * $P$5</f>
        <v/>
      </c>
      <c r="D130" s="139">
        <f>IF($O$5="sell",-1,1) * NORMDIST(I130,0,1,0)/(B130*$H$5*SQRT($J$5)) * $P$5</f>
        <v/>
      </c>
      <c r="E130" s="139">
        <f>IF($O$5="sell",-1,1) * (B130*NORMDIST(I130,0,1,0)*SQRT($J$5)/365) * $P$5</f>
        <v/>
      </c>
      <c r="F130" s="139">
        <f>IF($O$5="sell",-1,1) * (-(B130*NORMDIST(I130,0,1,0)*$H$5)/(2*SQRT($J$5))/365) *$P$5</f>
        <v/>
      </c>
      <c r="G130" s="139">
        <f>IF($O$5="buy",1,-1)*( IF($K$5="call",B130*NORMDIST(I130,0,1,1) - $B$5*NORMDIST(J130,0,1,1),$B$5*NORMDIST(-J130,0,1,1) - B130*NORMDIST(-I130,0,1,1) ) - $G$5) * $P$5</f>
        <v/>
      </c>
      <c r="I130" s="140">
        <f>(LN(B130/$B$5)+($H$5^2/2)*($J$5))/($H$5*SQRT($J$5))</f>
        <v/>
      </c>
      <c r="J130" s="140">
        <f>I130 - $H$5*SQRT($J$5)</f>
        <v/>
      </c>
    </row>
    <row r="131" ht="13.5" customHeight="1" s="116">
      <c r="B131" s="145" t="n"/>
      <c r="C131" s="136" t="n"/>
      <c r="D131" s="136" t="n"/>
      <c r="E131" s="136" t="n"/>
      <c r="F131" s="136" t="n"/>
      <c r="G131" s="136" t="n"/>
      <c r="I131" s="146" t="n"/>
      <c r="J131" s="146" t="n"/>
    </row>
    <row r="132" ht="13.5" customHeight="1" s="116">
      <c r="B132" s="145" t="n"/>
      <c r="C132" s="136" t="n"/>
      <c r="D132" s="136" t="n"/>
      <c r="E132" s="136" t="n"/>
      <c r="F132" s="136" t="n"/>
      <c r="G132" s="136" t="n"/>
      <c r="I132" s="146" t="n"/>
      <c r="J132" s="146" t="n"/>
    </row>
    <row r="133" ht="13.5" customHeight="1" s="116">
      <c r="B133" s="137" t="n"/>
      <c r="C133" s="133" t="inlineStr">
        <is>
          <t>delta</t>
        </is>
      </c>
      <c r="D133" s="133" t="inlineStr">
        <is>
          <t>gamma</t>
        </is>
      </c>
      <c r="E133" s="133" t="inlineStr">
        <is>
          <t>vega</t>
        </is>
      </c>
      <c r="F133" s="133" t="inlineStr">
        <is>
          <t>theta</t>
        </is>
      </c>
      <c r="G133" s="133" t="inlineStr">
        <is>
          <t>mark_price</t>
        </is>
      </c>
      <c r="I133" s="133" t="inlineStr">
        <is>
          <t>d1</t>
        </is>
      </c>
      <c r="J133" s="133" t="inlineStr">
        <is>
          <t>d2</t>
        </is>
      </c>
    </row>
    <row r="134" ht="13.5" customHeight="1" s="116">
      <c r="A134" s="117">
        <f>A6</f>
        <v/>
      </c>
      <c r="B134" s="144">
        <f>B104</f>
        <v/>
      </c>
      <c r="C134" s="139">
        <f>IF($O$6="sell",-1,1) *  IF($K$6="call",  NORMDIST(I134,0,1,1),  NORMDIST(I134,0,1,1)-1  ) * $P$6</f>
        <v/>
      </c>
      <c r="D134" s="139">
        <f>IF($O$6="sell",-1,1) * NORMDIST(I134,0,1,0)/(B134*$H$6*SQRT($J$6)) * $P$6</f>
        <v/>
      </c>
      <c r="E134" s="139">
        <f>IF($O$6="sell",-1,1) * (B134*NORMDIST(I134,0,1,0)*SQRT($J$6)/365) * $P$6</f>
        <v/>
      </c>
      <c r="F134" s="139">
        <f>IF($O$6="sell",-1,1) * (-(B134*NORMDIST(I134,0,1,0)*$H$6)/(2*SQRT($J$6))/365) *$P$6</f>
        <v/>
      </c>
      <c r="G134" s="139">
        <f>IF($O$6="buy",1,-1)*( IF($K$6="call",B134*NORMDIST(I134,0,1,1) - $B$6*NORMDIST(J134,0,1,1),$B$6*NORMDIST(-J134,0,1,1) - B134*NORMDIST(-I134,0,1,1) ) - $G$6) * $P$6</f>
        <v/>
      </c>
      <c r="I134" s="140">
        <f>(LN(B134/$B$6)+($H$6^2/2)*($J$6))/($H$6*SQRT($J$6))</f>
        <v/>
      </c>
      <c r="J134" s="140">
        <f>I134 - $H$6*SQRT($J$6)</f>
        <v/>
      </c>
    </row>
    <row r="135" ht="13.5" customHeight="1" s="116">
      <c r="B135" s="144">
        <f>B105</f>
        <v/>
      </c>
      <c r="C135" s="139">
        <f>IF($O$6="sell",-1,1) *  IF($K$6="call",  NORMDIST(I135,0,1,1),  NORMDIST(I135,0,1,1)-1  ) * $P$6</f>
        <v/>
      </c>
      <c r="D135" s="139">
        <f>IF($O$6="sell",-1,1) * NORMDIST(I135,0,1,0)/(B135*$H$6*SQRT($J$6)) * $P$6</f>
        <v/>
      </c>
      <c r="E135" s="139">
        <f>IF($O$6="sell",-1,1) * (B135*NORMDIST(I135,0,1,0)*SQRT($J$6)/365) * $P$6</f>
        <v/>
      </c>
      <c r="F135" s="139">
        <f>IF($O$6="sell",-1,1) * (-(B135*NORMDIST(I135,0,1,0)*$H$6)/(2*SQRT($J$6))/365) *$P$6</f>
        <v/>
      </c>
      <c r="G135" s="139">
        <f>IF($O$6="buy",1,-1)*( IF($K$6="call",B135*NORMDIST(I135,0,1,1) - $B$6*NORMDIST(J135,0,1,1),$B$6*NORMDIST(-J135,0,1,1) - B135*NORMDIST(-I135,0,1,1) ) - $G$6) * $P$6</f>
        <v/>
      </c>
      <c r="I135" s="140">
        <f>(LN(B135/$B$6)+($H$6^2/2)*($J$6))/($H$6*SQRT($J$6))</f>
        <v/>
      </c>
      <c r="J135" s="140">
        <f>I135 - $H$6*SQRT($J$6)</f>
        <v/>
      </c>
    </row>
    <row r="136" ht="13.5" customHeight="1" s="116">
      <c r="B136" s="144">
        <f>B106</f>
        <v/>
      </c>
      <c r="C136" s="139">
        <f>IF($O$6="sell",-1,1) *  IF($K$6="call",  NORMDIST(I136,0,1,1),  NORMDIST(I136,0,1,1)-1  ) * $P$6</f>
        <v/>
      </c>
      <c r="D136" s="139">
        <f>IF($O$6="sell",-1,1) * NORMDIST(I136,0,1,0)/(B136*$H$6*SQRT($J$6)) * $P$6</f>
        <v/>
      </c>
      <c r="E136" s="139">
        <f>IF($O$6="sell",-1,1) * (B136*NORMDIST(I136,0,1,0)*SQRT($J$6)/365) * $P$6</f>
        <v/>
      </c>
      <c r="F136" s="139">
        <f>IF($O$6="sell",-1,1) * (-(B136*NORMDIST(I136,0,1,0)*$H$6)/(2*SQRT($J$6))/365) *$P$6</f>
        <v/>
      </c>
      <c r="G136" s="139">
        <f>IF($O$6="buy",1,-1)*( IF($K$6="call",B136*NORMDIST(I136,0,1,1) - $B$6*NORMDIST(J136,0,1,1),$B$6*NORMDIST(-J136,0,1,1) - B136*NORMDIST(-I136,0,1,1) ) - $G$6) * $P$6</f>
        <v/>
      </c>
      <c r="I136" s="140">
        <f>(LN(B136/$B$6)+($H$6^2/2)*($J$6))/($H$6*SQRT($J$6))</f>
        <v/>
      </c>
      <c r="J136" s="140">
        <f>I136 - $H$6*SQRT($J$6)</f>
        <v/>
      </c>
    </row>
    <row r="137" ht="13.5" customHeight="1" s="116">
      <c r="B137" s="144">
        <f>B107</f>
        <v/>
      </c>
      <c r="C137" s="139">
        <f>IF($O$6="sell",-1,1) *  IF($K$6="call",  NORMDIST(I137,0,1,1),  NORMDIST(I137,0,1,1)-1  ) * $P$6</f>
        <v/>
      </c>
      <c r="D137" s="139">
        <f>IF($O$6="sell",-1,1) * NORMDIST(I137,0,1,0)/(B137*$H$6*SQRT($J$6)) * $P$6</f>
        <v/>
      </c>
      <c r="E137" s="139">
        <f>IF($O$6="sell",-1,1) * (B137*NORMDIST(I137,0,1,0)*SQRT($J$6)/365) * $P$6</f>
        <v/>
      </c>
      <c r="F137" s="139">
        <f>IF($O$6="sell",-1,1) * (-(B137*NORMDIST(I137,0,1,0)*$H$6)/(2*SQRT($J$6))/365) *$P$6</f>
        <v/>
      </c>
      <c r="G137" s="139">
        <f>IF($O$6="buy",1,-1)*( IF($K$6="call",B137*NORMDIST(I137,0,1,1) - $B$6*NORMDIST(J137,0,1,1),$B$6*NORMDIST(-J137,0,1,1) - B137*NORMDIST(-I137,0,1,1) ) - $G$6) * $P$6</f>
        <v/>
      </c>
      <c r="I137" s="140">
        <f>(LN(B137/$B$6)+($H$6^2/2)*($J$6))/($H$6*SQRT($J$6))</f>
        <v/>
      </c>
      <c r="J137" s="140">
        <f>I137 - $H$6*SQRT($J$6)</f>
        <v/>
      </c>
    </row>
    <row r="138" ht="13.5" customHeight="1" s="116">
      <c r="B138" s="144">
        <f>B108</f>
        <v/>
      </c>
      <c r="C138" s="139">
        <f>IF($O$6="sell",-1,1) *  IF($K$6="call",  NORMDIST(I138,0,1,1),  NORMDIST(I138,0,1,1)-1  ) * $P$6</f>
        <v/>
      </c>
      <c r="D138" s="139">
        <f>IF($O$6="sell",-1,1) * NORMDIST(I138,0,1,0)/(B138*$H$6*SQRT($J$6)) * $P$6</f>
        <v/>
      </c>
      <c r="E138" s="139">
        <f>IF($O$6="sell",-1,1) * (B138*NORMDIST(I138,0,1,0)*SQRT($J$6)/365) * $P$6</f>
        <v/>
      </c>
      <c r="F138" s="139">
        <f>IF($O$6="sell",-1,1) * (-(B138*NORMDIST(I138,0,1,0)*$H$6)/(2*SQRT($J$6))/365) *$P$6</f>
        <v/>
      </c>
      <c r="G138" s="139">
        <f>IF($O$6="buy",1,-1)*( IF($K$6="call",B138*NORMDIST(I138,0,1,1) - $B$6*NORMDIST(J138,0,1,1),$B$6*NORMDIST(-J138,0,1,1) - B138*NORMDIST(-I138,0,1,1) ) - $G$6) * $P$6</f>
        <v/>
      </c>
      <c r="I138" s="140">
        <f>(LN(B138/$B$6)+($H$6^2/2)*($J$6))/($H$6*SQRT($J$6))</f>
        <v/>
      </c>
      <c r="J138" s="140">
        <f>I138 - $H$6*SQRT($J$6)</f>
        <v/>
      </c>
    </row>
    <row r="139" ht="13.5" customHeight="1" s="116">
      <c r="B139" s="144">
        <f>B109</f>
        <v/>
      </c>
      <c r="C139" s="139">
        <f>IF($O$6="sell",-1,1) *  IF($K$6="call",  NORMDIST(I139,0,1,1),  NORMDIST(I139,0,1,1)-1  ) * $P$6</f>
        <v/>
      </c>
      <c r="D139" s="139">
        <f>IF($O$6="sell",-1,1) * NORMDIST(I139,0,1,0)/(B139*$H$6*SQRT($J$6)) * $P$6</f>
        <v/>
      </c>
      <c r="E139" s="139">
        <f>IF($O$6="sell",-1,1) * (B139*NORMDIST(I139,0,1,0)*SQRT($J$6)/365) * $P$6</f>
        <v/>
      </c>
      <c r="F139" s="139">
        <f>IF($O$6="sell",-1,1) * (-(B139*NORMDIST(I139,0,1,0)*$H$6)/(2*SQRT($J$6))/365) *$P$6</f>
        <v/>
      </c>
      <c r="G139" s="139">
        <f>IF($O$6="buy",1,-1)*( IF($K$6="call",B139*NORMDIST(I139,0,1,1) - $B$6*NORMDIST(J139,0,1,1),$B$6*NORMDIST(-J139,0,1,1) - B139*NORMDIST(-I139,0,1,1) ) - $G$6) * $P$6</f>
        <v/>
      </c>
      <c r="I139" s="140">
        <f>(LN(B139/$B$6)+($H$6^2/2)*($J$6))/($H$6*SQRT($J$6))</f>
        <v/>
      </c>
      <c r="J139" s="140">
        <f>I139 - $H$6*SQRT($J$6)</f>
        <v/>
      </c>
    </row>
    <row r="140" ht="13.5" customHeight="1" s="116">
      <c r="B140" s="144">
        <f>B110</f>
        <v/>
      </c>
      <c r="C140" s="139">
        <f>IF($O$6="sell",-1,1) *  IF($K$6="call",  NORMDIST(I140,0,1,1),  NORMDIST(I140,0,1,1)-1  ) * $P$6</f>
        <v/>
      </c>
      <c r="D140" s="139">
        <f>IF($O$6="sell",-1,1) * NORMDIST(I140,0,1,0)/(B140*$H$6*SQRT($J$6)) * $P$6</f>
        <v/>
      </c>
      <c r="E140" s="139">
        <f>IF($O$6="sell",-1,1) * (B140*NORMDIST(I140,0,1,0)*SQRT($J$6)/365) * $P$6</f>
        <v/>
      </c>
      <c r="F140" s="139">
        <f>IF($O$6="sell",-1,1) * (-(B140*NORMDIST(I140,0,1,0)*$H$6)/(2*SQRT($J$6))/365) *$P$6</f>
        <v/>
      </c>
      <c r="G140" s="139">
        <f>IF($O$6="buy",1,-1)*( IF($K$6="call",B140*NORMDIST(I140,0,1,1) - $B$6*NORMDIST(J140,0,1,1),$B$6*NORMDIST(-J140,0,1,1) - B140*NORMDIST(-I140,0,1,1) ) - $G$6) * $P$6</f>
        <v/>
      </c>
      <c r="I140" s="140">
        <f>(LN(B140/$B$6)+($H$6^2/2)*($J$6))/($H$6*SQRT($J$6))</f>
        <v/>
      </c>
      <c r="J140" s="140">
        <f>I140 - $H$6*SQRT($J$6)</f>
        <v/>
      </c>
    </row>
    <row r="141" ht="13.5" customHeight="1" s="116">
      <c r="B141" s="144">
        <f>B111</f>
        <v/>
      </c>
      <c r="C141" s="139">
        <f>IF($O$6="sell",-1,1) *  IF($K$6="call",  NORMDIST(I141,0,1,1),  NORMDIST(I141,0,1,1)-1  ) * $P$6</f>
        <v/>
      </c>
      <c r="D141" s="139">
        <f>IF($O$6="sell",-1,1) * NORMDIST(I141,0,1,0)/(B141*$H$6*SQRT($J$6)) * $P$6</f>
        <v/>
      </c>
      <c r="E141" s="139">
        <f>IF($O$6="sell",-1,1) * (B141*NORMDIST(I141,0,1,0)*SQRT($J$6)/365) * $P$6</f>
        <v/>
      </c>
      <c r="F141" s="139">
        <f>IF($O$6="sell",-1,1) * (-(B141*NORMDIST(I141,0,1,0)*$H$6)/(2*SQRT($J$6))/365) *$P$6</f>
        <v/>
      </c>
      <c r="G141" s="139">
        <f>IF($O$6="buy",1,-1)*( IF($K$6="call",B141*NORMDIST(I141,0,1,1) - $B$6*NORMDIST(J141,0,1,1),$B$6*NORMDIST(-J141,0,1,1) - B141*NORMDIST(-I141,0,1,1) ) - $G$6) * $P$6</f>
        <v/>
      </c>
      <c r="I141" s="140">
        <f>(LN(B141/$B$6)+($H$6^2/2)*($J$6))/($H$6*SQRT($J$6))</f>
        <v/>
      </c>
      <c r="J141" s="140">
        <f>I141 - $H$6*SQRT($J$6)</f>
        <v/>
      </c>
    </row>
    <row r="142" ht="13.5" customHeight="1" s="116">
      <c r="B142" s="144">
        <f>B112</f>
        <v/>
      </c>
      <c r="C142" s="139">
        <f>IF($O$6="sell",-1,1) *  IF($K$6="call",  NORMDIST(I142,0,1,1),  NORMDIST(I142,0,1,1)-1  ) * $P$6</f>
        <v/>
      </c>
      <c r="D142" s="139">
        <f>IF($O$6="sell",-1,1) * NORMDIST(I142,0,1,0)/(B142*$H$6*SQRT($J$6)) * $P$6</f>
        <v/>
      </c>
      <c r="E142" s="139">
        <f>IF($O$6="sell",-1,1) * (B142*NORMDIST(I142,0,1,0)*SQRT($J$6)/365) * $P$6</f>
        <v/>
      </c>
      <c r="F142" s="139">
        <f>IF($O$6="sell",-1,1) * (-(B142*NORMDIST(I142,0,1,0)*$H$6)/(2*SQRT($J$6))/365) *$P$6</f>
        <v/>
      </c>
      <c r="G142" s="139">
        <f>IF($O$6="buy",1,-1)*( IF($K$6="call",B142*NORMDIST(I142,0,1,1) - $B$6*NORMDIST(J142,0,1,1),$B$6*NORMDIST(-J142,0,1,1) - B142*NORMDIST(-I142,0,1,1) ) - $G$6) * $P$6</f>
        <v/>
      </c>
      <c r="I142" s="140">
        <f>(LN(B142/$B$6)+($H$6^2/2)*($J$6))/($H$6*SQRT($J$6))</f>
        <v/>
      </c>
      <c r="J142" s="140">
        <f>I142 - $H$6*SQRT($J$6)</f>
        <v/>
      </c>
    </row>
    <row r="143" ht="13.5" customHeight="1" s="116">
      <c r="B143" s="144">
        <f>B113</f>
        <v/>
      </c>
      <c r="C143" s="139">
        <f>IF($O$6="sell",-1,1) *  IF($K$6="call",  NORMDIST(I143,0,1,1),  NORMDIST(I143,0,1,1)-1  ) * $P$6</f>
        <v/>
      </c>
      <c r="D143" s="139">
        <f>IF($O$6="sell",-1,1) * NORMDIST(I143,0,1,0)/(B143*$H$6*SQRT($J$6)) * $P$6</f>
        <v/>
      </c>
      <c r="E143" s="139">
        <f>IF($O$6="sell",-1,1) * (B143*NORMDIST(I143,0,1,0)*SQRT($J$6)/365) * $P$6</f>
        <v/>
      </c>
      <c r="F143" s="139">
        <f>IF($O$6="sell",-1,1) * (-(B143*NORMDIST(I143,0,1,0)*$H$6)/(2*SQRT($J$6))/365) *$P$6</f>
        <v/>
      </c>
      <c r="G143" s="139">
        <f>IF($O$6="buy",1,-1)*( IF($K$6="call",B143*NORMDIST(I143,0,1,1) - $B$6*NORMDIST(J143,0,1,1),$B$6*NORMDIST(-J143,0,1,1) - B143*NORMDIST(-I143,0,1,1) ) - $G$6) * $P$6</f>
        <v/>
      </c>
      <c r="I143" s="140">
        <f>(LN(B143/$B$6)+($H$6^2/2)*($J$6))/($H$6*SQRT($J$6))</f>
        <v/>
      </c>
      <c r="J143" s="140">
        <f>I143 - $H$6*SQRT($J$6)</f>
        <v/>
      </c>
    </row>
    <row r="144" ht="13.5" customHeight="1" s="116">
      <c r="B144" s="144">
        <f>B114</f>
        <v/>
      </c>
      <c r="C144" s="139">
        <f>IF($O$6="sell",-1,1) *  IF($K$6="call",  NORMDIST(I144,0,1,1),  NORMDIST(I144,0,1,1)-1  ) * $P$6</f>
        <v/>
      </c>
      <c r="D144" s="139">
        <f>IF($O$6="sell",-1,1) * NORMDIST(I144,0,1,0)/(B144*$H$6*SQRT($J$6)) * $P$6</f>
        <v/>
      </c>
      <c r="E144" s="139">
        <f>IF($O$6="sell",-1,1) * (B144*NORMDIST(I144,0,1,0)*SQRT($J$6)/365) * $P$6</f>
        <v/>
      </c>
      <c r="F144" s="139">
        <f>IF($O$6="sell",-1,1) * (-(B144*NORMDIST(I144,0,1,0)*$H$6)/(2*SQRT($J$6))/365) *$P$6</f>
        <v/>
      </c>
      <c r="G144" s="139">
        <f>IF($O$6="buy",1,-1)*( IF($K$6="call",B144*NORMDIST(I144,0,1,1) - $B$6*NORMDIST(J144,0,1,1),$B$6*NORMDIST(-J144,0,1,1) - B144*NORMDIST(-I144,0,1,1) ) - $G$6) * $P$6</f>
        <v/>
      </c>
      <c r="I144" s="140">
        <f>(LN(B144/$B$6)+($H$6^2/2)*($J$6))/($H$6*SQRT($J$6))</f>
        <v/>
      </c>
      <c r="J144" s="140">
        <f>I144 - $H$6*SQRT($J$6)</f>
        <v/>
      </c>
    </row>
    <row r="145" ht="13.5" customHeight="1" s="116">
      <c r="B145" s="144">
        <f>B115</f>
        <v/>
      </c>
      <c r="C145" s="139">
        <f>IF($O$6="sell",-1,1) *  IF($K$6="call",  NORMDIST(I145,0,1,1),  NORMDIST(I145,0,1,1)-1  ) * $P$6</f>
        <v/>
      </c>
      <c r="D145" s="139">
        <f>IF($O$6="sell",-1,1) * NORMDIST(I145,0,1,0)/(B145*$H$6*SQRT($J$6)) * $P$6</f>
        <v/>
      </c>
      <c r="E145" s="139">
        <f>IF($O$6="sell",-1,1) * (B145*NORMDIST(I145,0,1,0)*SQRT($J$6)/365) * $P$6</f>
        <v/>
      </c>
      <c r="F145" s="139">
        <f>IF($O$6="sell",-1,1) * (-(B145*NORMDIST(I145,0,1,0)*$H$6)/(2*SQRT($J$6))/365) *$P$6</f>
        <v/>
      </c>
      <c r="G145" s="139">
        <f>IF($O$6="buy",1,-1)*( IF($K$6="call",B145*NORMDIST(I145,0,1,1) - $B$6*NORMDIST(J145,0,1,1),$B$6*NORMDIST(-J145,0,1,1) - B145*NORMDIST(-I145,0,1,1) ) - $G$6) * $P$6</f>
        <v/>
      </c>
      <c r="I145" s="140">
        <f>(LN(B145/$B$6)+($H$6^2/2)*($J$6))/($H$6*SQRT($J$6))</f>
        <v/>
      </c>
      <c r="J145" s="140">
        <f>I145 - $H$6*SQRT($J$6)</f>
        <v/>
      </c>
    </row>
    <row r="146" ht="13.5" customHeight="1" s="116">
      <c r="B146" s="144">
        <f>B116</f>
        <v/>
      </c>
      <c r="C146" s="139">
        <f>IF($O$6="sell",-1,1) *  IF($K$6="call",  NORMDIST(I146,0,1,1),  NORMDIST(I146,0,1,1)-1  ) * $P$6</f>
        <v/>
      </c>
      <c r="D146" s="139">
        <f>IF($O$6="sell",-1,1) * NORMDIST(I146,0,1,0)/(B146*$H$6*SQRT($J$6)) * $P$6</f>
        <v/>
      </c>
      <c r="E146" s="139">
        <f>IF($O$6="sell",-1,1) * (B146*NORMDIST(I146,0,1,0)*SQRT($J$6)/365) * $P$6</f>
        <v/>
      </c>
      <c r="F146" s="139">
        <f>IF($O$6="sell",-1,1) * (-(B146*NORMDIST(I146,0,1,0)*$H$6)/(2*SQRT($J$6))/365) *$P$6</f>
        <v/>
      </c>
      <c r="G146" s="139">
        <f>IF($O$6="buy",1,-1)*( IF($K$6="call",B146*NORMDIST(I146,0,1,1) - $B$6*NORMDIST(J146,0,1,1),$B$6*NORMDIST(-J146,0,1,1) - B146*NORMDIST(-I146,0,1,1) ) - $G$6) * $P$6</f>
        <v/>
      </c>
      <c r="I146" s="140">
        <f>(LN(B146/$B$6)+($H$6^2/2)*($J$6))/($H$6*SQRT($J$6))</f>
        <v/>
      </c>
      <c r="J146" s="140">
        <f>I146 - $H$6*SQRT($J$6)</f>
        <v/>
      </c>
    </row>
    <row r="147" ht="13.5" customHeight="1" s="116">
      <c r="B147" s="144">
        <f>B117</f>
        <v/>
      </c>
      <c r="C147" s="139">
        <f>IF($O$6="sell",-1,1) *  IF($K$6="call",  NORMDIST(I147,0,1,1),  NORMDIST(I147,0,1,1)-1  ) * $P$6</f>
        <v/>
      </c>
      <c r="D147" s="139">
        <f>IF($O$6="sell",-1,1) * NORMDIST(I147,0,1,0)/(B147*$H$6*SQRT($J$6)) * $P$6</f>
        <v/>
      </c>
      <c r="E147" s="139">
        <f>IF($O$6="sell",-1,1) * (B147*NORMDIST(I147,0,1,0)*SQRT($J$6)/365) * $P$6</f>
        <v/>
      </c>
      <c r="F147" s="139">
        <f>IF($O$6="sell",-1,1) * (-(B147*NORMDIST(I147,0,1,0)*$H$6)/(2*SQRT($J$6))/365) *$P$6</f>
        <v/>
      </c>
      <c r="G147" s="139">
        <f>IF($O$6="buy",1,-1)*( IF($K$6="call",B147*NORMDIST(I147,0,1,1) - $B$6*NORMDIST(J147,0,1,1),$B$6*NORMDIST(-J147,0,1,1) - B147*NORMDIST(-I147,0,1,1) ) - $G$6) * $P$6</f>
        <v/>
      </c>
      <c r="I147" s="140">
        <f>(LN(B147/$B$6)+($H$6^2/2)*($J$6))/($H$6*SQRT($J$6))</f>
        <v/>
      </c>
      <c r="J147" s="140">
        <f>I147 - $H$6*SQRT($J$6)</f>
        <v/>
      </c>
    </row>
    <row r="148" ht="13.5" customHeight="1" s="116">
      <c r="B148" s="144">
        <f>B118</f>
        <v/>
      </c>
      <c r="C148" s="139">
        <f>IF($O$6="sell",-1,1) *  IF($K$6="call",  NORMDIST(I148,0,1,1),  NORMDIST(I148,0,1,1)-1  ) * $P$6</f>
        <v/>
      </c>
      <c r="D148" s="139">
        <f>IF($O$6="sell",-1,1) * NORMDIST(I148,0,1,0)/(B148*$H$6*SQRT($J$6)) * $P$6</f>
        <v/>
      </c>
      <c r="E148" s="139">
        <f>IF($O$6="sell",-1,1) * (B148*NORMDIST(I148,0,1,0)*SQRT($J$6)/365) * $P$6</f>
        <v/>
      </c>
      <c r="F148" s="139">
        <f>IF($O$6="sell",-1,1) * (-(B148*NORMDIST(I148,0,1,0)*$H$6)/(2*SQRT($J$6))/365) *$P$6</f>
        <v/>
      </c>
      <c r="G148" s="139">
        <f>IF($O$6="buy",1,-1)*( IF($K$6="call",B148*NORMDIST(I148,0,1,1) - $B$6*NORMDIST(J148,0,1,1),$B$6*NORMDIST(-J148,0,1,1) - B148*NORMDIST(-I148,0,1,1) ) - $G$6) * $P$6</f>
        <v/>
      </c>
      <c r="I148" s="140">
        <f>(LN(B148/$B$6)+($H$6^2/2)*($J$6))/($H$6*SQRT($J$6))</f>
        <v/>
      </c>
      <c r="J148" s="140">
        <f>I148 - $H$6*SQRT($J$6)</f>
        <v/>
      </c>
    </row>
    <row r="149" ht="13.5" customHeight="1" s="116">
      <c r="B149" s="144">
        <f>B119</f>
        <v/>
      </c>
      <c r="C149" s="139">
        <f>IF($O$6="sell",-1,1) *  IF($K$6="call",  NORMDIST(I149,0,1,1),  NORMDIST(I149,0,1,1)-1  ) * $P$6</f>
        <v/>
      </c>
      <c r="D149" s="139">
        <f>IF($O$6="sell",-1,1) * NORMDIST(I149,0,1,0)/(B149*$H$6*SQRT($J$6)) * $P$6</f>
        <v/>
      </c>
      <c r="E149" s="139">
        <f>IF($O$6="sell",-1,1) * (B149*NORMDIST(I149,0,1,0)*SQRT($J$6)/365) * $P$6</f>
        <v/>
      </c>
      <c r="F149" s="139">
        <f>IF($O$6="sell",-1,1) * (-(B149*NORMDIST(I149,0,1,0)*$H$6)/(2*SQRT($J$6))/365) *$P$6</f>
        <v/>
      </c>
      <c r="G149" s="139">
        <f>IF($O$6="buy",1,-1)*( IF($K$6="call",B149*NORMDIST(I149,0,1,1) - $B$6*NORMDIST(J149,0,1,1),$B$6*NORMDIST(-J149,0,1,1) - B149*NORMDIST(-I149,0,1,1) ) - $G$6) * $P$6</f>
        <v/>
      </c>
      <c r="I149" s="140">
        <f>(LN(B149/$B$6)+($H$6^2/2)*($J$6))/($H$6*SQRT($J$6))</f>
        <v/>
      </c>
      <c r="J149" s="140">
        <f>I149 - $H$6*SQRT($J$6)</f>
        <v/>
      </c>
    </row>
    <row r="150" ht="13.5" customHeight="1" s="116">
      <c r="B150" s="144">
        <f>B120</f>
        <v/>
      </c>
      <c r="C150" s="139">
        <f>IF($O$6="sell",-1,1) *  IF($K$6="call",  NORMDIST(I150,0,1,1),  NORMDIST(I150,0,1,1)-1  ) * $P$6</f>
        <v/>
      </c>
      <c r="D150" s="139">
        <f>IF($O$6="sell",-1,1) * NORMDIST(I150,0,1,0)/(B150*$H$6*SQRT($J$6)) * $P$6</f>
        <v/>
      </c>
      <c r="E150" s="139">
        <f>IF($O$6="sell",-1,1) * (B150*NORMDIST(I150,0,1,0)*SQRT($J$6)/365) * $P$6</f>
        <v/>
      </c>
      <c r="F150" s="139">
        <f>IF($O$6="sell",-1,1) * (-(B150*NORMDIST(I150,0,1,0)*$H$6)/(2*SQRT($J$6))/365) *$P$6</f>
        <v/>
      </c>
      <c r="G150" s="139">
        <f>IF($O$6="buy",1,-1)*( IF($K$6="call",B150*NORMDIST(I150,0,1,1) - $B$6*NORMDIST(J150,0,1,1),$B$6*NORMDIST(-J150,0,1,1) - B150*NORMDIST(-I150,0,1,1) ) - $G$6) * $P$6</f>
        <v/>
      </c>
      <c r="I150" s="140">
        <f>(LN(B150/$B$6)+($H$6^2/2)*($J$6))/($H$6*SQRT($J$6))</f>
        <v/>
      </c>
      <c r="J150" s="140">
        <f>I150 - $H$6*SQRT($J$6)</f>
        <v/>
      </c>
    </row>
    <row r="151" ht="13.5" customHeight="1" s="116">
      <c r="B151" s="144">
        <f>B121</f>
        <v/>
      </c>
      <c r="C151" s="139">
        <f>IF($O$6="sell",-1,1) *  IF($K$6="call",  NORMDIST(I151,0,1,1),  NORMDIST(I151,0,1,1)-1  ) * $P$6</f>
        <v/>
      </c>
      <c r="D151" s="139">
        <f>IF($O$6="sell",-1,1) * NORMDIST(I151,0,1,0)/(B151*$H$6*SQRT($J$6)) * $P$6</f>
        <v/>
      </c>
      <c r="E151" s="139">
        <f>IF($O$6="sell",-1,1) * (B151*NORMDIST(I151,0,1,0)*SQRT($J$6)/365) * $P$6</f>
        <v/>
      </c>
      <c r="F151" s="139">
        <f>IF($O$6="sell",-1,1) * (-(B151*NORMDIST(I151,0,1,0)*$H$6)/(2*SQRT($J$6))/365) *$P$6</f>
        <v/>
      </c>
      <c r="G151" s="139">
        <f>IF($O$6="buy",1,-1)*( IF($K$6="call",B151*NORMDIST(I151,0,1,1) - $B$6*NORMDIST(J151,0,1,1),$B$6*NORMDIST(-J151,0,1,1) - B151*NORMDIST(-I151,0,1,1) ) - $G$6) * $P$6</f>
        <v/>
      </c>
      <c r="I151" s="140">
        <f>(LN(B151/$B$6)+($H$6^2/2)*($J$6))/($H$6*SQRT($J$6))</f>
        <v/>
      </c>
      <c r="J151" s="140">
        <f>I151 - $H$6*SQRT($J$6)</f>
        <v/>
      </c>
    </row>
    <row r="152" ht="13.5" customHeight="1" s="116">
      <c r="B152" s="144">
        <f>B122</f>
        <v/>
      </c>
      <c r="C152" s="139">
        <f>IF($O$6="sell",-1,1) *  IF($K$6="call",  NORMDIST(I152,0,1,1),  NORMDIST(I152,0,1,1)-1  ) * $P$6</f>
        <v/>
      </c>
      <c r="D152" s="139">
        <f>IF($O$6="sell",-1,1) * NORMDIST(I152,0,1,0)/(B152*$H$6*SQRT($J$6)) * $P$6</f>
        <v/>
      </c>
      <c r="E152" s="139">
        <f>IF($O$6="sell",-1,1) * (B152*NORMDIST(I152,0,1,0)*SQRT($J$6)/365) * $P$6</f>
        <v/>
      </c>
      <c r="F152" s="139">
        <f>IF($O$6="sell",-1,1) * (-(B152*NORMDIST(I152,0,1,0)*$H$6)/(2*SQRT($J$6))/365) *$P$6</f>
        <v/>
      </c>
      <c r="G152" s="139">
        <f>IF($O$6="buy",1,-1)*( IF($K$6="call",B152*NORMDIST(I152,0,1,1) - $B$6*NORMDIST(J152,0,1,1),$B$6*NORMDIST(-J152,0,1,1) - B152*NORMDIST(-I152,0,1,1) ) - $G$6) * $P$6</f>
        <v/>
      </c>
      <c r="I152" s="140">
        <f>(LN(B152/$B$6)+($H$6^2/2)*($J$6))/($H$6*SQRT($J$6))</f>
        <v/>
      </c>
      <c r="J152" s="140">
        <f>I152 - $H$6*SQRT($J$6)</f>
        <v/>
      </c>
    </row>
    <row r="153" ht="13.5" customHeight="1" s="116">
      <c r="B153" s="144">
        <f>B123</f>
        <v/>
      </c>
      <c r="C153" s="139">
        <f>IF($O$6="sell",-1,1) *  IF($K$6="call",  NORMDIST(I153,0,1,1),  NORMDIST(I153,0,1,1)-1  ) * $P$6</f>
        <v/>
      </c>
      <c r="D153" s="139">
        <f>IF($O$6="sell",-1,1) * NORMDIST(I153,0,1,0)/(B153*$H$6*SQRT($J$6)) * $P$6</f>
        <v/>
      </c>
      <c r="E153" s="139">
        <f>IF($O$6="sell",-1,1) * (B153*NORMDIST(I153,0,1,0)*SQRT($J$6)/365) * $P$6</f>
        <v/>
      </c>
      <c r="F153" s="139">
        <f>IF($O$6="sell",-1,1) * (-(B153*NORMDIST(I153,0,1,0)*$H$6)/(2*SQRT($J$6))/365) *$P$6</f>
        <v/>
      </c>
      <c r="G153" s="139">
        <f>IF($O$6="buy",1,-1)*( IF($K$6="call",B153*NORMDIST(I153,0,1,1) - $B$6*NORMDIST(J153,0,1,1),$B$6*NORMDIST(-J153,0,1,1) - B153*NORMDIST(-I153,0,1,1) ) - $G$6) * $P$6</f>
        <v/>
      </c>
      <c r="I153" s="140">
        <f>(LN(B153/$B$6)+($H$6^2/2)*($J$6))/($H$6*SQRT($J$6))</f>
        <v/>
      </c>
      <c r="J153" s="140">
        <f>I153 - $H$6*SQRT($J$6)</f>
        <v/>
      </c>
    </row>
    <row r="154" ht="13.5" customHeight="1" s="116">
      <c r="B154" s="144">
        <f>B124</f>
        <v/>
      </c>
      <c r="C154" s="139">
        <f>IF($O$6="sell",-1,1) *  IF($K$6="call",  NORMDIST(I154,0,1,1),  NORMDIST(I154,0,1,1)-1  ) * $P$6</f>
        <v/>
      </c>
      <c r="D154" s="139">
        <f>IF($O$6="sell",-1,1) * NORMDIST(I154,0,1,0)/(B154*$H$6*SQRT($J$6)) * $P$6</f>
        <v/>
      </c>
      <c r="E154" s="139">
        <f>IF($O$6="sell",-1,1) * (B154*NORMDIST(I154,0,1,0)*SQRT($J$6)/365) * $P$6</f>
        <v/>
      </c>
      <c r="F154" s="139">
        <f>IF($O$6="sell",-1,1) * (-(B154*NORMDIST(I154,0,1,0)*$H$6)/(2*SQRT($J$6))/365) *$P$6</f>
        <v/>
      </c>
      <c r="G154" s="139">
        <f>IF($O$6="buy",1,-1)*( IF($K$6="call",B154*NORMDIST(I154,0,1,1) - $B$6*NORMDIST(J154,0,1,1),$B$6*NORMDIST(-J154,0,1,1) - B154*NORMDIST(-I154,0,1,1) ) - $G$6) * $P$6</f>
        <v/>
      </c>
      <c r="I154" s="140">
        <f>(LN(B154/$B$6)+($H$6^2/2)*($J$6))/($H$6*SQRT($J$6))</f>
        <v/>
      </c>
      <c r="J154" s="140">
        <f>I154 - $H$6*SQRT($J$6)</f>
        <v/>
      </c>
    </row>
    <row r="155" ht="13.5" customHeight="1" s="116">
      <c r="B155" s="144">
        <f>B125</f>
        <v/>
      </c>
      <c r="C155" s="139">
        <f>IF($O$6="sell",-1,1) *  IF($K$6="call",  NORMDIST(I155,0,1,1),  NORMDIST(I155,0,1,1)-1  ) * $P$6</f>
        <v/>
      </c>
      <c r="D155" s="139">
        <f>IF($O$6="sell",-1,1) * NORMDIST(I155,0,1,0)/(B155*$H$6*SQRT($J$6)) * $P$6</f>
        <v/>
      </c>
      <c r="E155" s="139">
        <f>IF($O$6="sell",-1,1) * (B155*NORMDIST(I155,0,1,0)*SQRT($J$6)/365) * $P$6</f>
        <v/>
      </c>
      <c r="F155" s="139">
        <f>IF($O$6="sell",-1,1) * (-(B155*NORMDIST(I155,0,1,0)*$H$6)/(2*SQRT($J$6))/365) *$P$6</f>
        <v/>
      </c>
      <c r="G155" s="139">
        <f>IF($O$6="buy",1,-1)*( IF($K$6="call",B155*NORMDIST(I155,0,1,1) - $B$6*NORMDIST(J155,0,1,1),$B$6*NORMDIST(-J155,0,1,1) - B155*NORMDIST(-I155,0,1,1) ) - $G$6) * $P$6</f>
        <v/>
      </c>
      <c r="I155" s="140">
        <f>(LN(B155/$B$6)+($H$6^2/2)*($J$6))/($H$6*SQRT($J$6))</f>
        <v/>
      </c>
      <c r="J155" s="140">
        <f>I155 - $H$6*SQRT($J$6)</f>
        <v/>
      </c>
    </row>
    <row r="156" ht="13.5" customHeight="1" s="116">
      <c r="B156" s="144">
        <f>B126</f>
        <v/>
      </c>
      <c r="C156" s="139">
        <f>IF($O$6="sell",-1,1) *  IF($K$6="call",  NORMDIST(I156,0,1,1),  NORMDIST(I156,0,1,1)-1  ) * $P$6</f>
        <v/>
      </c>
      <c r="D156" s="139">
        <f>IF($O$6="sell",-1,1) * NORMDIST(I156,0,1,0)/(B156*$H$6*SQRT($J$6)) * $P$6</f>
        <v/>
      </c>
      <c r="E156" s="139">
        <f>IF($O$6="sell",-1,1) * (B156*NORMDIST(I156,0,1,0)*SQRT($J$6)/365) * $P$6</f>
        <v/>
      </c>
      <c r="F156" s="139">
        <f>IF($O$6="sell",-1,1) * (-(B156*NORMDIST(I156,0,1,0)*$H$6)/(2*SQRT($J$6))/365) *$P$6</f>
        <v/>
      </c>
      <c r="G156" s="139">
        <f>IF($O$6="buy",1,-1)*( IF($K$6="call",B156*NORMDIST(I156,0,1,1) - $B$6*NORMDIST(J156,0,1,1),$B$6*NORMDIST(-J156,0,1,1) - B156*NORMDIST(-I156,0,1,1) ) - $G$6) * $P$6</f>
        <v/>
      </c>
      <c r="I156" s="140">
        <f>(LN(B156/$B$6)+($H$6^2/2)*($J$6))/($H$6*SQRT($J$6))</f>
        <v/>
      </c>
      <c r="J156" s="140">
        <f>I156 - $H$6*SQRT($J$6)</f>
        <v/>
      </c>
    </row>
    <row r="157" ht="13.5" customHeight="1" s="116">
      <c r="B157" s="144">
        <f>B127</f>
        <v/>
      </c>
      <c r="C157" s="139">
        <f>IF($O$6="sell",-1,1) *  IF($K$6="call",  NORMDIST(I157,0,1,1),  NORMDIST(I157,0,1,1)-1  ) * $P$6</f>
        <v/>
      </c>
      <c r="D157" s="139">
        <f>IF($O$6="sell",-1,1) * NORMDIST(I157,0,1,0)/(B157*$H$6*SQRT($J$6)) * $P$6</f>
        <v/>
      </c>
      <c r="E157" s="139">
        <f>IF($O$6="sell",-1,1) * (B157*NORMDIST(I157,0,1,0)*SQRT($J$6)/365) * $P$6</f>
        <v/>
      </c>
      <c r="F157" s="139">
        <f>IF($O$6="sell",-1,1) * (-(B157*NORMDIST(I157,0,1,0)*$H$6)/(2*SQRT($J$6))/365) *$P$6</f>
        <v/>
      </c>
      <c r="G157" s="139">
        <f>IF($O$6="buy",1,-1)*( IF($K$6="call",B157*NORMDIST(I157,0,1,1) - $B$6*NORMDIST(J157,0,1,1),$B$6*NORMDIST(-J157,0,1,1) - B157*NORMDIST(-I157,0,1,1) ) - $G$6) * $P$6</f>
        <v/>
      </c>
      <c r="I157" s="140">
        <f>(LN(B157/$B$6)+($H$6^2/2)*($J$6))/($H$6*SQRT($J$6))</f>
        <v/>
      </c>
      <c r="J157" s="140">
        <f>I157 - $H$6*SQRT($J$6)</f>
        <v/>
      </c>
    </row>
    <row r="158" ht="13.5" customHeight="1" s="116">
      <c r="B158" s="144">
        <f>B128</f>
        <v/>
      </c>
      <c r="C158" s="139">
        <f>IF($O$6="sell",-1,1) *  IF($K$6="call",  NORMDIST(I158,0,1,1),  NORMDIST(I158,0,1,1)-1  ) * $P$6</f>
        <v/>
      </c>
      <c r="D158" s="139">
        <f>IF($O$6="sell",-1,1) * NORMDIST(I158,0,1,0)/(B158*$H$6*SQRT($J$6)) * $P$6</f>
        <v/>
      </c>
      <c r="E158" s="139">
        <f>IF($O$6="sell",-1,1) * (B158*NORMDIST(I158,0,1,0)*SQRT($J$6)/365) * $P$6</f>
        <v/>
      </c>
      <c r="F158" s="139">
        <f>IF($O$6="sell",-1,1) * (-(B158*NORMDIST(I158,0,1,0)*$H$6)/(2*SQRT($J$6))/365) *$P$6</f>
        <v/>
      </c>
      <c r="G158" s="139">
        <f>IF($O$6="buy",1,-1)*( IF($K$6="call",B158*NORMDIST(I158,0,1,1) - $B$6*NORMDIST(J158,0,1,1),$B$6*NORMDIST(-J158,0,1,1) - B158*NORMDIST(-I158,0,1,1) ) - $G$6) * $P$6</f>
        <v/>
      </c>
      <c r="I158" s="140">
        <f>(LN(B158/$B$6)+($H$6^2/2)*($J$6))/($H$6*SQRT($J$6))</f>
        <v/>
      </c>
      <c r="J158" s="140">
        <f>I158 - $H$6*SQRT($J$6)</f>
        <v/>
      </c>
    </row>
    <row r="159" ht="13.5" customHeight="1" s="116">
      <c r="B159" s="144">
        <f>B129</f>
        <v/>
      </c>
      <c r="C159" s="139">
        <f>IF($O$6="sell",-1,1) *  IF($K$6="call",  NORMDIST(I159,0,1,1),  NORMDIST(I159,0,1,1)-1  ) * $P$6</f>
        <v/>
      </c>
      <c r="D159" s="139">
        <f>IF($O$6="sell",-1,1) * NORMDIST(I159,0,1,0)/(B159*$H$6*SQRT($J$6)) * $P$6</f>
        <v/>
      </c>
      <c r="E159" s="139">
        <f>IF($O$6="sell",-1,1) * (B159*NORMDIST(I159,0,1,0)*SQRT($J$6)/365) * $P$6</f>
        <v/>
      </c>
      <c r="F159" s="139">
        <f>IF($O$6="sell",-1,1) * (-(B159*NORMDIST(I159,0,1,0)*$H$6)/(2*SQRT($J$6))/365) *$P$6</f>
        <v/>
      </c>
      <c r="G159" s="139">
        <f>IF($O$6="buy",1,-1)*( IF($K$6="call",B159*NORMDIST(I159,0,1,1) - $B$6*NORMDIST(J159,0,1,1),$B$6*NORMDIST(-J159,0,1,1) - B159*NORMDIST(-I159,0,1,1) ) - $G$6) * $P$6</f>
        <v/>
      </c>
      <c r="I159" s="140">
        <f>(LN(B159/$B$6)+($H$6^2/2)*($J$6))/($H$6*SQRT($J$6))</f>
        <v/>
      </c>
      <c r="J159" s="140">
        <f>I159 - $H$6*SQRT($J$6)</f>
        <v/>
      </c>
    </row>
    <row r="160" ht="13.5" customHeight="1" s="116">
      <c r="B160" s="144">
        <f>B130</f>
        <v/>
      </c>
      <c r="C160" s="139">
        <f>IF($O$6="sell",-1,1) *  IF($K$6="call",  NORMDIST(I160,0,1,1),  NORMDIST(I160,0,1,1)-1  ) * $P$6</f>
        <v/>
      </c>
      <c r="D160" s="139">
        <f>IF($O$6="sell",-1,1) * NORMDIST(I160,0,1,0)/(B160*$H$6*SQRT($J$6)) * $P$6</f>
        <v/>
      </c>
      <c r="E160" s="139">
        <f>IF($O$6="sell",-1,1) * (B160*NORMDIST(I160,0,1,0)*SQRT($J$6)/365) * $P$6</f>
        <v/>
      </c>
      <c r="F160" s="139">
        <f>IF($O$6="sell",-1,1) * (-(B160*NORMDIST(I160,0,1,0)*$H$6)/(2*SQRT($J$6))/365) *$P$6</f>
        <v/>
      </c>
      <c r="G160" s="139">
        <f>IF($O$6="buy",1,-1)*( IF($K$6="call",B160*NORMDIST(I160,0,1,1) - $B$6*NORMDIST(J160,0,1,1),$B$6*NORMDIST(-J160,0,1,1) - B160*NORMDIST(-I160,0,1,1) ) - $G$6) * $P$6</f>
        <v/>
      </c>
      <c r="I160" s="140">
        <f>(LN(B160/$B$6)+($H$6^2/2)*($J$6))/($H$6*SQRT($J$6))</f>
        <v/>
      </c>
      <c r="J160" s="140">
        <f>I160 - $H$6*SQRT($J$6)</f>
        <v/>
      </c>
    </row>
    <row r="161" ht="13.5" customHeight="1" s="116">
      <c r="B161" s="145" t="n"/>
      <c r="C161" s="136" t="n"/>
      <c r="D161" s="136" t="n"/>
      <c r="E161" s="136" t="n"/>
      <c r="F161" s="136" t="n"/>
      <c r="G161" s="136" t="n"/>
      <c r="I161" s="146" t="n"/>
      <c r="J161" s="146" t="n"/>
    </row>
    <row r="162" ht="13.5" customHeight="1" s="116">
      <c r="B162" s="145" t="n"/>
      <c r="C162" s="136" t="n"/>
      <c r="D162" s="136" t="n"/>
      <c r="E162" s="136" t="n"/>
      <c r="F162" s="136" t="n"/>
      <c r="G162" s="136" t="n"/>
      <c r="I162" s="146" t="n"/>
      <c r="J162" s="146" t="n"/>
    </row>
    <row r="163" ht="13.5" customHeight="1" s="116">
      <c r="B163" s="137" t="n"/>
      <c r="C163" s="133" t="inlineStr">
        <is>
          <t>delta</t>
        </is>
      </c>
      <c r="D163" s="133" t="inlineStr">
        <is>
          <t>gamma</t>
        </is>
      </c>
      <c r="E163" s="133" t="inlineStr">
        <is>
          <t>vega</t>
        </is>
      </c>
      <c r="F163" s="133" t="inlineStr">
        <is>
          <t>theta</t>
        </is>
      </c>
      <c r="G163" s="133" t="inlineStr">
        <is>
          <t>mark_price</t>
        </is>
      </c>
      <c r="I163" s="133" t="inlineStr">
        <is>
          <t>d1</t>
        </is>
      </c>
      <c r="J163" s="133" t="inlineStr">
        <is>
          <t>d2</t>
        </is>
      </c>
    </row>
    <row r="164" ht="13.5" customHeight="1" s="116">
      <c r="A164" s="117">
        <f>A7</f>
        <v/>
      </c>
      <c r="B164" s="144">
        <f>B134</f>
        <v/>
      </c>
      <c r="C164" s="139">
        <f>IF($O$7="sell",-1,1) *  IF($K$7="call",  NORMDIST(I164,0,1,1),  NORMDIST(I164,0,1,1)-1  ) * $P$7</f>
        <v/>
      </c>
      <c r="D164" s="139">
        <f>IF($O$7="sell",-1,1) * NORMDIST(I164,0,1,0)/(B164*$H$7*SQRT($J$7)) * $P$7</f>
        <v/>
      </c>
      <c r="E164" s="139">
        <f>IF($O$7="sell",-1,1) * (B164*NORMDIST(I164,0,1,0)*SQRT($J$7)/365) * $P$7</f>
        <v/>
      </c>
      <c r="F164" s="139">
        <f>IF($O$7="sell",-1,1) * (-(B164*NORMDIST(I164,0,1,0)*$H$7)/(2*SQRT($J$7))/365) *$P$7</f>
        <v/>
      </c>
      <c r="G164" s="139">
        <f>IF($O$7="buy",1,-1)*( IF($K$7="call",B164*NORMDIST(I164,0,1,1) - $B$7*NORMDIST(J164,0,1,1),$B$7*NORMDIST(-J164,0,1,1) - B164*NORMDIST(-I164,0,1,1) ) - $G$7) * $P$7</f>
        <v/>
      </c>
      <c r="I164" s="140">
        <f>(LN(B164/$B$7)+($H$7^2/2)*($J$7))/($H$7*SQRT($J$7))</f>
        <v/>
      </c>
      <c r="J164" s="140">
        <f>I164 - $H$7*SQRT($J$7)</f>
        <v/>
      </c>
    </row>
    <row r="165" ht="13.5" customHeight="1" s="116">
      <c r="B165" s="144">
        <f>B135</f>
        <v/>
      </c>
      <c r="C165" s="139">
        <f>IF($O$7="sell",-1,1) *  IF($K$7="call",  NORMDIST(I165,0,1,1),  NORMDIST(I165,0,1,1)-1  ) * $P$7</f>
        <v/>
      </c>
      <c r="D165" s="139">
        <f>IF($O$7="sell",-1,1) * NORMDIST(I165,0,1,0)/(B165*$H$7*SQRT($J$7)) * $P$7</f>
        <v/>
      </c>
      <c r="E165" s="139">
        <f>IF($O$7="sell",-1,1) * (B165*NORMDIST(I165,0,1,0)*SQRT($J$7)/365) * $P$7</f>
        <v/>
      </c>
      <c r="F165" s="139">
        <f>IF($O$7="sell",-1,1) * (-(B165*NORMDIST(I165,0,1,0)*$H$7)/(2*SQRT($J$7))/365) *$P$7</f>
        <v/>
      </c>
      <c r="G165" s="139">
        <f>IF($O$7="buy",1,-1)*( IF($K$7="call",B165*NORMDIST(I165,0,1,1) - $B$7*NORMDIST(J165,0,1,1),$B$7*NORMDIST(-J165,0,1,1) - B165*NORMDIST(-I165,0,1,1) ) - $G$7) * $P$7</f>
        <v/>
      </c>
      <c r="I165" s="140">
        <f>(LN(B165/$B$7)+($H$7^2/2)*($J$7))/($H$7*SQRT($J$7))</f>
        <v/>
      </c>
      <c r="J165" s="140">
        <f>I165 - $H$7*SQRT($J$7)</f>
        <v/>
      </c>
    </row>
    <row r="166" ht="13.5" customHeight="1" s="116">
      <c r="B166" s="144">
        <f>B136</f>
        <v/>
      </c>
      <c r="C166" s="139">
        <f>IF($O$7="sell",-1,1) *  IF($K$7="call",  NORMDIST(I166,0,1,1),  NORMDIST(I166,0,1,1)-1  ) * $P$7</f>
        <v/>
      </c>
      <c r="D166" s="139">
        <f>IF($O$7="sell",-1,1) * NORMDIST(I166,0,1,0)/(B166*$H$7*SQRT($J$7)) * $P$7</f>
        <v/>
      </c>
      <c r="E166" s="139">
        <f>IF($O$7="sell",-1,1) * (B166*NORMDIST(I166,0,1,0)*SQRT($J$7)/365) * $P$7</f>
        <v/>
      </c>
      <c r="F166" s="139">
        <f>IF($O$7="sell",-1,1) * (-(B166*NORMDIST(I166,0,1,0)*$H$7)/(2*SQRT($J$7))/365) *$P$7</f>
        <v/>
      </c>
      <c r="G166" s="139">
        <f>IF($O$7="buy",1,-1)*( IF($K$7="call",B166*NORMDIST(I166,0,1,1) - $B$7*NORMDIST(J166,0,1,1),$B$7*NORMDIST(-J166,0,1,1) - B166*NORMDIST(-I166,0,1,1) ) - $G$7) * $P$7</f>
        <v/>
      </c>
      <c r="I166" s="140">
        <f>(LN(B166/$B$7)+($H$7^2/2)*($J$7))/($H$7*SQRT($J$7))</f>
        <v/>
      </c>
      <c r="J166" s="140">
        <f>I166 - $H$7*SQRT($J$7)</f>
        <v/>
      </c>
    </row>
    <row r="167" ht="13.5" customHeight="1" s="116">
      <c r="B167" s="144">
        <f>B137</f>
        <v/>
      </c>
      <c r="C167" s="139">
        <f>IF($O$7="sell",-1,1) *  IF($K$7="call",  NORMDIST(I167,0,1,1),  NORMDIST(I167,0,1,1)-1  ) * $P$7</f>
        <v/>
      </c>
      <c r="D167" s="139">
        <f>IF($O$7="sell",-1,1) * NORMDIST(I167,0,1,0)/(B167*$H$7*SQRT($J$7)) * $P$7</f>
        <v/>
      </c>
      <c r="E167" s="139">
        <f>IF($O$7="sell",-1,1) * (B167*NORMDIST(I167,0,1,0)*SQRT($J$7)/365) * $P$7</f>
        <v/>
      </c>
      <c r="F167" s="139">
        <f>IF($O$7="sell",-1,1) * (-(B167*NORMDIST(I167,0,1,0)*$H$7)/(2*SQRT($J$7))/365) *$P$7</f>
        <v/>
      </c>
      <c r="G167" s="139">
        <f>IF($O$7="buy",1,-1)*( IF($K$7="call",B167*NORMDIST(I167,0,1,1) - $B$7*NORMDIST(J167,0,1,1),$B$7*NORMDIST(-J167,0,1,1) - B167*NORMDIST(-I167,0,1,1) ) - $G$7) * $P$7</f>
        <v/>
      </c>
      <c r="I167" s="140">
        <f>(LN(B167/$B$7)+($H$7^2/2)*($J$7))/($H$7*SQRT($J$7))</f>
        <v/>
      </c>
      <c r="J167" s="140">
        <f>I167 - $H$7*SQRT($J$7)</f>
        <v/>
      </c>
    </row>
    <row r="168" ht="13.5" customHeight="1" s="116">
      <c r="B168" s="144">
        <f>B138</f>
        <v/>
      </c>
      <c r="C168" s="139">
        <f>IF($O$7="sell",-1,1) *  IF($K$7="call",  NORMDIST(I168,0,1,1),  NORMDIST(I168,0,1,1)-1  ) * $P$7</f>
        <v/>
      </c>
      <c r="D168" s="139">
        <f>IF($O$7="sell",-1,1) * NORMDIST(I168,0,1,0)/(B168*$H$7*SQRT($J$7)) * $P$7</f>
        <v/>
      </c>
      <c r="E168" s="139">
        <f>IF($O$7="sell",-1,1) * (B168*NORMDIST(I168,0,1,0)*SQRT($J$7)/365) * $P$7</f>
        <v/>
      </c>
      <c r="F168" s="139">
        <f>IF($O$7="sell",-1,1) * (-(B168*NORMDIST(I168,0,1,0)*$H$7)/(2*SQRT($J$7))/365) *$P$7</f>
        <v/>
      </c>
      <c r="G168" s="139">
        <f>IF($O$7="buy",1,-1)*( IF($K$7="call",B168*NORMDIST(I168,0,1,1) - $B$7*NORMDIST(J168,0,1,1),$B$7*NORMDIST(-J168,0,1,1) - B168*NORMDIST(-I168,0,1,1) ) - $G$7) * $P$7</f>
        <v/>
      </c>
      <c r="I168" s="140">
        <f>(LN(B168/$B$7)+($H$7^2/2)*($J$7))/($H$7*SQRT($J$7))</f>
        <v/>
      </c>
      <c r="J168" s="140">
        <f>I168 - $H$7*SQRT($J$7)</f>
        <v/>
      </c>
    </row>
    <row r="169" ht="13.5" customHeight="1" s="116">
      <c r="B169" s="144">
        <f>B139</f>
        <v/>
      </c>
      <c r="C169" s="139">
        <f>IF($O$7="sell",-1,1) *  IF($K$7="call",  NORMDIST(I169,0,1,1),  NORMDIST(I169,0,1,1)-1  ) * $P$7</f>
        <v/>
      </c>
      <c r="D169" s="139">
        <f>IF($O$7="sell",-1,1) * NORMDIST(I169,0,1,0)/(B169*$H$7*SQRT($J$7)) * $P$7</f>
        <v/>
      </c>
      <c r="E169" s="139">
        <f>IF($O$7="sell",-1,1) * (B169*NORMDIST(I169,0,1,0)*SQRT($J$7)/365) * $P$7</f>
        <v/>
      </c>
      <c r="F169" s="139">
        <f>IF($O$7="sell",-1,1) * (-(B169*NORMDIST(I169,0,1,0)*$H$7)/(2*SQRT($J$7))/365) *$P$7</f>
        <v/>
      </c>
      <c r="G169" s="139">
        <f>IF($O$7="buy",1,-1)*( IF($K$7="call",B169*NORMDIST(I169,0,1,1) - $B$7*NORMDIST(J169,0,1,1),$B$7*NORMDIST(-J169,0,1,1) - B169*NORMDIST(-I169,0,1,1) ) - $G$7) * $P$7</f>
        <v/>
      </c>
      <c r="I169" s="140">
        <f>(LN(B169/$B$7)+($H$7^2/2)*($J$7))/($H$7*SQRT($J$7))</f>
        <v/>
      </c>
      <c r="J169" s="140">
        <f>I169 - $H$7*SQRT($J$7)</f>
        <v/>
      </c>
    </row>
    <row r="170" ht="13.5" customHeight="1" s="116">
      <c r="B170" s="144">
        <f>B140</f>
        <v/>
      </c>
      <c r="C170" s="139">
        <f>IF($O$7="sell",-1,1) *  IF($K$7="call",  NORMDIST(I170,0,1,1),  NORMDIST(I170,0,1,1)-1  ) * $P$7</f>
        <v/>
      </c>
      <c r="D170" s="139">
        <f>IF($O$7="sell",-1,1) * NORMDIST(I170,0,1,0)/(B170*$H$7*SQRT($J$7)) * $P$7</f>
        <v/>
      </c>
      <c r="E170" s="139">
        <f>IF($O$7="sell",-1,1) * (B170*NORMDIST(I170,0,1,0)*SQRT($J$7)/365) * $P$7</f>
        <v/>
      </c>
      <c r="F170" s="139">
        <f>IF($O$7="sell",-1,1) * (-(B170*NORMDIST(I170,0,1,0)*$H$7)/(2*SQRT($J$7))/365) *$P$7</f>
        <v/>
      </c>
      <c r="G170" s="139">
        <f>IF($O$7="buy",1,-1)*( IF($K$7="call",B170*NORMDIST(I170,0,1,1) - $B$7*NORMDIST(J170,0,1,1),$B$7*NORMDIST(-J170,0,1,1) - B170*NORMDIST(-I170,0,1,1) ) - $G$7) * $P$7</f>
        <v/>
      </c>
      <c r="I170" s="140">
        <f>(LN(B170/$B$7)+($H$7^2/2)*($J$7))/($H$7*SQRT($J$7))</f>
        <v/>
      </c>
      <c r="J170" s="140">
        <f>I170 - $H$7*SQRT($J$7)</f>
        <v/>
      </c>
    </row>
    <row r="171" ht="13.5" customHeight="1" s="116">
      <c r="B171" s="144">
        <f>B141</f>
        <v/>
      </c>
      <c r="C171" s="139">
        <f>IF($O$7="sell",-1,1) *  IF($K$7="call",  NORMDIST(I171,0,1,1),  NORMDIST(I171,0,1,1)-1  ) * $P$7</f>
        <v/>
      </c>
      <c r="D171" s="139">
        <f>IF($O$7="sell",-1,1) * NORMDIST(I171,0,1,0)/(B171*$H$7*SQRT($J$7)) * $P$7</f>
        <v/>
      </c>
      <c r="E171" s="139">
        <f>IF($O$7="sell",-1,1) * (B171*NORMDIST(I171,0,1,0)*SQRT($J$7)/365) * $P$7</f>
        <v/>
      </c>
      <c r="F171" s="139">
        <f>IF($O$7="sell",-1,1) * (-(B171*NORMDIST(I171,0,1,0)*$H$7)/(2*SQRT($J$7))/365) *$P$7</f>
        <v/>
      </c>
      <c r="G171" s="139">
        <f>IF($O$7="buy",1,-1)*( IF($K$7="call",B171*NORMDIST(I171,0,1,1) - $B$7*NORMDIST(J171,0,1,1),$B$7*NORMDIST(-J171,0,1,1) - B171*NORMDIST(-I171,0,1,1) ) - $G$7) * $P$7</f>
        <v/>
      </c>
      <c r="I171" s="140">
        <f>(LN(B171/$B$7)+($H$7^2/2)*($J$7))/($H$7*SQRT($J$7))</f>
        <v/>
      </c>
      <c r="J171" s="140">
        <f>I171 - $H$7*SQRT($J$7)</f>
        <v/>
      </c>
    </row>
    <row r="172" ht="13.5" customHeight="1" s="116">
      <c r="B172" s="144">
        <f>B142</f>
        <v/>
      </c>
      <c r="C172" s="139">
        <f>IF($O$7="sell",-1,1) *  IF($K$7="call",  NORMDIST(I172,0,1,1),  NORMDIST(I172,0,1,1)-1  ) * $P$7</f>
        <v/>
      </c>
      <c r="D172" s="139">
        <f>IF($O$7="sell",-1,1) * NORMDIST(I172,0,1,0)/(B172*$H$7*SQRT($J$7)) * $P$7</f>
        <v/>
      </c>
      <c r="E172" s="139">
        <f>IF($O$7="sell",-1,1) * (B172*NORMDIST(I172,0,1,0)*SQRT($J$7)/365) * $P$7</f>
        <v/>
      </c>
      <c r="F172" s="139">
        <f>IF($O$7="sell",-1,1) * (-(B172*NORMDIST(I172,0,1,0)*$H$7)/(2*SQRT($J$7))/365) *$P$7</f>
        <v/>
      </c>
      <c r="G172" s="139">
        <f>IF($O$7="buy",1,-1)*( IF($K$7="call",B172*NORMDIST(I172,0,1,1) - $B$7*NORMDIST(J172,0,1,1),$B$7*NORMDIST(-J172,0,1,1) - B172*NORMDIST(-I172,0,1,1) ) - $G$7) * $P$7</f>
        <v/>
      </c>
      <c r="I172" s="140">
        <f>(LN(B172/$B$7)+($H$7^2/2)*($J$7))/($H$7*SQRT($J$7))</f>
        <v/>
      </c>
      <c r="J172" s="140">
        <f>I172 - $H$7*SQRT($J$7)</f>
        <v/>
      </c>
    </row>
    <row r="173" ht="13.5" customHeight="1" s="116">
      <c r="B173" s="144">
        <f>B143</f>
        <v/>
      </c>
      <c r="C173" s="139">
        <f>IF($O$7="sell",-1,1) *  IF($K$7="call",  NORMDIST(I173,0,1,1),  NORMDIST(I173,0,1,1)-1  ) * $P$7</f>
        <v/>
      </c>
      <c r="D173" s="139">
        <f>IF($O$7="sell",-1,1) * NORMDIST(I173,0,1,0)/(B173*$H$7*SQRT($J$7)) * $P$7</f>
        <v/>
      </c>
      <c r="E173" s="139">
        <f>IF($O$7="sell",-1,1) * (B173*NORMDIST(I173,0,1,0)*SQRT($J$7)/365) * $P$7</f>
        <v/>
      </c>
      <c r="F173" s="139">
        <f>IF($O$7="sell",-1,1) * (-(B173*NORMDIST(I173,0,1,0)*$H$7)/(2*SQRT($J$7))/365) *$P$7</f>
        <v/>
      </c>
      <c r="G173" s="139">
        <f>IF($O$7="buy",1,-1)*( IF($K$7="call",B173*NORMDIST(I173,0,1,1) - $B$7*NORMDIST(J173,0,1,1),$B$7*NORMDIST(-J173,0,1,1) - B173*NORMDIST(-I173,0,1,1) ) - $G$7) * $P$7</f>
        <v/>
      </c>
      <c r="I173" s="140">
        <f>(LN(B173/$B$7)+($H$7^2/2)*($J$7))/($H$7*SQRT($J$7))</f>
        <v/>
      </c>
      <c r="J173" s="140">
        <f>I173 - $H$7*SQRT($J$7)</f>
        <v/>
      </c>
    </row>
    <row r="174" ht="13.5" customHeight="1" s="116">
      <c r="B174" s="144">
        <f>B144</f>
        <v/>
      </c>
      <c r="C174" s="139">
        <f>IF($O$7="sell",-1,1) *  IF($K$7="call",  NORMDIST(I174,0,1,1),  NORMDIST(I174,0,1,1)-1  ) * $P$7</f>
        <v/>
      </c>
      <c r="D174" s="139">
        <f>IF($O$7="sell",-1,1) * NORMDIST(I174,0,1,0)/(B174*$H$7*SQRT($J$7)) * $P$7</f>
        <v/>
      </c>
      <c r="E174" s="139">
        <f>IF($O$7="sell",-1,1) * (B174*NORMDIST(I174,0,1,0)*SQRT($J$7)/365) * $P$7</f>
        <v/>
      </c>
      <c r="F174" s="139">
        <f>IF($O$7="sell",-1,1) * (-(B174*NORMDIST(I174,0,1,0)*$H$7)/(2*SQRT($J$7))/365) *$P$7</f>
        <v/>
      </c>
      <c r="G174" s="139">
        <f>IF($O$7="buy",1,-1)*( IF($K$7="call",B174*NORMDIST(I174,0,1,1) - $B$7*NORMDIST(J174,0,1,1),$B$7*NORMDIST(-J174,0,1,1) - B174*NORMDIST(-I174,0,1,1) ) - $G$7) * $P$7</f>
        <v/>
      </c>
      <c r="I174" s="140">
        <f>(LN(B174/$B$7)+($H$7^2/2)*($J$7))/($H$7*SQRT($J$7))</f>
        <v/>
      </c>
      <c r="J174" s="140">
        <f>I174 - $H$7*SQRT($J$7)</f>
        <v/>
      </c>
    </row>
    <row r="175" ht="13.5" customHeight="1" s="116">
      <c r="B175" s="144">
        <f>B145</f>
        <v/>
      </c>
      <c r="C175" s="139">
        <f>IF($O$7="sell",-1,1) *  IF($K$7="call",  NORMDIST(I175,0,1,1),  NORMDIST(I175,0,1,1)-1  ) * $P$7</f>
        <v/>
      </c>
      <c r="D175" s="139">
        <f>IF($O$7="sell",-1,1) * NORMDIST(I175,0,1,0)/(B175*$H$7*SQRT($J$7)) * $P$7</f>
        <v/>
      </c>
      <c r="E175" s="139">
        <f>IF($O$7="sell",-1,1) * (B175*NORMDIST(I175,0,1,0)*SQRT($J$7)/365) * $P$7</f>
        <v/>
      </c>
      <c r="F175" s="139">
        <f>IF($O$7="sell",-1,1) * (-(B175*NORMDIST(I175,0,1,0)*$H$7)/(2*SQRT($J$7))/365) *$P$7</f>
        <v/>
      </c>
      <c r="G175" s="139">
        <f>IF($O$7="buy",1,-1)*( IF($K$7="call",B175*NORMDIST(I175,0,1,1) - $B$7*NORMDIST(J175,0,1,1),$B$7*NORMDIST(-J175,0,1,1) - B175*NORMDIST(-I175,0,1,1) ) - $G$7) * $P$7</f>
        <v/>
      </c>
      <c r="I175" s="140">
        <f>(LN(B175/$B$7)+($H$7^2/2)*($J$7))/($H$7*SQRT($J$7))</f>
        <v/>
      </c>
      <c r="J175" s="140">
        <f>I175 - $H$7*SQRT($J$7)</f>
        <v/>
      </c>
    </row>
    <row r="176" ht="13.5" customHeight="1" s="116">
      <c r="B176" s="144">
        <f>B146</f>
        <v/>
      </c>
      <c r="C176" s="139">
        <f>IF($O$7="sell",-1,1) *  IF($K$7="call",  NORMDIST(I176,0,1,1),  NORMDIST(I176,0,1,1)-1  ) * $P$7</f>
        <v/>
      </c>
      <c r="D176" s="139">
        <f>IF($O$7="sell",-1,1) * NORMDIST(I176,0,1,0)/(B176*$H$7*SQRT($J$7)) * $P$7</f>
        <v/>
      </c>
      <c r="E176" s="139">
        <f>IF($O$7="sell",-1,1) * (B176*NORMDIST(I176,0,1,0)*SQRT($J$7)/365) * $P$7</f>
        <v/>
      </c>
      <c r="F176" s="139">
        <f>IF($O$7="sell",-1,1) * (-(B176*NORMDIST(I176,0,1,0)*$H$7)/(2*SQRT($J$7))/365) *$P$7</f>
        <v/>
      </c>
      <c r="G176" s="139">
        <f>IF($O$7="buy",1,-1)*( IF($K$7="call",B176*NORMDIST(I176,0,1,1) - $B$7*NORMDIST(J176,0,1,1),$B$7*NORMDIST(-J176,0,1,1) - B176*NORMDIST(-I176,0,1,1) ) - $G$7) * $P$7</f>
        <v/>
      </c>
      <c r="I176" s="140">
        <f>(LN(B176/$B$7)+($H$7^2/2)*($J$7))/($H$7*SQRT($J$7))</f>
        <v/>
      </c>
      <c r="J176" s="140">
        <f>I176 - $H$7*SQRT($J$7)</f>
        <v/>
      </c>
    </row>
    <row r="177" ht="13.5" customHeight="1" s="116">
      <c r="B177" s="144">
        <f>B147</f>
        <v/>
      </c>
      <c r="C177" s="139">
        <f>IF($O$7="sell",-1,1) *  IF($K$7="call",  NORMDIST(I177,0,1,1),  NORMDIST(I177,0,1,1)-1  ) * $P$7</f>
        <v/>
      </c>
      <c r="D177" s="139">
        <f>IF($O$7="sell",-1,1) * NORMDIST(I177,0,1,0)/(B177*$H$7*SQRT($J$7)) * $P$7</f>
        <v/>
      </c>
      <c r="E177" s="139">
        <f>IF($O$7="sell",-1,1) * (B177*NORMDIST(I177,0,1,0)*SQRT($J$7)/365) * $P$7</f>
        <v/>
      </c>
      <c r="F177" s="139">
        <f>IF($O$7="sell",-1,1) * (-(B177*NORMDIST(I177,0,1,0)*$H$7)/(2*SQRT($J$7))/365) *$P$7</f>
        <v/>
      </c>
      <c r="G177" s="139">
        <f>IF($O$7="buy",1,-1)*( IF($K$7="call",B177*NORMDIST(I177,0,1,1) - $B$7*NORMDIST(J177,0,1,1),$B$7*NORMDIST(-J177,0,1,1) - B177*NORMDIST(-I177,0,1,1) ) - $G$7) * $P$7</f>
        <v/>
      </c>
      <c r="I177" s="140">
        <f>(LN(B177/$B$7)+($H$7^2/2)*($J$7))/($H$7*SQRT($J$7))</f>
        <v/>
      </c>
      <c r="J177" s="140">
        <f>I177 - $H$7*SQRT($J$7)</f>
        <v/>
      </c>
    </row>
    <row r="178" ht="13.5" customHeight="1" s="116">
      <c r="B178" s="144">
        <f>B148</f>
        <v/>
      </c>
      <c r="C178" s="139">
        <f>IF($O$7="sell",-1,1) *  IF($K$7="call",  NORMDIST(I178,0,1,1),  NORMDIST(I178,0,1,1)-1  ) * $P$7</f>
        <v/>
      </c>
      <c r="D178" s="139">
        <f>IF($O$7="sell",-1,1) * NORMDIST(I178,0,1,0)/(B178*$H$7*SQRT($J$7)) * $P$7</f>
        <v/>
      </c>
      <c r="E178" s="139">
        <f>IF($O$7="sell",-1,1) * (B178*NORMDIST(I178,0,1,0)*SQRT($J$7)/365) * $P$7</f>
        <v/>
      </c>
      <c r="F178" s="139">
        <f>IF($O$7="sell",-1,1) * (-(B178*NORMDIST(I178,0,1,0)*$H$7)/(2*SQRT($J$7))/365) *$P$7</f>
        <v/>
      </c>
      <c r="G178" s="139">
        <f>IF($O$7="buy",1,-1)*( IF($K$7="call",B178*NORMDIST(I178,0,1,1) - $B$7*NORMDIST(J178,0,1,1),$B$7*NORMDIST(-J178,0,1,1) - B178*NORMDIST(-I178,0,1,1) ) - $G$7) * $P$7</f>
        <v/>
      </c>
      <c r="I178" s="140">
        <f>(LN(B178/$B$7)+($H$7^2/2)*($J$7))/($H$7*SQRT($J$7))</f>
        <v/>
      </c>
      <c r="J178" s="140">
        <f>I178 - $H$7*SQRT($J$7)</f>
        <v/>
      </c>
    </row>
    <row r="179" ht="13.5" customHeight="1" s="116">
      <c r="B179" s="144">
        <f>B149</f>
        <v/>
      </c>
      <c r="C179" s="139">
        <f>IF($O$7="sell",-1,1) *  IF($K$7="call",  NORMDIST(I179,0,1,1),  NORMDIST(I179,0,1,1)-1  ) * $P$7</f>
        <v/>
      </c>
      <c r="D179" s="139">
        <f>IF($O$7="sell",-1,1) * NORMDIST(I179,0,1,0)/(B179*$H$7*SQRT($J$7)) * $P$7</f>
        <v/>
      </c>
      <c r="E179" s="139">
        <f>IF($O$7="sell",-1,1) * (B179*NORMDIST(I179,0,1,0)*SQRT($J$7)/365) * $P$7</f>
        <v/>
      </c>
      <c r="F179" s="139">
        <f>IF($O$7="sell",-1,1) * (-(B179*NORMDIST(I179,0,1,0)*$H$7)/(2*SQRT($J$7))/365) *$P$7</f>
        <v/>
      </c>
      <c r="G179" s="139">
        <f>IF($O$7="buy",1,-1)*( IF($K$7="call",B179*NORMDIST(I179,0,1,1) - $B$7*NORMDIST(J179,0,1,1),$B$7*NORMDIST(-J179,0,1,1) - B179*NORMDIST(-I179,0,1,1) ) - $G$7) * $P$7</f>
        <v/>
      </c>
      <c r="I179" s="140">
        <f>(LN(B179/$B$7)+($H$7^2/2)*($J$7))/($H$7*SQRT($J$7))</f>
        <v/>
      </c>
      <c r="J179" s="140">
        <f>I179 - $H$7*SQRT($J$7)</f>
        <v/>
      </c>
    </row>
    <row r="180" ht="13.5" customHeight="1" s="116">
      <c r="B180" s="144">
        <f>B150</f>
        <v/>
      </c>
      <c r="C180" s="139">
        <f>IF($O$7="sell",-1,1) *  IF($K$7="call",  NORMDIST(I180,0,1,1),  NORMDIST(I180,0,1,1)-1  ) * $P$7</f>
        <v/>
      </c>
      <c r="D180" s="139">
        <f>IF($O$7="sell",-1,1) * NORMDIST(I180,0,1,0)/(B180*$H$7*SQRT($J$7)) * $P$7</f>
        <v/>
      </c>
      <c r="E180" s="139">
        <f>IF($O$7="sell",-1,1) * (B180*NORMDIST(I180,0,1,0)*SQRT($J$7)/365) * $P$7</f>
        <v/>
      </c>
      <c r="F180" s="139">
        <f>IF($O$7="sell",-1,1) * (-(B180*NORMDIST(I180,0,1,0)*$H$7)/(2*SQRT($J$7))/365) *$P$7</f>
        <v/>
      </c>
      <c r="G180" s="139">
        <f>IF($O$7="buy",1,-1)*( IF($K$7="call",B180*NORMDIST(I180,0,1,1) - $B$7*NORMDIST(J180,0,1,1),$B$7*NORMDIST(-J180,0,1,1) - B180*NORMDIST(-I180,0,1,1) ) - $G$7) * $P$7</f>
        <v/>
      </c>
      <c r="I180" s="140">
        <f>(LN(B180/$B$7)+($H$7^2/2)*($J$7))/($H$7*SQRT($J$7))</f>
        <v/>
      </c>
      <c r="J180" s="140">
        <f>I180 - $H$7*SQRT($J$7)</f>
        <v/>
      </c>
    </row>
    <row r="181" ht="13.5" customHeight="1" s="116">
      <c r="B181" s="144">
        <f>B151</f>
        <v/>
      </c>
      <c r="C181" s="139">
        <f>IF($O$7="sell",-1,1) *  IF($K$7="call",  NORMDIST(I181,0,1,1),  NORMDIST(I181,0,1,1)-1  ) * $P$7</f>
        <v/>
      </c>
      <c r="D181" s="139">
        <f>IF($O$7="sell",-1,1) * NORMDIST(I181,0,1,0)/(B181*$H$7*SQRT($J$7)) * $P$7</f>
        <v/>
      </c>
      <c r="E181" s="139">
        <f>IF($O$7="sell",-1,1) * (B181*NORMDIST(I181,0,1,0)*SQRT($J$7)/365) * $P$7</f>
        <v/>
      </c>
      <c r="F181" s="139">
        <f>IF($O$7="sell",-1,1) * (-(B181*NORMDIST(I181,0,1,0)*$H$7)/(2*SQRT($J$7))/365) *$P$7</f>
        <v/>
      </c>
      <c r="G181" s="139">
        <f>IF($O$7="buy",1,-1)*( IF($K$7="call",B181*NORMDIST(I181,0,1,1) - $B$7*NORMDIST(J181,0,1,1),$B$7*NORMDIST(-J181,0,1,1) - B181*NORMDIST(-I181,0,1,1) ) - $G$7) * $P$7</f>
        <v/>
      </c>
      <c r="I181" s="140">
        <f>(LN(B181/$B$7)+($H$7^2/2)*($J$7))/($H$7*SQRT($J$7))</f>
        <v/>
      </c>
      <c r="J181" s="140">
        <f>I181 - $H$7*SQRT($J$7)</f>
        <v/>
      </c>
    </row>
    <row r="182" ht="13.5" customHeight="1" s="116">
      <c r="B182" s="144">
        <f>B152</f>
        <v/>
      </c>
      <c r="C182" s="139">
        <f>IF($O$7="sell",-1,1) *  IF($K$7="call",  NORMDIST(I182,0,1,1),  NORMDIST(I182,0,1,1)-1  ) * $P$7</f>
        <v/>
      </c>
      <c r="D182" s="139">
        <f>IF($O$7="sell",-1,1) * NORMDIST(I182,0,1,0)/(B182*$H$7*SQRT($J$7)) * $P$7</f>
        <v/>
      </c>
      <c r="E182" s="139">
        <f>IF($O$7="sell",-1,1) * (B182*NORMDIST(I182,0,1,0)*SQRT($J$7)/365) * $P$7</f>
        <v/>
      </c>
      <c r="F182" s="139">
        <f>IF($O$7="sell",-1,1) * (-(B182*NORMDIST(I182,0,1,0)*$H$7)/(2*SQRT($J$7))/365) *$P$7</f>
        <v/>
      </c>
      <c r="G182" s="139">
        <f>IF($O$7="buy",1,-1)*( IF($K$7="call",B182*NORMDIST(I182,0,1,1) - $B$7*NORMDIST(J182,0,1,1),$B$7*NORMDIST(-J182,0,1,1) - B182*NORMDIST(-I182,0,1,1) ) - $G$7) * $P$7</f>
        <v/>
      </c>
      <c r="I182" s="140">
        <f>(LN(B182/$B$7)+($H$7^2/2)*($J$7))/($H$7*SQRT($J$7))</f>
        <v/>
      </c>
      <c r="J182" s="140">
        <f>I182 - $H$7*SQRT($J$7)</f>
        <v/>
      </c>
    </row>
    <row r="183" ht="13.5" customHeight="1" s="116">
      <c r="B183" s="144">
        <f>B153</f>
        <v/>
      </c>
      <c r="C183" s="139">
        <f>IF($O$7="sell",-1,1) *  IF($K$7="call",  NORMDIST(I183,0,1,1),  NORMDIST(I183,0,1,1)-1  ) * $P$7</f>
        <v/>
      </c>
      <c r="D183" s="139">
        <f>IF($O$7="sell",-1,1) * NORMDIST(I183,0,1,0)/(B183*$H$7*SQRT($J$7)) * $P$7</f>
        <v/>
      </c>
      <c r="E183" s="139">
        <f>IF($O$7="sell",-1,1) * (B183*NORMDIST(I183,0,1,0)*SQRT($J$7)/365) * $P$7</f>
        <v/>
      </c>
      <c r="F183" s="139">
        <f>IF($O$7="sell",-1,1) * (-(B183*NORMDIST(I183,0,1,0)*$H$7)/(2*SQRT($J$7))/365) *$P$7</f>
        <v/>
      </c>
      <c r="G183" s="139">
        <f>IF($O$7="buy",1,-1)*( IF($K$7="call",B183*NORMDIST(I183,0,1,1) - $B$7*NORMDIST(J183,0,1,1),$B$7*NORMDIST(-J183,0,1,1) - B183*NORMDIST(-I183,0,1,1) ) - $G$7) * $P$7</f>
        <v/>
      </c>
      <c r="I183" s="140">
        <f>(LN(B183/$B$7)+($H$7^2/2)*($J$7))/($H$7*SQRT($J$7))</f>
        <v/>
      </c>
      <c r="J183" s="140">
        <f>I183 - $H$7*SQRT($J$7)</f>
        <v/>
      </c>
    </row>
    <row r="184" ht="13.5" customHeight="1" s="116">
      <c r="B184" s="144">
        <f>B154</f>
        <v/>
      </c>
      <c r="C184" s="139">
        <f>IF($O$7="sell",-1,1) *  IF($K$7="call",  NORMDIST(I184,0,1,1),  NORMDIST(I184,0,1,1)-1  ) * $P$7</f>
        <v/>
      </c>
      <c r="D184" s="139">
        <f>IF($O$7="sell",-1,1) * NORMDIST(I184,0,1,0)/(B184*$H$7*SQRT($J$7)) * $P$7</f>
        <v/>
      </c>
      <c r="E184" s="139">
        <f>IF($O$7="sell",-1,1) * (B184*NORMDIST(I184,0,1,0)*SQRT($J$7)/365) * $P$7</f>
        <v/>
      </c>
      <c r="F184" s="139">
        <f>IF($O$7="sell",-1,1) * (-(B184*NORMDIST(I184,0,1,0)*$H$7)/(2*SQRT($J$7))/365) *$P$7</f>
        <v/>
      </c>
      <c r="G184" s="139">
        <f>IF($O$7="buy",1,-1)*( IF($K$7="call",B184*NORMDIST(I184,0,1,1) - $B$7*NORMDIST(J184,0,1,1),$B$7*NORMDIST(-J184,0,1,1) - B184*NORMDIST(-I184,0,1,1) ) - $G$7) * $P$7</f>
        <v/>
      </c>
      <c r="I184" s="140">
        <f>(LN(B184/$B$7)+($H$7^2/2)*($J$7))/($H$7*SQRT($J$7))</f>
        <v/>
      </c>
      <c r="J184" s="140">
        <f>I184 - $H$7*SQRT($J$7)</f>
        <v/>
      </c>
    </row>
    <row r="185" ht="13.5" customHeight="1" s="116">
      <c r="B185" s="144">
        <f>B155</f>
        <v/>
      </c>
      <c r="C185" s="139">
        <f>IF($O$7="sell",-1,1) *  IF($K$7="call",  NORMDIST(I185,0,1,1),  NORMDIST(I185,0,1,1)-1  ) * $P$7</f>
        <v/>
      </c>
      <c r="D185" s="139">
        <f>IF($O$7="sell",-1,1) * NORMDIST(I185,0,1,0)/(B185*$H$7*SQRT($J$7)) * $P$7</f>
        <v/>
      </c>
      <c r="E185" s="139">
        <f>IF($O$7="sell",-1,1) * (B185*NORMDIST(I185,0,1,0)*SQRT($J$7)/365) * $P$7</f>
        <v/>
      </c>
      <c r="F185" s="139">
        <f>IF($O$7="sell",-1,1) * (-(B185*NORMDIST(I185,0,1,0)*$H$7)/(2*SQRT($J$7))/365) *$P$7</f>
        <v/>
      </c>
      <c r="G185" s="139">
        <f>IF($O$7="buy",1,-1)*( IF($K$7="call",B185*NORMDIST(I185,0,1,1) - $B$7*NORMDIST(J185,0,1,1),$B$7*NORMDIST(-J185,0,1,1) - B185*NORMDIST(-I185,0,1,1) ) - $G$7) * $P$7</f>
        <v/>
      </c>
      <c r="I185" s="140">
        <f>(LN(B185/$B$7)+($H$7^2/2)*($J$7))/($H$7*SQRT($J$7))</f>
        <v/>
      </c>
      <c r="J185" s="140">
        <f>I185 - $H$7*SQRT($J$7)</f>
        <v/>
      </c>
    </row>
    <row r="186" ht="13.5" customHeight="1" s="116">
      <c r="B186" s="144">
        <f>B156</f>
        <v/>
      </c>
      <c r="C186" s="139">
        <f>IF($O$7="sell",-1,1) *  IF($K$7="call",  NORMDIST(I186,0,1,1),  NORMDIST(I186,0,1,1)-1  ) * $P$7</f>
        <v/>
      </c>
      <c r="D186" s="139">
        <f>IF($O$7="sell",-1,1) * NORMDIST(I186,0,1,0)/(B186*$H$7*SQRT($J$7)) * $P$7</f>
        <v/>
      </c>
      <c r="E186" s="139">
        <f>IF($O$7="sell",-1,1) * (B186*NORMDIST(I186,0,1,0)*SQRT($J$7)/365) * $P$7</f>
        <v/>
      </c>
      <c r="F186" s="139">
        <f>IF($O$7="sell",-1,1) * (-(B186*NORMDIST(I186,0,1,0)*$H$7)/(2*SQRT($J$7))/365) *$P$7</f>
        <v/>
      </c>
      <c r="G186" s="139">
        <f>IF($O$7="buy",1,-1)*( IF($K$7="call",B186*NORMDIST(I186,0,1,1) - $B$7*NORMDIST(J186,0,1,1),$B$7*NORMDIST(-J186,0,1,1) - B186*NORMDIST(-I186,0,1,1) ) - $G$7) * $P$7</f>
        <v/>
      </c>
      <c r="I186" s="140">
        <f>(LN(B186/$B$7)+($H$7^2/2)*($J$7))/($H$7*SQRT($J$7))</f>
        <v/>
      </c>
      <c r="J186" s="140">
        <f>I186 - $H$7*SQRT($J$7)</f>
        <v/>
      </c>
    </row>
    <row r="187" ht="13.5" customHeight="1" s="116">
      <c r="B187" s="144">
        <f>B157</f>
        <v/>
      </c>
      <c r="C187" s="139">
        <f>IF($O$7="sell",-1,1) *  IF($K$7="call",  NORMDIST(I187,0,1,1),  NORMDIST(I187,0,1,1)-1  ) * $P$7</f>
        <v/>
      </c>
      <c r="D187" s="139">
        <f>IF($O$7="sell",-1,1) * NORMDIST(I187,0,1,0)/(B187*$H$7*SQRT($J$7)) * $P$7</f>
        <v/>
      </c>
      <c r="E187" s="139">
        <f>IF($O$7="sell",-1,1) * (B187*NORMDIST(I187,0,1,0)*SQRT($J$7)/365) * $P$7</f>
        <v/>
      </c>
      <c r="F187" s="139">
        <f>IF($O$7="sell",-1,1) * (-(B187*NORMDIST(I187,0,1,0)*$H$7)/(2*SQRT($J$7))/365) *$P$7</f>
        <v/>
      </c>
      <c r="G187" s="139">
        <f>IF($O$7="buy",1,-1)*( IF($K$7="call",B187*NORMDIST(I187,0,1,1) - $B$7*NORMDIST(J187,0,1,1),$B$7*NORMDIST(-J187,0,1,1) - B187*NORMDIST(-I187,0,1,1) ) - $G$7) * $P$7</f>
        <v/>
      </c>
      <c r="I187" s="140">
        <f>(LN(B187/$B$7)+($H$7^2/2)*($J$7))/($H$7*SQRT($J$7))</f>
        <v/>
      </c>
      <c r="J187" s="140">
        <f>I187 - $H$7*SQRT($J$7)</f>
        <v/>
      </c>
    </row>
    <row r="188" ht="13.5" customHeight="1" s="116">
      <c r="B188" s="144">
        <f>B158</f>
        <v/>
      </c>
      <c r="C188" s="139">
        <f>IF($O$7="sell",-1,1) *  IF($K$7="call",  NORMDIST(I188,0,1,1),  NORMDIST(I188,0,1,1)-1  ) * $P$7</f>
        <v/>
      </c>
      <c r="D188" s="139">
        <f>IF($O$7="sell",-1,1) * NORMDIST(I188,0,1,0)/(B188*$H$7*SQRT($J$7)) * $P$7</f>
        <v/>
      </c>
      <c r="E188" s="139">
        <f>IF($O$7="sell",-1,1) * (B188*NORMDIST(I188,0,1,0)*SQRT($J$7)/365) * $P$7</f>
        <v/>
      </c>
      <c r="F188" s="139">
        <f>IF($O$7="sell",-1,1) * (-(B188*NORMDIST(I188,0,1,0)*$H$7)/(2*SQRT($J$7))/365) *$P$7</f>
        <v/>
      </c>
      <c r="G188" s="139">
        <f>IF($O$7="buy",1,-1)*( IF($K$7="call",B188*NORMDIST(I188,0,1,1) - $B$7*NORMDIST(J188,0,1,1),$B$7*NORMDIST(-J188,0,1,1) - B188*NORMDIST(-I188,0,1,1) ) - $G$7) * $P$7</f>
        <v/>
      </c>
      <c r="I188" s="140">
        <f>(LN(B188/$B$7)+($H$7^2/2)*($J$7))/($H$7*SQRT($J$7))</f>
        <v/>
      </c>
      <c r="J188" s="140">
        <f>I188 - $H$7*SQRT($J$7)</f>
        <v/>
      </c>
    </row>
    <row r="189" ht="13.5" customHeight="1" s="116">
      <c r="B189" s="144">
        <f>B159</f>
        <v/>
      </c>
      <c r="C189" s="139">
        <f>IF($O$7="sell",-1,1) *  IF($K$7="call",  NORMDIST(I189,0,1,1),  NORMDIST(I189,0,1,1)-1  ) * $P$7</f>
        <v/>
      </c>
      <c r="D189" s="139">
        <f>IF($O$7="sell",-1,1) * NORMDIST(I189,0,1,0)/(B189*$H$7*SQRT($J$7)) * $P$7</f>
        <v/>
      </c>
      <c r="E189" s="139">
        <f>IF($O$7="sell",-1,1) * (B189*NORMDIST(I189,0,1,0)*SQRT($J$7)/365) * $P$7</f>
        <v/>
      </c>
      <c r="F189" s="139">
        <f>IF($O$7="sell",-1,1) * (-(B189*NORMDIST(I189,0,1,0)*$H$7)/(2*SQRT($J$7))/365) *$P$7</f>
        <v/>
      </c>
      <c r="G189" s="139">
        <f>IF($O$7="buy",1,-1)*( IF($K$7="call",B189*NORMDIST(I189,0,1,1) - $B$7*NORMDIST(J189,0,1,1),$B$7*NORMDIST(-J189,0,1,1) - B189*NORMDIST(-I189,0,1,1) ) - $G$7) * $P$7</f>
        <v/>
      </c>
      <c r="I189" s="140">
        <f>(LN(B189/$B$7)+($H$7^2/2)*($J$7))/($H$7*SQRT($J$7))</f>
        <v/>
      </c>
      <c r="J189" s="140">
        <f>I189 - $H$7*SQRT($J$7)</f>
        <v/>
      </c>
    </row>
    <row r="190" ht="13.5" customHeight="1" s="116">
      <c r="B190" s="144">
        <f>B160</f>
        <v/>
      </c>
      <c r="C190" s="139">
        <f>IF($O$7="sell",-1,1) *  IF($K$7="call",  NORMDIST(I190,0,1,1),  NORMDIST(I190,0,1,1)-1  ) * $P$7</f>
        <v/>
      </c>
      <c r="D190" s="139">
        <f>IF($O$7="sell",-1,1) * NORMDIST(I190,0,1,0)/(B190*$H$7*SQRT($J$7)) * $P$7</f>
        <v/>
      </c>
      <c r="E190" s="139">
        <f>IF($O$7="sell",-1,1) * (B190*NORMDIST(I190,0,1,0)*SQRT($J$7)/365) * $P$7</f>
        <v/>
      </c>
      <c r="F190" s="139">
        <f>IF($O$7="sell",-1,1) * (-(B190*NORMDIST(I190,0,1,0)*$H$7)/(2*SQRT($J$7))/365) *$P$7</f>
        <v/>
      </c>
      <c r="G190" s="139">
        <f>IF($O$7="buy",1,-1)*( IF($K$7="call",B190*NORMDIST(I190,0,1,1) - $B$7*NORMDIST(J190,0,1,1),$B$7*NORMDIST(-J190,0,1,1) - B190*NORMDIST(-I190,0,1,1) ) - $G$7) * $P$7</f>
        <v/>
      </c>
      <c r="I190" s="140">
        <f>(LN(B190/$B$7)+($H$7^2/2)*($J$7))/($H$7*SQRT($J$7))</f>
        <v/>
      </c>
      <c r="J190" s="140">
        <f>I190 - $H$7*SQRT($J$7)</f>
        <v/>
      </c>
    </row>
    <row r="191" ht="13.5" customHeight="1" s="116">
      <c r="B191" s="145" t="n"/>
      <c r="C191" s="136" t="n"/>
      <c r="D191" s="136" t="n"/>
      <c r="E191" s="136" t="n"/>
      <c r="F191" s="136" t="n"/>
      <c r="G191" s="136" t="n"/>
      <c r="I191" s="146" t="n"/>
      <c r="J191" s="146" t="n"/>
    </row>
    <row r="192" ht="13.5" customHeight="1" s="116">
      <c r="B192" s="145" t="n"/>
      <c r="C192" s="136" t="n"/>
      <c r="D192" s="136" t="n"/>
      <c r="E192" s="136" t="n"/>
      <c r="F192" s="136" t="n"/>
      <c r="G192" s="136" t="n"/>
      <c r="I192" s="146" t="n"/>
      <c r="J192" s="146" t="n"/>
    </row>
    <row r="193" ht="13.5" customHeight="1" s="116">
      <c r="B193" s="137" t="n"/>
      <c r="C193" s="133" t="inlineStr">
        <is>
          <t>delta</t>
        </is>
      </c>
      <c r="D193" s="133" t="inlineStr">
        <is>
          <t>gamma</t>
        </is>
      </c>
      <c r="E193" s="133" t="inlineStr">
        <is>
          <t>vega</t>
        </is>
      </c>
      <c r="F193" s="133" t="inlineStr">
        <is>
          <t>theta</t>
        </is>
      </c>
      <c r="G193" s="133" t="inlineStr">
        <is>
          <t>mark_price</t>
        </is>
      </c>
      <c r="I193" s="133" t="inlineStr">
        <is>
          <t>d1</t>
        </is>
      </c>
      <c r="J193" s="133" t="inlineStr">
        <is>
          <t>d2</t>
        </is>
      </c>
    </row>
    <row r="194" ht="13.5" customHeight="1" s="116">
      <c r="A194" s="117">
        <f>A8</f>
        <v/>
      </c>
      <c r="B194" s="144">
        <f>B164</f>
        <v/>
      </c>
      <c r="C194" s="139">
        <f>IF($O$8="sell",-1,1) *  IF($K$8="call",  NORMDIST(I194,0,1,1),  NORMDIST(I194,0,1,1)-1  ) * $P$8</f>
        <v/>
      </c>
      <c r="D194" s="139">
        <f>IF($O$8="sell",-1,1) * NORMDIST(I194,0,1,0)/(B194*$H$8*SQRT($J$8)) * $P$8</f>
        <v/>
      </c>
      <c r="E194" s="139">
        <f>IF($O$8="sell",-1,1) * (B194*NORMDIST(I194,0,1,0)*SQRT($J$8)/365) * $P$8</f>
        <v/>
      </c>
      <c r="F194" s="139">
        <f>IF($O$8="sell",-1,1) * (-(B194*NORMDIST(I194,0,1,0)*$H$8)/(2*SQRT($J$8))/365) *$P$8</f>
        <v/>
      </c>
      <c r="G194" s="139">
        <f>IF($O$8="buy",1,-1)*( IF($K$8="call",B194*NORMDIST(I194,0,1,1) - $B$8*NORMDIST(J194,0,1,1),$B$8*NORMDIST(-J194,0,1,1) - B194*NORMDIST(-I194,0,1,1) ) - $G$8) * $P$8</f>
        <v/>
      </c>
      <c r="I194" s="140">
        <f>(LN(B194/$B$8)+($H$8^2/2)*($J$8))/($H$8*SQRT($J$8))</f>
        <v/>
      </c>
      <c r="J194" s="140">
        <f>I194 - $H$8*SQRT($J$8)</f>
        <v/>
      </c>
    </row>
    <row r="195" ht="13.5" customHeight="1" s="116">
      <c r="B195" s="144">
        <f>B165</f>
        <v/>
      </c>
      <c r="C195" s="139">
        <f>IF($O$8="sell",-1,1) *  IF($K$8="call",  NORMDIST(I195,0,1,1),  NORMDIST(I195,0,1,1)-1  ) * $P$8</f>
        <v/>
      </c>
      <c r="D195" s="139">
        <f>IF($O$8="sell",-1,1) * NORMDIST(I195,0,1,0)/(B195*$H$8*SQRT($J$8)) * $P$8</f>
        <v/>
      </c>
      <c r="E195" s="139">
        <f>IF($O$8="sell",-1,1) * (B195*NORMDIST(I195,0,1,0)*SQRT($J$8)/365) * $P$8</f>
        <v/>
      </c>
      <c r="F195" s="139">
        <f>IF($O$8="sell",-1,1) * (-(B195*NORMDIST(I195,0,1,0)*$H$8)/(2*SQRT($J$8))/365) *$P$8</f>
        <v/>
      </c>
      <c r="G195" s="139">
        <f>IF($O$8="buy",1,-1)*( IF($K$8="call",B195*NORMDIST(I195,0,1,1) - $B$8*NORMDIST(J195,0,1,1),$B$8*NORMDIST(-J195,0,1,1) - B195*NORMDIST(-I195,0,1,1) ) - $G$8) * $P$8</f>
        <v/>
      </c>
      <c r="I195" s="140">
        <f>(LN(B195/$B$8)+($H$8^2/2)*($J$8))/($H$8*SQRT($J$8))</f>
        <v/>
      </c>
      <c r="J195" s="140">
        <f>I195 - $H$8*SQRT($J$8)</f>
        <v/>
      </c>
    </row>
    <row r="196" ht="13.5" customHeight="1" s="116">
      <c r="B196" s="144">
        <f>B166</f>
        <v/>
      </c>
      <c r="C196" s="139">
        <f>IF($O$8="sell",-1,1) *  IF($K$8="call",  NORMDIST(I196,0,1,1),  NORMDIST(I196,0,1,1)-1  ) * $P$8</f>
        <v/>
      </c>
      <c r="D196" s="139">
        <f>IF($O$8="sell",-1,1) * NORMDIST(I196,0,1,0)/(B196*$H$8*SQRT($J$8)) * $P$8</f>
        <v/>
      </c>
      <c r="E196" s="139">
        <f>IF($O$8="sell",-1,1) * (B196*NORMDIST(I196,0,1,0)*SQRT($J$8)/365) * $P$8</f>
        <v/>
      </c>
      <c r="F196" s="139">
        <f>IF($O$8="sell",-1,1) * (-(B196*NORMDIST(I196,0,1,0)*$H$8)/(2*SQRT($J$8))/365) *$P$8</f>
        <v/>
      </c>
      <c r="G196" s="139">
        <f>IF($O$8="buy",1,-1)*( IF($K$8="call",B196*NORMDIST(I196,0,1,1) - $B$8*NORMDIST(J196,0,1,1),$B$8*NORMDIST(-J196,0,1,1) - B196*NORMDIST(-I196,0,1,1) ) - $G$8) * $P$8</f>
        <v/>
      </c>
      <c r="I196" s="140">
        <f>(LN(B196/$B$8)+($H$8^2/2)*($J$8))/($H$8*SQRT($J$8))</f>
        <v/>
      </c>
      <c r="J196" s="140">
        <f>I196 - $H$8*SQRT($J$8)</f>
        <v/>
      </c>
    </row>
    <row r="197" ht="13.5" customHeight="1" s="116">
      <c r="B197" s="144">
        <f>B167</f>
        <v/>
      </c>
      <c r="C197" s="139">
        <f>IF($O$8="sell",-1,1) *  IF($K$8="call",  NORMDIST(I197,0,1,1),  NORMDIST(I197,0,1,1)-1  ) * $P$8</f>
        <v/>
      </c>
      <c r="D197" s="139">
        <f>IF($O$8="sell",-1,1) * NORMDIST(I197,0,1,0)/(B197*$H$8*SQRT($J$8)) * $P$8</f>
        <v/>
      </c>
      <c r="E197" s="139">
        <f>IF($O$8="sell",-1,1) * (B197*NORMDIST(I197,0,1,0)*SQRT($J$8)/365) * $P$8</f>
        <v/>
      </c>
      <c r="F197" s="139">
        <f>IF($O$8="sell",-1,1) * (-(B197*NORMDIST(I197,0,1,0)*$H$8)/(2*SQRT($J$8))/365) *$P$8</f>
        <v/>
      </c>
      <c r="G197" s="139">
        <f>IF($O$8="buy",1,-1)*( IF($K$8="call",B197*NORMDIST(I197,0,1,1) - $B$8*NORMDIST(J197,0,1,1),$B$8*NORMDIST(-J197,0,1,1) - B197*NORMDIST(-I197,0,1,1) ) - $G$8) * $P$8</f>
        <v/>
      </c>
      <c r="I197" s="140">
        <f>(LN(B197/$B$8)+($H$8^2/2)*($J$8))/($H$8*SQRT($J$8))</f>
        <v/>
      </c>
      <c r="J197" s="140">
        <f>I197 - $H$8*SQRT($J$8)</f>
        <v/>
      </c>
    </row>
    <row r="198" ht="13.5" customHeight="1" s="116">
      <c r="B198" s="144">
        <f>B168</f>
        <v/>
      </c>
      <c r="C198" s="139">
        <f>IF($O$8="sell",-1,1) *  IF($K$8="call",  NORMDIST(I198,0,1,1),  NORMDIST(I198,0,1,1)-1  ) * $P$8</f>
        <v/>
      </c>
      <c r="D198" s="139">
        <f>IF($O$8="sell",-1,1) * NORMDIST(I198,0,1,0)/(B198*$H$8*SQRT($J$8)) * $P$8</f>
        <v/>
      </c>
      <c r="E198" s="139">
        <f>IF($O$8="sell",-1,1) * (B198*NORMDIST(I198,0,1,0)*SQRT($J$8)/365) * $P$8</f>
        <v/>
      </c>
      <c r="F198" s="139">
        <f>IF($O$8="sell",-1,1) * (-(B198*NORMDIST(I198,0,1,0)*$H$8)/(2*SQRT($J$8))/365) *$P$8</f>
        <v/>
      </c>
      <c r="G198" s="139">
        <f>IF($O$8="buy",1,-1)*( IF($K$8="call",B198*NORMDIST(I198,0,1,1) - $B$8*NORMDIST(J198,0,1,1),$B$8*NORMDIST(-J198,0,1,1) - B198*NORMDIST(-I198,0,1,1) ) - $G$8) * $P$8</f>
        <v/>
      </c>
      <c r="I198" s="140">
        <f>(LN(B198/$B$8)+($H$8^2/2)*($J$8))/($H$8*SQRT($J$8))</f>
        <v/>
      </c>
      <c r="J198" s="140">
        <f>I198 - $H$8*SQRT($J$8)</f>
        <v/>
      </c>
    </row>
    <row r="199" ht="13.5" customHeight="1" s="116">
      <c r="B199" s="144">
        <f>B169</f>
        <v/>
      </c>
      <c r="C199" s="139">
        <f>IF($O$8="sell",-1,1) *  IF($K$8="call",  NORMDIST(I199,0,1,1),  NORMDIST(I199,0,1,1)-1  ) * $P$8</f>
        <v/>
      </c>
      <c r="D199" s="139">
        <f>IF($O$8="sell",-1,1) * NORMDIST(I199,0,1,0)/(B199*$H$8*SQRT($J$8)) * $P$8</f>
        <v/>
      </c>
      <c r="E199" s="139">
        <f>IF($O$8="sell",-1,1) * (B199*NORMDIST(I199,0,1,0)*SQRT($J$8)/365) * $P$8</f>
        <v/>
      </c>
      <c r="F199" s="139">
        <f>IF($O$8="sell",-1,1) * (-(B199*NORMDIST(I199,0,1,0)*$H$8)/(2*SQRT($J$8))/365) *$P$8</f>
        <v/>
      </c>
      <c r="G199" s="139">
        <f>IF($O$8="buy",1,-1)*( IF($K$8="call",B199*NORMDIST(I199,0,1,1) - $B$8*NORMDIST(J199,0,1,1),$B$8*NORMDIST(-J199,0,1,1) - B199*NORMDIST(-I199,0,1,1) ) - $G$8) * $P$8</f>
        <v/>
      </c>
      <c r="I199" s="140">
        <f>(LN(B199/$B$8)+($H$8^2/2)*($J$8))/($H$8*SQRT($J$8))</f>
        <v/>
      </c>
      <c r="J199" s="140">
        <f>I199 - $H$8*SQRT($J$8)</f>
        <v/>
      </c>
    </row>
    <row r="200" ht="13.5" customHeight="1" s="116">
      <c r="B200" s="144">
        <f>B170</f>
        <v/>
      </c>
      <c r="C200" s="139">
        <f>IF($O$8="sell",-1,1) *  IF($K$8="call",  NORMDIST(I200,0,1,1),  NORMDIST(I200,0,1,1)-1  ) * $P$8</f>
        <v/>
      </c>
      <c r="D200" s="139">
        <f>IF($O$8="sell",-1,1) * NORMDIST(I200,0,1,0)/(B200*$H$8*SQRT($J$8)) * $P$8</f>
        <v/>
      </c>
      <c r="E200" s="139">
        <f>IF($O$8="sell",-1,1) * (B200*NORMDIST(I200,0,1,0)*SQRT($J$8)/365) * $P$8</f>
        <v/>
      </c>
      <c r="F200" s="139">
        <f>IF($O$8="sell",-1,1) * (-(B200*NORMDIST(I200,0,1,0)*$H$8)/(2*SQRT($J$8))/365) *$P$8</f>
        <v/>
      </c>
      <c r="G200" s="139">
        <f>IF($O$8="buy",1,-1)*( IF($K$8="call",B200*NORMDIST(I200,0,1,1) - $B$8*NORMDIST(J200,0,1,1),$B$8*NORMDIST(-J200,0,1,1) - B200*NORMDIST(-I200,0,1,1) ) - $G$8) * $P$8</f>
        <v/>
      </c>
      <c r="I200" s="140">
        <f>(LN(B200/$B$8)+($H$8^2/2)*($J$8))/($H$8*SQRT($J$8))</f>
        <v/>
      </c>
      <c r="J200" s="140">
        <f>I200 - $H$8*SQRT($J$8)</f>
        <v/>
      </c>
    </row>
    <row r="201" ht="13.5" customHeight="1" s="116">
      <c r="B201" s="144">
        <f>B171</f>
        <v/>
      </c>
      <c r="C201" s="139">
        <f>IF($O$8="sell",-1,1) *  IF($K$8="call",  NORMDIST(I201,0,1,1),  NORMDIST(I201,0,1,1)-1  ) * $P$8</f>
        <v/>
      </c>
      <c r="D201" s="139">
        <f>IF($O$8="sell",-1,1) * NORMDIST(I201,0,1,0)/(B201*$H$8*SQRT($J$8)) * $P$8</f>
        <v/>
      </c>
      <c r="E201" s="139">
        <f>IF($O$8="sell",-1,1) * (B201*NORMDIST(I201,0,1,0)*SQRT($J$8)/365) * $P$8</f>
        <v/>
      </c>
      <c r="F201" s="139">
        <f>IF($O$8="sell",-1,1) * (-(B201*NORMDIST(I201,0,1,0)*$H$8)/(2*SQRT($J$8))/365) *$P$8</f>
        <v/>
      </c>
      <c r="G201" s="139">
        <f>IF($O$8="buy",1,-1)*( IF($K$8="call",B201*NORMDIST(I201,0,1,1) - $B$8*NORMDIST(J201,0,1,1),$B$8*NORMDIST(-J201,0,1,1) - B201*NORMDIST(-I201,0,1,1) ) - $G$8) * $P$8</f>
        <v/>
      </c>
      <c r="I201" s="140">
        <f>(LN(B201/$B$8)+($H$8^2/2)*($J$8))/($H$8*SQRT($J$8))</f>
        <v/>
      </c>
      <c r="J201" s="140">
        <f>I201 - $H$8*SQRT($J$8)</f>
        <v/>
      </c>
    </row>
    <row r="202" ht="13.5" customHeight="1" s="116">
      <c r="B202" s="144">
        <f>B172</f>
        <v/>
      </c>
      <c r="C202" s="139">
        <f>IF($O$8="sell",-1,1) *  IF($K$8="call",  NORMDIST(I202,0,1,1),  NORMDIST(I202,0,1,1)-1  ) * $P$8</f>
        <v/>
      </c>
      <c r="D202" s="139">
        <f>IF($O$8="sell",-1,1) * NORMDIST(I202,0,1,0)/(B202*$H$8*SQRT($J$8)) * $P$8</f>
        <v/>
      </c>
      <c r="E202" s="139">
        <f>IF($O$8="sell",-1,1) * (B202*NORMDIST(I202,0,1,0)*SQRT($J$8)/365) * $P$8</f>
        <v/>
      </c>
      <c r="F202" s="139">
        <f>IF($O$8="sell",-1,1) * (-(B202*NORMDIST(I202,0,1,0)*$H$8)/(2*SQRT($J$8))/365) *$P$8</f>
        <v/>
      </c>
      <c r="G202" s="139">
        <f>IF($O$8="buy",1,-1)*( IF($K$8="call",B202*NORMDIST(I202,0,1,1) - $B$8*NORMDIST(J202,0,1,1),$B$8*NORMDIST(-J202,0,1,1) - B202*NORMDIST(-I202,0,1,1) ) - $G$8) * $P$8</f>
        <v/>
      </c>
      <c r="I202" s="140">
        <f>(LN(B202/$B$8)+($H$8^2/2)*($J$8))/($H$8*SQRT($J$8))</f>
        <v/>
      </c>
      <c r="J202" s="140">
        <f>I202 - $H$8*SQRT($J$8)</f>
        <v/>
      </c>
    </row>
    <row r="203" ht="13.5" customHeight="1" s="116">
      <c r="B203" s="144">
        <f>B173</f>
        <v/>
      </c>
      <c r="C203" s="139">
        <f>IF($O$8="sell",-1,1) *  IF($K$8="call",  NORMDIST(I203,0,1,1),  NORMDIST(I203,0,1,1)-1  ) * $P$8</f>
        <v/>
      </c>
      <c r="D203" s="139">
        <f>IF($O$8="sell",-1,1) * NORMDIST(I203,0,1,0)/(B203*$H$8*SQRT($J$8)) * $P$8</f>
        <v/>
      </c>
      <c r="E203" s="139">
        <f>IF($O$8="sell",-1,1) * (B203*NORMDIST(I203,0,1,0)*SQRT($J$8)/365) * $P$8</f>
        <v/>
      </c>
      <c r="F203" s="139">
        <f>IF($O$8="sell",-1,1) * (-(B203*NORMDIST(I203,0,1,0)*$H$8)/(2*SQRT($J$8))/365) *$P$8</f>
        <v/>
      </c>
      <c r="G203" s="139">
        <f>IF($O$8="buy",1,-1)*( IF($K$8="call",B203*NORMDIST(I203,0,1,1) - $B$8*NORMDIST(J203,0,1,1),$B$8*NORMDIST(-J203,0,1,1) - B203*NORMDIST(-I203,0,1,1) ) - $G$8) * $P$8</f>
        <v/>
      </c>
      <c r="I203" s="140">
        <f>(LN(B203/$B$8)+($H$8^2/2)*($J$8))/($H$8*SQRT($J$8))</f>
        <v/>
      </c>
      <c r="J203" s="140">
        <f>I203 - $H$8*SQRT($J$8)</f>
        <v/>
      </c>
    </row>
    <row r="204" ht="13.5" customHeight="1" s="116">
      <c r="B204" s="144">
        <f>B174</f>
        <v/>
      </c>
      <c r="C204" s="139">
        <f>IF($O$8="sell",-1,1) *  IF($K$8="call",  NORMDIST(I204,0,1,1),  NORMDIST(I204,0,1,1)-1  ) * $P$8</f>
        <v/>
      </c>
      <c r="D204" s="139">
        <f>IF($O$8="sell",-1,1) * NORMDIST(I204,0,1,0)/(B204*$H$8*SQRT($J$8)) * $P$8</f>
        <v/>
      </c>
      <c r="E204" s="139">
        <f>IF($O$8="sell",-1,1) * (B204*NORMDIST(I204,0,1,0)*SQRT($J$8)/365) * $P$8</f>
        <v/>
      </c>
      <c r="F204" s="139">
        <f>IF($O$8="sell",-1,1) * (-(B204*NORMDIST(I204,0,1,0)*$H$8)/(2*SQRT($J$8))/365) *$P$8</f>
        <v/>
      </c>
      <c r="G204" s="139">
        <f>IF($O$8="buy",1,-1)*( IF($K$8="call",B204*NORMDIST(I204,0,1,1) - $B$8*NORMDIST(J204,0,1,1),$B$8*NORMDIST(-J204,0,1,1) - B204*NORMDIST(-I204,0,1,1) ) - $G$8) * $P$8</f>
        <v/>
      </c>
      <c r="I204" s="140">
        <f>(LN(B204/$B$8)+($H$8^2/2)*($J$8))/($H$8*SQRT($J$8))</f>
        <v/>
      </c>
      <c r="J204" s="140">
        <f>I204 - $H$8*SQRT($J$8)</f>
        <v/>
      </c>
    </row>
    <row r="205" ht="13.5" customHeight="1" s="116">
      <c r="B205" s="144">
        <f>B175</f>
        <v/>
      </c>
      <c r="C205" s="139">
        <f>IF($O$8="sell",-1,1) *  IF($K$8="call",  NORMDIST(I205,0,1,1),  NORMDIST(I205,0,1,1)-1  ) * $P$8</f>
        <v/>
      </c>
      <c r="D205" s="139">
        <f>IF($O$8="sell",-1,1) * NORMDIST(I205,0,1,0)/(B205*$H$8*SQRT($J$8)) * $P$8</f>
        <v/>
      </c>
      <c r="E205" s="139">
        <f>IF($O$8="sell",-1,1) * (B205*NORMDIST(I205,0,1,0)*SQRT($J$8)/365) * $P$8</f>
        <v/>
      </c>
      <c r="F205" s="139">
        <f>IF($O$8="sell",-1,1) * (-(B205*NORMDIST(I205,0,1,0)*$H$8)/(2*SQRT($J$8))/365) *$P$8</f>
        <v/>
      </c>
      <c r="G205" s="139">
        <f>IF($O$8="buy",1,-1)*( IF($K$8="call",B205*NORMDIST(I205,0,1,1) - $B$8*NORMDIST(J205,0,1,1),$B$8*NORMDIST(-J205,0,1,1) - B205*NORMDIST(-I205,0,1,1) ) - $G$8) * $P$8</f>
        <v/>
      </c>
      <c r="I205" s="140">
        <f>(LN(B205/$B$8)+($H$8^2/2)*($J$8))/($H$8*SQRT($J$8))</f>
        <v/>
      </c>
      <c r="J205" s="140">
        <f>I205 - $H$8*SQRT($J$8)</f>
        <v/>
      </c>
    </row>
    <row r="206" ht="13.5" customHeight="1" s="116">
      <c r="B206" s="144">
        <f>B176</f>
        <v/>
      </c>
      <c r="C206" s="139">
        <f>IF($O$8="sell",-1,1) *  IF($K$8="call",  NORMDIST(I206,0,1,1),  NORMDIST(I206,0,1,1)-1  ) * $P$8</f>
        <v/>
      </c>
      <c r="D206" s="139">
        <f>IF($O$8="sell",-1,1) * NORMDIST(I206,0,1,0)/(B206*$H$8*SQRT($J$8)) * $P$8</f>
        <v/>
      </c>
      <c r="E206" s="139">
        <f>IF($O$8="sell",-1,1) * (B206*NORMDIST(I206,0,1,0)*SQRT($J$8)/365) * $P$8</f>
        <v/>
      </c>
      <c r="F206" s="139">
        <f>IF($O$8="sell",-1,1) * (-(B206*NORMDIST(I206,0,1,0)*$H$8)/(2*SQRT($J$8))/365) *$P$8</f>
        <v/>
      </c>
      <c r="G206" s="139">
        <f>IF($O$8="buy",1,-1)*( IF($K$8="call",B206*NORMDIST(I206,0,1,1) - $B$8*NORMDIST(J206,0,1,1),$B$8*NORMDIST(-J206,0,1,1) - B206*NORMDIST(-I206,0,1,1) ) - $G$8) * $P$8</f>
        <v/>
      </c>
      <c r="I206" s="140">
        <f>(LN(B206/$B$8)+($H$8^2/2)*($J$8))/($H$8*SQRT($J$8))</f>
        <v/>
      </c>
      <c r="J206" s="140">
        <f>I206 - $H$8*SQRT($J$8)</f>
        <v/>
      </c>
    </row>
    <row r="207" ht="13.5" customHeight="1" s="116">
      <c r="B207" s="144">
        <f>B177</f>
        <v/>
      </c>
      <c r="C207" s="139">
        <f>IF($O$8="sell",-1,1) *  IF($K$8="call",  NORMDIST(I207,0,1,1),  NORMDIST(I207,0,1,1)-1  ) * $P$8</f>
        <v/>
      </c>
      <c r="D207" s="139">
        <f>IF($O$8="sell",-1,1) * NORMDIST(I207,0,1,0)/(B207*$H$8*SQRT($J$8)) * $P$8</f>
        <v/>
      </c>
      <c r="E207" s="139">
        <f>IF($O$8="sell",-1,1) * (B207*NORMDIST(I207,0,1,0)*SQRT($J$8)/365) * $P$8</f>
        <v/>
      </c>
      <c r="F207" s="139">
        <f>IF($O$8="sell",-1,1) * (-(B207*NORMDIST(I207,0,1,0)*$H$8)/(2*SQRT($J$8))/365) *$P$8</f>
        <v/>
      </c>
      <c r="G207" s="139">
        <f>IF($O$8="buy",1,-1)*( IF($K$8="call",B207*NORMDIST(I207,0,1,1) - $B$8*NORMDIST(J207,0,1,1),$B$8*NORMDIST(-J207,0,1,1) - B207*NORMDIST(-I207,0,1,1) ) - $G$8) * $P$8</f>
        <v/>
      </c>
      <c r="I207" s="140">
        <f>(LN(B207/$B$8)+($H$8^2/2)*($J$8))/($H$8*SQRT($J$8))</f>
        <v/>
      </c>
      <c r="J207" s="140">
        <f>I207 - $H$8*SQRT($J$8)</f>
        <v/>
      </c>
    </row>
    <row r="208" ht="13.5" customHeight="1" s="116">
      <c r="B208" s="144">
        <f>B178</f>
        <v/>
      </c>
      <c r="C208" s="139">
        <f>IF($O$8="sell",-1,1) *  IF($K$8="call",  NORMDIST(I208,0,1,1),  NORMDIST(I208,0,1,1)-1  ) * $P$8</f>
        <v/>
      </c>
      <c r="D208" s="139">
        <f>IF($O$8="sell",-1,1) * NORMDIST(I208,0,1,0)/(B208*$H$8*SQRT($J$8)) * $P$8</f>
        <v/>
      </c>
      <c r="E208" s="139">
        <f>IF($O$8="sell",-1,1) * (B208*NORMDIST(I208,0,1,0)*SQRT($J$8)/365) * $P$8</f>
        <v/>
      </c>
      <c r="F208" s="139">
        <f>IF($O$8="sell",-1,1) * (-(B208*NORMDIST(I208,0,1,0)*$H$8)/(2*SQRT($J$8))/365) *$P$8</f>
        <v/>
      </c>
      <c r="G208" s="139">
        <f>IF($O$8="buy",1,-1)*( IF($K$8="call",B208*NORMDIST(I208,0,1,1) - $B$8*NORMDIST(J208,0,1,1),$B$8*NORMDIST(-J208,0,1,1) - B208*NORMDIST(-I208,0,1,1) ) - $G$8) * $P$8</f>
        <v/>
      </c>
      <c r="I208" s="140">
        <f>(LN(B208/$B$8)+($H$8^2/2)*($J$8))/($H$8*SQRT($J$8))</f>
        <v/>
      </c>
      <c r="J208" s="140">
        <f>I208 - $H$8*SQRT($J$8)</f>
        <v/>
      </c>
    </row>
    <row r="209" ht="13.5" customHeight="1" s="116">
      <c r="B209" s="144">
        <f>B179</f>
        <v/>
      </c>
      <c r="C209" s="139">
        <f>IF($O$8="sell",-1,1) *  IF($K$8="call",  NORMDIST(I209,0,1,1),  NORMDIST(I209,0,1,1)-1  ) * $P$8</f>
        <v/>
      </c>
      <c r="D209" s="139">
        <f>IF($O$8="sell",-1,1) * NORMDIST(I209,0,1,0)/(B209*$H$8*SQRT($J$8)) * $P$8</f>
        <v/>
      </c>
      <c r="E209" s="139">
        <f>IF($O$8="sell",-1,1) * (B209*NORMDIST(I209,0,1,0)*SQRT($J$8)/365) * $P$8</f>
        <v/>
      </c>
      <c r="F209" s="139">
        <f>IF($O$8="sell",-1,1) * (-(B209*NORMDIST(I209,0,1,0)*$H$8)/(2*SQRT($J$8))/365) *$P$8</f>
        <v/>
      </c>
      <c r="G209" s="139">
        <f>IF($O$8="buy",1,-1)*( IF($K$8="call",B209*NORMDIST(I209,0,1,1) - $B$8*NORMDIST(J209,0,1,1),$B$8*NORMDIST(-J209,0,1,1) - B209*NORMDIST(-I209,0,1,1) ) - $G$8) * $P$8</f>
        <v/>
      </c>
      <c r="I209" s="140">
        <f>(LN(B209/$B$8)+($H$8^2/2)*($J$8))/($H$8*SQRT($J$8))</f>
        <v/>
      </c>
      <c r="J209" s="140">
        <f>I209 - $H$8*SQRT($J$8)</f>
        <v/>
      </c>
    </row>
    <row r="210" ht="13.5" customHeight="1" s="116">
      <c r="B210" s="144">
        <f>B180</f>
        <v/>
      </c>
      <c r="C210" s="139">
        <f>IF($O$8="sell",-1,1) *  IF($K$8="call",  NORMDIST(I210,0,1,1),  NORMDIST(I210,0,1,1)-1  ) * $P$8</f>
        <v/>
      </c>
      <c r="D210" s="139">
        <f>IF($O$8="sell",-1,1) * NORMDIST(I210,0,1,0)/(B210*$H$8*SQRT($J$8)) * $P$8</f>
        <v/>
      </c>
      <c r="E210" s="139">
        <f>IF($O$8="sell",-1,1) * (B210*NORMDIST(I210,0,1,0)*SQRT($J$8)/365) * $P$8</f>
        <v/>
      </c>
      <c r="F210" s="139">
        <f>IF($O$8="sell",-1,1) * (-(B210*NORMDIST(I210,0,1,0)*$H$8)/(2*SQRT($J$8))/365) *$P$8</f>
        <v/>
      </c>
      <c r="G210" s="139">
        <f>IF($O$8="buy",1,-1)*( IF($K$8="call",B210*NORMDIST(I210,0,1,1) - $B$8*NORMDIST(J210,0,1,1),$B$8*NORMDIST(-J210,0,1,1) - B210*NORMDIST(-I210,0,1,1) ) - $G$8) * $P$8</f>
        <v/>
      </c>
      <c r="I210" s="140">
        <f>(LN(B210/$B$8)+($H$8^2/2)*($J$8))/($H$8*SQRT($J$8))</f>
        <v/>
      </c>
      <c r="J210" s="140">
        <f>I210 - $H$8*SQRT($J$8)</f>
        <v/>
      </c>
    </row>
    <row r="211" ht="13.5" customHeight="1" s="116">
      <c r="B211" s="144">
        <f>B181</f>
        <v/>
      </c>
      <c r="C211" s="139">
        <f>IF($O$8="sell",-1,1) *  IF($K$8="call",  NORMDIST(I211,0,1,1),  NORMDIST(I211,0,1,1)-1  ) * $P$8</f>
        <v/>
      </c>
      <c r="D211" s="139">
        <f>IF($O$8="sell",-1,1) * NORMDIST(I211,0,1,0)/(B211*$H$8*SQRT($J$8)) * $P$8</f>
        <v/>
      </c>
      <c r="E211" s="139">
        <f>IF($O$8="sell",-1,1) * (B211*NORMDIST(I211,0,1,0)*SQRT($J$8)/365) * $P$8</f>
        <v/>
      </c>
      <c r="F211" s="139">
        <f>IF($O$8="sell",-1,1) * (-(B211*NORMDIST(I211,0,1,0)*$H$8)/(2*SQRT($J$8))/365) *$P$8</f>
        <v/>
      </c>
      <c r="G211" s="139">
        <f>IF($O$8="buy",1,-1)*( IF($K$8="call",B211*NORMDIST(I211,0,1,1) - $B$8*NORMDIST(J211,0,1,1),$B$8*NORMDIST(-J211,0,1,1) - B211*NORMDIST(-I211,0,1,1) ) - $G$8) * $P$8</f>
        <v/>
      </c>
      <c r="I211" s="140">
        <f>(LN(B211/$B$8)+($H$8^2/2)*($J$8))/($H$8*SQRT($J$8))</f>
        <v/>
      </c>
      <c r="J211" s="140">
        <f>I211 - $H$8*SQRT($J$8)</f>
        <v/>
      </c>
    </row>
    <row r="212" ht="13.5" customHeight="1" s="116">
      <c r="B212" s="144">
        <f>B182</f>
        <v/>
      </c>
      <c r="C212" s="139">
        <f>IF($O$8="sell",-1,1) *  IF($K$8="call",  NORMDIST(I212,0,1,1),  NORMDIST(I212,0,1,1)-1  ) * $P$8</f>
        <v/>
      </c>
      <c r="D212" s="139">
        <f>IF($O$8="sell",-1,1) * NORMDIST(I212,0,1,0)/(B212*$H$8*SQRT($J$8)) * $P$8</f>
        <v/>
      </c>
      <c r="E212" s="139">
        <f>IF($O$8="sell",-1,1) * (B212*NORMDIST(I212,0,1,0)*SQRT($J$8)/365) * $P$8</f>
        <v/>
      </c>
      <c r="F212" s="139">
        <f>IF($O$8="sell",-1,1) * (-(B212*NORMDIST(I212,0,1,0)*$H$8)/(2*SQRT($J$8))/365) *$P$8</f>
        <v/>
      </c>
      <c r="G212" s="139">
        <f>IF($O$8="buy",1,-1)*( IF($K$8="call",B212*NORMDIST(I212,0,1,1) - $B$8*NORMDIST(J212,0,1,1),$B$8*NORMDIST(-J212,0,1,1) - B212*NORMDIST(-I212,0,1,1) ) - $G$8) * $P$8</f>
        <v/>
      </c>
      <c r="I212" s="140">
        <f>(LN(B212/$B$8)+($H$8^2/2)*($J$8))/($H$8*SQRT($J$8))</f>
        <v/>
      </c>
      <c r="J212" s="140">
        <f>I212 - $H$8*SQRT($J$8)</f>
        <v/>
      </c>
    </row>
    <row r="213" ht="13.5" customHeight="1" s="116">
      <c r="B213" s="144">
        <f>B183</f>
        <v/>
      </c>
      <c r="C213" s="139">
        <f>IF($O$8="sell",-1,1) *  IF($K$8="call",  NORMDIST(I213,0,1,1),  NORMDIST(I213,0,1,1)-1  ) * $P$8</f>
        <v/>
      </c>
      <c r="D213" s="139">
        <f>IF($O$8="sell",-1,1) * NORMDIST(I213,0,1,0)/(B213*$H$8*SQRT($J$8)) * $P$8</f>
        <v/>
      </c>
      <c r="E213" s="139">
        <f>IF($O$8="sell",-1,1) * (B213*NORMDIST(I213,0,1,0)*SQRT($J$8)/365) * $P$8</f>
        <v/>
      </c>
      <c r="F213" s="139">
        <f>IF($O$8="sell",-1,1) * (-(B213*NORMDIST(I213,0,1,0)*$H$8)/(2*SQRT($J$8))/365) *$P$8</f>
        <v/>
      </c>
      <c r="G213" s="139">
        <f>IF($O$8="buy",1,-1)*( IF($K$8="call",B213*NORMDIST(I213,0,1,1) - $B$8*NORMDIST(J213,0,1,1),$B$8*NORMDIST(-J213,0,1,1) - B213*NORMDIST(-I213,0,1,1) ) - $G$8) * $P$8</f>
        <v/>
      </c>
      <c r="I213" s="140">
        <f>(LN(B213/$B$8)+($H$8^2/2)*($J$8))/($H$8*SQRT($J$8))</f>
        <v/>
      </c>
      <c r="J213" s="140">
        <f>I213 - $H$8*SQRT($J$8)</f>
        <v/>
      </c>
    </row>
    <row r="214" ht="13.5" customHeight="1" s="116">
      <c r="B214" s="144">
        <f>B184</f>
        <v/>
      </c>
      <c r="C214" s="139">
        <f>IF($O$8="sell",-1,1) *  IF($K$8="call",  NORMDIST(I214,0,1,1),  NORMDIST(I214,0,1,1)-1  ) * $P$8</f>
        <v/>
      </c>
      <c r="D214" s="139">
        <f>IF($O$8="sell",-1,1) * NORMDIST(I214,0,1,0)/(B214*$H$8*SQRT($J$8)) * $P$8</f>
        <v/>
      </c>
      <c r="E214" s="139">
        <f>IF($O$8="sell",-1,1) * (B214*NORMDIST(I214,0,1,0)*SQRT($J$8)/365) * $P$8</f>
        <v/>
      </c>
      <c r="F214" s="139">
        <f>IF($O$8="sell",-1,1) * (-(B214*NORMDIST(I214,0,1,0)*$H$8)/(2*SQRT($J$8))/365) *$P$8</f>
        <v/>
      </c>
      <c r="G214" s="139">
        <f>IF($O$8="buy",1,-1)*( IF($K$8="call",B214*NORMDIST(I214,0,1,1) - $B$8*NORMDIST(J214,0,1,1),$B$8*NORMDIST(-J214,0,1,1) - B214*NORMDIST(-I214,0,1,1) ) - $G$8) * $P$8</f>
        <v/>
      </c>
      <c r="I214" s="140">
        <f>(LN(B214/$B$8)+($H$8^2/2)*($J$8))/($H$8*SQRT($J$8))</f>
        <v/>
      </c>
      <c r="J214" s="140">
        <f>I214 - $H$8*SQRT($J$8)</f>
        <v/>
      </c>
    </row>
    <row r="215" ht="13.5" customHeight="1" s="116">
      <c r="B215" s="144">
        <f>B185</f>
        <v/>
      </c>
      <c r="C215" s="139">
        <f>IF($O$8="sell",-1,1) *  IF($K$8="call",  NORMDIST(I215,0,1,1),  NORMDIST(I215,0,1,1)-1  ) * $P$8</f>
        <v/>
      </c>
      <c r="D215" s="139">
        <f>IF($O$8="sell",-1,1) * NORMDIST(I215,0,1,0)/(B215*$H$8*SQRT($J$8)) * $P$8</f>
        <v/>
      </c>
      <c r="E215" s="139">
        <f>IF($O$8="sell",-1,1) * (B215*NORMDIST(I215,0,1,0)*SQRT($J$8)/365) * $P$8</f>
        <v/>
      </c>
      <c r="F215" s="139">
        <f>IF($O$8="sell",-1,1) * (-(B215*NORMDIST(I215,0,1,0)*$H$8)/(2*SQRT($J$8))/365) *$P$8</f>
        <v/>
      </c>
      <c r="G215" s="139">
        <f>IF($O$8="buy",1,-1)*( IF($K$8="call",B215*NORMDIST(I215,0,1,1) - $B$8*NORMDIST(J215,0,1,1),$B$8*NORMDIST(-J215,0,1,1) - B215*NORMDIST(-I215,0,1,1) ) - $G$8) * $P$8</f>
        <v/>
      </c>
      <c r="I215" s="140">
        <f>(LN(B215/$B$8)+($H$8^2/2)*($J$8))/($H$8*SQRT($J$8))</f>
        <v/>
      </c>
      <c r="J215" s="140">
        <f>I215 - $H$8*SQRT($J$8)</f>
        <v/>
      </c>
    </row>
    <row r="216" ht="13.5" customHeight="1" s="116">
      <c r="B216" s="144">
        <f>B186</f>
        <v/>
      </c>
      <c r="C216" s="139">
        <f>IF($O$8="sell",-1,1) *  IF($K$8="call",  NORMDIST(I216,0,1,1),  NORMDIST(I216,0,1,1)-1  ) * $P$8</f>
        <v/>
      </c>
      <c r="D216" s="139">
        <f>IF($O$8="sell",-1,1) * NORMDIST(I216,0,1,0)/(B216*$H$8*SQRT($J$8)) * $P$8</f>
        <v/>
      </c>
      <c r="E216" s="139">
        <f>IF($O$8="sell",-1,1) * (B216*NORMDIST(I216,0,1,0)*SQRT($J$8)/365) * $P$8</f>
        <v/>
      </c>
      <c r="F216" s="139">
        <f>IF($O$8="sell",-1,1) * (-(B216*NORMDIST(I216,0,1,0)*$H$8)/(2*SQRT($J$8))/365) *$P$8</f>
        <v/>
      </c>
      <c r="G216" s="139">
        <f>IF($O$8="buy",1,-1)*( IF($K$8="call",B216*NORMDIST(I216,0,1,1) - $B$8*NORMDIST(J216,0,1,1),$B$8*NORMDIST(-J216,0,1,1) - B216*NORMDIST(-I216,0,1,1) ) - $G$8) * $P$8</f>
        <v/>
      </c>
      <c r="I216" s="140">
        <f>(LN(B216/$B$8)+($H$8^2/2)*($J$8))/($H$8*SQRT($J$8))</f>
        <v/>
      </c>
      <c r="J216" s="140">
        <f>I216 - $H$8*SQRT($J$8)</f>
        <v/>
      </c>
    </row>
    <row r="217" ht="13.5" customHeight="1" s="116">
      <c r="B217" s="144">
        <f>B187</f>
        <v/>
      </c>
      <c r="C217" s="139">
        <f>IF($O$8="sell",-1,1) *  IF($K$8="call",  NORMDIST(I217,0,1,1),  NORMDIST(I217,0,1,1)-1  ) * $P$8</f>
        <v/>
      </c>
      <c r="D217" s="139">
        <f>IF($O$8="sell",-1,1) * NORMDIST(I217,0,1,0)/(B217*$H$8*SQRT($J$8)) * $P$8</f>
        <v/>
      </c>
      <c r="E217" s="139">
        <f>IF($O$8="sell",-1,1) * (B217*NORMDIST(I217,0,1,0)*SQRT($J$8)/365) * $P$8</f>
        <v/>
      </c>
      <c r="F217" s="139">
        <f>IF($O$8="sell",-1,1) * (-(B217*NORMDIST(I217,0,1,0)*$H$8)/(2*SQRT($J$8))/365) *$P$8</f>
        <v/>
      </c>
      <c r="G217" s="139">
        <f>IF($O$8="buy",1,-1)*( IF($K$8="call",B217*NORMDIST(I217,0,1,1) - $B$8*NORMDIST(J217,0,1,1),$B$8*NORMDIST(-J217,0,1,1) - B217*NORMDIST(-I217,0,1,1) ) - $G$8) * $P$8</f>
        <v/>
      </c>
      <c r="I217" s="140">
        <f>(LN(B217/$B$8)+($H$8^2/2)*($J$8))/($H$8*SQRT($J$8))</f>
        <v/>
      </c>
      <c r="J217" s="140">
        <f>I217 - $H$8*SQRT($J$8)</f>
        <v/>
      </c>
    </row>
    <row r="218" ht="13.5" customHeight="1" s="116">
      <c r="B218" s="144">
        <f>B188</f>
        <v/>
      </c>
      <c r="C218" s="139">
        <f>IF($O$8="sell",-1,1) *  IF($K$8="call",  NORMDIST(I218,0,1,1),  NORMDIST(I218,0,1,1)-1  ) * $P$8</f>
        <v/>
      </c>
      <c r="D218" s="139">
        <f>IF($O$8="sell",-1,1) * NORMDIST(I218,0,1,0)/(B218*$H$8*SQRT($J$8)) * $P$8</f>
        <v/>
      </c>
      <c r="E218" s="139">
        <f>IF($O$8="sell",-1,1) * (B218*NORMDIST(I218,0,1,0)*SQRT($J$8)/365) * $P$8</f>
        <v/>
      </c>
      <c r="F218" s="139">
        <f>IF($O$8="sell",-1,1) * (-(B218*NORMDIST(I218,0,1,0)*$H$8)/(2*SQRT($J$8))/365) *$P$8</f>
        <v/>
      </c>
      <c r="G218" s="139">
        <f>IF($O$8="buy",1,-1)*( IF($K$8="call",B218*NORMDIST(I218,0,1,1) - $B$8*NORMDIST(J218,0,1,1),$B$8*NORMDIST(-J218,0,1,1) - B218*NORMDIST(-I218,0,1,1) ) - $G$8) * $P$8</f>
        <v/>
      </c>
      <c r="I218" s="140">
        <f>(LN(B218/$B$8)+($H$8^2/2)*($J$8))/($H$8*SQRT($J$8))</f>
        <v/>
      </c>
      <c r="J218" s="140">
        <f>I218 - $H$8*SQRT($J$8)</f>
        <v/>
      </c>
    </row>
    <row r="219" ht="13.5" customHeight="1" s="116">
      <c r="B219" s="144">
        <f>B189</f>
        <v/>
      </c>
      <c r="C219" s="139">
        <f>IF($O$8="sell",-1,1) *  IF($K$8="call",  NORMDIST(I219,0,1,1),  NORMDIST(I219,0,1,1)-1  ) * $P$8</f>
        <v/>
      </c>
      <c r="D219" s="139">
        <f>IF($O$8="sell",-1,1) * NORMDIST(I219,0,1,0)/(B219*$H$8*SQRT($J$8)) * $P$8</f>
        <v/>
      </c>
      <c r="E219" s="139">
        <f>IF($O$8="sell",-1,1) * (B219*NORMDIST(I219,0,1,0)*SQRT($J$8)/365) * $P$8</f>
        <v/>
      </c>
      <c r="F219" s="139">
        <f>IF($O$8="sell",-1,1) * (-(B219*NORMDIST(I219,0,1,0)*$H$8)/(2*SQRT($J$8))/365) *$P$8</f>
        <v/>
      </c>
      <c r="G219" s="139">
        <f>IF($O$8="buy",1,-1)*( IF($K$8="call",B219*NORMDIST(I219,0,1,1) - $B$8*NORMDIST(J219,0,1,1),$B$8*NORMDIST(-J219,0,1,1) - B219*NORMDIST(-I219,0,1,1) ) - $G$8) * $P$8</f>
        <v/>
      </c>
      <c r="I219" s="140">
        <f>(LN(B219/$B$8)+($H$8^2/2)*($J$8))/($H$8*SQRT($J$8))</f>
        <v/>
      </c>
      <c r="J219" s="140">
        <f>I219 - $H$8*SQRT($J$8)</f>
        <v/>
      </c>
    </row>
    <row r="220" ht="13.5" customHeight="1" s="116">
      <c r="B220" s="144">
        <f>B190</f>
        <v/>
      </c>
      <c r="C220" s="139">
        <f>IF($O$8="sell",-1,1) *  IF($K$8="call",  NORMDIST(I220,0,1,1),  NORMDIST(I220,0,1,1)-1  ) * $P$8</f>
        <v/>
      </c>
      <c r="D220" s="139">
        <f>IF($O$8="sell",-1,1) * NORMDIST(I220,0,1,0)/(B220*$H$8*SQRT($J$8)) * $P$8</f>
        <v/>
      </c>
      <c r="E220" s="139">
        <f>IF($O$8="sell",-1,1) * (B220*NORMDIST(I220,0,1,0)*SQRT($J$8)/365) * $P$8</f>
        <v/>
      </c>
      <c r="F220" s="139">
        <f>IF($O$8="sell",-1,1) * (-(B220*NORMDIST(I220,0,1,0)*$H$8)/(2*SQRT($J$8))/365) *$P$8</f>
        <v/>
      </c>
      <c r="G220" s="139">
        <f>IF($O$8="buy",1,-1)*( IF($K$8="call",B220*NORMDIST(I220,0,1,1) - $B$8*NORMDIST(J220,0,1,1),$B$8*NORMDIST(-J220,0,1,1) - B220*NORMDIST(-I220,0,1,1) ) - $G$8) * $P$8</f>
        <v/>
      </c>
      <c r="I220" s="140">
        <f>(LN(B220/$B$8)+($H$8^2/2)*($J$8))/($H$8*SQRT($J$8))</f>
        <v/>
      </c>
      <c r="J220" s="140">
        <f>I220 - $H$8*SQRT($J$8)</f>
        <v/>
      </c>
    </row>
    <row r="221" ht="13.5" customHeight="1" s="116">
      <c r="B221" s="145" t="n"/>
      <c r="C221" s="136" t="n"/>
      <c r="D221" s="136" t="n"/>
      <c r="E221" s="136" t="n"/>
      <c r="F221" s="136" t="n"/>
      <c r="G221" s="136" t="n"/>
      <c r="I221" s="146" t="n"/>
      <c r="J221" s="146" t="n"/>
    </row>
    <row r="222" ht="13.5" customHeight="1" s="116">
      <c r="B222" s="145" t="n"/>
      <c r="C222" s="136" t="n"/>
      <c r="D222" s="136" t="n"/>
      <c r="E222" s="136" t="n"/>
      <c r="F222" s="136" t="n"/>
      <c r="G222" s="136" t="n"/>
      <c r="I222" s="146" t="n"/>
      <c r="J222" s="146" t="n"/>
    </row>
    <row r="223" ht="13.5" customHeight="1" s="116">
      <c r="B223" s="137" t="n"/>
      <c r="C223" s="133" t="inlineStr">
        <is>
          <t>delta</t>
        </is>
      </c>
      <c r="D223" s="133" t="inlineStr">
        <is>
          <t>gamma</t>
        </is>
      </c>
      <c r="E223" s="133" t="inlineStr">
        <is>
          <t>vega</t>
        </is>
      </c>
      <c r="F223" s="133" t="inlineStr">
        <is>
          <t>theta</t>
        </is>
      </c>
      <c r="G223" s="133" t="inlineStr">
        <is>
          <t>mark_price</t>
        </is>
      </c>
      <c r="I223" s="133" t="inlineStr">
        <is>
          <t>d1</t>
        </is>
      </c>
      <c r="J223" s="133" t="inlineStr">
        <is>
          <t>d2</t>
        </is>
      </c>
    </row>
    <row r="224" ht="13.5" customHeight="1" s="116">
      <c r="A224" s="117">
        <f>A9</f>
        <v/>
      </c>
      <c r="B224" s="144">
        <f>B194</f>
        <v/>
      </c>
      <c r="C224" s="139">
        <f>IF($O$9="sell",-1,1) *  IF($K$9="call",  NORMDIST(I224,0,1,1),  NORMDIST(I224,0,1,1)-1  ) * $P$9</f>
        <v/>
      </c>
      <c r="D224" s="139">
        <f>IF($O$9="sell",-1,1) * NORMDIST(I224,0,1,0)/(B224*$H$9*SQRT($J$9)) * $P$9</f>
        <v/>
      </c>
      <c r="E224" s="139">
        <f>IF($O$9="sell",-1,1) * (B224*NORMDIST(I224,0,1,0)*SQRT($J$9)/365) * $P$9</f>
        <v/>
      </c>
      <c r="F224" s="139">
        <f>IF($O$9="sell",-1,1) * (-(B224*NORMDIST(I224,0,1,0)*$H$9)/(2*SQRT($J$9))/365) *$P$9</f>
        <v/>
      </c>
      <c r="G224" s="139">
        <f>IF($O$9="buy",1,-1)*( IF($K$9="call",B224*NORMDIST(I224,0,1,1) - $B$9*NORMDIST(J224,0,1,1),$B$9*NORMDIST(-J224,0,1,1) - B224*NORMDIST(-I224,0,1,1) ) - $G$9) * $P$9</f>
        <v/>
      </c>
      <c r="I224" s="140">
        <f>(LN(B224/$B$9)+($H$9^2/2)*($J$9))/($H$9*SQRT($J$9))</f>
        <v/>
      </c>
      <c r="J224" s="140">
        <f>I224 - $H$9*SQRT($J$9)</f>
        <v/>
      </c>
    </row>
    <row r="225" ht="13.5" customHeight="1" s="116">
      <c r="B225" s="144">
        <f>B195</f>
        <v/>
      </c>
      <c r="C225" s="139">
        <f>IF($O$9="sell",-1,1) *  IF($K$9="call",  NORMDIST(I225,0,1,1),  NORMDIST(I225,0,1,1)-1  ) * $P$9</f>
        <v/>
      </c>
      <c r="D225" s="139">
        <f>IF($O$9="sell",-1,1) * NORMDIST(I225,0,1,0)/(B225*$H$9*SQRT($J$9)) * $P$9</f>
        <v/>
      </c>
      <c r="E225" s="139">
        <f>IF($O$9="sell",-1,1) * (B225*NORMDIST(I225,0,1,0)*SQRT($J$9)/365) * $P$9</f>
        <v/>
      </c>
      <c r="F225" s="139">
        <f>IF($O$9="sell",-1,1) * (-(B225*NORMDIST(I225,0,1,0)*$H$9)/(2*SQRT($J$9))/365) *$P$9</f>
        <v/>
      </c>
      <c r="G225" s="139">
        <f>IF($O$9="buy",1,-1)*( IF($K$9="call",B225*NORMDIST(I225,0,1,1) - $B$9*NORMDIST(J225,0,1,1),$B$9*NORMDIST(-J225,0,1,1) - B225*NORMDIST(-I225,0,1,1) ) - $G$9) * $P$9</f>
        <v/>
      </c>
      <c r="I225" s="140">
        <f>(LN(B225/$B$9)+($H$9^2/2)*($J$9))/($H$9*SQRT($J$9))</f>
        <v/>
      </c>
      <c r="J225" s="140">
        <f>I225 - $H$9*SQRT($J$9)</f>
        <v/>
      </c>
    </row>
    <row r="226" ht="13.5" customHeight="1" s="116">
      <c r="B226" s="144">
        <f>B196</f>
        <v/>
      </c>
      <c r="C226" s="139">
        <f>IF($O$9="sell",-1,1) *  IF($K$9="call",  NORMDIST(I226,0,1,1),  NORMDIST(I226,0,1,1)-1  ) * $P$9</f>
        <v/>
      </c>
      <c r="D226" s="139">
        <f>IF($O$9="sell",-1,1) * NORMDIST(I226,0,1,0)/(B226*$H$9*SQRT($J$9)) * $P$9</f>
        <v/>
      </c>
      <c r="E226" s="139">
        <f>IF($O$9="sell",-1,1) * (B226*NORMDIST(I226,0,1,0)*SQRT($J$9)/365) * $P$9</f>
        <v/>
      </c>
      <c r="F226" s="139">
        <f>IF($O$9="sell",-1,1) * (-(B226*NORMDIST(I226,0,1,0)*$H$9)/(2*SQRT($J$9))/365) *$P$9</f>
        <v/>
      </c>
      <c r="G226" s="139">
        <f>IF($O$9="buy",1,-1)*( IF($K$9="call",B226*NORMDIST(I226,0,1,1) - $B$9*NORMDIST(J226,0,1,1),$B$9*NORMDIST(-J226,0,1,1) - B226*NORMDIST(-I226,0,1,1) ) - $G$9) * $P$9</f>
        <v/>
      </c>
      <c r="I226" s="140">
        <f>(LN(B226/$B$9)+($H$9^2/2)*($J$9))/($H$9*SQRT($J$9))</f>
        <v/>
      </c>
      <c r="J226" s="140">
        <f>I226 - $H$9*SQRT($J$9)</f>
        <v/>
      </c>
    </row>
    <row r="227" ht="13.5" customHeight="1" s="116">
      <c r="B227" s="144">
        <f>B197</f>
        <v/>
      </c>
      <c r="C227" s="139">
        <f>IF($O$9="sell",-1,1) *  IF($K$9="call",  NORMDIST(I227,0,1,1),  NORMDIST(I227,0,1,1)-1  ) * $P$9</f>
        <v/>
      </c>
      <c r="D227" s="139">
        <f>IF($O$9="sell",-1,1) * NORMDIST(I227,0,1,0)/(B227*$H$9*SQRT($J$9)) * $P$9</f>
        <v/>
      </c>
      <c r="E227" s="139">
        <f>IF($O$9="sell",-1,1) * (B227*NORMDIST(I227,0,1,0)*SQRT($J$9)/365) * $P$9</f>
        <v/>
      </c>
      <c r="F227" s="139">
        <f>IF($O$9="sell",-1,1) * (-(B227*NORMDIST(I227,0,1,0)*$H$9)/(2*SQRT($J$9))/365) *$P$9</f>
        <v/>
      </c>
      <c r="G227" s="139">
        <f>IF($O$9="buy",1,-1)*( IF($K$9="call",B227*NORMDIST(I227,0,1,1) - $B$9*NORMDIST(J227,0,1,1),$B$9*NORMDIST(-J227,0,1,1) - B227*NORMDIST(-I227,0,1,1) ) - $G$9) * $P$9</f>
        <v/>
      </c>
      <c r="I227" s="140">
        <f>(LN(B227/$B$9)+($H$9^2/2)*($J$9))/($H$9*SQRT($J$9))</f>
        <v/>
      </c>
      <c r="J227" s="140">
        <f>I227 - $H$9*SQRT($J$9)</f>
        <v/>
      </c>
    </row>
    <row r="228" ht="13.5" customHeight="1" s="116">
      <c r="B228" s="144">
        <f>B198</f>
        <v/>
      </c>
      <c r="C228" s="139">
        <f>IF($O$9="sell",-1,1) *  IF($K$9="call",  NORMDIST(I228,0,1,1),  NORMDIST(I228,0,1,1)-1  ) * $P$9</f>
        <v/>
      </c>
      <c r="D228" s="139">
        <f>IF($O$9="sell",-1,1) * NORMDIST(I228,0,1,0)/(B228*$H$9*SQRT($J$9)) * $P$9</f>
        <v/>
      </c>
      <c r="E228" s="139">
        <f>IF($O$9="sell",-1,1) * (B228*NORMDIST(I228,0,1,0)*SQRT($J$9)/365) * $P$9</f>
        <v/>
      </c>
      <c r="F228" s="139">
        <f>IF($O$9="sell",-1,1) * (-(B228*NORMDIST(I228,0,1,0)*$H$9)/(2*SQRT($J$9))/365) *$P$9</f>
        <v/>
      </c>
      <c r="G228" s="139">
        <f>IF($O$9="buy",1,-1)*( IF($K$9="call",B228*NORMDIST(I228,0,1,1) - $B$9*NORMDIST(J228,0,1,1),$B$9*NORMDIST(-J228,0,1,1) - B228*NORMDIST(-I228,0,1,1) ) - $G$9) * $P$9</f>
        <v/>
      </c>
      <c r="I228" s="140">
        <f>(LN(B228/$B$9)+($H$9^2/2)*($J$9))/($H$9*SQRT($J$9))</f>
        <v/>
      </c>
      <c r="J228" s="140">
        <f>I228 - $H$9*SQRT($J$9)</f>
        <v/>
      </c>
    </row>
    <row r="229" ht="13.5" customHeight="1" s="116">
      <c r="B229" s="144">
        <f>B199</f>
        <v/>
      </c>
      <c r="C229" s="139">
        <f>IF($O$9="sell",-1,1) *  IF($K$9="call",  NORMDIST(I229,0,1,1),  NORMDIST(I229,0,1,1)-1  ) * $P$9</f>
        <v/>
      </c>
      <c r="D229" s="139">
        <f>IF($O$9="sell",-1,1) * NORMDIST(I229,0,1,0)/(B229*$H$9*SQRT($J$9)) * $P$9</f>
        <v/>
      </c>
      <c r="E229" s="139">
        <f>IF($O$9="sell",-1,1) * (B229*NORMDIST(I229,0,1,0)*SQRT($J$9)/365) * $P$9</f>
        <v/>
      </c>
      <c r="F229" s="139">
        <f>IF($O$9="sell",-1,1) * (-(B229*NORMDIST(I229,0,1,0)*$H$9)/(2*SQRT($J$9))/365) *$P$9</f>
        <v/>
      </c>
      <c r="G229" s="139">
        <f>IF($O$9="buy",1,-1)*( IF($K$9="call",B229*NORMDIST(I229,0,1,1) - $B$9*NORMDIST(J229,0,1,1),$B$9*NORMDIST(-J229,0,1,1) - B229*NORMDIST(-I229,0,1,1) ) - $G$9) * $P$9</f>
        <v/>
      </c>
      <c r="I229" s="140">
        <f>(LN(B229/$B$9)+($H$9^2/2)*($J$9))/($H$9*SQRT($J$9))</f>
        <v/>
      </c>
      <c r="J229" s="140">
        <f>I229 - $H$9*SQRT($J$9)</f>
        <v/>
      </c>
    </row>
    <row r="230" ht="13.5" customHeight="1" s="116">
      <c r="B230" s="144">
        <f>B200</f>
        <v/>
      </c>
      <c r="C230" s="139">
        <f>IF($O$9="sell",-1,1) *  IF($K$9="call",  NORMDIST(I230,0,1,1),  NORMDIST(I230,0,1,1)-1  ) * $P$9</f>
        <v/>
      </c>
      <c r="D230" s="139">
        <f>IF($O$9="sell",-1,1) * NORMDIST(I230,0,1,0)/(B230*$H$9*SQRT($J$9)) * $P$9</f>
        <v/>
      </c>
      <c r="E230" s="139">
        <f>IF($O$9="sell",-1,1) * (B230*NORMDIST(I230,0,1,0)*SQRT($J$9)/365) * $P$9</f>
        <v/>
      </c>
      <c r="F230" s="139">
        <f>IF($O$9="sell",-1,1) * (-(B230*NORMDIST(I230,0,1,0)*$H$9)/(2*SQRT($J$9))/365) *$P$9</f>
        <v/>
      </c>
      <c r="G230" s="139">
        <f>IF($O$9="buy",1,-1)*( IF($K$9="call",B230*NORMDIST(I230,0,1,1) - $B$9*NORMDIST(J230,0,1,1),$B$9*NORMDIST(-J230,0,1,1) - B230*NORMDIST(-I230,0,1,1) ) - $G$9) * $P$9</f>
        <v/>
      </c>
      <c r="I230" s="140">
        <f>(LN(B230/$B$9)+($H$9^2/2)*($J$9))/($H$9*SQRT($J$9))</f>
        <v/>
      </c>
      <c r="J230" s="140">
        <f>I230 - $H$9*SQRT($J$9)</f>
        <v/>
      </c>
    </row>
    <row r="231" ht="13.5" customHeight="1" s="116">
      <c r="B231" s="144">
        <f>B201</f>
        <v/>
      </c>
      <c r="C231" s="139">
        <f>IF($O$9="sell",-1,1) *  IF($K$9="call",  NORMDIST(I231,0,1,1),  NORMDIST(I231,0,1,1)-1  ) * $P$9</f>
        <v/>
      </c>
      <c r="D231" s="139">
        <f>IF($O$9="sell",-1,1) * NORMDIST(I231,0,1,0)/(B231*$H$9*SQRT($J$9)) * $P$9</f>
        <v/>
      </c>
      <c r="E231" s="139">
        <f>IF($O$9="sell",-1,1) * (B231*NORMDIST(I231,0,1,0)*SQRT($J$9)/365) * $P$9</f>
        <v/>
      </c>
      <c r="F231" s="139">
        <f>IF($O$9="sell",-1,1) * (-(B231*NORMDIST(I231,0,1,0)*$H$9)/(2*SQRT($J$9))/365) *$P$9</f>
        <v/>
      </c>
      <c r="G231" s="139">
        <f>IF($O$9="buy",1,-1)*( IF($K$9="call",B231*NORMDIST(I231,0,1,1) - $B$9*NORMDIST(J231,0,1,1),$B$9*NORMDIST(-J231,0,1,1) - B231*NORMDIST(-I231,0,1,1) ) - $G$9) * $P$9</f>
        <v/>
      </c>
      <c r="I231" s="140">
        <f>(LN(B231/$B$9)+($H$9^2/2)*($J$9))/($H$9*SQRT($J$9))</f>
        <v/>
      </c>
      <c r="J231" s="140">
        <f>I231 - $H$9*SQRT($J$9)</f>
        <v/>
      </c>
    </row>
    <row r="232" ht="13.5" customHeight="1" s="116">
      <c r="B232" s="144">
        <f>B202</f>
        <v/>
      </c>
      <c r="C232" s="139">
        <f>IF($O$9="sell",-1,1) *  IF($K$9="call",  NORMDIST(I232,0,1,1),  NORMDIST(I232,0,1,1)-1  ) * $P$9</f>
        <v/>
      </c>
      <c r="D232" s="139">
        <f>IF($O$9="sell",-1,1) * NORMDIST(I232,0,1,0)/(B232*$H$9*SQRT($J$9)) * $P$9</f>
        <v/>
      </c>
      <c r="E232" s="139">
        <f>IF($O$9="sell",-1,1) * (B232*NORMDIST(I232,0,1,0)*SQRT($J$9)/365) * $P$9</f>
        <v/>
      </c>
      <c r="F232" s="139">
        <f>IF($O$9="sell",-1,1) * (-(B232*NORMDIST(I232,0,1,0)*$H$9)/(2*SQRT($J$9))/365) *$P$9</f>
        <v/>
      </c>
      <c r="G232" s="139">
        <f>IF($O$9="buy",1,-1)*( IF($K$9="call",B232*NORMDIST(I232,0,1,1) - $B$9*NORMDIST(J232,0,1,1),$B$9*NORMDIST(-J232,0,1,1) - B232*NORMDIST(-I232,0,1,1) ) - $G$9) * $P$9</f>
        <v/>
      </c>
      <c r="I232" s="140">
        <f>(LN(B232/$B$9)+($H$9^2/2)*($J$9))/($H$9*SQRT($J$9))</f>
        <v/>
      </c>
      <c r="J232" s="140">
        <f>I232 - $H$9*SQRT($J$9)</f>
        <v/>
      </c>
    </row>
    <row r="233" ht="13.5" customHeight="1" s="116">
      <c r="B233" s="144">
        <f>B203</f>
        <v/>
      </c>
      <c r="C233" s="139">
        <f>IF($O$9="sell",-1,1) *  IF($K$9="call",  NORMDIST(I233,0,1,1),  NORMDIST(I233,0,1,1)-1  ) * $P$9</f>
        <v/>
      </c>
      <c r="D233" s="139">
        <f>IF($O$9="sell",-1,1) * NORMDIST(I233,0,1,0)/(B233*$H$9*SQRT($J$9)) * $P$9</f>
        <v/>
      </c>
      <c r="E233" s="139">
        <f>IF($O$9="sell",-1,1) * (B233*NORMDIST(I233,0,1,0)*SQRT($J$9)/365) * $P$9</f>
        <v/>
      </c>
      <c r="F233" s="139">
        <f>IF($O$9="sell",-1,1) * (-(B233*NORMDIST(I233,0,1,0)*$H$9)/(2*SQRT($J$9))/365) *$P$9</f>
        <v/>
      </c>
      <c r="G233" s="139">
        <f>IF($O$9="buy",1,-1)*( IF($K$9="call",B233*NORMDIST(I233,0,1,1) - $B$9*NORMDIST(J233,0,1,1),$B$9*NORMDIST(-J233,0,1,1) - B233*NORMDIST(-I233,0,1,1) ) - $G$9) * $P$9</f>
        <v/>
      </c>
      <c r="I233" s="140">
        <f>(LN(B233/$B$9)+($H$9^2/2)*($J$9))/($H$9*SQRT($J$9))</f>
        <v/>
      </c>
      <c r="J233" s="140">
        <f>I233 - $H$9*SQRT($J$9)</f>
        <v/>
      </c>
    </row>
    <row r="234" ht="13.5" customHeight="1" s="116">
      <c r="B234" s="144">
        <f>B204</f>
        <v/>
      </c>
      <c r="C234" s="139">
        <f>IF($O$9="sell",-1,1) *  IF($K$9="call",  NORMDIST(I234,0,1,1),  NORMDIST(I234,0,1,1)-1  ) * $P$9</f>
        <v/>
      </c>
      <c r="D234" s="139">
        <f>IF($O$9="sell",-1,1) * NORMDIST(I234,0,1,0)/(B234*$H$9*SQRT($J$9)) * $P$9</f>
        <v/>
      </c>
      <c r="E234" s="139">
        <f>IF($O$9="sell",-1,1) * (B234*NORMDIST(I234,0,1,0)*SQRT($J$9)/365) * $P$9</f>
        <v/>
      </c>
      <c r="F234" s="139">
        <f>IF($O$9="sell",-1,1) * (-(B234*NORMDIST(I234,0,1,0)*$H$9)/(2*SQRT($J$9))/365) *$P$9</f>
        <v/>
      </c>
      <c r="G234" s="139">
        <f>IF($O$9="buy",1,-1)*( IF($K$9="call",B234*NORMDIST(I234,0,1,1) - $B$9*NORMDIST(J234,0,1,1),$B$9*NORMDIST(-J234,0,1,1) - B234*NORMDIST(-I234,0,1,1) ) - $G$9) * $P$9</f>
        <v/>
      </c>
      <c r="I234" s="140">
        <f>(LN(B234/$B$9)+($H$9^2/2)*($J$9))/($H$9*SQRT($J$9))</f>
        <v/>
      </c>
      <c r="J234" s="140">
        <f>I234 - $H$9*SQRT($J$9)</f>
        <v/>
      </c>
    </row>
    <row r="235" ht="13.5" customHeight="1" s="116">
      <c r="B235" s="144">
        <f>B205</f>
        <v/>
      </c>
      <c r="C235" s="139">
        <f>IF($O$9="sell",-1,1) *  IF($K$9="call",  NORMDIST(I235,0,1,1),  NORMDIST(I235,0,1,1)-1  ) * $P$9</f>
        <v/>
      </c>
      <c r="D235" s="139">
        <f>IF($O$9="sell",-1,1) * NORMDIST(I235,0,1,0)/(B235*$H$9*SQRT($J$9)) * $P$9</f>
        <v/>
      </c>
      <c r="E235" s="139">
        <f>IF($O$9="sell",-1,1) * (B235*NORMDIST(I235,0,1,0)*SQRT($J$9)/365) * $P$9</f>
        <v/>
      </c>
      <c r="F235" s="139">
        <f>IF($O$9="sell",-1,1) * (-(B235*NORMDIST(I235,0,1,0)*$H$9)/(2*SQRT($J$9))/365) *$P$9</f>
        <v/>
      </c>
      <c r="G235" s="139">
        <f>IF($O$9="buy",1,-1)*( IF($K$9="call",B235*NORMDIST(I235,0,1,1) - $B$9*NORMDIST(J235,0,1,1),$B$9*NORMDIST(-J235,0,1,1) - B235*NORMDIST(-I235,0,1,1) ) - $G$9) * $P$9</f>
        <v/>
      </c>
      <c r="I235" s="140">
        <f>(LN(B235/$B$9)+($H$9^2/2)*($J$9))/($H$9*SQRT($J$9))</f>
        <v/>
      </c>
      <c r="J235" s="140">
        <f>I235 - $H$9*SQRT($J$9)</f>
        <v/>
      </c>
    </row>
    <row r="236" ht="13.5" customHeight="1" s="116">
      <c r="B236" s="144">
        <f>B206</f>
        <v/>
      </c>
      <c r="C236" s="139">
        <f>IF($O$9="sell",-1,1) *  IF($K$9="call",  NORMDIST(I236,0,1,1),  NORMDIST(I236,0,1,1)-1  ) * $P$9</f>
        <v/>
      </c>
      <c r="D236" s="139">
        <f>IF($O$9="sell",-1,1) * NORMDIST(I236,0,1,0)/(B236*$H$9*SQRT($J$9)) * $P$9</f>
        <v/>
      </c>
      <c r="E236" s="139">
        <f>IF($O$9="sell",-1,1) * (B236*NORMDIST(I236,0,1,0)*SQRT($J$9)/365) * $P$9</f>
        <v/>
      </c>
      <c r="F236" s="139">
        <f>IF($O$9="sell",-1,1) * (-(B236*NORMDIST(I236,0,1,0)*$H$9)/(2*SQRT($J$9))/365) *$P$9</f>
        <v/>
      </c>
      <c r="G236" s="139">
        <f>IF($O$9="buy",1,-1)*( IF($K$9="call",B236*NORMDIST(I236,0,1,1) - $B$9*NORMDIST(J236,0,1,1),$B$9*NORMDIST(-J236,0,1,1) - B236*NORMDIST(-I236,0,1,1) ) - $G$9) * $P$9</f>
        <v/>
      </c>
      <c r="I236" s="140">
        <f>(LN(B236/$B$9)+($H$9^2/2)*($J$9))/($H$9*SQRT($J$9))</f>
        <v/>
      </c>
      <c r="J236" s="140">
        <f>I236 - $H$9*SQRT($J$9)</f>
        <v/>
      </c>
    </row>
    <row r="237" ht="13.5" customHeight="1" s="116">
      <c r="B237" s="144">
        <f>B207</f>
        <v/>
      </c>
      <c r="C237" s="139">
        <f>IF($O$9="sell",-1,1) *  IF($K$9="call",  NORMDIST(I237,0,1,1),  NORMDIST(I237,0,1,1)-1  ) * $P$9</f>
        <v/>
      </c>
      <c r="D237" s="139">
        <f>IF($O$9="sell",-1,1) * NORMDIST(I237,0,1,0)/(B237*$H$9*SQRT($J$9)) * $P$9</f>
        <v/>
      </c>
      <c r="E237" s="139">
        <f>IF($O$9="sell",-1,1) * (B237*NORMDIST(I237,0,1,0)*SQRT($J$9)/365) * $P$9</f>
        <v/>
      </c>
      <c r="F237" s="139">
        <f>IF($O$9="sell",-1,1) * (-(B237*NORMDIST(I237,0,1,0)*$H$9)/(2*SQRT($J$9))/365) *$P$9</f>
        <v/>
      </c>
      <c r="G237" s="139">
        <f>IF($O$9="buy",1,-1)*( IF($K$9="call",B237*NORMDIST(I237,0,1,1) - $B$9*NORMDIST(J237,0,1,1),$B$9*NORMDIST(-J237,0,1,1) - B237*NORMDIST(-I237,0,1,1) ) - $G$9) * $P$9</f>
        <v/>
      </c>
      <c r="I237" s="140">
        <f>(LN(B237/$B$9)+($H$9^2/2)*($J$9))/($H$9*SQRT($J$9))</f>
        <v/>
      </c>
      <c r="J237" s="140">
        <f>I237 - $H$9*SQRT($J$9)</f>
        <v/>
      </c>
    </row>
    <row r="238" ht="13.5" customHeight="1" s="116">
      <c r="B238" s="144">
        <f>B208</f>
        <v/>
      </c>
      <c r="C238" s="139">
        <f>IF($O$9="sell",-1,1) *  IF($K$9="call",  NORMDIST(I238,0,1,1),  NORMDIST(I238,0,1,1)-1  ) * $P$9</f>
        <v/>
      </c>
      <c r="D238" s="139">
        <f>IF($O$9="sell",-1,1) * NORMDIST(I238,0,1,0)/(B238*$H$9*SQRT($J$9)) * $P$9</f>
        <v/>
      </c>
      <c r="E238" s="139">
        <f>IF($O$9="sell",-1,1) * (B238*NORMDIST(I238,0,1,0)*SQRT($J$9)/365) * $P$9</f>
        <v/>
      </c>
      <c r="F238" s="139">
        <f>IF($O$9="sell",-1,1) * (-(B238*NORMDIST(I238,0,1,0)*$H$9)/(2*SQRT($J$9))/365) *$P$9</f>
        <v/>
      </c>
      <c r="G238" s="139">
        <f>IF($O$9="buy",1,-1)*( IF($K$9="call",B238*NORMDIST(I238,0,1,1) - $B$9*NORMDIST(J238,0,1,1),$B$9*NORMDIST(-J238,0,1,1) - B238*NORMDIST(-I238,0,1,1) ) - $G$9) * $P$9</f>
        <v/>
      </c>
      <c r="I238" s="140">
        <f>(LN(B238/$B$9)+($H$9^2/2)*($J$9))/($H$9*SQRT($J$9))</f>
        <v/>
      </c>
      <c r="J238" s="140">
        <f>I238 - $H$9*SQRT($J$9)</f>
        <v/>
      </c>
    </row>
    <row r="239" ht="13.5" customHeight="1" s="116">
      <c r="B239" s="144">
        <f>B209</f>
        <v/>
      </c>
      <c r="C239" s="139">
        <f>IF($O$9="sell",-1,1) *  IF($K$9="call",  NORMDIST(I239,0,1,1),  NORMDIST(I239,0,1,1)-1  ) * $P$9</f>
        <v/>
      </c>
      <c r="D239" s="139">
        <f>IF($O$9="sell",-1,1) * NORMDIST(I239,0,1,0)/(B239*$H$9*SQRT($J$9)) * $P$9</f>
        <v/>
      </c>
      <c r="E239" s="139">
        <f>IF($O$9="sell",-1,1) * (B239*NORMDIST(I239,0,1,0)*SQRT($J$9)/365) * $P$9</f>
        <v/>
      </c>
      <c r="F239" s="139">
        <f>IF($O$9="sell",-1,1) * (-(B239*NORMDIST(I239,0,1,0)*$H$9)/(2*SQRT($J$9))/365) *$P$9</f>
        <v/>
      </c>
      <c r="G239" s="139">
        <f>IF($O$9="buy",1,-1)*( IF($K$9="call",B239*NORMDIST(I239,0,1,1) - $B$9*NORMDIST(J239,0,1,1),$B$9*NORMDIST(-J239,0,1,1) - B239*NORMDIST(-I239,0,1,1) ) - $G$9) * $P$9</f>
        <v/>
      </c>
      <c r="I239" s="140">
        <f>(LN(B239/$B$9)+($H$9^2/2)*($J$9))/($H$9*SQRT($J$9))</f>
        <v/>
      </c>
      <c r="J239" s="140">
        <f>I239 - $H$9*SQRT($J$9)</f>
        <v/>
      </c>
    </row>
    <row r="240" ht="13.5" customHeight="1" s="116">
      <c r="B240" s="144">
        <f>B210</f>
        <v/>
      </c>
      <c r="C240" s="139">
        <f>IF($O$9="sell",-1,1) *  IF($K$9="call",  NORMDIST(I240,0,1,1),  NORMDIST(I240,0,1,1)-1  ) * $P$9</f>
        <v/>
      </c>
      <c r="D240" s="139">
        <f>IF($O$9="sell",-1,1) * NORMDIST(I240,0,1,0)/(B240*$H$9*SQRT($J$9)) * $P$9</f>
        <v/>
      </c>
      <c r="E240" s="139">
        <f>IF($O$9="sell",-1,1) * (B240*NORMDIST(I240,0,1,0)*SQRT($J$9)/365) * $P$9</f>
        <v/>
      </c>
      <c r="F240" s="139">
        <f>IF($O$9="sell",-1,1) * (-(B240*NORMDIST(I240,0,1,0)*$H$9)/(2*SQRT($J$9))/365) *$P$9</f>
        <v/>
      </c>
      <c r="G240" s="139">
        <f>IF($O$9="buy",1,-1)*( IF($K$9="call",B240*NORMDIST(I240,0,1,1) - $B$9*NORMDIST(J240,0,1,1),$B$9*NORMDIST(-J240,0,1,1) - B240*NORMDIST(-I240,0,1,1) ) - $G$9) * $P$9</f>
        <v/>
      </c>
      <c r="I240" s="140">
        <f>(LN(B240/$B$9)+($H$9^2/2)*($J$9))/($H$9*SQRT($J$9))</f>
        <v/>
      </c>
      <c r="J240" s="140">
        <f>I240 - $H$9*SQRT($J$9)</f>
        <v/>
      </c>
    </row>
    <row r="241" ht="13.5" customHeight="1" s="116">
      <c r="B241" s="144">
        <f>B211</f>
        <v/>
      </c>
      <c r="C241" s="139">
        <f>IF($O$9="sell",-1,1) *  IF($K$9="call",  NORMDIST(I241,0,1,1),  NORMDIST(I241,0,1,1)-1  ) * $P$9</f>
        <v/>
      </c>
      <c r="D241" s="139">
        <f>IF($O$9="sell",-1,1) * NORMDIST(I241,0,1,0)/(B241*$H$9*SQRT($J$9)) * $P$9</f>
        <v/>
      </c>
      <c r="E241" s="139">
        <f>IF($O$9="sell",-1,1) * (B241*NORMDIST(I241,0,1,0)*SQRT($J$9)/365) * $P$9</f>
        <v/>
      </c>
      <c r="F241" s="139">
        <f>IF($O$9="sell",-1,1) * (-(B241*NORMDIST(I241,0,1,0)*$H$9)/(2*SQRT($J$9))/365) *$P$9</f>
        <v/>
      </c>
      <c r="G241" s="139">
        <f>IF($O$9="buy",1,-1)*( IF($K$9="call",B241*NORMDIST(I241,0,1,1) - $B$9*NORMDIST(J241,0,1,1),$B$9*NORMDIST(-J241,0,1,1) - B241*NORMDIST(-I241,0,1,1) ) - $G$9) * $P$9</f>
        <v/>
      </c>
      <c r="I241" s="140">
        <f>(LN(B241/$B$9)+($H$9^2/2)*($J$9))/($H$9*SQRT($J$9))</f>
        <v/>
      </c>
      <c r="J241" s="140">
        <f>I241 - $H$9*SQRT($J$9)</f>
        <v/>
      </c>
    </row>
    <row r="242" ht="13.5" customHeight="1" s="116">
      <c r="B242" s="144">
        <f>B212</f>
        <v/>
      </c>
      <c r="C242" s="139">
        <f>IF($O$9="sell",-1,1) *  IF($K$9="call",  NORMDIST(I242,0,1,1),  NORMDIST(I242,0,1,1)-1  ) * $P$9</f>
        <v/>
      </c>
      <c r="D242" s="139">
        <f>IF($O$9="sell",-1,1) * NORMDIST(I242,0,1,0)/(B242*$H$9*SQRT($J$9)) * $P$9</f>
        <v/>
      </c>
      <c r="E242" s="139">
        <f>IF($O$9="sell",-1,1) * (B242*NORMDIST(I242,0,1,0)*SQRT($J$9)/365) * $P$9</f>
        <v/>
      </c>
      <c r="F242" s="139">
        <f>IF($O$9="sell",-1,1) * (-(B242*NORMDIST(I242,0,1,0)*$H$9)/(2*SQRT($J$9))/365) *$P$9</f>
        <v/>
      </c>
      <c r="G242" s="139">
        <f>IF($O$9="buy",1,-1)*( IF($K$9="call",B242*NORMDIST(I242,0,1,1) - $B$9*NORMDIST(J242,0,1,1),$B$9*NORMDIST(-J242,0,1,1) - B242*NORMDIST(-I242,0,1,1) ) - $G$9) * $P$9</f>
        <v/>
      </c>
      <c r="I242" s="140">
        <f>(LN(B242/$B$9)+($H$9^2/2)*($J$9))/($H$9*SQRT($J$9))</f>
        <v/>
      </c>
      <c r="J242" s="140">
        <f>I242 - $H$9*SQRT($J$9)</f>
        <v/>
      </c>
    </row>
    <row r="243" ht="13.5" customHeight="1" s="116">
      <c r="B243" s="144">
        <f>B213</f>
        <v/>
      </c>
      <c r="C243" s="139">
        <f>IF($O$9="sell",-1,1) *  IF($K$9="call",  NORMDIST(I243,0,1,1),  NORMDIST(I243,0,1,1)-1  ) * $P$9</f>
        <v/>
      </c>
      <c r="D243" s="139">
        <f>IF($O$9="sell",-1,1) * NORMDIST(I243,0,1,0)/(B243*$H$9*SQRT($J$9)) * $P$9</f>
        <v/>
      </c>
      <c r="E243" s="139">
        <f>IF($O$9="sell",-1,1) * (B243*NORMDIST(I243,0,1,0)*SQRT($J$9)/365) * $P$9</f>
        <v/>
      </c>
      <c r="F243" s="139">
        <f>IF($O$9="sell",-1,1) * (-(B243*NORMDIST(I243,0,1,0)*$H$9)/(2*SQRT($J$9))/365) *$P$9</f>
        <v/>
      </c>
      <c r="G243" s="139">
        <f>IF($O$9="buy",1,-1)*( IF($K$9="call",B243*NORMDIST(I243,0,1,1) - $B$9*NORMDIST(J243,0,1,1),$B$9*NORMDIST(-J243,0,1,1) - B243*NORMDIST(-I243,0,1,1) ) - $G$9) * $P$9</f>
        <v/>
      </c>
      <c r="I243" s="140">
        <f>(LN(B243/$B$9)+($H$9^2/2)*($J$9))/($H$9*SQRT($J$9))</f>
        <v/>
      </c>
      <c r="J243" s="140">
        <f>I243 - $H$9*SQRT($J$9)</f>
        <v/>
      </c>
    </row>
    <row r="244" ht="13.5" customHeight="1" s="116">
      <c r="B244" s="144">
        <f>B214</f>
        <v/>
      </c>
      <c r="C244" s="139">
        <f>IF($O$9="sell",-1,1) *  IF($K$9="call",  NORMDIST(I244,0,1,1),  NORMDIST(I244,0,1,1)-1  ) * $P$9</f>
        <v/>
      </c>
      <c r="D244" s="139">
        <f>IF($O$9="sell",-1,1) * NORMDIST(I244,0,1,0)/(B244*$H$9*SQRT($J$9)) * $P$9</f>
        <v/>
      </c>
      <c r="E244" s="139">
        <f>IF($O$9="sell",-1,1) * (B244*NORMDIST(I244,0,1,0)*SQRT($J$9)/365) * $P$9</f>
        <v/>
      </c>
      <c r="F244" s="139">
        <f>IF($O$9="sell",-1,1) * (-(B244*NORMDIST(I244,0,1,0)*$H$9)/(2*SQRT($J$9))/365) *$P$9</f>
        <v/>
      </c>
      <c r="G244" s="139">
        <f>IF($O$9="buy",1,-1)*( IF($K$9="call",B244*NORMDIST(I244,0,1,1) - $B$9*NORMDIST(J244,0,1,1),$B$9*NORMDIST(-J244,0,1,1) - B244*NORMDIST(-I244,0,1,1) ) - $G$9) * $P$9</f>
        <v/>
      </c>
      <c r="I244" s="140">
        <f>(LN(B244/$B$9)+($H$9^2/2)*($J$9))/($H$9*SQRT($J$9))</f>
        <v/>
      </c>
      <c r="J244" s="140">
        <f>I244 - $H$9*SQRT($J$9)</f>
        <v/>
      </c>
    </row>
    <row r="245" ht="13.5" customHeight="1" s="116">
      <c r="B245" s="144">
        <f>B215</f>
        <v/>
      </c>
      <c r="C245" s="139">
        <f>IF($O$9="sell",-1,1) *  IF($K$9="call",  NORMDIST(I245,0,1,1),  NORMDIST(I245,0,1,1)-1  ) * $P$9</f>
        <v/>
      </c>
      <c r="D245" s="139">
        <f>IF($O$9="sell",-1,1) * NORMDIST(I245,0,1,0)/(B245*$H$9*SQRT($J$9)) * $P$9</f>
        <v/>
      </c>
      <c r="E245" s="139">
        <f>IF($O$9="sell",-1,1) * (B245*NORMDIST(I245,0,1,0)*SQRT($J$9)/365) * $P$9</f>
        <v/>
      </c>
      <c r="F245" s="139">
        <f>IF($O$9="sell",-1,1) * (-(B245*NORMDIST(I245,0,1,0)*$H$9)/(2*SQRT($J$9))/365) *$P$9</f>
        <v/>
      </c>
      <c r="G245" s="139">
        <f>IF($O$9="buy",1,-1)*( IF($K$9="call",B245*NORMDIST(I245,0,1,1) - $B$9*NORMDIST(J245,0,1,1),$B$9*NORMDIST(-J245,0,1,1) - B245*NORMDIST(-I245,0,1,1) ) - $G$9) * $P$9</f>
        <v/>
      </c>
      <c r="I245" s="140">
        <f>(LN(B245/$B$9)+($H$9^2/2)*($J$9))/($H$9*SQRT($J$9))</f>
        <v/>
      </c>
      <c r="J245" s="140">
        <f>I245 - $H$9*SQRT($J$9)</f>
        <v/>
      </c>
    </row>
    <row r="246" ht="13.5" customHeight="1" s="116">
      <c r="B246" s="144">
        <f>B216</f>
        <v/>
      </c>
      <c r="C246" s="139">
        <f>IF($O$9="sell",-1,1) *  IF($K$9="call",  NORMDIST(I246,0,1,1),  NORMDIST(I246,0,1,1)-1  ) * $P$9</f>
        <v/>
      </c>
      <c r="D246" s="139">
        <f>IF($O$9="sell",-1,1) * NORMDIST(I246,0,1,0)/(B246*$H$9*SQRT($J$9)) * $P$9</f>
        <v/>
      </c>
      <c r="E246" s="139">
        <f>IF($O$9="sell",-1,1) * (B246*NORMDIST(I246,0,1,0)*SQRT($J$9)/365) * $P$9</f>
        <v/>
      </c>
      <c r="F246" s="139">
        <f>IF($O$9="sell",-1,1) * (-(B246*NORMDIST(I246,0,1,0)*$H$9)/(2*SQRT($J$9))/365) *$P$9</f>
        <v/>
      </c>
      <c r="G246" s="139">
        <f>IF($O$9="buy",1,-1)*( IF($K$9="call",B246*NORMDIST(I246,0,1,1) - $B$9*NORMDIST(J246,0,1,1),$B$9*NORMDIST(-J246,0,1,1) - B246*NORMDIST(-I246,0,1,1) ) - $G$9) * $P$9</f>
        <v/>
      </c>
      <c r="I246" s="140">
        <f>(LN(B246/$B$9)+($H$9^2/2)*($J$9))/($H$9*SQRT($J$9))</f>
        <v/>
      </c>
      <c r="J246" s="140">
        <f>I246 - $H$9*SQRT($J$9)</f>
        <v/>
      </c>
    </row>
    <row r="247" ht="13.5" customHeight="1" s="116">
      <c r="B247" s="144">
        <f>B217</f>
        <v/>
      </c>
      <c r="C247" s="139">
        <f>IF($O$9="sell",-1,1) *  IF($K$9="call",  NORMDIST(I247,0,1,1),  NORMDIST(I247,0,1,1)-1  ) * $P$9</f>
        <v/>
      </c>
      <c r="D247" s="139">
        <f>IF($O$9="sell",-1,1) * NORMDIST(I247,0,1,0)/(B247*$H$9*SQRT($J$9)) * $P$9</f>
        <v/>
      </c>
      <c r="E247" s="139">
        <f>IF($O$9="sell",-1,1) * (B247*NORMDIST(I247,0,1,0)*SQRT($J$9)/365) * $P$9</f>
        <v/>
      </c>
      <c r="F247" s="139">
        <f>IF($O$9="sell",-1,1) * (-(B247*NORMDIST(I247,0,1,0)*$H$9)/(2*SQRT($J$9))/365) *$P$9</f>
        <v/>
      </c>
      <c r="G247" s="139">
        <f>IF($O$9="buy",1,-1)*( IF($K$9="call",B247*NORMDIST(I247,0,1,1) - $B$9*NORMDIST(J247,0,1,1),$B$9*NORMDIST(-J247,0,1,1) - B247*NORMDIST(-I247,0,1,1) ) - $G$9) * $P$9</f>
        <v/>
      </c>
      <c r="I247" s="140">
        <f>(LN(B247/$B$9)+($H$9^2/2)*($J$9))/($H$9*SQRT($J$9))</f>
        <v/>
      </c>
      <c r="J247" s="140">
        <f>I247 - $H$9*SQRT($J$9)</f>
        <v/>
      </c>
    </row>
    <row r="248" ht="13.5" customHeight="1" s="116">
      <c r="B248" s="144">
        <f>B218</f>
        <v/>
      </c>
      <c r="C248" s="139">
        <f>IF($O$9="sell",-1,1) *  IF($K$9="call",  NORMDIST(I248,0,1,1),  NORMDIST(I248,0,1,1)-1  ) * $P$9</f>
        <v/>
      </c>
      <c r="D248" s="139">
        <f>IF($O$9="sell",-1,1) * NORMDIST(I248,0,1,0)/(B248*$H$9*SQRT($J$9)) * $P$9</f>
        <v/>
      </c>
      <c r="E248" s="139">
        <f>IF($O$9="sell",-1,1) * (B248*NORMDIST(I248,0,1,0)*SQRT($J$9)/365) * $P$9</f>
        <v/>
      </c>
      <c r="F248" s="139">
        <f>IF($O$9="sell",-1,1) * (-(B248*NORMDIST(I248,0,1,0)*$H$9)/(2*SQRT($J$9))/365) *$P$9</f>
        <v/>
      </c>
      <c r="G248" s="139">
        <f>IF($O$9="buy",1,-1)*( IF($K$9="call",B248*NORMDIST(I248,0,1,1) - $B$9*NORMDIST(J248,0,1,1),$B$9*NORMDIST(-J248,0,1,1) - B248*NORMDIST(-I248,0,1,1) ) - $G$9) * $P$9</f>
        <v/>
      </c>
      <c r="I248" s="140">
        <f>(LN(B248/$B$9)+($H$9^2/2)*($J$9))/($H$9*SQRT($J$9))</f>
        <v/>
      </c>
      <c r="J248" s="140">
        <f>I248 - $H$9*SQRT($J$9)</f>
        <v/>
      </c>
    </row>
    <row r="249" ht="13.5" customHeight="1" s="116">
      <c r="B249" s="144">
        <f>B219</f>
        <v/>
      </c>
      <c r="C249" s="139">
        <f>IF($O$9="sell",-1,1) *  IF($K$9="call",  NORMDIST(I249,0,1,1),  NORMDIST(I249,0,1,1)-1  ) * $P$9</f>
        <v/>
      </c>
      <c r="D249" s="139">
        <f>IF($O$9="sell",-1,1) * NORMDIST(I249,0,1,0)/(B249*$H$9*SQRT($J$9)) * $P$9</f>
        <v/>
      </c>
      <c r="E249" s="139">
        <f>IF($O$9="sell",-1,1) * (B249*NORMDIST(I249,0,1,0)*SQRT($J$9)/365) * $P$9</f>
        <v/>
      </c>
      <c r="F249" s="139">
        <f>IF($O$9="sell",-1,1) * (-(B249*NORMDIST(I249,0,1,0)*$H$9)/(2*SQRT($J$9))/365) *$P$9</f>
        <v/>
      </c>
      <c r="G249" s="139">
        <f>IF($O$9="buy",1,-1)*( IF($K$9="call",B249*NORMDIST(I249,0,1,1) - $B$9*NORMDIST(J249,0,1,1),$B$9*NORMDIST(-J249,0,1,1) - B249*NORMDIST(-I249,0,1,1) ) - $G$9) * $P$9</f>
        <v/>
      </c>
      <c r="I249" s="140">
        <f>(LN(B249/$B$9)+($H$9^2/2)*($J$9))/($H$9*SQRT($J$9))</f>
        <v/>
      </c>
      <c r="J249" s="140">
        <f>I249 - $H$9*SQRT($J$9)</f>
        <v/>
      </c>
    </row>
    <row r="250" ht="13.5" customHeight="1" s="116">
      <c r="B250" s="144">
        <f>B220</f>
        <v/>
      </c>
      <c r="C250" s="139">
        <f>IF($O$9="sell",-1,1) *  IF($K$9="call",  NORMDIST(I250,0,1,1),  NORMDIST(I250,0,1,1)-1  ) * $P$9</f>
        <v/>
      </c>
      <c r="D250" s="139">
        <f>IF($O$9="sell",-1,1) * NORMDIST(I250,0,1,0)/(B250*$H$9*SQRT($J$9)) * $P$9</f>
        <v/>
      </c>
      <c r="E250" s="139">
        <f>IF($O$9="sell",-1,1) * (B250*NORMDIST(I250,0,1,0)*SQRT($J$9)/365) * $P$9</f>
        <v/>
      </c>
      <c r="F250" s="139">
        <f>IF($O$9="sell",-1,1) * (-(B250*NORMDIST(I250,0,1,0)*$H$9)/(2*SQRT($J$9))/365) *$P$9</f>
        <v/>
      </c>
      <c r="G250" s="139">
        <f>IF($O$9="buy",1,-1)*( IF($K$9="call",B250*NORMDIST(I250,0,1,1) - $B$9*NORMDIST(J250,0,1,1),$B$9*NORMDIST(-J250,0,1,1) - B250*NORMDIST(-I250,0,1,1) ) - $G$9) * $P$9</f>
        <v/>
      </c>
      <c r="I250" s="140">
        <f>(LN(B250/$B$9)+($H$9^2/2)*($J$9))/($H$9*SQRT($J$9))</f>
        <v/>
      </c>
      <c r="J250" s="140">
        <f>I250 - $H$9*SQRT($J$9)</f>
        <v/>
      </c>
    </row>
    <row r="251" ht="13.5" customHeight="1" s="116">
      <c r="B251" s="145" t="n"/>
      <c r="C251" s="136" t="n"/>
      <c r="D251" s="136" t="n"/>
      <c r="E251" s="136" t="n"/>
      <c r="F251" s="136" t="n"/>
      <c r="G251" s="136" t="n"/>
      <c r="I251" s="146" t="n"/>
      <c r="J251" s="146" t="n"/>
    </row>
    <row r="252" ht="13.5" customHeight="1" s="116">
      <c r="B252" s="145" t="n"/>
      <c r="C252" s="136" t="n"/>
      <c r="D252" s="136" t="n"/>
      <c r="E252" s="136" t="n"/>
      <c r="F252" s="136" t="n"/>
      <c r="G252" s="136" t="n"/>
      <c r="I252" s="146" t="n"/>
      <c r="J252" s="146" t="n"/>
    </row>
    <row r="253" ht="13.5" customHeight="1" s="116">
      <c r="B253" s="137" t="n"/>
      <c r="C253" s="133" t="inlineStr">
        <is>
          <t>delta</t>
        </is>
      </c>
      <c r="D253" s="133" t="inlineStr">
        <is>
          <t>gamma</t>
        </is>
      </c>
      <c r="E253" s="133" t="inlineStr">
        <is>
          <t>vega</t>
        </is>
      </c>
      <c r="F253" s="133" t="inlineStr">
        <is>
          <t>theta</t>
        </is>
      </c>
      <c r="G253" s="133" t="inlineStr">
        <is>
          <t>mark_price</t>
        </is>
      </c>
      <c r="I253" s="133" t="inlineStr">
        <is>
          <t>d1</t>
        </is>
      </c>
      <c r="J253" s="133" t="inlineStr">
        <is>
          <t>d2</t>
        </is>
      </c>
    </row>
    <row r="254" ht="13.5" customHeight="1" s="116">
      <c r="A254" s="117">
        <f>A10</f>
        <v/>
      </c>
      <c r="B254" s="144">
        <f>B224</f>
        <v/>
      </c>
      <c r="C254" s="139">
        <f>IF($O$10="sell",-1,1) *  IF($K$10="call",  NORMDIST(I254,0,1,1),  NORMDIST(I254,0,1,1)-1  ) * $P$10</f>
        <v/>
      </c>
      <c r="D254" s="139">
        <f>IF($O$10="sell",-1,1) * NORMDIST(I254,0,1,0)/(B254*$H$10*SQRT($J$10)) * $P$10</f>
        <v/>
      </c>
      <c r="E254" s="139">
        <f>IF($O$10="sell",-1,1) * (B254*NORMDIST(I254,0,1,0)*SQRT($J$10)/365) * $P$10</f>
        <v/>
      </c>
      <c r="F254" s="139">
        <f>IF($O$10="sell",-1,1) * (-(B254*NORMDIST(I254,0,1,0)*$H$10)/(2*SQRT($J$10))/365) *$P$10</f>
        <v/>
      </c>
      <c r="G254" s="139">
        <f>IF($O$10="buy",1,-1)*( IF($K$10="call",B254*NORMDIST(I254,0,1,1) - $B$10*NORMDIST(J254,0,1,1),$B$10*NORMDIST(-J254,0,1,1) - B254*NORMDIST(-I254,0,1,1) ) - $G$10) * $P$10</f>
        <v/>
      </c>
      <c r="I254" s="140">
        <f>(LN(B254/$B$10)+($H$10^2/2)*($J$10))/($H$10*SQRT($J$10))</f>
        <v/>
      </c>
      <c r="J254" s="140">
        <f>I254 - $H$10*SQRT($J$10)</f>
        <v/>
      </c>
    </row>
    <row r="255" ht="13.5" customHeight="1" s="116">
      <c r="B255" s="144">
        <f>B225</f>
        <v/>
      </c>
      <c r="C255" s="139">
        <f>IF($O$10="sell",-1,1) *  IF($K$10="call",  NORMDIST(I255,0,1,1),  NORMDIST(I255,0,1,1)-1  ) * $P$10</f>
        <v/>
      </c>
      <c r="D255" s="139">
        <f>IF($O$10="sell",-1,1) * NORMDIST(I255,0,1,0)/(B255*$H$10*SQRT($J$10)) * $P$10</f>
        <v/>
      </c>
      <c r="E255" s="139">
        <f>IF($O$10="sell",-1,1) * (B255*NORMDIST(I255,0,1,0)*SQRT($J$10)/365) * $P$10</f>
        <v/>
      </c>
      <c r="F255" s="139">
        <f>IF($O$10="sell",-1,1) * (-(B255*NORMDIST(I255,0,1,0)*$H$10)/(2*SQRT($J$10))/365) *$P$10</f>
        <v/>
      </c>
      <c r="G255" s="139">
        <f>IF($O$10="buy",1,-1)*( IF($K$10="call",B255*NORMDIST(I255,0,1,1) - $B$10*NORMDIST(J255,0,1,1),$B$10*NORMDIST(-J255,0,1,1) - B255*NORMDIST(-I255,0,1,1) ) - $G$10) * $P$10</f>
        <v/>
      </c>
      <c r="I255" s="140">
        <f>(LN(B255/$B$10)+($H$10^2/2)*($J$10))/($H$10*SQRT($J$10))</f>
        <v/>
      </c>
      <c r="J255" s="140">
        <f>I255 - $H$10*SQRT($J$10)</f>
        <v/>
      </c>
    </row>
    <row r="256" ht="13.5" customHeight="1" s="116">
      <c r="B256" s="144">
        <f>B226</f>
        <v/>
      </c>
      <c r="C256" s="139">
        <f>IF($O$10="sell",-1,1) *  IF($K$10="call",  NORMDIST(I256,0,1,1),  NORMDIST(I256,0,1,1)-1  ) * $P$10</f>
        <v/>
      </c>
      <c r="D256" s="139">
        <f>IF($O$10="sell",-1,1) * NORMDIST(I256,0,1,0)/(B256*$H$10*SQRT($J$10)) * $P$10</f>
        <v/>
      </c>
      <c r="E256" s="139">
        <f>IF($O$10="sell",-1,1) * (B256*NORMDIST(I256,0,1,0)*SQRT($J$10)/365) * $P$10</f>
        <v/>
      </c>
      <c r="F256" s="139">
        <f>IF($O$10="sell",-1,1) * (-(B256*NORMDIST(I256,0,1,0)*$H$10)/(2*SQRT($J$10))/365) *$P$10</f>
        <v/>
      </c>
      <c r="G256" s="139">
        <f>IF($O$10="buy",1,-1)*( IF($K$10="call",B256*NORMDIST(I256,0,1,1) - $B$10*NORMDIST(J256,0,1,1),$B$10*NORMDIST(-J256,0,1,1) - B256*NORMDIST(-I256,0,1,1) ) - $G$10) * $P$10</f>
        <v/>
      </c>
      <c r="I256" s="140">
        <f>(LN(B256/$B$10)+($H$10^2/2)*($J$10))/($H$10*SQRT($J$10))</f>
        <v/>
      </c>
      <c r="J256" s="140">
        <f>I256 - $H$10*SQRT($J$10)</f>
        <v/>
      </c>
    </row>
    <row r="257" ht="13.5" customHeight="1" s="116">
      <c r="B257" s="144">
        <f>B227</f>
        <v/>
      </c>
      <c r="C257" s="139">
        <f>IF($O$10="sell",-1,1) *  IF($K$10="call",  NORMDIST(I257,0,1,1),  NORMDIST(I257,0,1,1)-1  ) * $P$10</f>
        <v/>
      </c>
      <c r="D257" s="139">
        <f>IF($O$10="sell",-1,1) * NORMDIST(I257,0,1,0)/(B257*$H$10*SQRT($J$10)) * $P$10</f>
        <v/>
      </c>
      <c r="E257" s="139">
        <f>IF($O$10="sell",-1,1) * (B257*NORMDIST(I257,0,1,0)*SQRT($J$10)/365) * $P$10</f>
        <v/>
      </c>
      <c r="F257" s="139">
        <f>IF($O$10="sell",-1,1) * (-(B257*NORMDIST(I257,0,1,0)*$H$10)/(2*SQRT($J$10))/365) *$P$10</f>
        <v/>
      </c>
      <c r="G257" s="139">
        <f>IF($O$10="buy",1,-1)*( IF($K$10="call",B257*NORMDIST(I257,0,1,1) - $B$10*NORMDIST(J257,0,1,1),$B$10*NORMDIST(-J257,0,1,1) - B257*NORMDIST(-I257,0,1,1) ) - $G$10) * $P$10</f>
        <v/>
      </c>
      <c r="I257" s="140">
        <f>(LN(B257/$B$10)+($H$10^2/2)*($J$10))/($H$10*SQRT($J$10))</f>
        <v/>
      </c>
      <c r="J257" s="140">
        <f>I257 - $H$10*SQRT($J$10)</f>
        <v/>
      </c>
    </row>
    <row r="258" ht="13.5" customHeight="1" s="116">
      <c r="B258" s="144">
        <f>B228</f>
        <v/>
      </c>
      <c r="C258" s="139">
        <f>IF($O$10="sell",-1,1) *  IF($K$10="call",  NORMDIST(I258,0,1,1),  NORMDIST(I258,0,1,1)-1  ) * $P$10</f>
        <v/>
      </c>
      <c r="D258" s="139">
        <f>IF($O$10="sell",-1,1) * NORMDIST(I258,0,1,0)/(B258*$H$10*SQRT($J$10)) * $P$10</f>
        <v/>
      </c>
      <c r="E258" s="139">
        <f>IF($O$10="sell",-1,1) * (B258*NORMDIST(I258,0,1,0)*SQRT($J$10)/365) * $P$10</f>
        <v/>
      </c>
      <c r="F258" s="139">
        <f>IF($O$10="sell",-1,1) * (-(B258*NORMDIST(I258,0,1,0)*$H$10)/(2*SQRT($J$10))/365) *$P$10</f>
        <v/>
      </c>
      <c r="G258" s="139">
        <f>IF($O$10="buy",1,-1)*( IF($K$10="call",B258*NORMDIST(I258,0,1,1) - $B$10*NORMDIST(J258,0,1,1),$B$10*NORMDIST(-J258,0,1,1) - B258*NORMDIST(-I258,0,1,1) ) - $G$10) * $P$10</f>
        <v/>
      </c>
      <c r="I258" s="140">
        <f>(LN(B258/$B$10)+($H$10^2/2)*($J$10))/($H$10*SQRT($J$10))</f>
        <v/>
      </c>
      <c r="J258" s="140">
        <f>I258 - $H$10*SQRT($J$10)</f>
        <v/>
      </c>
    </row>
    <row r="259" ht="13.5" customHeight="1" s="116">
      <c r="B259" s="144">
        <f>B229</f>
        <v/>
      </c>
      <c r="C259" s="139">
        <f>IF($O$10="sell",-1,1) *  IF($K$10="call",  NORMDIST(I259,0,1,1),  NORMDIST(I259,0,1,1)-1  ) * $P$10</f>
        <v/>
      </c>
      <c r="D259" s="139">
        <f>IF($O$10="sell",-1,1) * NORMDIST(I259,0,1,0)/(B259*$H$10*SQRT($J$10)) * $P$10</f>
        <v/>
      </c>
      <c r="E259" s="139">
        <f>IF($O$10="sell",-1,1) * (B259*NORMDIST(I259,0,1,0)*SQRT($J$10)/365) * $P$10</f>
        <v/>
      </c>
      <c r="F259" s="139">
        <f>IF($O$10="sell",-1,1) * (-(B259*NORMDIST(I259,0,1,0)*$H$10)/(2*SQRT($J$10))/365) *$P$10</f>
        <v/>
      </c>
      <c r="G259" s="139">
        <f>IF($O$10="buy",1,-1)*( IF($K$10="call",B259*NORMDIST(I259,0,1,1) - $B$10*NORMDIST(J259,0,1,1),$B$10*NORMDIST(-J259,0,1,1) - B259*NORMDIST(-I259,0,1,1) ) - $G$10) * $P$10</f>
        <v/>
      </c>
      <c r="I259" s="140">
        <f>(LN(B259/$B$10)+($H$10^2/2)*($J$10))/($H$10*SQRT($J$10))</f>
        <v/>
      </c>
      <c r="J259" s="140">
        <f>I259 - $H$10*SQRT($J$10)</f>
        <v/>
      </c>
    </row>
    <row r="260" ht="13.5" customHeight="1" s="116">
      <c r="B260" s="144">
        <f>B230</f>
        <v/>
      </c>
      <c r="C260" s="139">
        <f>IF($O$10="sell",-1,1) *  IF($K$10="call",  NORMDIST(I260,0,1,1),  NORMDIST(I260,0,1,1)-1  ) * $P$10</f>
        <v/>
      </c>
      <c r="D260" s="139">
        <f>IF($O$10="sell",-1,1) * NORMDIST(I260,0,1,0)/(B260*$H$10*SQRT($J$10)) * $P$10</f>
        <v/>
      </c>
      <c r="E260" s="139">
        <f>IF($O$10="sell",-1,1) * (B260*NORMDIST(I260,0,1,0)*SQRT($J$10)/365) * $P$10</f>
        <v/>
      </c>
      <c r="F260" s="139">
        <f>IF($O$10="sell",-1,1) * (-(B260*NORMDIST(I260,0,1,0)*$H$10)/(2*SQRT($J$10))/365) *$P$10</f>
        <v/>
      </c>
      <c r="G260" s="139">
        <f>IF($O$10="buy",1,-1)*( IF($K$10="call",B260*NORMDIST(I260,0,1,1) - $B$10*NORMDIST(J260,0,1,1),$B$10*NORMDIST(-J260,0,1,1) - B260*NORMDIST(-I260,0,1,1) ) - $G$10) * $P$10</f>
        <v/>
      </c>
      <c r="I260" s="140">
        <f>(LN(B260/$B$10)+($H$10^2/2)*($J$10))/($H$10*SQRT($J$10))</f>
        <v/>
      </c>
      <c r="J260" s="140">
        <f>I260 - $H$10*SQRT($J$10)</f>
        <v/>
      </c>
    </row>
    <row r="261" ht="13.5" customHeight="1" s="116">
      <c r="B261" s="144">
        <f>B231</f>
        <v/>
      </c>
      <c r="C261" s="139">
        <f>IF($O$10="sell",-1,1) *  IF($K$10="call",  NORMDIST(I261,0,1,1),  NORMDIST(I261,0,1,1)-1  ) * $P$10</f>
        <v/>
      </c>
      <c r="D261" s="139">
        <f>IF($O$10="sell",-1,1) * NORMDIST(I261,0,1,0)/(B261*$H$10*SQRT($J$10)) * $P$10</f>
        <v/>
      </c>
      <c r="E261" s="139">
        <f>IF($O$10="sell",-1,1) * (B261*NORMDIST(I261,0,1,0)*SQRT($J$10)/365) * $P$10</f>
        <v/>
      </c>
      <c r="F261" s="139">
        <f>IF($O$10="sell",-1,1) * (-(B261*NORMDIST(I261,0,1,0)*$H$10)/(2*SQRT($J$10))/365) *$P$10</f>
        <v/>
      </c>
      <c r="G261" s="139">
        <f>IF($O$10="buy",1,-1)*( IF($K$10="call",B261*NORMDIST(I261,0,1,1) - $B$10*NORMDIST(J261,0,1,1),$B$10*NORMDIST(-J261,0,1,1) - B261*NORMDIST(-I261,0,1,1) ) - $G$10) * $P$10</f>
        <v/>
      </c>
      <c r="I261" s="140">
        <f>(LN(B261/$B$10)+($H$10^2/2)*($J$10))/($H$10*SQRT($J$10))</f>
        <v/>
      </c>
      <c r="J261" s="140">
        <f>I261 - $H$10*SQRT($J$10)</f>
        <v/>
      </c>
    </row>
    <row r="262" ht="13.5" customHeight="1" s="116">
      <c r="B262" s="144">
        <f>B232</f>
        <v/>
      </c>
      <c r="C262" s="139">
        <f>IF($O$10="sell",-1,1) *  IF($K$10="call",  NORMDIST(I262,0,1,1),  NORMDIST(I262,0,1,1)-1  ) * $P$10</f>
        <v/>
      </c>
      <c r="D262" s="139">
        <f>IF($O$10="sell",-1,1) * NORMDIST(I262,0,1,0)/(B262*$H$10*SQRT($J$10)) * $P$10</f>
        <v/>
      </c>
      <c r="E262" s="139">
        <f>IF($O$10="sell",-1,1) * (B262*NORMDIST(I262,0,1,0)*SQRT($J$10)/365) * $P$10</f>
        <v/>
      </c>
      <c r="F262" s="139">
        <f>IF($O$10="sell",-1,1) * (-(B262*NORMDIST(I262,0,1,0)*$H$10)/(2*SQRT($J$10))/365) *$P$10</f>
        <v/>
      </c>
      <c r="G262" s="139">
        <f>IF($O$10="buy",1,-1)*( IF($K$10="call",B262*NORMDIST(I262,0,1,1) - $B$10*NORMDIST(J262,0,1,1),$B$10*NORMDIST(-J262,0,1,1) - B262*NORMDIST(-I262,0,1,1) ) - $G$10) * $P$10</f>
        <v/>
      </c>
      <c r="I262" s="140">
        <f>(LN(B262/$B$10)+($H$10^2/2)*($J$10))/($H$10*SQRT($J$10))</f>
        <v/>
      </c>
      <c r="J262" s="140">
        <f>I262 - $H$10*SQRT($J$10)</f>
        <v/>
      </c>
    </row>
    <row r="263" ht="13.5" customHeight="1" s="116">
      <c r="B263" s="144">
        <f>B233</f>
        <v/>
      </c>
      <c r="C263" s="139">
        <f>IF($O$10="sell",-1,1) *  IF($K$10="call",  NORMDIST(I263,0,1,1),  NORMDIST(I263,0,1,1)-1  ) * $P$10</f>
        <v/>
      </c>
      <c r="D263" s="139">
        <f>IF($O$10="sell",-1,1) * NORMDIST(I263,0,1,0)/(B263*$H$10*SQRT($J$10)) * $P$10</f>
        <v/>
      </c>
      <c r="E263" s="139">
        <f>IF($O$10="sell",-1,1) * (B263*NORMDIST(I263,0,1,0)*SQRT($J$10)/365) * $P$10</f>
        <v/>
      </c>
      <c r="F263" s="139">
        <f>IF($O$10="sell",-1,1) * (-(B263*NORMDIST(I263,0,1,0)*$H$10)/(2*SQRT($J$10))/365) *$P$10</f>
        <v/>
      </c>
      <c r="G263" s="139">
        <f>IF($O$10="buy",1,-1)*( IF($K$10="call",B263*NORMDIST(I263,0,1,1) - $B$10*NORMDIST(J263,0,1,1),$B$10*NORMDIST(-J263,0,1,1) - B263*NORMDIST(-I263,0,1,1) ) - $G$10) * $P$10</f>
        <v/>
      </c>
      <c r="I263" s="140">
        <f>(LN(B263/$B$10)+($H$10^2/2)*($J$10))/($H$10*SQRT($J$10))</f>
        <v/>
      </c>
      <c r="J263" s="140">
        <f>I263 - $H$10*SQRT($J$10)</f>
        <v/>
      </c>
    </row>
    <row r="264" ht="13.5" customHeight="1" s="116">
      <c r="B264" s="144">
        <f>B234</f>
        <v/>
      </c>
      <c r="C264" s="139">
        <f>IF($O$10="sell",-1,1) *  IF($K$10="call",  NORMDIST(I264,0,1,1),  NORMDIST(I264,0,1,1)-1  ) * $P$10</f>
        <v/>
      </c>
      <c r="D264" s="139">
        <f>IF($O$10="sell",-1,1) * NORMDIST(I264,0,1,0)/(B264*$H$10*SQRT($J$10)) * $P$10</f>
        <v/>
      </c>
      <c r="E264" s="139">
        <f>IF($O$10="sell",-1,1) * (B264*NORMDIST(I264,0,1,0)*SQRT($J$10)/365) * $P$10</f>
        <v/>
      </c>
      <c r="F264" s="139">
        <f>IF($O$10="sell",-1,1) * (-(B264*NORMDIST(I264,0,1,0)*$H$10)/(2*SQRT($J$10))/365) *$P$10</f>
        <v/>
      </c>
      <c r="G264" s="139">
        <f>IF($O$10="buy",1,-1)*( IF($K$10="call",B264*NORMDIST(I264,0,1,1) - $B$10*NORMDIST(J264,0,1,1),$B$10*NORMDIST(-J264,0,1,1) - B264*NORMDIST(-I264,0,1,1) ) - $G$10) * $P$10</f>
        <v/>
      </c>
      <c r="I264" s="140">
        <f>(LN(B264/$B$10)+($H$10^2/2)*($J$10))/($H$10*SQRT($J$10))</f>
        <v/>
      </c>
      <c r="J264" s="140">
        <f>I264 - $H$10*SQRT($J$10)</f>
        <v/>
      </c>
    </row>
    <row r="265" ht="13.5" customHeight="1" s="116">
      <c r="B265" s="144">
        <f>B235</f>
        <v/>
      </c>
      <c r="C265" s="139">
        <f>IF($O$10="sell",-1,1) *  IF($K$10="call",  NORMDIST(I265,0,1,1),  NORMDIST(I265,0,1,1)-1  ) * $P$10</f>
        <v/>
      </c>
      <c r="D265" s="139">
        <f>IF($O$10="sell",-1,1) * NORMDIST(I265,0,1,0)/(B265*$H$10*SQRT($J$10)) * $P$10</f>
        <v/>
      </c>
      <c r="E265" s="139">
        <f>IF($O$10="sell",-1,1) * (B265*NORMDIST(I265,0,1,0)*SQRT($J$10)/365) * $P$10</f>
        <v/>
      </c>
      <c r="F265" s="139">
        <f>IF($O$10="sell",-1,1) * (-(B265*NORMDIST(I265,0,1,0)*$H$10)/(2*SQRT($J$10))/365) *$P$10</f>
        <v/>
      </c>
      <c r="G265" s="139">
        <f>IF($O$10="buy",1,-1)*( IF($K$10="call",B265*NORMDIST(I265,0,1,1) - $B$10*NORMDIST(J265,0,1,1),$B$10*NORMDIST(-J265,0,1,1) - B265*NORMDIST(-I265,0,1,1) ) - $G$10) * $P$10</f>
        <v/>
      </c>
      <c r="I265" s="140">
        <f>(LN(B265/$B$10)+($H$10^2/2)*($J$10))/($H$10*SQRT($J$10))</f>
        <v/>
      </c>
      <c r="J265" s="140">
        <f>I265 - $H$10*SQRT($J$10)</f>
        <v/>
      </c>
    </row>
    <row r="266" ht="13.5" customHeight="1" s="116">
      <c r="B266" s="144">
        <f>B236</f>
        <v/>
      </c>
      <c r="C266" s="139">
        <f>IF($O$10="sell",-1,1) *  IF($K$10="call",  NORMDIST(I266,0,1,1),  NORMDIST(I266,0,1,1)-1  ) * $P$10</f>
        <v/>
      </c>
      <c r="D266" s="139">
        <f>IF($O$10="sell",-1,1) * NORMDIST(I266,0,1,0)/(B266*$H$10*SQRT($J$10)) * $P$10</f>
        <v/>
      </c>
      <c r="E266" s="139">
        <f>IF($O$10="sell",-1,1) * (B266*NORMDIST(I266,0,1,0)*SQRT($J$10)/365) * $P$10</f>
        <v/>
      </c>
      <c r="F266" s="139">
        <f>IF($O$10="sell",-1,1) * (-(B266*NORMDIST(I266,0,1,0)*$H$10)/(2*SQRT($J$10))/365) *$P$10</f>
        <v/>
      </c>
      <c r="G266" s="139">
        <f>IF($O$10="buy",1,-1)*( IF($K$10="call",B266*NORMDIST(I266,0,1,1) - $B$10*NORMDIST(J266,0,1,1),$B$10*NORMDIST(-J266,0,1,1) - B266*NORMDIST(-I266,0,1,1) ) - $G$10) * $P$10</f>
        <v/>
      </c>
      <c r="I266" s="140">
        <f>(LN(B266/$B$10)+($H$10^2/2)*($J$10))/($H$10*SQRT($J$10))</f>
        <v/>
      </c>
      <c r="J266" s="140">
        <f>I266 - $H$10*SQRT($J$10)</f>
        <v/>
      </c>
    </row>
    <row r="267" ht="13.5" customHeight="1" s="116">
      <c r="B267" s="144">
        <f>B237</f>
        <v/>
      </c>
      <c r="C267" s="139">
        <f>IF($O$10="sell",-1,1) *  IF($K$10="call",  NORMDIST(I267,0,1,1),  NORMDIST(I267,0,1,1)-1  ) * $P$10</f>
        <v/>
      </c>
      <c r="D267" s="139">
        <f>IF($O$10="sell",-1,1) * NORMDIST(I267,0,1,0)/(B267*$H$10*SQRT($J$10)) * $P$10</f>
        <v/>
      </c>
      <c r="E267" s="139">
        <f>IF($O$10="sell",-1,1) * (B267*NORMDIST(I267,0,1,0)*SQRT($J$10)/365) * $P$10</f>
        <v/>
      </c>
      <c r="F267" s="139">
        <f>IF($O$10="sell",-1,1) * (-(B267*NORMDIST(I267,0,1,0)*$H$10)/(2*SQRT($J$10))/365) *$P$10</f>
        <v/>
      </c>
      <c r="G267" s="139">
        <f>IF($O$10="buy",1,-1)*( IF($K$10="call",B267*NORMDIST(I267,0,1,1) - $B$10*NORMDIST(J267,0,1,1),$B$10*NORMDIST(-J267,0,1,1) - B267*NORMDIST(-I267,0,1,1) ) - $G$10) * $P$10</f>
        <v/>
      </c>
      <c r="I267" s="140">
        <f>(LN(B267/$B$10)+($H$10^2/2)*($J$10))/($H$10*SQRT($J$10))</f>
        <v/>
      </c>
      <c r="J267" s="140">
        <f>I267 - $H$10*SQRT($J$10)</f>
        <v/>
      </c>
    </row>
    <row r="268" ht="13.5" customHeight="1" s="116">
      <c r="B268" s="144">
        <f>B238</f>
        <v/>
      </c>
      <c r="C268" s="139">
        <f>IF($O$10="sell",-1,1) *  IF($K$10="call",  NORMDIST(I268,0,1,1),  NORMDIST(I268,0,1,1)-1  ) * $P$10</f>
        <v/>
      </c>
      <c r="D268" s="139">
        <f>IF($O$10="sell",-1,1) * NORMDIST(I268,0,1,0)/(B268*$H$10*SQRT($J$10)) * $P$10</f>
        <v/>
      </c>
      <c r="E268" s="139">
        <f>IF($O$10="sell",-1,1) * (B268*NORMDIST(I268,0,1,0)*SQRT($J$10)/365) * $P$10</f>
        <v/>
      </c>
      <c r="F268" s="139">
        <f>IF($O$10="sell",-1,1) * (-(B268*NORMDIST(I268,0,1,0)*$H$10)/(2*SQRT($J$10))/365) *$P$10</f>
        <v/>
      </c>
      <c r="G268" s="139">
        <f>IF($O$10="buy",1,-1)*( IF($K$10="call",B268*NORMDIST(I268,0,1,1) - $B$10*NORMDIST(J268,0,1,1),$B$10*NORMDIST(-J268,0,1,1) - B268*NORMDIST(-I268,0,1,1) ) - $G$10) * $P$10</f>
        <v/>
      </c>
      <c r="I268" s="140">
        <f>(LN(B268/$B$10)+($H$10^2/2)*($J$10))/($H$10*SQRT($J$10))</f>
        <v/>
      </c>
      <c r="J268" s="140">
        <f>I268 - $H$10*SQRT($J$10)</f>
        <v/>
      </c>
    </row>
    <row r="269" ht="13.5" customHeight="1" s="116">
      <c r="B269" s="144">
        <f>B239</f>
        <v/>
      </c>
      <c r="C269" s="139">
        <f>IF($O$10="sell",-1,1) *  IF($K$10="call",  NORMDIST(I269,0,1,1),  NORMDIST(I269,0,1,1)-1  ) * $P$10</f>
        <v/>
      </c>
      <c r="D269" s="139">
        <f>IF($O$10="sell",-1,1) * NORMDIST(I269,0,1,0)/(B269*$H$10*SQRT($J$10)) * $P$10</f>
        <v/>
      </c>
      <c r="E269" s="139">
        <f>IF($O$10="sell",-1,1) * (B269*NORMDIST(I269,0,1,0)*SQRT($J$10)/365) * $P$10</f>
        <v/>
      </c>
      <c r="F269" s="139">
        <f>IF($O$10="sell",-1,1) * (-(B269*NORMDIST(I269,0,1,0)*$H$10)/(2*SQRT($J$10))/365) *$P$10</f>
        <v/>
      </c>
      <c r="G269" s="139">
        <f>IF($O$10="buy",1,-1)*( IF($K$10="call",B269*NORMDIST(I269,0,1,1) - $B$10*NORMDIST(J269,0,1,1),$B$10*NORMDIST(-J269,0,1,1) - B269*NORMDIST(-I269,0,1,1) ) - $G$10) * $P$10</f>
        <v/>
      </c>
      <c r="I269" s="140">
        <f>(LN(B269/$B$10)+($H$10^2/2)*($J$10))/($H$10*SQRT($J$10))</f>
        <v/>
      </c>
      <c r="J269" s="140">
        <f>I269 - $H$10*SQRT($J$10)</f>
        <v/>
      </c>
    </row>
    <row r="270" ht="13.5" customHeight="1" s="116">
      <c r="B270" s="144">
        <f>B240</f>
        <v/>
      </c>
      <c r="C270" s="139">
        <f>IF($O$10="sell",-1,1) *  IF($K$10="call",  NORMDIST(I270,0,1,1),  NORMDIST(I270,0,1,1)-1  ) * $P$10</f>
        <v/>
      </c>
      <c r="D270" s="139">
        <f>IF($O$10="sell",-1,1) * NORMDIST(I270,0,1,0)/(B270*$H$10*SQRT($J$10)) * $P$10</f>
        <v/>
      </c>
      <c r="E270" s="139">
        <f>IF($O$10="sell",-1,1) * (B270*NORMDIST(I270,0,1,0)*SQRT($J$10)/365) * $P$10</f>
        <v/>
      </c>
      <c r="F270" s="139">
        <f>IF($O$10="sell",-1,1) * (-(B270*NORMDIST(I270,0,1,0)*$H$10)/(2*SQRT($J$10))/365) *$P$10</f>
        <v/>
      </c>
      <c r="G270" s="139">
        <f>IF($O$10="buy",1,-1)*( IF($K$10="call",B270*NORMDIST(I270,0,1,1) - $B$10*NORMDIST(J270,0,1,1),$B$10*NORMDIST(-J270,0,1,1) - B270*NORMDIST(-I270,0,1,1) ) - $G$10) * $P$10</f>
        <v/>
      </c>
      <c r="I270" s="140">
        <f>(LN(B270/$B$10)+($H$10^2/2)*($J$10))/($H$10*SQRT($J$10))</f>
        <v/>
      </c>
      <c r="J270" s="140">
        <f>I270 - $H$10*SQRT($J$10)</f>
        <v/>
      </c>
    </row>
    <row r="271" ht="13.5" customHeight="1" s="116">
      <c r="B271" s="144">
        <f>B241</f>
        <v/>
      </c>
      <c r="C271" s="139">
        <f>IF($O$10="sell",-1,1) *  IF($K$10="call",  NORMDIST(I271,0,1,1),  NORMDIST(I271,0,1,1)-1  ) * $P$10</f>
        <v/>
      </c>
      <c r="D271" s="139">
        <f>IF($O$10="sell",-1,1) * NORMDIST(I271,0,1,0)/(B271*$H$10*SQRT($J$10)) * $P$10</f>
        <v/>
      </c>
      <c r="E271" s="139">
        <f>IF($O$10="sell",-1,1) * (B271*NORMDIST(I271,0,1,0)*SQRT($J$10)/365) * $P$10</f>
        <v/>
      </c>
      <c r="F271" s="139">
        <f>IF($O$10="sell",-1,1) * (-(B271*NORMDIST(I271,0,1,0)*$H$10)/(2*SQRT($J$10))/365) *$P$10</f>
        <v/>
      </c>
      <c r="G271" s="139">
        <f>IF($O$10="buy",1,-1)*( IF($K$10="call",B271*NORMDIST(I271,0,1,1) - $B$10*NORMDIST(J271,0,1,1),$B$10*NORMDIST(-J271,0,1,1) - B271*NORMDIST(-I271,0,1,1) ) - $G$10) * $P$10</f>
        <v/>
      </c>
      <c r="I271" s="140">
        <f>(LN(B271/$B$10)+($H$10^2/2)*($J$10))/($H$10*SQRT($J$10))</f>
        <v/>
      </c>
      <c r="J271" s="140">
        <f>I271 - $H$10*SQRT($J$10)</f>
        <v/>
      </c>
    </row>
    <row r="272" ht="13.5" customHeight="1" s="116">
      <c r="B272" s="144">
        <f>B242</f>
        <v/>
      </c>
      <c r="C272" s="139">
        <f>IF($O$10="sell",-1,1) *  IF($K$10="call",  NORMDIST(I272,0,1,1),  NORMDIST(I272,0,1,1)-1  ) * $P$10</f>
        <v/>
      </c>
      <c r="D272" s="139">
        <f>IF($O$10="sell",-1,1) * NORMDIST(I272,0,1,0)/(B272*$H$10*SQRT($J$10)) * $P$10</f>
        <v/>
      </c>
      <c r="E272" s="139">
        <f>IF($O$10="sell",-1,1) * (B272*NORMDIST(I272,0,1,0)*SQRT($J$10)/365) * $P$10</f>
        <v/>
      </c>
      <c r="F272" s="139">
        <f>IF($O$10="sell",-1,1) * (-(B272*NORMDIST(I272,0,1,0)*$H$10)/(2*SQRT($J$10))/365) *$P$10</f>
        <v/>
      </c>
      <c r="G272" s="139">
        <f>IF($O$10="buy",1,-1)*( IF($K$10="call",B272*NORMDIST(I272,0,1,1) - $B$10*NORMDIST(J272,0,1,1),$B$10*NORMDIST(-J272,0,1,1) - B272*NORMDIST(-I272,0,1,1) ) - $G$10) * $P$10</f>
        <v/>
      </c>
      <c r="I272" s="140">
        <f>(LN(B272/$B$10)+($H$10^2/2)*($J$10))/($H$10*SQRT($J$10))</f>
        <v/>
      </c>
      <c r="J272" s="140">
        <f>I272 - $H$10*SQRT($J$10)</f>
        <v/>
      </c>
    </row>
    <row r="273" ht="13.5" customHeight="1" s="116">
      <c r="B273" s="144">
        <f>B243</f>
        <v/>
      </c>
      <c r="C273" s="139">
        <f>IF($O$10="sell",-1,1) *  IF($K$10="call",  NORMDIST(I273,0,1,1),  NORMDIST(I273,0,1,1)-1  ) * $P$10</f>
        <v/>
      </c>
      <c r="D273" s="139">
        <f>IF($O$10="sell",-1,1) * NORMDIST(I273,0,1,0)/(B273*$H$10*SQRT($J$10)) * $P$10</f>
        <v/>
      </c>
      <c r="E273" s="139">
        <f>IF($O$10="sell",-1,1) * (B273*NORMDIST(I273,0,1,0)*SQRT($J$10)/365) * $P$10</f>
        <v/>
      </c>
      <c r="F273" s="139">
        <f>IF($O$10="sell",-1,1) * (-(B273*NORMDIST(I273,0,1,0)*$H$10)/(2*SQRT($J$10))/365) *$P$10</f>
        <v/>
      </c>
      <c r="G273" s="139">
        <f>IF($O$10="buy",1,-1)*( IF($K$10="call",B273*NORMDIST(I273,0,1,1) - $B$10*NORMDIST(J273,0,1,1),$B$10*NORMDIST(-J273,0,1,1) - B273*NORMDIST(-I273,0,1,1) ) - $G$10) * $P$10</f>
        <v/>
      </c>
      <c r="I273" s="140">
        <f>(LN(B273/$B$10)+($H$10^2/2)*($J$10))/($H$10*SQRT($J$10))</f>
        <v/>
      </c>
      <c r="J273" s="140">
        <f>I273 - $H$10*SQRT($J$10)</f>
        <v/>
      </c>
    </row>
    <row r="274" ht="13.5" customHeight="1" s="116">
      <c r="B274" s="144">
        <f>B244</f>
        <v/>
      </c>
      <c r="C274" s="139">
        <f>IF($O$10="sell",-1,1) *  IF($K$10="call",  NORMDIST(I274,0,1,1),  NORMDIST(I274,0,1,1)-1  ) * $P$10</f>
        <v/>
      </c>
      <c r="D274" s="139">
        <f>IF($O$10="sell",-1,1) * NORMDIST(I274,0,1,0)/(B274*$H$10*SQRT($J$10)) * $P$10</f>
        <v/>
      </c>
      <c r="E274" s="139">
        <f>IF($O$10="sell",-1,1) * (B274*NORMDIST(I274,0,1,0)*SQRT($J$10)/365) * $P$10</f>
        <v/>
      </c>
      <c r="F274" s="139">
        <f>IF($O$10="sell",-1,1) * (-(B274*NORMDIST(I274,0,1,0)*$H$10)/(2*SQRT($J$10))/365) *$P$10</f>
        <v/>
      </c>
      <c r="G274" s="139">
        <f>IF($O$10="buy",1,-1)*( IF($K$10="call",B274*NORMDIST(I274,0,1,1) - $B$10*NORMDIST(J274,0,1,1),$B$10*NORMDIST(-J274,0,1,1) - B274*NORMDIST(-I274,0,1,1) ) - $G$10) * $P$10</f>
        <v/>
      </c>
      <c r="I274" s="140">
        <f>(LN(B274/$B$10)+($H$10^2/2)*($J$10))/($H$10*SQRT($J$10))</f>
        <v/>
      </c>
      <c r="J274" s="140">
        <f>I274 - $H$10*SQRT($J$10)</f>
        <v/>
      </c>
    </row>
    <row r="275" ht="13.5" customHeight="1" s="116">
      <c r="B275" s="144">
        <f>B245</f>
        <v/>
      </c>
      <c r="C275" s="139">
        <f>IF($O$10="sell",-1,1) *  IF($K$10="call",  NORMDIST(I275,0,1,1),  NORMDIST(I275,0,1,1)-1  ) * $P$10</f>
        <v/>
      </c>
      <c r="D275" s="139">
        <f>IF($O$10="sell",-1,1) * NORMDIST(I275,0,1,0)/(B275*$H$10*SQRT($J$10)) * $P$10</f>
        <v/>
      </c>
      <c r="E275" s="139">
        <f>IF($O$10="sell",-1,1) * (B275*NORMDIST(I275,0,1,0)*SQRT($J$10)/365) * $P$10</f>
        <v/>
      </c>
      <c r="F275" s="139">
        <f>IF($O$10="sell",-1,1) * (-(B275*NORMDIST(I275,0,1,0)*$H$10)/(2*SQRT($J$10))/365) *$P$10</f>
        <v/>
      </c>
      <c r="G275" s="139">
        <f>IF($O$10="buy",1,-1)*( IF($K$10="call",B275*NORMDIST(I275,0,1,1) - $B$10*NORMDIST(J275,0,1,1),$B$10*NORMDIST(-J275,0,1,1) - B275*NORMDIST(-I275,0,1,1) ) - $G$10) * $P$10</f>
        <v/>
      </c>
      <c r="I275" s="140">
        <f>(LN(B275/$B$10)+($H$10^2/2)*($J$10))/($H$10*SQRT($J$10))</f>
        <v/>
      </c>
      <c r="J275" s="140">
        <f>I275 - $H$10*SQRT($J$10)</f>
        <v/>
      </c>
    </row>
    <row r="276" ht="13.5" customHeight="1" s="116">
      <c r="B276" s="144">
        <f>B246</f>
        <v/>
      </c>
      <c r="C276" s="139">
        <f>IF($O$10="sell",-1,1) *  IF($K$10="call",  NORMDIST(I276,0,1,1),  NORMDIST(I276,0,1,1)-1  ) * $P$10</f>
        <v/>
      </c>
      <c r="D276" s="139">
        <f>IF($O$10="sell",-1,1) * NORMDIST(I276,0,1,0)/(B276*$H$10*SQRT($J$10)) * $P$10</f>
        <v/>
      </c>
      <c r="E276" s="139">
        <f>IF($O$10="sell",-1,1) * (B276*NORMDIST(I276,0,1,0)*SQRT($J$10)/365) * $P$10</f>
        <v/>
      </c>
      <c r="F276" s="139">
        <f>IF($O$10="sell",-1,1) * (-(B276*NORMDIST(I276,0,1,0)*$H$10)/(2*SQRT($J$10))/365) *$P$10</f>
        <v/>
      </c>
      <c r="G276" s="139">
        <f>IF($O$10="buy",1,-1)*( IF($K$10="call",B276*NORMDIST(I276,0,1,1) - $B$10*NORMDIST(J276,0,1,1),$B$10*NORMDIST(-J276,0,1,1) - B276*NORMDIST(-I276,0,1,1) ) - $G$10) * $P$10</f>
        <v/>
      </c>
      <c r="I276" s="140">
        <f>(LN(B276/$B$10)+($H$10^2/2)*($J$10))/($H$10*SQRT($J$10))</f>
        <v/>
      </c>
      <c r="J276" s="140">
        <f>I276 - $H$10*SQRT($J$10)</f>
        <v/>
      </c>
    </row>
    <row r="277" ht="13.5" customHeight="1" s="116">
      <c r="B277" s="144">
        <f>B247</f>
        <v/>
      </c>
      <c r="C277" s="139">
        <f>IF($O$10="sell",-1,1) *  IF($K$10="call",  NORMDIST(I277,0,1,1),  NORMDIST(I277,0,1,1)-1  ) * $P$10</f>
        <v/>
      </c>
      <c r="D277" s="139">
        <f>IF($O$10="sell",-1,1) * NORMDIST(I277,0,1,0)/(B277*$H$10*SQRT($J$10)) * $P$10</f>
        <v/>
      </c>
      <c r="E277" s="139">
        <f>IF($O$10="sell",-1,1) * (B277*NORMDIST(I277,0,1,0)*SQRT($J$10)/365) * $P$10</f>
        <v/>
      </c>
      <c r="F277" s="139">
        <f>IF($O$10="sell",-1,1) * (-(B277*NORMDIST(I277,0,1,0)*$H$10)/(2*SQRT($J$10))/365) *$P$10</f>
        <v/>
      </c>
      <c r="G277" s="139">
        <f>IF($O$10="buy",1,-1)*( IF($K$10="call",B277*NORMDIST(I277,0,1,1) - $B$10*NORMDIST(J277,0,1,1),$B$10*NORMDIST(-J277,0,1,1) - B277*NORMDIST(-I277,0,1,1) ) - $G$10) * $P$10</f>
        <v/>
      </c>
      <c r="I277" s="140">
        <f>(LN(B277/$B$10)+($H$10^2/2)*($J$10))/($H$10*SQRT($J$10))</f>
        <v/>
      </c>
      <c r="J277" s="140">
        <f>I277 - $H$10*SQRT($J$10)</f>
        <v/>
      </c>
    </row>
    <row r="278" ht="13.5" customHeight="1" s="116">
      <c r="B278" s="144">
        <f>B248</f>
        <v/>
      </c>
      <c r="C278" s="139">
        <f>IF($O$10="sell",-1,1) *  IF($K$10="call",  NORMDIST(I278,0,1,1),  NORMDIST(I278,0,1,1)-1  ) * $P$10</f>
        <v/>
      </c>
      <c r="D278" s="139">
        <f>IF($O$10="sell",-1,1) * NORMDIST(I278,0,1,0)/(B278*$H$10*SQRT($J$10)) * $P$10</f>
        <v/>
      </c>
      <c r="E278" s="139">
        <f>IF($O$10="sell",-1,1) * (B278*NORMDIST(I278,0,1,0)*SQRT($J$10)/365) * $P$10</f>
        <v/>
      </c>
      <c r="F278" s="139">
        <f>IF($O$10="sell",-1,1) * (-(B278*NORMDIST(I278,0,1,0)*$H$10)/(2*SQRT($J$10))/365) *$P$10</f>
        <v/>
      </c>
      <c r="G278" s="139">
        <f>IF($O$10="buy",1,-1)*( IF($K$10="call",B278*NORMDIST(I278,0,1,1) - $B$10*NORMDIST(J278,0,1,1),$B$10*NORMDIST(-J278,0,1,1) - B278*NORMDIST(-I278,0,1,1) ) - $G$10) * $P$10</f>
        <v/>
      </c>
      <c r="I278" s="140">
        <f>(LN(B278/$B$10)+($H$10^2/2)*($J$10))/($H$10*SQRT($J$10))</f>
        <v/>
      </c>
      <c r="J278" s="140">
        <f>I278 - $H$10*SQRT($J$10)</f>
        <v/>
      </c>
    </row>
    <row r="279" ht="13.5" customHeight="1" s="116">
      <c r="B279" s="144">
        <f>B249</f>
        <v/>
      </c>
      <c r="C279" s="139">
        <f>IF($O$10="sell",-1,1) *  IF($K$10="call",  NORMDIST(I279,0,1,1),  NORMDIST(I279,0,1,1)-1  ) * $P$10</f>
        <v/>
      </c>
      <c r="D279" s="139">
        <f>IF($O$10="sell",-1,1) * NORMDIST(I279,0,1,0)/(B279*$H$10*SQRT($J$10)) * $P$10</f>
        <v/>
      </c>
      <c r="E279" s="139">
        <f>IF($O$10="sell",-1,1) * (B279*NORMDIST(I279,0,1,0)*SQRT($J$10)/365) * $P$10</f>
        <v/>
      </c>
      <c r="F279" s="139">
        <f>IF($O$10="sell",-1,1) * (-(B279*NORMDIST(I279,0,1,0)*$H$10)/(2*SQRT($J$10))/365) *$P$10</f>
        <v/>
      </c>
      <c r="G279" s="139">
        <f>IF($O$10="buy",1,-1)*( IF($K$10="call",B279*NORMDIST(I279,0,1,1) - $B$10*NORMDIST(J279,0,1,1),$B$10*NORMDIST(-J279,0,1,1) - B279*NORMDIST(-I279,0,1,1) ) - $G$10) * $P$10</f>
        <v/>
      </c>
      <c r="I279" s="140">
        <f>(LN(B279/$B$10)+($H$10^2/2)*($J$10))/($H$10*SQRT($J$10))</f>
        <v/>
      </c>
      <c r="J279" s="140">
        <f>I279 - $H$10*SQRT($J$10)</f>
        <v/>
      </c>
    </row>
    <row r="280" ht="13.5" customHeight="1" s="116">
      <c r="B280" s="144">
        <f>B250</f>
        <v/>
      </c>
      <c r="C280" s="139">
        <f>IF($O$10="sell",-1,1) *  IF($K$10="call",  NORMDIST(I280,0,1,1),  NORMDIST(I280,0,1,1)-1  ) * $P$10</f>
        <v/>
      </c>
      <c r="D280" s="139">
        <f>IF($O$10="sell",-1,1) * NORMDIST(I280,0,1,0)/(B280*$H$10*SQRT($J$10)) * $P$10</f>
        <v/>
      </c>
      <c r="E280" s="139">
        <f>IF($O$10="sell",-1,1) * (B280*NORMDIST(I280,0,1,0)*SQRT($J$10)/365) * $P$10</f>
        <v/>
      </c>
      <c r="F280" s="139">
        <f>IF($O$10="sell",-1,1) * (-(B280*NORMDIST(I280,0,1,0)*$H$10)/(2*SQRT($J$10))/365) *$P$10</f>
        <v/>
      </c>
      <c r="G280" s="139">
        <f>IF($O$10="buy",1,-1)*( IF($K$10="call",B280*NORMDIST(I280,0,1,1) - $B$10*NORMDIST(J280,0,1,1),$B$10*NORMDIST(-J280,0,1,1) - B280*NORMDIST(-I280,0,1,1) ) - $G$10) * $P$10</f>
        <v/>
      </c>
      <c r="I280" s="140">
        <f>(LN(B280/$B$10)+($H$10^2/2)*($J$10))/($H$10*SQRT($J$10))</f>
        <v/>
      </c>
      <c r="J280" s="140">
        <f>I280 - $H$10*SQRT($J$10)</f>
        <v/>
      </c>
    </row>
    <row r="281" ht="13.5" customHeight="1" s="116">
      <c r="B281" s="145" t="n"/>
      <c r="C281" s="136" t="n"/>
      <c r="D281" s="136" t="n"/>
      <c r="E281" s="136" t="n"/>
      <c r="F281" s="136" t="n"/>
      <c r="G281" s="136" t="n"/>
      <c r="I281" s="146" t="n"/>
      <c r="J281" s="146" t="n"/>
    </row>
    <row r="282" ht="13.5" customHeight="1" s="116">
      <c r="B282" s="145" t="n"/>
      <c r="C282" s="136" t="n"/>
      <c r="D282" s="136" t="n"/>
      <c r="E282" s="136" t="n"/>
      <c r="F282" s="136" t="n"/>
      <c r="G282" s="136" t="n"/>
      <c r="I282" s="146" t="n"/>
      <c r="J282" s="146" t="n"/>
    </row>
    <row r="283" ht="13.5" customHeight="1" s="116">
      <c r="B283" s="137" t="n"/>
      <c r="C283" s="133" t="inlineStr">
        <is>
          <t>delta</t>
        </is>
      </c>
      <c r="D283" s="133" t="inlineStr">
        <is>
          <t>gamma</t>
        </is>
      </c>
      <c r="E283" s="133" t="inlineStr">
        <is>
          <t>vega</t>
        </is>
      </c>
      <c r="F283" s="133" t="inlineStr">
        <is>
          <t>theta</t>
        </is>
      </c>
      <c r="G283" s="133" t="inlineStr">
        <is>
          <t>mark_price</t>
        </is>
      </c>
      <c r="I283" s="133" t="inlineStr">
        <is>
          <t>d1</t>
        </is>
      </c>
      <c r="J283" s="133" t="inlineStr">
        <is>
          <t>d2</t>
        </is>
      </c>
    </row>
    <row r="284" ht="13.5" customHeight="1" s="116">
      <c r="A284" s="117">
        <f>A11</f>
        <v/>
      </c>
      <c r="B284" s="144">
        <f>B254</f>
        <v/>
      </c>
      <c r="C284" s="139">
        <f>IF($O$11="sell",-1,1) *  IF($K$11="call",  NORMDIST(I284,0,1,1),  NORMDIST(I284,0,1,1)-1  ) * $P$11</f>
        <v/>
      </c>
      <c r="D284" s="139">
        <f>IF($O$11="sell",-1,1) * NORMDIST(I284,0,1,0)/(B284*$H$11*SQRT($J$11)) * $P$11</f>
        <v/>
      </c>
      <c r="E284" s="139">
        <f>IF($O$11="sell",-1,1) * (B284*NORMDIST(I284,0,1,0)*SQRT($J$11)/365) * $P$11</f>
        <v/>
      </c>
      <c r="F284" s="139">
        <f>IF($O$11="sell",-1,1) * (-(B284*NORMDIST(I284,0,1,0)*$H$11)/(2*SQRT($J$11))/365) *$P$11</f>
        <v/>
      </c>
      <c r="G284" s="139">
        <f>IF($O$11="buy",1,-1)*( IF($K$11="call",B284*NORMDIST(I284,0,1,1) - $B$11*NORMDIST(J284,0,1,1),$B$11*NORMDIST(-J284,0,1,1) - B284*NORMDIST(-I284,0,1,1) ) - $G$11) * $P$11</f>
        <v/>
      </c>
      <c r="I284" s="140">
        <f>(LN(B284/$B$11)+($H$11^2/2)*($J$11))/($H$11*SQRT($J$11))</f>
        <v/>
      </c>
      <c r="J284" s="140">
        <f>I284 - $H$11*SQRT($J$11)</f>
        <v/>
      </c>
    </row>
    <row r="285" ht="13.5" customHeight="1" s="116">
      <c r="B285" s="144">
        <f>B255</f>
        <v/>
      </c>
      <c r="C285" s="139">
        <f>IF($O$11="sell",-1,1) *  IF($K$11="call",  NORMDIST(I285,0,1,1),  NORMDIST(I285,0,1,1)-1  ) * $P$11</f>
        <v/>
      </c>
      <c r="D285" s="139">
        <f>IF($O$11="sell",-1,1) * NORMDIST(I285,0,1,0)/(B285*$H$11*SQRT($J$11)) * $P$11</f>
        <v/>
      </c>
      <c r="E285" s="139">
        <f>IF($O$11="sell",-1,1) * (B285*NORMDIST(I285,0,1,0)*SQRT($J$11)/365) * $P$11</f>
        <v/>
      </c>
      <c r="F285" s="139">
        <f>IF($O$11="sell",-1,1) * (-(B285*NORMDIST(I285,0,1,0)*$H$11)/(2*SQRT($J$11))/365) *$P$11</f>
        <v/>
      </c>
      <c r="G285" s="139">
        <f>IF($O$11="buy",1,-1)*( IF($K$11="call",B285*NORMDIST(I285,0,1,1) - $B$11*NORMDIST(J285,0,1,1),$B$11*NORMDIST(-J285,0,1,1) - B285*NORMDIST(-I285,0,1,1) ) - $G$11) * $P$11</f>
        <v/>
      </c>
      <c r="I285" s="140">
        <f>(LN(B285/$B$11)+($H$11^2/2)*($J$11))/($H$11*SQRT($J$11))</f>
        <v/>
      </c>
      <c r="J285" s="140">
        <f>I285 - $H$11*SQRT($J$11)</f>
        <v/>
      </c>
    </row>
    <row r="286" ht="13.5" customHeight="1" s="116">
      <c r="B286" s="144">
        <f>B256</f>
        <v/>
      </c>
      <c r="C286" s="139">
        <f>IF($O$11="sell",-1,1) *  IF($K$11="call",  NORMDIST(I286,0,1,1),  NORMDIST(I286,0,1,1)-1  ) * $P$11</f>
        <v/>
      </c>
      <c r="D286" s="139">
        <f>IF($O$11="sell",-1,1) * NORMDIST(I286,0,1,0)/(B286*$H$11*SQRT($J$11)) * $P$11</f>
        <v/>
      </c>
      <c r="E286" s="139">
        <f>IF($O$11="sell",-1,1) * (B286*NORMDIST(I286,0,1,0)*SQRT($J$11)/365) * $P$11</f>
        <v/>
      </c>
      <c r="F286" s="139">
        <f>IF($O$11="sell",-1,1) * (-(B286*NORMDIST(I286,0,1,0)*$H$11)/(2*SQRT($J$11))/365) *$P$11</f>
        <v/>
      </c>
      <c r="G286" s="139">
        <f>IF($O$11="buy",1,-1)*( IF($K$11="call",B286*NORMDIST(I286,0,1,1) - $B$11*NORMDIST(J286,0,1,1),$B$11*NORMDIST(-J286,0,1,1) - B286*NORMDIST(-I286,0,1,1) ) - $G$11) * $P$11</f>
        <v/>
      </c>
      <c r="I286" s="140">
        <f>(LN(B286/$B$11)+($H$11^2/2)*($J$11))/($H$11*SQRT($J$11))</f>
        <v/>
      </c>
      <c r="J286" s="140">
        <f>I286 - $H$11*SQRT($J$11)</f>
        <v/>
      </c>
    </row>
    <row r="287" ht="13.5" customHeight="1" s="116">
      <c r="B287" s="144">
        <f>B257</f>
        <v/>
      </c>
      <c r="C287" s="139">
        <f>IF($O$11="sell",-1,1) *  IF($K$11="call",  NORMDIST(I287,0,1,1),  NORMDIST(I287,0,1,1)-1  ) * $P$11</f>
        <v/>
      </c>
      <c r="D287" s="139">
        <f>IF($O$11="sell",-1,1) * NORMDIST(I287,0,1,0)/(B287*$H$11*SQRT($J$11)) * $P$11</f>
        <v/>
      </c>
      <c r="E287" s="139">
        <f>IF($O$11="sell",-1,1) * (B287*NORMDIST(I287,0,1,0)*SQRT($J$11)/365) * $P$11</f>
        <v/>
      </c>
      <c r="F287" s="139">
        <f>IF($O$11="sell",-1,1) * (-(B287*NORMDIST(I287,0,1,0)*$H$11)/(2*SQRT($J$11))/365) *$P$11</f>
        <v/>
      </c>
      <c r="G287" s="139">
        <f>IF($O$11="buy",1,-1)*( IF($K$11="call",B287*NORMDIST(I287,0,1,1) - $B$11*NORMDIST(J287,0,1,1),$B$11*NORMDIST(-J287,0,1,1) - B287*NORMDIST(-I287,0,1,1) ) - $G$11) * $P$11</f>
        <v/>
      </c>
      <c r="I287" s="140">
        <f>(LN(B287/$B$11)+($H$11^2/2)*($J$11))/($H$11*SQRT($J$11))</f>
        <v/>
      </c>
      <c r="J287" s="140">
        <f>I287 - $H$11*SQRT($J$11)</f>
        <v/>
      </c>
    </row>
    <row r="288" ht="13.5" customHeight="1" s="116">
      <c r="B288" s="144">
        <f>B258</f>
        <v/>
      </c>
      <c r="C288" s="139">
        <f>IF($O$11="sell",-1,1) *  IF($K$11="call",  NORMDIST(I288,0,1,1),  NORMDIST(I288,0,1,1)-1  ) * $P$11</f>
        <v/>
      </c>
      <c r="D288" s="139">
        <f>IF($O$11="sell",-1,1) * NORMDIST(I288,0,1,0)/(B288*$H$11*SQRT($J$11)) * $P$11</f>
        <v/>
      </c>
      <c r="E288" s="139">
        <f>IF($O$11="sell",-1,1) * (B288*NORMDIST(I288,0,1,0)*SQRT($J$11)/365) * $P$11</f>
        <v/>
      </c>
      <c r="F288" s="139">
        <f>IF($O$11="sell",-1,1) * (-(B288*NORMDIST(I288,0,1,0)*$H$11)/(2*SQRT($J$11))/365) *$P$11</f>
        <v/>
      </c>
      <c r="G288" s="139">
        <f>IF($O$11="buy",1,-1)*( IF($K$11="call",B288*NORMDIST(I288,0,1,1) - $B$11*NORMDIST(J288,0,1,1),$B$11*NORMDIST(-J288,0,1,1) - B288*NORMDIST(-I288,0,1,1) ) - $G$11) * $P$11</f>
        <v/>
      </c>
      <c r="I288" s="140">
        <f>(LN(B288/$B$11)+($H$11^2/2)*($J$11))/($H$11*SQRT($J$11))</f>
        <v/>
      </c>
      <c r="J288" s="140">
        <f>I288 - $H$11*SQRT($J$11)</f>
        <v/>
      </c>
    </row>
    <row r="289" ht="13.5" customHeight="1" s="116">
      <c r="B289" s="144">
        <f>B259</f>
        <v/>
      </c>
      <c r="C289" s="139">
        <f>IF($O$11="sell",-1,1) *  IF($K$11="call",  NORMDIST(I289,0,1,1),  NORMDIST(I289,0,1,1)-1  ) * $P$11</f>
        <v/>
      </c>
      <c r="D289" s="139">
        <f>IF($O$11="sell",-1,1) * NORMDIST(I289,0,1,0)/(B289*$H$11*SQRT($J$11)) * $P$11</f>
        <v/>
      </c>
      <c r="E289" s="139">
        <f>IF($O$11="sell",-1,1) * (B289*NORMDIST(I289,0,1,0)*SQRT($J$11)/365) * $P$11</f>
        <v/>
      </c>
      <c r="F289" s="139">
        <f>IF($O$11="sell",-1,1) * (-(B289*NORMDIST(I289,0,1,0)*$H$11)/(2*SQRT($J$11))/365) *$P$11</f>
        <v/>
      </c>
      <c r="G289" s="139">
        <f>IF($O$11="buy",1,-1)*( IF($K$11="call",B289*NORMDIST(I289,0,1,1) - $B$11*NORMDIST(J289,0,1,1),$B$11*NORMDIST(-J289,0,1,1) - B289*NORMDIST(-I289,0,1,1) ) - $G$11) * $P$11</f>
        <v/>
      </c>
      <c r="I289" s="140">
        <f>(LN(B289/$B$11)+($H$11^2/2)*($J$11))/($H$11*SQRT($J$11))</f>
        <v/>
      </c>
      <c r="J289" s="140">
        <f>I289 - $H$11*SQRT($J$11)</f>
        <v/>
      </c>
    </row>
    <row r="290" ht="13.5" customHeight="1" s="116">
      <c r="B290" s="144">
        <f>B260</f>
        <v/>
      </c>
      <c r="C290" s="139">
        <f>IF($O$11="sell",-1,1) *  IF($K$11="call",  NORMDIST(I290,0,1,1),  NORMDIST(I290,0,1,1)-1  ) * $P$11</f>
        <v/>
      </c>
      <c r="D290" s="139">
        <f>IF($O$11="sell",-1,1) * NORMDIST(I290,0,1,0)/(B290*$H$11*SQRT($J$11)) * $P$11</f>
        <v/>
      </c>
      <c r="E290" s="139">
        <f>IF($O$11="sell",-1,1) * (B290*NORMDIST(I290,0,1,0)*SQRT($J$11)/365) * $P$11</f>
        <v/>
      </c>
      <c r="F290" s="139">
        <f>IF($O$11="sell",-1,1) * (-(B290*NORMDIST(I290,0,1,0)*$H$11)/(2*SQRT($J$11))/365) *$P$11</f>
        <v/>
      </c>
      <c r="G290" s="139">
        <f>IF($O$11="buy",1,-1)*( IF($K$11="call",B290*NORMDIST(I290,0,1,1) - $B$11*NORMDIST(J290,0,1,1),$B$11*NORMDIST(-J290,0,1,1) - B290*NORMDIST(-I290,0,1,1) ) - $G$11) * $P$11</f>
        <v/>
      </c>
      <c r="I290" s="140">
        <f>(LN(B290/$B$11)+($H$11^2/2)*($J$11))/($H$11*SQRT($J$11))</f>
        <v/>
      </c>
      <c r="J290" s="140">
        <f>I290 - $H$11*SQRT($J$11)</f>
        <v/>
      </c>
    </row>
    <row r="291" ht="13.5" customHeight="1" s="116">
      <c r="B291" s="144">
        <f>B261</f>
        <v/>
      </c>
      <c r="C291" s="139">
        <f>IF($O$11="sell",-1,1) *  IF($K$11="call",  NORMDIST(I291,0,1,1),  NORMDIST(I291,0,1,1)-1  ) * $P$11</f>
        <v/>
      </c>
      <c r="D291" s="139">
        <f>IF($O$11="sell",-1,1) * NORMDIST(I291,0,1,0)/(B291*$H$11*SQRT($J$11)) * $P$11</f>
        <v/>
      </c>
      <c r="E291" s="139">
        <f>IF($O$11="sell",-1,1) * (B291*NORMDIST(I291,0,1,0)*SQRT($J$11)/365) * $P$11</f>
        <v/>
      </c>
      <c r="F291" s="139">
        <f>IF($O$11="sell",-1,1) * (-(B291*NORMDIST(I291,0,1,0)*$H$11)/(2*SQRT($J$11))/365) *$P$11</f>
        <v/>
      </c>
      <c r="G291" s="139">
        <f>IF($O$11="buy",1,-1)*( IF($K$11="call",B291*NORMDIST(I291,0,1,1) - $B$11*NORMDIST(J291,0,1,1),$B$11*NORMDIST(-J291,0,1,1) - B291*NORMDIST(-I291,0,1,1) ) - $G$11) * $P$11</f>
        <v/>
      </c>
      <c r="I291" s="140">
        <f>(LN(B291/$B$11)+($H$11^2/2)*($J$11))/($H$11*SQRT($J$11))</f>
        <v/>
      </c>
      <c r="J291" s="140">
        <f>I291 - $H$11*SQRT($J$11)</f>
        <v/>
      </c>
    </row>
    <row r="292" ht="13.5" customHeight="1" s="116">
      <c r="B292" s="144">
        <f>B262</f>
        <v/>
      </c>
      <c r="C292" s="139">
        <f>IF($O$11="sell",-1,1) *  IF($K$11="call",  NORMDIST(I292,0,1,1),  NORMDIST(I292,0,1,1)-1  ) * $P$11</f>
        <v/>
      </c>
      <c r="D292" s="139">
        <f>IF($O$11="sell",-1,1) * NORMDIST(I292,0,1,0)/(B292*$H$11*SQRT($J$11)) * $P$11</f>
        <v/>
      </c>
      <c r="E292" s="139">
        <f>IF($O$11="sell",-1,1) * (B292*NORMDIST(I292,0,1,0)*SQRT($J$11)/365) * $P$11</f>
        <v/>
      </c>
      <c r="F292" s="139">
        <f>IF($O$11="sell",-1,1) * (-(B292*NORMDIST(I292,0,1,0)*$H$11)/(2*SQRT($J$11))/365) *$P$11</f>
        <v/>
      </c>
      <c r="G292" s="139">
        <f>IF($O$11="buy",1,-1)*( IF($K$11="call",B292*NORMDIST(I292,0,1,1) - $B$11*NORMDIST(J292,0,1,1),$B$11*NORMDIST(-J292,0,1,1) - B292*NORMDIST(-I292,0,1,1) ) - $G$11) * $P$11</f>
        <v/>
      </c>
      <c r="I292" s="140">
        <f>(LN(B292/$B$11)+($H$11^2/2)*($J$11))/($H$11*SQRT($J$11))</f>
        <v/>
      </c>
      <c r="J292" s="140">
        <f>I292 - $H$11*SQRT($J$11)</f>
        <v/>
      </c>
    </row>
    <row r="293" ht="13.5" customHeight="1" s="116">
      <c r="B293" s="144">
        <f>B263</f>
        <v/>
      </c>
      <c r="C293" s="139">
        <f>IF($O$11="sell",-1,1) *  IF($K$11="call",  NORMDIST(I293,0,1,1),  NORMDIST(I293,0,1,1)-1  ) * $P$11</f>
        <v/>
      </c>
      <c r="D293" s="139">
        <f>IF($O$11="sell",-1,1) * NORMDIST(I293,0,1,0)/(B293*$H$11*SQRT($J$11)) * $P$11</f>
        <v/>
      </c>
      <c r="E293" s="139">
        <f>IF($O$11="sell",-1,1) * (B293*NORMDIST(I293,0,1,0)*SQRT($J$11)/365) * $P$11</f>
        <v/>
      </c>
      <c r="F293" s="139">
        <f>IF($O$11="sell",-1,1) * (-(B293*NORMDIST(I293,0,1,0)*$H$11)/(2*SQRT($J$11))/365) *$P$11</f>
        <v/>
      </c>
      <c r="G293" s="139">
        <f>IF($O$11="buy",1,-1)*( IF($K$11="call",B293*NORMDIST(I293,0,1,1) - $B$11*NORMDIST(J293,0,1,1),$B$11*NORMDIST(-J293,0,1,1) - B293*NORMDIST(-I293,0,1,1) ) - $G$11) * $P$11</f>
        <v/>
      </c>
      <c r="I293" s="140">
        <f>(LN(B293/$B$11)+($H$11^2/2)*($J$11))/($H$11*SQRT($J$11))</f>
        <v/>
      </c>
      <c r="J293" s="140">
        <f>I293 - $H$11*SQRT($J$11)</f>
        <v/>
      </c>
    </row>
    <row r="294" ht="13.5" customHeight="1" s="116">
      <c r="B294" s="144">
        <f>B264</f>
        <v/>
      </c>
      <c r="C294" s="139">
        <f>IF($O$11="sell",-1,1) *  IF($K$11="call",  NORMDIST(I294,0,1,1),  NORMDIST(I294,0,1,1)-1  ) * $P$11</f>
        <v/>
      </c>
      <c r="D294" s="139">
        <f>IF($O$11="sell",-1,1) * NORMDIST(I294,0,1,0)/(B294*$H$11*SQRT($J$11)) * $P$11</f>
        <v/>
      </c>
      <c r="E294" s="139">
        <f>IF($O$11="sell",-1,1) * (B294*NORMDIST(I294,0,1,0)*SQRT($J$11)/365) * $P$11</f>
        <v/>
      </c>
      <c r="F294" s="139">
        <f>IF($O$11="sell",-1,1) * (-(B294*NORMDIST(I294,0,1,0)*$H$11)/(2*SQRT($J$11))/365) *$P$11</f>
        <v/>
      </c>
      <c r="G294" s="139">
        <f>IF($O$11="buy",1,-1)*( IF($K$11="call",B294*NORMDIST(I294,0,1,1) - $B$11*NORMDIST(J294,0,1,1),$B$11*NORMDIST(-J294,0,1,1) - B294*NORMDIST(-I294,0,1,1) ) - $G$11) * $P$11</f>
        <v/>
      </c>
      <c r="I294" s="140">
        <f>(LN(B294/$B$11)+($H$11^2/2)*($J$11))/($H$11*SQRT($J$11))</f>
        <v/>
      </c>
      <c r="J294" s="140">
        <f>I294 - $H$11*SQRT($J$11)</f>
        <v/>
      </c>
    </row>
    <row r="295" ht="13.5" customHeight="1" s="116">
      <c r="B295" s="144">
        <f>B265</f>
        <v/>
      </c>
      <c r="C295" s="139">
        <f>IF($O$11="sell",-1,1) *  IF($K$11="call",  NORMDIST(I295,0,1,1),  NORMDIST(I295,0,1,1)-1  ) * $P$11</f>
        <v/>
      </c>
      <c r="D295" s="139">
        <f>IF($O$11="sell",-1,1) * NORMDIST(I295,0,1,0)/(B295*$H$11*SQRT($J$11)) * $P$11</f>
        <v/>
      </c>
      <c r="E295" s="139">
        <f>IF($O$11="sell",-1,1) * (B295*NORMDIST(I295,0,1,0)*SQRT($J$11)/365) * $P$11</f>
        <v/>
      </c>
      <c r="F295" s="139">
        <f>IF($O$11="sell",-1,1) * (-(B295*NORMDIST(I295,0,1,0)*$H$11)/(2*SQRT($J$11))/365) *$P$11</f>
        <v/>
      </c>
      <c r="G295" s="139">
        <f>IF($O$11="buy",1,-1)*( IF($K$11="call",B295*NORMDIST(I295,0,1,1) - $B$11*NORMDIST(J295,0,1,1),$B$11*NORMDIST(-J295,0,1,1) - B295*NORMDIST(-I295,0,1,1) ) - $G$11) * $P$11</f>
        <v/>
      </c>
      <c r="I295" s="140">
        <f>(LN(B295/$B$11)+($H$11^2/2)*($J$11))/($H$11*SQRT($J$11))</f>
        <v/>
      </c>
      <c r="J295" s="140">
        <f>I295 - $H$11*SQRT($J$11)</f>
        <v/>
      </c>
    </row>
    <row r="296" ht="13.5" customHeight="1" s="116">
      <c r="B296" s="144">
        <f>B266</f>
        <v/>
      </c>
      <c r="C296" s="139">
        <f>IF($O$11="sell",-1,1) *  IF($K$11="call",  NORMDIST(I296,0,1,1),  NORMDIST(I296,0,1,1)-1  ) * $P$11</f>
        <v/>
      </c>
      <c r="D296" s="139">
        <f>IF($O$11="sell",-1,1) * NORMDIST(I296,0,1,0)/(B296*$H$11*SQRT($J$11)) * $P$11</f>
        <v/>
      </c>
      <c r="E296" s="139">
        <f>IF($O$11="sell",-1,1) * (B296*NORMDIST(I296,0,1,0)*SQRT($J$11)/365) * $P$11</f>
        <v/>
      </c>
      <c r="F296" s="139">
        <f>IF($O$11="sell",-1,1) * (-(B296*NORMDIST(I296,0,1,0)*$H$11)/(2*SQRT($J$11))/365) *$P$11</f>
        <v/>
      </c>
      <c r="G296" s="139">
        <f>IF($O$11="buy",1,-1)*( IF($K$11="call",B296*NORMDIST(I296,0,1,1) - $B$11*NORMDIST(J296,0,1,1),$B$11*NORMDIST(-J296,0,1,1) - B296*NORMDIST(-I296,0,1,1) ) - $G$11) * $P$11</f>
        <v/>
      </c>
      <c r="I296" s="140">
        <f>(LN(B296/$B$11)+($H$11^2/2)*($J$11))/($H$11*SQRT($J$11))</f>
        <v/>
      </c>
      <c r="J296" s="140">
        <f>I296 - $H$11*SQRT($J$11)</f>
        <v/>
      </c>
    </row>
    <row r="297" ht="13.5" customHeight="1" s="116">
      <c r="B297" s="144">
        <f>B267</f>
        <v/>
      </c>
      <c r="C297" s="139">
        <f>IF($O$11="sell",-1,1) *  IF($K$11="call",  NORMDIST(I297,0,1,1),  NORMDIST(I297,0,1,1)-1  ) * $P$11</f>
        <v/>
      </c>
      <c r="D297" s="139">
        <f>IF($O$11="sell",-1,1) * NORMDIST(I297,0,1,0)/(B297*$H$11*SQRT($J$11)) * $P$11</f>
        <v/>
      </c>
      <c r="E297" s="139">
        <f>IF($O$11="sell",-1,1) * (B297*NORMDIST(I297,0,1,0)*SQRT($J$11)/365) * $P$11</f>
        <v/>
      </c>
      <c r="F297" s="139">
        <f>IF($O$11="sell",-1,1) * (-(B297*NORMDIST(I297,0,1,0)*$H$11)/(2*SQRT($J$11))/365) *$P$11</f>
        <v/>
      </c>
      <c r="G297" s="139">
        <f>IF($O$11="buy",1,-1)*( IF($K$11="call",B297*NORMDIST(I297,0,1,1) - $B$11*NORMDIST(J297,0,1,1),$B$11*NORMDIST(-J297,0,1,1) - B297*NORMDIST(-I297,0,1,1) ) - $G$11) * $P$11</f>
        <v/>
      </c>
      <c r="I297" s="140">
        <f>(LN(B297/$B$11)+($H$11^2/2)*($J$11))/($H$11*SQRT($J$11))</f>
        <v/>
      </c>
      <c r="J297" s="140">
        <f>I297 - $H$11*SQRT($J$11)</f>
        <v/>
      </c>
    </row>
    <row r="298" ht="13.5" customHeight="1" s="116">
      <c r="B298" s="144">
        <f>B268</f>
        <v/>
      </c>
      <c r="C298" s="139">
        <f>IF($O$11="sell",-1,1) *  IF($K$11="call",  NORMDIST(I298,0,1,1),  NORMDIST(I298,0,1,1)-1  ) * $P$11</f>
        <v/>
      </c>
      <c r="D298" s="139">
        <f>IF($O$11="sell",-1,1) * NORMDIST(I298,0,1,0)/(B298*$H$11*SQRT($J$11)) * $P$11</f>
        <v/>
      </c>
      <c r="E298" s="139">
        <f>IF($O$11="sell",-1,1) * (B298*NORMDIST(I298,0,1,0)*SQRT($J$11)/365) * $P$11</f>
        <v/>
      </c>
      <c r="F298" s="139">
        <f>IF($O$11="sell",-1,1) * (-(B298*NORMDIST(I298,0,1,0)*$H$11)/(2*SQRT($J$11))/365) *$P$11</f>
        <v/>
      </c>
      <c r="G298" s="139">
        <f>IF($O$11="buy",1,-1)*( IF($K$11="call",B298*NORMDIST(I298,0,1,1) - $B$11*NORMDIST(J298,0,1,1),$B$11*NORMDIST(-J298,0,1,1) - B298*NORMDIST(-I298,0,1,1) ) - $G$11) * $P$11</f>
        <v/>
      </c>
      <c r="I298" s="140">
        <f>(LN(B298/$B$11)+($H$11^2/2)*($J$11))/($H$11*SQRT($J$11))</f>
        <v/>
      </c>
      <c r="J298" s="140">
        <f>I298 - $H$11*SQRT($J$11)</f>
        <v/>
      </c>
    </row>
    <row r="299" ht="13.5" customHeight="1" s="116">
      <c r="B299" s="144">
        <f>B269</f>
        <v/>
      </c>
      <c r="C299" s="139">
        <f>IF($O$11="sell",-1,1) *  IF($K$11="call",  NORMDIST(I299,0,1,1),  NORMDIST(I299,0,1,1)-1  ) * $P$11</f>
        <v/>
      </c>
      <c r="D299" s="139">
        <f>IF($O$11="sell",-1,1) * NORMDIST(I299,0,1,0)/(B299*$H$11*SQRT($J$11)) * $P$11</f>
        <v/>
      </c>
      <c r="E299" s="139">
        <f>IF($O$11="sell",-1,1) * (B299*NORMDIST(I299,0,1,0)*SQRT($J$11)/365) * $P$11</f>
        <v/>
      </c>
      <c r="F299" s="139">
        <f>IF($O$11="sell",-1,1) * (-(B299*NORMDIST(I299,0,1,0)*$H$11)/(2*SQRT($J$11))/365) *$P$11</f>
        <v/>
      </c>
      <c r="G299" s="139">
        <f>IF($O$11="buy",1,-1)*( IF($K$11="call",B299*NORMDIST(I299,0,1,1) - $B$11*NORMDIST(J299,0,1,1),$B$11*NORMDIST(-J299,0,1,1) - B299*NORMDIST(-I299,0,1,1) ) - $G$11) * $P$11</f>
        <v/>
      </c>
      <c r="I299" s="140">
        <f>(LN(B299/$B$11)+($H$11^2/2)*($J$11))/($H$11*SQRT($J$11))</f>
        <v/>
      </c>
      <c r="J299" s="140">
        <f>I299 - $H$11*SQRT($J$11)</f>
        <v/>
      </c>
    </row>
    <row r="300" ht="13.5" customHeight="1" s="116">
      <c r="B300" s="144">
        <f>B270</f>
        <v/>
      </c>
      <c r="C300" s="139">
        <f>IF($O$11="sell",-1,1) *  IF($K$11="call",  NORMDIST(I300,0,1,1),  NORMDIST(I300,0,1,1)-1  ) * $P$11</f>
        <v/>
      </c>
      <c r="D300" s="139">
        <f>IF($O$11="sell",-1,1) * NORMDIST(I300,0,1,0)/(B300*$H$11*SQRT($J$11)) * $P$11</f>
        <v/>
      </c>
      <c r="E300" s="139">
        <f>IF($O$11="sell",-1,1) * (B300*NORMDIST(I300,0,1,0)*SQRT($J$11)/365) * $P$11</f>
        <v/>
      </c>
      <c r="F300" s="139">
        <f>IF($O$11="sell",-1,1) * (-(B300*NORMDIST(I300,0,1,0)*$H$11)/(2*SQRT($J$11))/365) *$P$11</f>
        <v/>
      </c>
      <c r="G300" s="139">
        <f>IF($O$11="buy",1,-1)*( IF($K$11="call",B300*NORMDIST(I300,0,1,1) - $B$11*NORMDIST(J300,0,1,1),$B$11*NORMDIST(-J300,0,1,1) - B300*NORMDIST(-I300,0,1,1) ) - $G$11) * $P$11</f>
        <v/>
      </c>
      <c r="I300" s="140">
        <f>(LN(B300/$B$11)+($H$11^2/2)*($J$11))/($H$11*SQRT($J$11))</f>
        <v/>
      </c>
      <c r="J300" s="140">
        <f>I300 - $H$11*SQRT($J$11)</f>
        <v/>
      </c>
    </row>
    <row r="301" ht="13.5" customHeight="1" s="116">
      <c r="B301" s="144">
        <f>B271</f>
        <v/>
      </c>
      <c r="C301" s="139">
        <f>IF($O$11="sell",-1,1) *  IF($K$11="call",  NORMDIST(I301,0,1,1),  NORMDIST(I301,0,1,1)-1  ) * $P$11</f>
        <v/>
      </c>
      <c r="D301" s="139">
        <f>IF($O$11="sell",-1,1) * NORMDIST(I301,0,1,0)/(B301*$H$11*SQRT($J$11)) * $P$11</f>
        <v/>
      </c>
      <c r="E301" s="139">
        <f>IF($O$11="sell",-1,1) * (B301*NORMDIST(I301,0,1,0)*SQRT($J$11)/365) * $P$11</f>
        <v/>
      </c>
      <c r="F301" s="139">
        <f>IF($O$11="sell",-1,1) * (-(B301*NORMDIST(I301,0,1,0)*$H$11)/(2*SQRT($J$11))/365) *$P$11</f>
        <v/>
      </c>
      <c r="G301" s="139">
        <f>IF($O$11="buy",1,-1)*( IF($K$11="call",B301*NORMDIST(I301,0,1,1) - $B$11*NORMDIST(J301,0,1,1),$B$11*NORMDIST(-J301,0,1,1) - B301*NORMDIST(-I301,0,1,1) ) - $G$11) * $P$11</f>
        <v/>
      </c>
      <c r="I301" s="140">
        <f>(LN(B301/$B$11)+($H$11^2/2)*($J$11))/($H$11*SQRT($J$11))</f>
        <v/>
      </c>
      <c r="J301" s="140">
        <f>I301 - $H$11*SQRT($J$11)</f>
        <v/>
      </c>
    </row>
    <row r="302" ht="13.5" customHeight="1" s="116">
      <c r="B302" s="144">
        <f>B272</f>
        <v/>
      </c>
      <c r="C302" s="139">
        <f>IF($O$11="sell",-1,1) *  IF($K$11="call",  NORMDIST(I302,0,1,1),  NORMDIST(I302,0,1,1)-1  ) * $P$11</f>
        <v/>
      </c>
      <c r="D302" s="139">
        <f>IF($O$11="sell",-1,1) * NORMDIST(I302,0,1,0)/(B302*$H$11*SQRT($J$11)) * $P$11</f>
        <v/>
      </c>
      <c r="E302" s="139">
        <f>IF($O$11="sell",-1,1) * (B302*NORMDIST(I302,0,1,0)*SQRT($J$11)/365) * $P$11</f>
        <v/>
      </c>
      <c r="F302" s="139">
        <f>IF($O$11="sell",-1,1) * (-(B302*NORMDIST(I302,0,1,0)*$H$11)/(2*SQRT($J$11))/365) *$P$11</f>
        <v/>
      </c>
      <c r="G302" s="139">
        <f>IF($O$11="buy",1,-1)*( IF($K$11="call",B302*NORMDIST(I302,0,1,1) - $B$11*NORMDIST(J302,0,1,1),$B$11*NORMDIST(-J302,0,1,1) - B302*NORMDIST(-I302,0,1,1) ) - $G$11) * $P$11</f>
        <v/>
      </c>
      <c r="I302" s="140">
        <f>(LN(B302/$B$11)+($H$11^2/2)*($J$11))/($H$11*SQRT($J$11))</f>
        <v/>
      </c>
      <c r="J302" s="140">
        <f>I302 - $H$11*SQRT($J$11)</f>
        <v/>
      </c>
    </row>
    <row r="303" ht="13.5" customHeight="1" s="116">
      <c r="B303" s="144">
        <f>B273</f>
        <v/>
      </c>
      <c r="C303" s="139">
        <f>IF($O$11="sell",-1,1) *  IF($K$11="call",  NORMDIST(I303,0,1,1),  NORMDIST(I303,0,1,1)-1  ) * $P$11</f>
        <v/>
      </c>
      <c r="D303" s="139">
        <f>IF($O$11="sell",-1,1) * NORMDIST(I303,0,1,0)/(B303*$H$11*SQRT($J$11)) * $P$11</f>
        <v/>
      </c>
      <c r="E303" s="139">
        <f>IF($O$11="sell",-1,1) * (B303*NORMDIST(I303,0,1,0)*SQRT($J$11)/365) * $P$11</f>
        <v/>
      </c>
      <c r="F303" s="139">
        <f>IF($O$11="sell",-1,1) * (-(B303*NORMDIST(I303,0,1,0)*$H$11)/(2*SQRT($J$11))/365) *$P$11</f>
        <v/>
      </c>
      <c r="G303" s="139">
        <f>IF($O$11="buy",1,-1)*( IF($K$11="call",B303*NORMDIST(I303,0,1,1) - $B$11*NORMDIST(J303,0,1,1),$B$11*NORMDIST(-J303,0,1,1) - B303*NORMDIST(-I303,0,1,1) ) - $G$11) * $P$11</f>
        <v/>
      </c>
      <c r="I303" s="140">
        <f>(LN(B303/$B$11)+($H$11^2/2)*($J$11))/($H$11*SQRT($J$11))</f>
        <v/>
      </c>
      <c r="J303" s="140">
        <f>I303 - $H$11*SQRT($J$11)</f>
        <v/>
      </c>
    </row>
    <row r="304" ht="13.5" customHeight="1" s="116">
      <c r="B304" s="144">
        <f>B274</f>
        <v/>
      </c>
      <c r="C304" s="139">
        <f>IF($O$11="sell",-1,1) *  IF($K$11="call",  NORMDIST(I304,0,1,1),  NORMDIST(I304,0,1,1)-1  ) * $P$11</f>
        <v/>
      </c>
      <c r="D304" s="139">
        <f>IF($O$11="sell",-1,1) * NORMDIST(I304,0,1,0)/(B304*$H$11*SQRT($J$11)) * $P$11</f>
        <v/>
      </c>
      <c r="E304" s="139">
        <f>IF($O$11="sell",-1,1) * (B304*NORMDIST(I304,0,1,0)*SQRT($J$11)/365) * $P$11</f>
        <v/>
      </c>
      <c r="F304" s="139">
        <f>IF($O$11="sell",-1,1) * (-(B304*NORMDIST(I304,0,1,0)*$H$11)/(2*SQRT($J$11))/365) *$P$11</f>
        <v/>
      </c>
      <c r="G304" s="139">
        <f>IF($O$11="buy",1,-1)*( IF($K$11="call",B304*NORMDIST(I304,0,1,1) - $B$11*NORMDIST(J304,0,1,1),$B$11*NORMDIST(-J304,0,1,1) - B304*NORMDIST(-I304,0,1,1) ) - $G$11) * $P$11</f>
        <v/>
      </c>
      <c r="I304" s="140">
        <f>(LN(B304/$B$11)+($H$11^2/2)*($J$11))/($H$11*SQRT($J$11))</f>
        <v/>
      </c>
      <c r="J304" s="140">
        <f>I304 - $H$11*SQRT($J$11)</f>
        <v/>
      </c>
    </row>
    <row r="305" ht="13.5" customHeight="1" s="116">
      <c r="B305" s="144">
        <f>B275</f>
        <v/>
      </c>
      <c r="C305" s="139">
        <f>IF($O$11="sell",-1,1) *  IF($K$11="call",  NORMDIST(I305,0,1,1),  NORMDIST(I305,0,1,1)-1  ) * $P$11</f>
        <v/>
      </c>
      <c r="D305" s="139">
        <f>IF($O$11="sell",-1,1) * NORMDIST(I305,0,1,0)/(B305*$H$11*SQRT($J$11)) * $P$11</f>
        <v/>
      </c>
      <c r="E305" s="139">
        <f>IF($O$11="sell",-1,1) * (B305*NORMDIST(I305,0,1,0)*SQRT($J$11)/365) * $P$11</f>
        <v/>
      </c>
      <c r="F305" s="139">
        <f>IF($O$11="sell",-1,1) * (-(B305*NORMDIST(I305,0,1,0)*$H$11)/(2*SQRT($J$11))/365) *$P$11</f>
        <v/>
      </c>
      <c r="G305" s="139">
        <f>IF($O$11="buy",1,-1)*( IF($K$11="call",B305*NORMDIST(I305,0,1,1) - $B$11*NORMDIST(J305,0,1,1),$B$11*NORMDIST(-J305,0,1,1) - B305*NORMDIST(-I305,0,1,1) ) - $G$11) * $P$11</f>
        <v/>
      </c>
      <c r="I305" s="140">
        <f>(LN(B305/$B$11)+($H$11^2/2)*($J$11))/($H$11*SQRT($J$11))</f>
        <v/>
      </c>
      <c r="J305" s="140">
        <f>I305 - $H$11*SQRT($J$11)</f>
        <v/>
      </c>
    </row>
    <row r="306" ht="13.5" customHeight="1" s="116">
      <c r="B306" s="144">
        <f>B276</f>
        <v/>
      </c>
      <c r="C306" s="139">
        <f>IF($O$11="sell",-1,1) *  IF($K$11="call",  NORMDIST(I306,0,1,1),  NORMDIST(I306,0,1,1)-1  ) * $P$11</f>
        <v/>
      </c>
      <c r="D306" s="139">
        <f>IF($O$11="sell",-1,1) * NORMDIST(I306,0,1,0)/(B306*$H$11*SQRT($J$11)) * $P$11</f>
        <v/>
      </c>
      <c r="E306" s="139">
        <f>IF($O$11="sell",-1,1) * (B306*NORMDIST(I306,0,1,0)*SQRT($J$11)/365) * $P$11</f>
        <v/>
      </c>
      <c r="F306" s="139">
        <f>IF($O$11="sell",-1,1) * (-(B306*NORMDIST(I306,0,1,0)*$H$11)/(2*SQRT($J$11))/365) *$P$11</f>
        <v/>
      </c>
      <c r="G306" s="139">
        <f>IF($O$11="buy",1,-1)*( IF($K$11="call",B306*NORMDIST(I306,0,1,1) - $B$11*NORMDIST(J306,0,1,1),$B$11*NORMDIST(-J306,0,1,1) - B306*NORMDIST(-I306,0,1,1) ) - $G$11) * $P$11</f>
        <v/>
      </c>
      <c r="I306" s="140">
        <f>(LN(B306/$B$11)+($H$11^2/2)*($J$11))/($H$11*SQRT($J$11))</f>
        <v/>
      </c>
      <c r="J306" s="140">
        <f>I306 - $H$11*SQRT($J$11)</f>
        <v/>
      </c>
    </row>
    <row r="307" ht="13.5" customHeight="1" s="116">
      <c r="B307" s="144">
        <f>B277</f>
        <v/>
      </c>
      <c r="C307" s="139">
        <f>IF($O$11="sell",-1,1) *  IF($K$11="call",  NORMDIST(I307,0,1,1),  NORMDIST(I307,0,1,1)-1  ) * $P$11</f>
        <v/>
      </c>
      <c r="D307" s="139">
        <f>IF($O$11="sell",-1,1) * NORMDIST(I307,0,1,0)/(B307*$H$11*SQRT($J$11)) * $P$11</f>
        <v/>
      </c>
      <c r="E307" s="139">
        <f>IF($O$11="sell",-1,1) * (B307*NORMDIST(I307,0,1,0)*SQRT($J$11)/365) * $P$11</f>
        <v/>
      </c>
      <c r="F307" s="139">
        <f>IF($O$11="sell",-1,1) * (-(B307*NORMDIST(I307,0,1,0)*$H$11)/(2*SQRT($J$11))/365) *$P$11</f>
        <v/>
      </c>
      <c r="G307" s="139">
        <f>IF($O$11="buy",1,-1)*( IF($K$11="call",B307*NORMDIST(I307,0,1,1) - $B$11*NORMDIST(J307,0,1,1),$B$11*NORMDIST(-J307,0,1,1) - B307*NORMDIST(-I307,0,1,1) ) - $G$11) * $P$11</f>
        <v/>
      </c>
      <c r="I307" s="140">
        <f>(LN(B307/$B$11)+($H$11^2/2)*($J$11))/($H$11*SQRT($J$11))</f>
        <v/>
      </c>
      <c r="J307" s="140">
        <f>I307 - $H$11*SQRT($J$11)</f>
        <v/>
      </c>
    </row>
    <row r="308" ht="13.5" customHeight="1" s="116">
      <c r="B308" s="144">
        <f>B278</f>
        <v/>
      </c>
      <c r="C308" s="139">
        <f>IF($O$11="sell",-1,1) *  IF($K$11="call",  NORMDIST(I308,0,1,1),  NORMDIST(I308,0,1,1)-1  ) * $P$11</f>
        <v/>
      </c>
      <c r="D308" s="139">
        <f>IF($O$11="sell",-1,1) * NORMDIST(I308,0,1,0)/(B308*$H$11*SQRT($J$11)) * $P$11</f>
        <v/>
      </c>
      <c r="E308" s="139">
        <f>IF($O$11="sell",-1,1) * (B308*NORMDIST(I308,0,1,0)*SQRT($J$11)/365) * $P$11</f>
        <v/>
      </c>
      <c r="F308" s="139">
        <f>IF($O$11="sell",-1,1) * (-(B308*NORMDIST(I308,0,1,0)*$H$11)/(2*SQRT($J$11))/365) *$P$11</f>
        <v/>
      </c>
      <c r="G308" s="139">
        <f>IF($O$11="buy",1,-1)*( IF($K$11="call",B308*NORMDIST(I308,0,1,1) - $B$11*NORMDIST(J308,0,1,1),$B$11*NORMDIST(-J308,0,1,1) - B308*NORMDIST(-I308,0,1,1) ) - $G$11) * $P$11</f>
        <v/>
      </c>
      <c r="I308" s="140">
        <f>(LN(B308/$B$11)+($H$11^2/2)*($J$11))/($H$11*SQRT($J$11))</f>
        <v/>
      </c>
      <c r="J308" s="140">
        <f>I308 - $H$11*SQRT($J$11)</f>
        <v/>
      </c>
    </row>
    <row r="309" ht="13.5" customHeight="1" s="116">
      <c r="B309" s="144">
        <f>B279</f>
        <v/>
      </c>
      <c r="C309" s="139">
        <f>IF($O$11="sell",-1,1) *  IF($K$11="call",  NORMDIST(I309,0,1,1),  NORMDIST(I309,0,1,1)-1  ) * $P$11</f>
        <v/>
      </c>
      <c r="D309" s="139">
        <f>IF($O$11="sell",-1,1) * NORMDIST(I309,0,1,0)/(B309*$H$11*SQRT($J$11)) * $P$11</f>
        <v/>
      </c>
      <c r="E309" s="139">
        <f>IF($O$11="sell",-1,1) * (B309*NORMDIST(I309,0,1,0)*SQRT($J$11)/365) * $P$11</f>
        <v/>
      </c>
      <c r="F309" s="139">
        <f>IF($O$11="sell",-1,1) * (-(B309*NORMDIST(I309,0,1,0)*$H$11)/(2*SQRT($J$11))/365) *$P$11</f>
        <v/>
      </c>
      <c r="G309" s="139">
        <f>IF($O$11="buy",1,-1)*( IF($K$11="call",B309*NORMDIST(I309,0,1,1) - $B$11*NORMDIST(J309,0,1,1),$B$11*NORMDIST(-J309,0,1,1) - B309*NORMDIST(-I309,0,1,1) ) - $G$11) * $P$11</f>
        <v/>
      </c>
      <c r="I309" s="140">
        <f>(LN(B309/$B$11)+($H$11^2/2)*($J$11))/($H$11*SQRT($J$11))</f>
        <v/>
      </c>
      <c r="J309" s="140">
        <f>I309 - $H$11*SQRT($J$11)</f>
        <v/>
      </c>
    </row>
    <row r="310" ht="13.5" customHeight="1" s="116">
      <c r="B310" s="144">
        <f>B280</f>
        <v/>
      </c>
      <c r="C310" s="139">
        <f>IF($O$11="sell",-1,1) *  IF($K$11="call",  NORMDIST(I310,0,1,1),  NORMDIST(I310,0,1,1)-1  ) * $P$11</f>
        <v/>
      </c>
      <c r="D310" s="139">
        <f>IF($O$11="sell",-1,1) * NORMDIST(I310,0,1,0)/(B310*$H$11*SQRT($J$11)) * $P$11</f>
        <v/>
      </c>
      <c r="E310" s="139">
        <f>IF($O$11="sell",-1,1) * (B310*NORMDIST(I310,0,1,0)*SQRT($J$11)/365) * $P$11</f>
        <v/>
      </c>
      <c r="F310" s="139">
        <f>IF($O$11="sell",-1,1) * (-(B310*NORMDIST(I310,0,1,0)*$H$11)/(2*SQRT($J$11))/365) *$P$11</f>
        <v/>
      </c>
      <c r="G310" s="139">
        <f>IF($O$11="buy",1,-1)*( IF($K$11="call",B310*NORMDIST(I310,0,1,1) - $B$11*NORMDIST(J310,0,1,1),$B$11*NORMDIST(-J310,0,1,1) - B310*NORMDIST(-I310,0,1,1) ) - $G$11) * $P$11</f>
        <v/>
      </c>
      <c r="I310" s="140">
        <f>(LN(B310/$B$11)+($H$11^2/2)*($J$11))/($H$11*SQRT($J$11))</f>
        <v/>
      </c>
      <c r="J310" s="140">
        <f>I310 - $H$11*SQRT($J$11)</f>
        <v/>
      </c>
    </row>
    <row r="311" ht="13.5" customHeight="1" s="116">
      <c r="B311" s="145" t="n"/>
      <c r="C311" s="136" t="n"/>
      <c r="D311" s="136" t="n"/>
      <c r="E311" s="136" t="n"/>
      <c r="F311" s="136" t="n"/>
      <c r="G311" s="136" t="n"/>
      <c r="I311" s="146" t="n"/>
      <c r="J311" s="146" t="n"/>
    </row>
    <row r="312" ht="13.5" customHeight="1" s="116"/>
    <row r="313" ht="17.25" customHeight="1" s="116">
      <c r="A313" s="117" t="inlineStr">
        <is>
          <t>Total_Greeks</t>
        </is>
      </c>
      <c r="B313" s="137" t="n"/>
      <c r="C313" s="133" t="inlineStr">
        <is>
          <t>delta</t>
        </is>
      </c>
      <c r="D313" s="133" t="inlineStr">
        <is>
          <t>gamma</t>
        </is>
      </c>
      <c r="E313" s="133" t="inlineStr">
        <is>
          <t>vega</t>
        </is>
      </c>
      <c r="F313" s="133" t="inlineStr">
        <is>
          <t>theta</t>
        </is>
      </c>
      <c r="G313" s="133" t="inlineStr">
        <is>
          <t>mark_price</t>
        </is>
      </c>
    </row>
    <row r="314" ht="13.5" customHeight="1" s="116">
      <c r="B314" s="144">
        <f>B17</f>
        <v/>
      </c>
      <c r="C314" s="139">
        <f>C17+C46+C75+C104+C134+C164+C194+C224+C254+C284</f>
        <v/>
      </c>
      <c r="D314" s="139">
        <f>D17+D46+D75+D104+D134+D164+D194+D224+D254+D284</f>
        <v/>
      </c>
      <c r="E314" s="139">
        <f>E17+E46+E75+E104+E134+E164+E194+E224+E254+E284</f>
        <v/>
      </c>
      <c r="F314" s="139">
        <f>F17+F46+F75+F104+F134+F164+F194+F224+F254+F284</f>
        <v/>
      </c>
      <c r="G314" s="139">
        <f>G17+G46+G75+G104+G134+G164+G194+G224+G254+G284</f>
        <v/>
      </c>
    </row>
    <row r="315" ht="13.5" customHeight="1" s="116">
      <c r="B315" s="144">
        <f>B18</f>
        <v/>
      </c>
      <c r="C315" s="139">
        <f>C18+C47+C76+C105+C135+C165+C195+C225+C255+C285</f>
        <v/>
      </c>
      <c r="D315" s="139">
        <f>D18+D47+D76+D105+D135+D165+D195+D225+D255+D285</f>
        <v/>
      </c>
      <c r="E315" s="139">
        <f>E18+E47+E76+E105+E135+E165+E195+E225+E255+E285</f>
        <v/>
      </c>
      <c r="F315" s="139">
        <f>F18+F47+F76+F105+F135+F165+F195+F225+F255+F285</f>
        <v/>
      </c>
      <c r="G315" s="139">
        <f>G18+G47+G76+G105+G135+G165+G195+G225+G255+G285</f>
        <v/>
      </c>
    </row>
    <row r="316" ht="13.5" customHeight="1" s="116">
      <c r="B316" s="144">
        <f>B19</f>
        <v/>
      </c>
      <c r="C316" s="139">
        <f>C19+C48+C77+C106+C136+C166+C196+C226+C256+C286</f>
        <v/>
      </c>
      <c r="D316" s="139">
        <f>D19+D48+D77+D106+D136+D166+D196+D226+D256+D286</f>
        <v/>
      </c>
      <c r="E316" s="139">
        <f>E19+E48+E77+E106+E136+E166+E196+E226+E256+E286</f>
        <v/>
      </c>
      <c r="F316" s="139">
        <f>F19+F48+F77+F106+F136+F166+F196+F226+F256+F286</f>
        <v/>
      </c>
      <c r="G316" s="139">
        <f>G19+G48+G77+G106+G136+G166+G196+G226+G256+G286</f>
        <v/>
      </c>
    </row>
    <row r="317" ht="13.5" customHeight="1" s="116">
      <c r="B317" s="144">
        <f>B20</f>
        <v/>
      </c>
      <c r="C317" s="139">
        <f>C20+C49+C78+C107+C137+C167+C197+C227+C257+C287</f>
        <v/>
      </c>
      <c r="D317" s="139">
        <f>D20+D49+D78+D107+D137+D167+D197+D227+D257+D287</f>
        <v/>
      </c>
      <c r="E317" s="139">
        <f>E20+E49+E78+E107+E137+E167+E197+E227+E257+E287</f>
        <v/>
      </c>
      <c r="F317" s="139">
        <f>F20+F49+F78+F107+F137+F167+F197+F227+F257+F287</f>
        <v/>
      </c>
      <c r="G317" s="139">
        <f>G20+G49+G78+G107+G137+G167+G197+G227+G257+G287</f>
        <v/>
      </c>
    </row>
    <row r="318" ht="13.5" customHeight="1" s="116">
      <c r="B318" s="144">
        <f>B21</f>
        <v/>
      </c>
      <c r="C318" s="139">
        <f>C21+C50+C79+C108+C138+C168+C198+C228+C258+C288</f>
        <v/>
      </c>
      <c r="D318" s="139">
        <f>D21+D50+D79+D108+D138+D168+D198+D228+D258+D288</f>
        <v/>
      </c>
      <c r="E318" s="139">
        <f>E21+E50+E79+E108+E138+E168+E198+E228+E258+E288</f>
        <v/>
      </c>
      <c r="F318" s="139">
        <f>F21+F50+F79+F108+F138+F168+F198+F228+F258+F288</f>
        <v/>
      </c>
      <c r="G318" s="139">
        <f>G21+G50+G79+G108+G138+G168+G198+G228+G258+G288</f>
        <v/>
      </c>
    </row>
    <row r="319" ht="13.5" customHeight="1" s="116">
      <c r="B319" s="144">
        <f>B22</f>
        <v/>
      </c>
      <c r="C319" s="139">
        <f>C22+C51+C80+C109+C139+C169+C199+C229+C259+C289</f>
        <v/>
      </c>
      <c r="D319" s="139">
        <f>D22+D51+D80+D109+D139+D169+D199+D229+D259+D289</f>
        <v/>
      </c>
      <c r="E319" s="139">
        <f>E22+E51+E80+E109+E139+E169+E199+E229+E259+E289</f>
        <v/>
      </c>
      <c r="F319" s="139">
        <f>F22+F51+F80+F109+F139+F169+F199+F229+F259+F289</f>
        <v/>
      </c>
      <c r="G319" s="139">
        <f>G22+G51+G80+G109+G139+G169+G199+G229+G259+G289</f>
        <v/>
      </c>
    </row>
    <row r="320" ht="13.5" customHeight="1" s="116">
      <c r="B320" s="144">
        <f>B23</f>
        <v/>
      </c>
      <c r="C320" s="139">
        <f>C23+C52+C81+C110+C140+C170+C200+C230+C260+C290</f>
        <v/>
      </c>
      <c r="D320" s="139">
        <f>D23+D52+D81+D110+D140+D170+D200+D230+D260+D290</f>
        <v/>
      </c>
      <c r="E320" s="139">
        <f>E23+E52+E81+E110+E140+E170+E200+E230+E260+E290</f>
        <v/>
      </c>
      <c r="F320" s="139">
        <f>F23+F52+F81+F110+F140+F170+F200+F230+F260+F290</f>
        <v/>
      </c>
      <c r="G320" s="139">
        <f>G23+G52+G81+G110+G140+G170+G200+G230+G260+G290</f>
        <v/>
      </c>
    </row>
    <row r="321" ht="13.5" customHeight="1" s="116">
      <c r="B321" s="144">
        <f>B24</f>
        <v/>
      </c>
      <c r="C321" s="139">
        <f>C24+C53+C82+C111+C141+C171+C201+C231+C261+C291</f>
        <v/>
      </c>
      <c r="D321" s="139">
        <f>D24+D53+D82+D111+D141+D171+D201+D231+D261+D291</f>
        <v/>
      </c>
      <c r="E321" s="139">
        <f>E24+E53+E82+E111+E141+E171+E201+E231+E261+E291</f>
        <v/>
      </c>
      <c r="F321" s="139">
        <f>F24+F53+F82+F111+F141+F171+F201+F231+F261+F291</f>
        <v/>
      </c>
      <c r="G321" s="139">
        <f>G24+G53+G82+G111+G141+G171+G201+G231+G261+G291</f>
        <v/>
      </c>
    </row>
    <row r="322" ht="13.5" customHeight="1" s="116">
      <c r="B322" s="144">
        <f>B25</f>
        <v/>
      </c>
      <c r="C322" s="139">
        <f>C25+C54+C83+C112+C142+C172+C202+C232+C262+C292</f>
        <v/>
      </c>
      <c r="D322" s="139">
        <f>D25+D54+D83+D112+D142+D172+D202+D232+D262+D292</f>
        <v/>
      </c>
      <c r="E322" s="139">
        <f>E25+E54+E83+E112+E142+E172+E202+E232+E262+E292</f>
        <v/>
      </c>
      <c r="F322" s="139">
        <f>F25+F54+F83+F112+F142+F172+F202+F232+F262+F292</f>
        <v/>
      </c>
      <c r="G322" s="139">
        <f>G25+G54+G83+G112+G142+G172+G202+G232+G262+G292</f>
        <v/>
      </c>
    </row>
    <row r="323" ht="13.5" customHeight="1" s="116">
      <c r="B323" s="144">
        <f>B26</f>
        <v/>
      </c>
      <c r="C323" s="139">
        <f>C26+C55+C84+C113+C143+C173+C203+C233+C263+C293</f>
        <v/>
      </c>
      <c r="D323" s="139">
        <f>D26+D55+D84+D113+D143+D173+D203+D233+D263+D293</f>
        <v/>
      </c>
      <c r="E323" s="139">
        <f>E26+E55+E84+E113+E143+E173+E203+E233+E263+E293</f>
        <v/>
      </c>
      <c r="F323" s="139">
        <f>F26+F55+F84+F113+F143+F173+F203+F233+F263+F293</f>
        <v/>
      </c>
      <c r="G323" s="139">
        <f>G26+G55+G84+G113+G143+G173+G203+G233+G263+G293</f>
        <v/>
      </c>
    </row>
    <row r="324" ht="13.5" customHeight="1" s="116">
      <c r="B324" s="144">
        <f>B27</f>
        <v/>
      </c>
      <c r="C324" s="139">
        <f>C27+C56+C85+C114+C144+C174+C204+C234+C264+C294</f>
        <v/>
      </c>
      <c r="D324" s="139">
        <f>D27+D56+D85+D114+D144+D174+D204+D234+D264+D294</f>
        <v/>
      </c>
      <c r="E324" s="139">
        <f>E27+E56+E85+E114+E144+E174+E204+E234+E264+E294</f>
        <v/>
      </c>
      <c r="F324" s="139">
        <f>F27+F56+F85+F114+F144+F174+F204+F234+F264+F294</f>
        <v/>
      </c>
      <c r="G324" s="139">
        <f>G27+G56+G85+G114+G144+G174+G204+G234+G264+G294</f>
        <v/>
      </c>
    </row>
    <row r="325" ht="13.5" customHeight="1" s="116">
      <c r="B325" s="144">
        <f>B28</f>
        <v/>
      </c>
      <c r="C325" s="139">
        <f>C28+C57+C86+C115+C145+C175+C205+C235+C265+C295</f>
        <v/>
      </c>
      <c r="D325" s="139">
        <f>D28+D57+D86+D115+D145+D175+D205+D235+D265+D295</f>
        <v/>
      </c>
      <c r="E325" s="139">
        <f>E28+E57+E86+E115+E145+E175+E205+E235+E265+E295</f>
        <v/>
      </c>
      <c r="F325" s="139">
        <f>F28+F57+F86+F115+F145+F175+F205+F235+F265+F295</f>
        <v/>
      </c>
      <c r="G325" s="139">
        <f>G28+G57+G86+G115+G145+G175+G205+G235+G265+G295</f>
        <v/>
      </c>
    </row>
    <row r="326" ht="13.5" customHeight="1" s="116">
      <c r="B326" s="144">
        <f>B29</f>
        <v/>
      </c>
      <c r="C326" s="139">
        <f>C29+C58+C87+C116+C146+C176+C206+C236+C266+C296</f>
        <v/>
      </c>
      <c r="D326" s="139">
        <f>D29+D58+D87+D116+D146+D176+D206+D236+D266+D296</f>
        <v/>
      </c>
      <c r="E326" s="139">
        <f>E29+E58+E87+E116+E146+E176+E206+E236+E266+E296</f>
        <v/>
      </c>
      <c r="F326" s="139">
        <f>F29+F58+F87+F116+F146+F176+F206+F236+F266+F296</f>
        <v/>
      </c>
      <c r="G326" s="139">
        <f>G29+G58+G87+G116+G146+G176+G206+G236+G266+G296</f>
        <v/>
      </c>
    </row>
    <row r="327" ht="13.5" customHeight="1" s="116">
      <c r="B327" s="144">
        <f>B30</f>
        <v/>
      </c>
      <c r="C327" s="139">
        <f>C30+C59+C88+C117+C147+C177+C207+C237+C267+C297</f>
        <v/>
      </c>
      <c r="D327" s="139">
        <f>D30+D59+D88+D117+D147+D177+D207+D237+D267+D297</f>
        <v/>
      </c>
      <c r="E327" s="139">
        <f>E30+E59+E88+E117+E147+E177+E207+E237+E267+E297</f>
        <v/>
      </c>
      <c r="F327" s="139">
        <f>F30+F59+F88+F117+F147+F177+F207+F237+F267+F297</f>
        <v/>
      </c>
      <c r="G327" s="139">
        <f>G30+G59+G88+G117+G147+G177+G207+G237+G267+G297</f>
        <v/>
      </c>
    </row>
    <row r="328" ht="13.5" customHeight="1" s="116">
      <c r="B328" s="144">
        <f>B31</f>
        <v/>
      </c>
      <c r="C328" s="139">
        <f>C31+C60+C89+C118+C148+C178+C208+C238+C268+C298</f>
        <v/>
      </c>
      <c r="D328" s="139">
        <f>D31+D60+D89+D118+D148+D178+D208+D238+D268+D298</f>
        <v/>
      </c>
      <c r="E328" s="139">
        <f>E31+E60+E89+E118+E148+E178+E208+E238+E268+E298</f>
        <v/>
      </c>
      <c r="F328" s="139">
        <f>F31+F60+F89+F118+F148+F178+F208+F238+F268+F298</f>
        <v/>
      </c>
      <c r="G328" s="139">
        <f>G31+G60+G89+G118+G148+G178+G208+G238+G268+G298</f>
        <v/>
      </c>
    </row>
    <row r="329" ht="13.5" customHeight="1" s="116">
      <c r="B329" s="144">
        <f>B32</f>
        <v/>
      </c>
      <c r="C329" s="139">
        <f>C32+C61+C90+C119+C149+C179+C209+C239+C269+C299</f>
        <v/>
      </c>
      <c r="D329" s="139">
        <f>D32+D61+D90+D119+D149+D179+D209+D239+D269+D299</f>
        <v/>
      </c>
      <c r="E329" s="139">
        <f>E32+E61+E90+E119+E149+E179+E209+E239+E269+E299</f>
        <v/>
      </c>
      <c r="F329" s="139">
        <f>F32+F61+F90+F119+F149+F179+F209+F239+F269+F299</f>
        <v/>
      </c>
      <c r="G329" s="139">
        <f>G32+G61+G90+G119+G149+G179+G209+G239+G269+G299</f>
        <v/>
      </c>
    </row>
    <row r="330" ht="13.5" customHeight="1" s="116">
      <c r="B330" s="144">
        <f>B33</f>
        <v/>
      </c>
      <c r="C330" s="139">
        <f>C33+C62+C91+C120+C150+C180+C210+C240+C270+C300</f>
        <v/>
      </c>
      <c r="D330" s="139">
        <f>D33+D62+D91+D120+D150+D180+D210+D240+D270+D300</f>
        <v/>
      </c>
      <c r="E330" s="139">
        <f>E33+E62+E91+E120+E150+E180+E210+E240+E270+E300</f>
        <v/>
      </c>
      <c r="F330" s="139">
        <f>F33+F62+F91+F120+F150+F180+F210+F240+F270+F300</f>
        <v/>
      </c>
      <c r="G330" s="139">
        <f>G33+G62+G91+G120+G150+G180+G210+G240+G270+G300</f>
        <v/>
      </c>
    </row>
    <row r="331" ht="13.5" customHeight="1" s="116">
      <c r="B331" s="144">
        <f>B34</f>
        <v/>
      </c>
      <c r="C331" s="139">
        <f>C34+C63+C92+C121+C151+C181+C211+C241+C271+C301</f>
        <v/>
      </c>
      <c r="D331" s="139">
        <f>D34+D63+D92+D121+D151+D181+D211+D241+D271+D301</f>
        <v/>
      </c>
      <c r="E331" s="139">
        <f>E34+E63+E92+E121+E151+E181+E211+E241+E271+E301</f>
        <v/>
      </c>
      <c r="F331" s="139">
        <f>F34+F63+F92+F121+F151+F181+F211+F241+F271+F301</f>
        <v/>
      </c>
      <c r="G331" s="139">
        <f>G34+G63+G92+G121+G151+G181+G211+G241+G271+G301</f>
        <v/>
      </c>
    </row>
    <row r="332" ht="13.5" customHeight="1" s="116">
      <c r="B332" s="144">
        <f>B35</f>
        <v/>
      </c>
      <c r="C332" s="139">
        <f>C35+C64+C93+C122+C152+C182+C212+C242+C272+C302</f>
        <v/>
      </c>
      <c r="D332" s="139">
        <f>D35+D64+D93+D122+D152+D182+D212+D242+D272+D302</f>
        <v/>
      </c>
      <c r="E332" s="139">
        <f>E35+E64+E93+E122+E152+E182+E212+E242+E272+E302</f>
        <v/>
      </c>
      <c r="F332" s="139">
        <f>F35+F64+F93+F122+F152+F182+F212+F242+F272+F302</f>
        <v/>
      </c>
      <c r="G332" s="139">
        <f>G35+G64+G93+G122+G152+G182+G212+G242+G272+G302</f>
        <v/>
      </c>
    </row>
    <row r="333" ht="13.5" customHeight="1" s="116">
      <c r="B333" s="144">
        <f>B36</f>
        <v/>
      </c>
      <c r="C333" s="139">
        <f>C36+C65+C94+C123+C153+C183+C213+C243+C273+C303</f>
        <v/>
      </c>
      <c r="D333" s="139">
        <f>D36+D65+D94+D123+D153+D183+D213+D243+D273+D303</f>
        <v/>
      </c>
      <c r="E333" s="139">
        <f>E36+E65+E94+E123+E153+E183+E213+E243+E273+E303</f>
        <v/>
      </c>
      <c r="F333" s="139">
        <f>F36+F65+F94+F123+F153+F183+F213+F243+F273+F303</f>
        <v/>
      </c>
      <c r="G333" s="139">
        <f>G36+G65+G94+G123+G153+G183+G213+G243+G273+G303</f>
        <v/>
      </c>
    </row>
    <row r="334" ht="13.5" customHeight="1" s="116">
      <c r="B334" s="144">
        <f>B37</f>
        <v/>
      </c>
      <c r="C334" s="139">
        <f>C37+C66+C95+C124+C154+C184+C214+C244+C274+C304</f>
        <v/>
      </c>
      <c r="D334" s="139">
        <f>D37+D66+D95+D124+D154+D184+D214+D244+D274+D304</f>
        <v/>
      </c>
      <c r="E334" s="139">
        <f>E37+E66+E95+E124+E154+E184+E214+E244+E274+E304</f>
        <v/>
      </c>
      <c r="F334" s="139">
        <f>F37+F66+F95+F124+F154+F184+F214+F244+F274+F304</f>
        <v/>
      </c>
      <c r="G334" s="139">
        <f>G37+G66+G95+G124+G154+G184+G214+G244+G274+G304</f>
        <v/>
      </c>
    </row>
    <row r="335" ht="13.5" customHeight="1" s="116">
      <c r="B335" s="144">
        <f>B38</f>
        <v/>
      </c>
      <c r="C335" s="139">
        <f>C38+C67+C96+C125+C155+C185+C215+C245+C275+C305</f>
        <v/>
      </c>
      <c r="D335" s="139">
        <f>D38+D67+D96+D125+D155+D185+D215+D245+D275+D305</f>
        <v/>
      </c>
      <c r="E335" s="139">
        <f>E38+E67+E96+E125+E155+E185+E215+E245+E275+E305</f>
        <v/>
      </c>
      <c r="F335" s="139">
        <f>F38+F67+F96+F125+F155+F185+F215+F245+F275+F305</f>
        <v/>
      </c>
      <c r="G335" s="139">
        <f>G38+G67+G96+G125+G155+G185+G215+G245+G275+G305</f>
        <v/>
      </c>
    </row>
    <row r="336" ht="13.5" customHeight="1" s="116">
      <c r="B336" s="144">
        <f>B39</f>
        <v/>
      </c>
      <c r="C336" s="139">
        <f>C39+C68+C97+C126+C156+C186+C216+C246+C276+C306</f>
        <v/>
      </c>
      <c r="D336" s="139">
        <f>D39+D68+D97+D126+D156+D186+D216+D246+D276+D306</f>
        <v/>
      </c>
      <c r="E336" s="139">
        <f>E39+E68+E97+E126+E156+E186+E216+E246+E276+E306</f>
        <v/>
      </c>
      <c r="F336" s="139">
        <f>F39+F68+F97+F126+F156+F186+F216+F246+F276+F306</f>
        <v/>
      </c>
      <c r="G336" s="139">
        <f>G39+G68+G97+G126+G156+G186+G216+G246+G276+G306</f>
        <v/>
      </c>
    </row>
    <row r="337" ht="13.5" customHeight="1" s="116">
      <c r="B337" s="144">
        <f>B40</f>
        <v/>
      </c>
      <c r="C337" s="139">
        <f>C40+C69+C98+C127+C157+C187+C217+C247+C277+C307</f>
        <v/>
      </c>
      <c r="D337" s="139">
        <f>D40+D69+D98+D127+D157+D187+D217+D247+D277+D307</f>
        <v/>
      </c>
      <c r="E337" s="139">
        <f>E40+E69+E98+E127+E157+E187+E217+E247+E277+E307</f>
        <v/>
      </c>
      <c r="F337" s="139">
        <f>F40+F69+F98+F127+F157+F187+F217+F247+F277+F307</f>
        <v/>
      </c>
      <c r="G337" s="139">
        <f>G40+G69+G98+G127+G157+G187+G217+G247+G277+G307</f>
        <v/>
      </c>
    </row>
    <row r="338" ht="13.5" customHeight="1" s="116">
      <c r="B338" s="144">
        <f>B41</f>
        <v/>
      </c>
      <c r="C338" s="139">
        <f>C41+C70+C99+C128+C158+C188+C218+C248+C278+C308</f>
        <v/>
      </c>
      <c r="D338" s="139">
        <f>D41+D70+D99+D128+D158+D188+D218+D248+D278+D308</f>
        <v/>
      </c>
      <c r="E338" s="139">
        <f>E41+E70+E99+E128+E158+E188+E218+E248+E278+E308</f>
        <v/>
      </c>
      <c r="F338" s="139">
        <f>F41+F70+F99+F128+F158+F188+F218+F248+F278+F308</f>
        <v/>
      </c>
      <c r="G338" s="139">
        <f>G41+G70+G99+G128+G158+G188+G218+G248+G278+G308</f>
        <v/>
      </c>
    </row>
    <row r="339" ht="13.5" customHeight="1" s="116">
      <c r="B339" s="144">
        <f>B42</f>
        <v/>
      </c>
      <c r="C339" s="139">
        <f>C42+C71+C100+C129+C159+C189+C219+C249+C279+C309</f>
        <v/>
      </c>
      <c r="D339" s="139">
        <f>D42+D71+D100+D129+D159+D189+D219+D249+D279+D309</f>
        <v/>
      </c>
      <c r="E339" s="139">
        <f>E42+E71+E100+E129+E159+E189+E219+E249+E279+E309</f>
        <v/>
      </c>
      <c r="F339" s="139">
        <f>F42+F71+F100+F129+F159+F189+F219+F249+F279+F309</f>
        <v/>
      </c>
      <c r="G339" s="139">
        <f>G42+G71+G100+G129+G159+G189+G219+G249+G279+G309</f>
        <v/>
      </c>
    </row>
    <row r="340" ht="13.5" customHeight="1" s="116">
      <c r="B340" s="144">
        <f>B43</f>
        <v/>
      </c>
      <c r="C340" s="139">
        <f>C43+C72+C101+C130+C160+C190+C220+C250+C280+C310</f>
        <v/>
      </c>
      <c r="D340" s="139">
        <f>D43+D72+D101+D130+D160+D190+D220+D250+D280+D310</f>
        <v/>
      </c>
      <c r="E340" s="139">
        <f>E43+E72+E101+E130+E160+E190+E220+E250+E280+E310</f>
        <v/>
      </c>
      <c r="F340" s="139">
        <f>F43+F72+F101+F130+F160+F190+F220+F250+F280+F310</f>
        <v/>
      </c>
      <c r="G340" s="139">
        <f>G43+G72+G101+G130+G160+G190+G220+G250+G280+G310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R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5" activeCellId="0" sqref="H5"/>
    </sheetView>
  </sheetViews>
  <sheetFormatPr baseColWidth="8" defaultColWidth="11.53515625" defaultRowHeight="14.25" zeroHeight="0" outlineLevelRow="0"/>
  <cols>
    <col width="4.31" customWidth="1" style="117" min="1" max="1"/>
    <col width="22.76" customWidth="1" style="117" min="2" max="2"/>
    <col width="13.95" customWidth="1" style="117" min="3" max="3"/>
    <col width="13.03" customWidth="1" style="117" min="4" max="4"/>
    <col width="11.03" customWidth="1" style="117" min="5" max="5"/>
    <col width="10.76" customWidth="1" style="117" min="6" max="6"/>
    <col width="11.53" customWidth="1" style="117" min="7" max="8"/>
    <col width="8.25" customWidth="1" style="117" min="9" max="9"/>
    <col width="8.109999999999999" customWidth="1" style="117" min="10" max="10"/>
    <col width="6.58" customWidth="1" style="117" min="11" max="11"/>
    <col width="4.59" customWidth="1" style="117" min="12" max="12"/>
    <col width="7.69" customWidth="1" style="117" min="13" max="13"/>
    <col width="8.800000000000001" customWidth="1" style="117" min="14" max="15"/>
    <col width="9.359999999999999" customWidth="1" style="117" min="16" max="16"/>
    <col width="9.08" customWidth="1" style="117" min="17" max="17"/>
    <col width="9.529999999999999" customWidth="1" style="117" min="18" max="18"/>
    <col width="10.76" customWidth="1" style="117" min="19" max="20"/>
    <col width="11.03" customWidth="1" style="117" min="21" max="21"/>
    <col width="7.09" customWidth="1" style="117" min="22" max="22"/>
    <col width="11.53" customWidth="1" style="117" min="23" max="23"/>
    <col width="7.69" customWidth="1" style="117" min="24" max="29"/>
    <col width="7.27" customWidth="1" style="117" min="30" max="33"/>
    <col width="7.69" customWidth="1" style="117" min="34" max="34"/>
    <col width="7.27" customWidth="1" style="117" min="35" max="35"/>
    <col width="6.58" customWidth="1" style="117" min="36" max="43"/>
  </cols>
  <sheetData>
    <row r="1" ht="12.75" customHeight="1" s="116">
      <c r="B1" s="129" t="n"/>
      <c r="C1" s="182" t="inlineStr">
        <is>
          <t>Кол</t>
        </is>
      </c>
      <c r="D1" s="182" t="inlineStr">
        <is>
          <t>Цена</t>
        </is>
      </c>
      <c r="E1" s="182" t="inlineStr">
        <is>
          <t>Стоимость</t>
        </is>
      </c>
      <c r="G1" s="150" t="inlineStr">
        <is>
          <t>Ближний слой</t>
        </is>
      </c>
      <c r="H1" s="149" t="inlineStr">
        <is>
          <t>5-10</t>
        </is>
      </c>
      <c r="I1" s="151" t="n">
        <v>0</v>
      </c>
      <c r="J1" s="151" t="n">
        <v>0.05</v>
      </c>
      <c r="K1" s="153" t="n"/>
      <c r="M1" s="166" t="n"/>
      <c r="N1" s="182" t="n">
        <v>18</v>
      </c>
      <c r="O1" s="182" t="n">
        <v>11</v>
      </c>
      <c r="P1" s="182" t="n"/>
      <c r="Q1" s="189" t="inlineStr">
        <is>
          <t>total</t>
        </is>
      </c>
      <c r="R1" s="182" t="inlineStr">
        <is>
          <t>cost</t>
        </is>
      </c>
      <c r="S1" s="182" t="inlineStr">
        <is>
          <t>% cost</t>
        </is>
      </c>
    </row>
    <row r="2" ht="17.25" customHeight="1" s="116">
      <c r="B2" s="190" t="inlineStr">
        <is>
          <t>Sol</t>
        </is>
      </c>
      <c r="C2" s="149">
        <f>Portfolio!C10</f>
        <v/>
      </c>
      <c r="D2" s="132">
        <f>Portfolio!D10</f>
        <v/>
      </c>
      <c r="E2" s="132">
        <f>Portfolio!F10</f>
        <v/>
      </c>
      <c r="G2" s="150" t="inlineStr">
        <is>
          <t>Средний слой</t>
        </is>
      </c>
      <c r="H2" s="149" t="inlineStr">
        <is>
          <t>10-20</t>
        </is>
      </c>
      <c r="I2" s="151" t="n">
        <v>0.05</v>
      </c>
      <c r="J2" s="151" t="n">
        <v>0.15</v>
      </c>
      <c r="K2" s="153" t="n"/>
      <c r="M2" s="166" t="n">
        <v>75</v>
      </c>
      <c r="N2" s="149" t="n"/>
      <c r="O2" s="129" t="n">
        <v>3</v>
      </c>
      <c r="P2" s="129" t="n"/>
      <c r="Q2" s="149">
        <f>SUM(N2:P2)</f>
        <v/>
      </c>
      <c r="R2" s="132">
        <f>H24</f>
        <v/>
      </c>
      <c r="S2" s="151">
        <f>R2/$R$5</f>
        <v/>
      </c>
    </row>
    <row r="3" ht="12.75" customHeight="1" s="116">
      <c r="C3" s="131" t="n"/>
      <c r="D3" s="131" t="n"/>
      <c r="G3" s="150" t="inlineStr">
        <is>
          <t>Дальный слой</t>
        </is>
      </c>
      <c r="H3" s="149" t="inlineStr">
        <is>
          <t>20-40</t>
        </is>
      </c>
      <c r="I3" s="151" t="n">
        <v>0.16</v>
      </c>
      <c r="J3" s="151" t="inlineStr">
        <is>
          <t>выше</t>
        </is>
      </c>
      <c r="K3" s="153" t="n"/>
      <c r="M3" s="166" t="n">
        <v>78</v>
      </c>
      <c r="N3" s="149" t="n"/>
      <c r="O3" s="129" t="n">
        <v>3</v>
      </c>
      <c r="P3" s="129" t="n"/>
      <c r="Q3" s="149">
        <f>SUM(N3:P3)</f>
        <v/>
      </c>
      <c r="R3" s="132">
        <f>H25</f>
        <v/>
      </c>
      <c r="S3" s="151">
        <f>R3/$R$5</f>
        <v/>
      </c>
    </row>
    <row r="4" ht="12.75" customHeight="1" s="116">
      <c r="B4" s="129" t="inlineStr">
        <is>
          <t>Лимит</t>
        </is>
      </c>
      <c r="C4" s="130">
        <f>Portfolio!D14</f>
        <v/>
      </c>
      <c r="D4" s="130">
        <f>Portfolio!E14</f>
        <v/>
      </c>
      <c r="M4" s="166" t="n">
        <v>80</v>
      </c>
      <c r="N4" s="149" t="n"/>
      <c r="O4" s="129" t="n">
        <v>2</v>
      </c>
      <c r="P4" s="129" t="n"/>
      <c r="Q4" s="149">
        <f>SUM(N4:P4)</f>
        <v/>
      </c>
      <c r="R4" s="132">
        <f>H26</f>
        <v/>
      </c>
      <c r="S4" s="151">
        <f>R4/$R$5</f>
        <v/>
      </c>
    </row>
    <row r="5" ht="12.75" customHeight="1" s="116">
      <c r="B5" s="211" t="n"/>
      <c r="C5" s="131" t="n"/>
      <c r="D5" s="131" t="n"/>
      <c r="E5" s="131" t="n"/>
      <c r="F5" s="212" t="inlineStr">
        <is>
          <t>min delta</t>
        </is>
      </c>
      <c r="G5" s="212" t="n">
        <v>0.2</v>
      </c>
      <c r="H5" s="212" t="n">
        <v>0.3</v>
      </c>
      <c r="M5" s="166" t="n"/>
      <c r="N5" s="193" t="n"/>
      <c r="O5" s="131" t="n"/>
      <c r="Q5" s="118">
        <f>SUM(Q2:Q4)</f>
        <v/>
      </c>
      <c r="R5" s="193">
        <f>SUM(R2:R4)</f>
        <v/>
      </c>
      <c r="S5" s="118" t="n"/>
    </row>
    <row r="6" ht="12.75" customHeight="1" s="116">
      <c r="B6" s="211" t="n"/>
      <c r="C6" s="131" t="n"/>
      <c r="D6" s="131" t="n"/>
      <c r="E6" s="131" t="n"/>
    </row>
    <row r="7" ht="14.25" customHeight="1" s="116">
      <c r="C7" s="131" t="n"/>
      <c r="D7" s="131" t="n"/>
      <c r="I7" s="180" t="n"/>
    </row>
    <row r="8" ht="14.25" customHeight="1" s="116">
      <c r="B8" s="133" t="inlineStr">
        <is>
          <t>symbol</t>
        </is>
      </c>
      <c r="C8" s="133" t="inlineStr">
        <is>
          <t>strike</t>
        </is>
      </c>
      <c r="D8" s="133" t="inlineStr">
        <is>
          <t>delta</t>
        </is>
      </c>
      <c r="E8" s="133" t="inlineStr">
        <is>
          <t>DTE</t>
        </is>
      </c>
      <c r="F8" s="133" t="inlineStr">
        <is>
          <t>% price</t>
        </is>
      </c>
      <c r="G8" s="133" t="inlineStr">
        <is>
          <t>%priceCur</t>
        </is>
      </c>
      <c r="H8" s="133" t="inlineStr">
        <is>
          <t>priceCur</t>
        </is>
      </c>
      <c r="I8" s="148" t="n"/>
      <c r="J8" s="148" t="n"/>
      <c r="K8" s="148" t="n"/>
      <c r="L8" s="148" t="n"/>
      <c r="N8" s="166" t="n"/>
      <c r="O8" s="193" t="n"/>
      <c r="Q8" s="193" t="n"/>
      <c r="S8" s="118" t="n"/>
    </row>
    <row r="9" ht="12.75" customHeight="1" s="116">
      <c r="B9" s="129" t="n"/>
      <c r="C9" s="149">
        <f>VLOOKUP(B9,OptionBoard!$A$2:$M$79,2,0)</f>
        <v/>
      </c>
      <c r="D9" s="194">
        <f>VLOOKUP(B9,OptionBoard!$A$2:$M$79,3,0)</f>
        <v/>
      </c>
      <c r="E9" s="195">
        <f>VLOOKUP(B9,OptionBoard!$A$2:$M$79,9,0)</f>
        <v/>
      </c>
      <c r="F9" s="151">
        <f>($D$2-C9)/$D$2</f>
        <v/>
      </c>
      <c r="G9" s="151">
        <f>(Portfolio!$C$4-C9)/Portfolio!$C$4</f>
        <v/>
      </c>
      <c r="H9" s="132" t="n">
        <v>1.4</v>
      </c>
      <c r="I9" s="193" t="n"/>
      <c r="J9" s="118" t="n"/>
      <c r="K9" s="193" t="n"/>
    </row>
    <row r="10" ht="12.75" customHeight="1" s="116">
      <c r="B10" s="129" t="n"/>
      <c r="C10" s="149">
        <f>VLOOKUP(B10,OptionBoard!$A$2:$M$79,2,0)</f>
        <v/>
      </c>
      <c r="D10" s="194">
        <f>VLOOKUP(B10,OptionBoard!$A$2:$M$79,3,0)</f>
        <v/>
      </c>
      <c r="E10" s="195">
        <f>VLOOKUP(B10,OptionBoard!$A$2:$M$79,9,0)</f>
        <v/>
      </c>
      <c r="F10" s="151">
        <f>($D$2-C10)/$D$2</f>
        <v/>
      </c>
      <c r="G10" s="151">
        <f>(Portfolio!$C$4-C10)/Portfolio!$C$4</f>
        <v/>
      </c>
      <c r="H10" s="132" t="n">
        <v>1.69</v>
      </c>
      <c r="I10" s="193" t="n"/>
      <c r="J10" s="118" t="n"/>
      <c r="K10" s="193" t="n"/>
    </row>
    <row r="11" ht="12.75" customHeight="1" s="116">
      <c r="B11" s="129" t="n"/>
      <c r="C11" s="149">
        <f>VLOOKUP(B11,OptionBoard!$A$2:$M$79,2,0)</f>
        <v/>
      </c>
      <c r="D11" s="194">
        <f>VLOOKUP(B11,OptionBoard!$A$2:$M$79,3,0)</f>
        <v/>
      </c>
      <c r="E11" s="195">
        <f>VLOOKUP(B11,OptionBoard!$A$2:$M$79,9,0)</f>
        <v/>
      </c>
      <c r="F11" s="151">
        <f>($D$2-C11)/$D$2</f>
        <v/>
      </c>
      <c r="G11" s="151">
        <f>(Portfolio!$C$4-C11)/Portfolio!$C$4</f>
        <v/>
      </c>
      <c r="H11" s="132" t="n">
        <v>1.2</v>
      </c>
      <c r="I11" s="193" t="n"/>
      <c r="J11" s="118" t="n"/>
      <c r="K11" s="193" t="n"/>
    </row>
    <row r="12" ht="12.75" customHeight="1" s="116">
      <c r="B12" s="129" t="n"/>
      <c r="C12" s="149">
        <f>VLOOKUP(B12,OptionBoard!$A$2:$M$79,2,0)</f>
        <v/>
      </c>
      <c r="D12" s="194">
        <f>VLOOKUP(B12,OptionBoard!$A$2:$M$79,3,0)</f>
        <v/>
      </c>
      <c r="E12" s="195">
        <f>VLOOKUP(B12,OptionBoard!$A$2:$M$79,9,0)</f>
        <v/>
      </c>
      <c r="F12" s="151">
        <f>($D$2-C12)/$D$2</f>
        <v/>
      </c>
      <c r="G12" s="151">
        <f>(Portfolio!$C$4-C12)/Portfolio!$C$4</f>
        <v/>
      </c>
      <c r="H12" s="132" t="n">
        <v>2.6</v>
      </c>
      <c r="I12" s="193" t="n"/>
      <c r="J12" s="118" t="n"/>
      <c r="K12" s="193" t="n"/>
    </row>
    <row r="13" ht="12.75" customHeight="1" s="116">
      <c r="B13" s="129" t="n"/>
      <c r="C13" s="149">
        <f>VLOOKUP(B13,OptionBoard!$A$2:$M$79,2,0)</f>
        <v/>
      </c>
      <c r="D13" s="194">
        <f>VLOOKUP(B13,OptionBoard!$A$2:$M$79,3,0)</f>
        <v/>
      </c>
      <c r="E13" s="195">
        <f>VLOOKUP(B13,OptionBoard!$A$2:$M$79,9,0)</f>
        <v/>
      </c>
      <c r="F13" s="151">
        <f>($D$2-C13)/$D$2</f>
        <v/>
      </c>
      <c r="G13" s="151">
        <f>(Portfolio!$C$4-C13)/Portfolio!$C$4</f>
        <v/>
      </c>
      <c r="H13" s="132" t="n">
        <v>3.23</v>
      </c>
      <c r="I13" s="193" t="n"/>
      <c r="J13" s="118" t="n"/>
      <c r="K13" s="193" t="n"/>
    </row>
    <row r="14" ht="12.75" customHeight="1" s="116">
      <c r="B14" s="129" t="n"/>
      <c r="C14" s="149">
        <f>VLOOKUP(B14,OptionBoard!$A$2:$M$79,2,0)</f>
        <v/>
      </c>
      <c r="D14" s="194">
        <f>VLOOKUP(B14,OptionBoard!$A$2:$M$79,3,0)</f>
        <v/>
      </c>
      <c r="E14" s="195">
        <f>VLOOKUP(B14,OptionBoard!$A$2:$M$79,9,0)</f>
        <v/>
      </c>
      <c r="F14" s="151">
        <f>($D$2-C14)/$D$2</f>
        <v/>
      </c>
      <c r="G14" s="151">
        <f>(Portfolio!$C$4-C14)/Portfolio!$C$4</f>
        <v/>
      </c>
      <c r="H14" s="132" t="n">
        <v>1</v>
      </c>
      <c r="I14" s="193" t="n"/>
      <c r="J14" s="118" t="n"/>
      <c r="K14" s="193" t="n"/>
    </row>
    <row r="15" ht="12.75" customHeight="1" s="116">
      <c r="B15" s="129" t="n"/>
      <c r="C15" s="149">
        <f>VLOOKUP(B15,OptionBoard!$A$2:$M$79,2,0)</f>
        <v/>
      </c>
      <c r="D15" s="194">
        <f>VLOOKUP(B15,OptionBoard!$A$2:$M$79,3,0)</f>
        <v/>
      </c>
      <c r="E15" s="195">
        <f>VLOOKUP(B15,OptionBoard!$A$2:$M$79,9,0)</f>
        <v/>
      </c>
      <c r="F15" s="151">
        <f>($D$2-C15)/$D$2</f>
        <v/>
      </c>
      <c r="G15" s="151">
        <f>(Portfolio!$C$4-C15)/Portfolio!$C$4</f>
        <v/>
      </c>
      <c r="H15" s="132" t="n">
        <v>1.49</v>
      </c>
      <c r="I15" s="193" t="n"/>
      <c r="J15" s="118" t="n"/>
      <c r="K15" s="193" t="n"/>
    </row>
    <row r="16" ht="12.75" customHeight="1" s="116">
      <c r="B16" s="129" t="n"/>
      <c r="C16" s="149">
        <f>VLOOKUP(B16,OptionBoard!$A$2:$M$79,2,0)</f>
        <v/>
      </c>
      <c r="D16" s="194">
        <f>VLOOKUP(B16,OptionBoard!$A$2:$M$79,3,0)</f>
        <v/>
      </c>
      <c r="E16" s="195">
        <f>VLOOKUP(B16,OptionBoard!$A$2:$M$79,9,0)</f>
        <v/>
      </c>
      <c r="F16" s="151">
        <f>($D$2-C16)/$D$2</f>
        <v/>
      </c>
      <c r="G16" s="151">
        <f>(Portfolio!$C$4-C16)/Portfolio!$C$4</f>
        <v/>
      </c>
      <c r="H16" s="132" t="n">
        <v>1.5</v>
      </c>
      <c r="I16" s="193" t="n"/>
      <c r="J16" s="118" t="n"/>
      <c r="K16" s="193" t="n"/>
    </row>
    <row r="17" ht="12.75" customHeight="1" s="116">
      <c r="B17" s="129" t="n"/>
      <c r="C17" s="149" t="n"/>
      <c r="D17" s="194" t="n"/>
      <c r="E17" s="195" t="n"/>
      <c r="F17" s="151" t="n"/>
      <c r="G17" s="151" t="n"/>
      <c r="H17" s="132" t="n"/>
      <c r="I17" s="193" t="n"/>
      <c r="J17" s="118" t="n"/>
      <c r="K17" s="193" t="n"/>
    </row>
    <row r="18" ht="12.75" customHeight="1" s="116">
      <c r="B18" s="129" t="n"/>
      <c r="C18" s="149" t="n"/>
      <c r="D18" s="194" t="n"/>
      <c r="E18" s="195" t="n"/>
      <c r="F18" s="151" t="n"/>
      <c r="G18" s="151" t="n"/>
      <c r="H18" s="132" t="n"/>
      <c r="I18" s="193" t="n"/>
      <c r="J18" s="118" t="n"/>
      <c r="K18" s="193" t="n"/>
    </row>
    <row r="19" ht="12.75" customHeight="1" s="116">
      <c r="B19" s="129" t="n"/>
      <c r="C19" s="149" t="n"/>
      <c r="D19" s="194" t="n"/>
      <c r="E19" s="195" t="n"/>
      <c r="F19" s="151" t="n"/>
      <c r="G19" s="151" t="n"/>
      <c r="H19" s="132" t="n"/>
      <c r="I19" s="193" t="n"/>
      <c r="J19" s="118" t="n"/>
      <c r="K19" s="193" t="n"/>
    </row>
    <row r="20" ht="12.75" customHeight="1" s="116">
      <c r="C20" s="118" t="n"/>
      <c r="D20" s="196" t="n"/>
      <c r="E20" s="197" t="n"/>
      <c r="F20" s="153" t="n"/>
      <c r="G20" s="153" t="n"/>
      <c r="H20" s="193" t="n"/>
      <c r="I20" s="193" t="n"/>
      <c r="J20" s="118" t="n"/>
      <c r="K20" s="118" t="n"/>
    </row>
    <row r="21" ht="14.25" customHeight="1" s="116">
      <c r="P21" s="117">
        <f>P29/C2</f>
        <v/>
      </c>
    </row>
    <row r="22" ht="15" customHeight="1" s="116">
      <c r="A22" s="123" t="n"/>
      <c r="B22" s="133" t="inlineStr">
        <is>
          <t>symbol</t>
        </is>
      </c>
      <c r="C22" s="133" t="inlineStr">
        <is>
          <t>strike</t>
        </is>
      </c>
      <c r="D22" s="133" t="inlineStr">
        <is>
          <t>delta</t>
        </is>
      </c>
      <c r="E22" s="133" t="inlineStr">
        <is>
          <t>DTE</t>
        </is>
      </c>
      <c r="F22" s="133" t="inlineStr">
        <is>
          <t>priceCur</t>
        </is>
      </c>
      <c r="G22" s="133" t="inlineStr">
        <is>
          <t>кол</t>
        </is>
      </c>
      <c r="H22" s="133" t="inlineStr">
        <is>
          <t>cost</t>
        </is>
      </c>
      <c r="I22" s="133" t="inlineStr">
        <is>
          <t>% cost</t>
        </is>
      </c>
      <c r="M22" s="133" t="inlineStr">
        <is>
          <t>Strike</t>
        </is>
      </c>
      <c r="N22" s="198" t="inlineStr">
        <is>
          <t>Effi_Pnl</t>
        </is>
      </c>
      <c r="O22" s="198" t="inlineStr">
        <is>
          <t>Effi_Intr</t>
        </is>
      </c>
      <c r="P22" s="149" t="inlineStr">
        <is>
          <t>Delta</t>
        </is>
      </c>
      <c r="Q22" s="149" t="inlineStr">
        <is>
          <t>Pnl</t>
        </is>
      </c>
      <c r="R22" s="149" t="inlineStr">
        <is>
          <t>Intrin</t>
        </is>
      </c>
      <c r="S22" s="129" t="inlineStr">
        <is>
          <t>Acclerat</t>
        </is>
      </c>
      <c r="V22" s="123" t="n"/>
      <c r="X22" s="153" t="n"/>
      <c r="Y22" s="154" t="n"/>
      <c r="Z22" s="123" t="n"/>
      <c r="AA22" s="123" t="n"/>
    </row>
    <row r="23" ht="15" customHeight="1" s="116">
      <c r="A23" s="154" t="n"/>
      <c r="B23" s="129">
        <f>B9</f>
        <v/>
      </c>
      <c r="C23" s="149">
        <f>C9</f>
        <v/>
      </c>
      <c r="D23" s="184">
        <f>D9</f>
        <v/>
      </c>
      <c r="E23" s="195">
        <f>E9</f>
        <v/>
      </c>
      <c r="F23" s="132">
        <f>H9</f>
        <v/>
      </c>
      <c r="G23" s="149" t="n"/>
      <c r="H23" s="132">
        <f>F23*G23</f>
        <v/>
      </c>
      <c r="I23" s="151">
        <f>H23/$H$33</f>
        <v/>
      </c>
      <c r="M23" s="189" t="n">
        <v>80</v>
      </c>
      <c r="N23" s="199">
        <f>VLOOKUP(M23,$B$76:$C$102,2,0)</f>
        <v/>
      </c>
      <c r="O23" s="199">
        <f>VLOOKUP(M23,$B$76:$D$102,3,0)</f>
        <v/>
      </c>
      <c r="P23" s="184">
        <f>VLOOKUP(M23,$M$76:$P$102,2,0)</f>
        <v/>
      </c>
      <c r="Q23" s="130">
        <f>VLOOKUP(M23,$M$76:$P$102,3,0)</f>
        <v/>
      </c>
      <c r="R23" s="130">
        <f>VLOOKUP(M23,$M$76:$P$102,4,0)</f>
        <v/>
      </c>
      <c r="S23" s="129" t="n"/>
      <c r="V23" s="128" t="n"/>
      <c r="X23" s="153" t="n"/>
      <c r="Y23" s="154" t="n"/>
      <c r="Z23" s="128" t="n"/>
      <c r="AA23" s="128" t="n"/>
    </row>
    <row r="24" ht="15" customHeight="1" s="116">
      <c r="A24" s="161" t="n"/>
      <c r="B24" s="129">
        <f>B10</f>
        <v/>
      </c>
      <c r="C24" s="149">
        <f>C10</f>
        <v/>
      </c>
      <c r="D24" s="184">
        <f>D10</f>
        <v/>
      </c>
      <c r="E24" s="195">
        <f>E10</f>
        <v/>
      </c>
      <c r="F24" s="132">
        <f>H10</f>
        <v/>
      </c>
      <c r="G24" s="149" t="n">
        <v>3</v>
      </c>
      <c r="H24" s="132">
        <f>F24*G24</f>
        <v/>
      </c>
      <c r="I24" s="151">
        <f>H24/$H$33</f>
        <v/>
      </c>
      <c r="M24" s="189" t="n">
        <v>78</v>
      </c>
      <c r="N24" s="199">
        <f>VLOOKUP(M24,$B$76:$C$102,2,0)</f>
        <v/>
      </c>
      <c r="O24" s="199">
        <f>VLOOKUP(M24,$B$76:$D$102,3,0)</f>
        <v/>
      </c>
      <c r="P24" s="184">
        <f>VLOOKUP(M24,$M$76:$P$102,2,0)</f>
        <v/>
      </c>
      <c r="Q24" s="130">
        <f>VLOOKUP(M24,$M$76:$P$102,3,0)</f>
        <v/>
      </c>
      <c r="R24" s="130">
        <f>VLOOKUP(M24,$M$76:$P$102,4,0)</f>
        <v/>
      </c>
      <c r="S24" s="130">
        <f>Q24-Q23</f>
        <v/>
      </c>
      <c r="V24" s="128" t="n"/>
      <c r="X24" s="153" t="n"/>
      <c r="Y24" s="154" t="n"/>
      <c r="Z24" s="128" t="n"/>
      <c r="AA24" s="128" t="n"/>
    </row>
    <row r="25" ht="15" customHeight="1" s="116">
      <c r="A25" s="163" t="n"/>
      <c r="B25" s="129">
        <f>B11</f>
        <v/>
      </c>
      <c r="C25" s="149">
        <f>C11</f>
        <v/>
      </c>
      <c r="D25" s="184">
        <f>D11</f>
        <v/>
      </c>
      <c r="E25" s="195">
        <f>E11</f>
        <v/>
      </c>
      <c r="F25" s="132">
        <f>H11</f>
        <v/>
      </c>
      <c r="G25" s="149" t="n">
        <v>3</v>
      </c>
      <c r="H25" s="132">
        <f>F25*G25</f>
        <v/>
      </c>
      <c r="I25" s="151">
        <f>H25/$H$33</f>
        <v/>
      </c>
      <c r="M25" s="189" t="n">
        <v>76</v>
      </c>
      <c r="N25" s="199">
        <f>VLOOKUP(M25,$B$76:$C$102,2,0)</f>
        <v/>
      </c>
      <c r="O25" s="199">
        <f>VLOOKUP(M25,$B$76:$D$102,3,0)</f>
        <v/>
      </c>
      <c r="P25" s="184">
        <f>VLOOKUP(M25,$M$76:$P$102,2,0)</f>
        <v/>
      </c>
      <c r="Q25" s="130">
        <f>VLOOKUP(M25,$M$76:$P$102,3,0)</f>
        <v/>
      </c>
      <c r="R25" s="130">
        <f>VLOOKUP(M25,$M$76:$P$102,4,0)</f>
        <v/>
      </c>
      <c r="S25" s="130">
        <f>Q25-Q24</f>
        <v/>
      </c>
      <c r="V25" s="128" t="n"/>
      <c r="X25" s="153" t="n"/>
      <c r="Y25" s="128" t="n"/>
      <c r="Z25" s="128" t="n"/>
      <c r="AA25" s="128" t="n"/>
    </row>
    <row r="26" ht="16.5" customHeight="1" s="116">
      <c r="B26" s="129">
        <f>B12</f>
        <v/>
      </c>
      <c r="C26" s="149">
        <f>C12</f>
        <v/>
      </c>
      <c r="D26" s="184">
        <f>D12</f>
        <v/>
      </c>
      <c r="E26" s="195">
        <f>E12</f>
        <v/>
      </c>
      <c r="F26" s="132">
        <f>H12</f>
        <v/>
      </c>
      <c r="G26" s="149" t="n">
        <v>2</v>
      </c>
      <c r="H26" s="132">
        <f>F26*G26</f>
        <v/>
      </c>
      <c r="I26" s="151">
        <f>H26/$H$33</f>
        <v/>
      </c>
      <c r="M26" s="189" t="n">
        <v>75</v>
      </c>
      <c r="N26" s="199">
        <f>VLOOKUP(M26,$B$76:$C$102,2,0)</f>
        <v/>
      </c>
      <c r="O26" s="199">
        <f>VLOOKUP(M26,$B$76:$D$102,3,0)</f>
        <v/>
      </c>
      <c r="P26" s="184">
        <f>VLOOKUP(M26,$M$76:$P$102,2,0)</f>
        <v/>
      </c>
      <c r="Q26" s="130">
        <f>VLOOKUP(M26,$M$76:$P$102,3,0)</f>
        <v/>
      </c>
      <c r="R26" s="130">
        <f>VLOOKUP(M26,$M$76:$P$102,4,0)</f>
        <v/>
      </c>
      <c r="S26" s="130">
        <f>Q26-Q25</f>
        <v/>
      </c>
      <c r="V26" s="128" t="n"/>
      <c r="X26" s="153" t="n"/>
      <c r="Y26" s="154" t="n"/>
      <c r="Z26" s="128" t="n"/>
      <c r="AA26" s="128" t="n"/>
    </row>
    <row r="27" ht="16.5" customHeight="1" s="116">
      <c r="B27" s="201" t="inlineStr">
        <is>
          <t>SOL-24APR26-75-P-USDT</t>
        </is>
      </c>
      <c r="C27" s="202">
        <f>C13</f>
        <v/>
      </c>
      <c r="D27" s="203">
        <f>D13</f>
        <v/>
      </c>
      <c r="E27" s="213">
        <f>E13</f>
        <v/>
      </c>
      <c r="F27" s="204" t="n">
        <v>0</v>
      </c>
      <c r="G27" s="202" t="n"/>
      <c r="H27" s="204">
        <f>F27*G27</f>
        <v/>
      </c>
      <c r="I27" s="205">
        <f>H27/$H$33</f>
        <v/>
      </c>
      <c r="M27" s="189" t="n">
        <v>74</v>
      </c>
      <c r="N27" s="199">
        <f>VLOOKUP(M27,$B$76:$C$102,2,0)</f>
        <v/>
      </c>
      <c r="O27" s="199">
        <f>VLOOKUP(M27,$B$76:$D$102,3,0)</f>
        <v/>
      </c>
      <c r="P27" s="184">
        <f>VLOOKUP(M27,$M$76:$P$102,2,0)</f>
        <v/>
      </c>
      <c r="Q27" s="130">
        <f>VLOOKUP(M27,$M$76:$P$102,3,0)</f>
        <v/>
      </c>
      <c r="R27" s="130">
        <f>VLOOKUP(M27,$M$76:$P$102,4,0)</f>
        <v/>
      </c>
      <c r="S27" s="130">
        <f>Q27-Q26</f>
        <v/>
      </c>
      <c r="V27" s="128" t="n"/>
      <c r="X27" s="153" t="n"/>
      <c r="Y27" s="154" t="n"/>
      <c r="Z27" s="128" t="n"/>
      <c r="AA27" s="128" t="n"/>
    </row>
    <row r="28" ht="16.5" customHeight="1" s="116">
      <c r="B28" s="201" t="inlineStr">
        <is>
          <t>SOL-24APR26-78-P-USDT</t>
        </is>
      </c>
      <c r="C28" s="202">
        <f>C18</f>
        <v/>
      </c>
      <c r="D28" s="203">
        <f>D18</f>
        <v/>
      </c>
      <c r="E28" s="213">
        <f>E18</f>
        <v/>
      </c>
      <c r="F28" s="204" t="n">
        <v>0</v>
      </c>
      <c r="G28" s="202" t="n"/>
      <c r="H28" s="204">
        <f>F28*G28</f>
        <v/>
      </c>
      <c r="I28" s="205">
        <f>H28/$H$33</f>
        <v/>
      </c>
      <c r="K28" s="131">
        <f>Q33/P29</f>
        <v/>
      </c>
      <c r="M28" s="189" t="n">
        <v>72</v>
      </c>
      <c r="N28" s="199">
        <f>VLOOKUP(M28,$B$76:$C$102,2,0)</f>
        <v/>
      </c>
      <c r="O28" s="199">
        <f>VLOOKUP(M28,$B$76:$D$102,3,0)</f>
        <v/>
      </c>
      <c r="P28" s="184">
        <f>VLOOKUP(M28,$M$76:$P$102,2,0)</f>
        <v/>
      </c>
      <c r="Q28" s="130">
        <f>VLOOKUP(M28,$M$76:$P$102,3,0)</f>
        <v/>
      </c>
      <c r="R28" s="130">
        <f>VLOOKUP(M28,$M$76:$P$102,4,0)</f>
        <v/>
      </c>
      <c r="S28" s="130">
        <f>Q28-Q27</f>
        <v/>
      </c>
      <c r="X28" s="153" t="n"/>
      <c r="Y28" s="154" t="n"/>
      <c r="Z28" s="128" t="n"/>
      <c r="AA28" s="128" t="n"/>
    </row>
    <row r="29" ht="16.5" customHeight="1" s="116">
      <c r="B29" s="201" t="inlineStr">
        <is>
          <t>SOL-24APR26-75-P-USDT</t>
        </is>
      </c>
      <c r="C29" s="202">
        <f>C19</f>
        <v/>
      </c>
      <c r="D29" s="203">
        <f>D19</f>
        <v/>
      </c>
      <c r="E29" s="213">
        <f>E19</f>
        <v/>
      </c>
      <c r="F29" s="204" t="n">
        <v>0</v>
      </c>
      <c r="G29" s="202" t="n"/>
      <c r="H29" s="204">
        <f>F29*G29</f>
        <v/>
      </c>
      <c r="I29" s="205">
        <f>H29/$H$33</f>
        <v/>
      </c>
      <c r="M29" s="189" t="n">
        <v>70</v>
      </c>
      <c r="N29" s="199">
        <f>VLOOKUP(M29,$B$76:$C$102,2,0)</f>
        <v/>
      </c>
      <c r="O29" s="199">
        <f>VLOOKUP(M29,$B$76:$D$102,3,0)</f>
        <v/>
      </c>
      <c r="P29" s="200">
        <f>VLOOKUP(M29,$M$76:$P$102,2,0)</f>
        <v/>
      </c>
      <c r="Q29" s="130">
        <f>VLOOKUP(M29,$M$76:$P$102,3,0)</f>
        <v/>
      </c>
      <c r="R29" s="130">
        <f>VLOOKUP(M29,$M$76:$P$102,4,0)</f>
        <v/>
      </c>
      <c r="S29" s="130">
        <f>Q29-Q28</f>
        <v/>
      </c>
      <c r="X29" s="153" t="n"/>
      <c r="Y29" s="154" t="n"/>
      <c r="Z29" s="128" t="n"/>
      <c r="AA29" s="128" t="n"/>
    </row>
    <row r="30" ht="16.5" customHeight="1" s="116">
      <c r="B30" s="201" t="inlineStr">
        <is>
          <t>SOL-24APR26-78-P-USDT</t>
        </is>
      </c>
      <c r="C30" s="202">
        <f>Hedge_Far!B9</f>
        <v/>
      </c>
      <c r="D30" s="203">
        <f>Hedge_Far!C9</f>
        <v/>
      </c>
      <c r="E30" s="202">
        <f>Hedge_Far!I9</f>
        <v/>
      </c>
      <c r="F30" s="204" t="n">
        <v>0</v>
      </c>
      <c r="G30" s="202" t="n"/>
      <c r="H30" s="204">
        <f>Hedge_Far!N9</f>
        <v/>
      </c>
      <c r="I30" s="205">
        <f>H30/$H$33</f>
        <v/>
      </c>
      <c r="M30" s="189" t="n">
        <v>65</v>
      </c>
      <c r="N30" s="199">
        <f>VLOOKUP(M30,$B$76:$C$102,2,0)</f>
        <v/>
      </c>
      <c r="O30" s="199">
        <f>VLOOKUP(M30,$B$76:$D$102,3,0)</f>
        <v/>
      </c>
      <c r="P30" s="184">
        <f>VLOOKUP(M30,$M$76:$P$102,2,0)</f>
        <v/>
      </c>
      <c r="Q30" s="130">
        <f>VLOOKUP(M30,$M$76:$P$102,3,0)</f>
        <v/>
      </c>
      <c r="R30" s="130">
        <f>VLOOKUP(M30,$M$76:$P$102,4,0)</f>
        <v/>
      </c>
      <c r="S30" s="130">
        <f>Q30-Q29</f>
        <v/>
      </c>
      <c r="V30" s="128" t="n"/>
      <c r="X30" s="153" t="n"/>
      <c r="Y30" s="154" t="n"/>
      <c r="Z30" s="128" t="n"/>
      <c r="AA30" s="128" t="n"/>
    </row>
    <row r="31" ht="16.5" customHeight="1" s="116">
      <c r="B31" s="201" t="inlineStr">
        <is>
          <t>SOL-24APR26-75-P-USDT</t>
        </is>
      </c>
      <c r="C31" s="202">
        <f>Hedge_Far!B10</f>
        <v/>
      </c>
      <c r="D31" s="203">
        <f>Hedge_Far!C10</f>
        <v/>
      </c>
      <c r="E31" s="202">
        <f>Hedge_Far!I10</f>
        <v/>
      </c>
      <c r="F31" s="204" t="n">
        <v>0</v>
      </c>
      <c r="G31" s="202" t="n"/>
      <c r="H31" s="204">
        <f>Hedge_Far!N10</f>
        <v/>
      </c>
      <c r="I31" s="205">
        <f>H31/$H$33</f>
        <v/>
      </c>
      <c r="M31" s="189" t="n">
        <v>60</v>
      </c>
      <c r="N31" s="199">
        <f>VLOOKUP(M31,$B$76:$C$102,2,0)</f>
        <v/>
      </c>
      <c r="O31" s="199">
        <f>VLOOKUP(M31,$B$76:$D$102,3,0)</f>
        <v/>
      </c>
      <c r="P31" s="184">
        <f>VLOOKUP(M31,$M$76:$P$102,2,0)</f>
        <v/>
      </c>
      <c r="Q31" s="130">
        <f>VLOOKUP(M31,$M$76:$P$102,3,0)</f>
        <v/>
      </c>
      <c r="R31" s="130">
        <f>VLOOKUP(M31,$M$76:$P$102,4,0)</f>
        <v/>
      </c>
      <c r="S31" s="130">
        <f>Q31-Q30</f>
        <v/>
      </c>
      <c r="V31" s="128" t="n"/>
      <c r="X31" s="153" t="n"/>
      <c r="Y31" s="154" t="n"/>
      <c r="Z31" s="128" t="n"/>
      <c r="AA31" s="128" t="n"/>
    </row>
    <row r="32" ht="16.5" customHeight="1" s="116">
      <c r="B32" s="201" t="inlineStr">
        <is>
          <t>SOL-24APR26-78-P-USDT</t>
        </is>
      </c>
      <c r="C32" s="202">
        <f>Hedge_Far!B11</f>
        <v/>
      </c>
      <c r="D32" s="203">
        <f>Hedge_Far!C11</f>
        <v/>
      </c>
      <c r="E32" s="202">
        <f>Hedge_Far!I11</f>
        <v/>
      </c>
      <c r="F32" s="204" t="n">
        <v>0</v>
      </c>
      <c r="G32" s="202" t="n"/>
      <c r="H32" s="204">
        <f>Hedge_Far!N11</f>
        <v/>
      </c>
      <c r="I32" s="205">
        <f>H32/$H$33</f>
        <v/>
      </c>
      <c r="M32" s="189" t="n">
        <v>57</v>
      </c>
      <c r="N32" s="199">
        <f>VLOOKUP(M32,$B$76:$C$102,2,0)</f>
        <v/>
      </c>
      <c r="O32" s="199">
        <f>VLOOKUP(M32,$B$76:$D$102,3,0)</f>
        <v/>
      </c>
      <c r="P32" s="184">
        <f>VLOOKUP(M32,$M$76:$P$102,2,0)</f>
        <v/>
      </c>
      <c r="Q32" s="130">
        <f>VLOOKUP(M32,$M$76:$P$102,3,0)</f>
        <v/>
      </c>
      <c r="R32" s="130">
        <f>VLOOKUP(M32,$M$76:$P$102,4,0)</f>
        <v/>
      </c>
      <c r="S32" s="130">
        <f>Q32-Q31</f>
        <v/>
      </c>
      <c r="V32" s="128" t="n"/>
      <c r="X32" s="153" t="n"/>
      <c r="Y32" s="154" t="n"/>
      <c r="Z32" s="128" t="n"/>
      <c r="AA32" s="128" t="n"/>
    </row>
    <row r="33" ht="16.5" customHeight="1" s="116">
      <c r="B33" s="166" t="n"/>
      <c r="C33" s="193" t="n"/>
      <c r="E33" s="193" t="n"/>
      <c r="H33" s="193">
        <f>SUM(H23:H32)</f>
        <v/>
      </c>
      <c r="I33" s="118" t="n"/>
      <c r="M33" s="206" t="n"/>
      <c r="Q33" s="131">
        <f>AVERAGE(Q23:Q28)</f>
        <v/>
      </c>
      <c r="R33" s="131" t="n"/>
      <c r="S33" s="131" t="n"/>
      <c r="V33" s="128" t="n"/>
      <c r="X33" s="153" t="n"/>
      <c r="Y33" s="154" t="n"/>
      <c r="Z33" s="128" t="n"/>
      <c r="AA33" s="128" t="n"/>
    </row>
    <row r="34" ht="16.5" customHeight="1" s="116">
      <c r="B34" s="166" t="n"/>
      <c r="C34" s="193" t="n"/>
      <c r="E34" s="193" t="n"/>
      <c r="H34" s="193" t="n"/>
      <c r="I34" s="118" t="n"/>
      <c r="M34" s="206" t="n"/>
      <c r="Q34" s="131" t="n"/>
      <c r="R34" s="131" t="n"/>
      <c r="S34" s="131" t="n"/>
      <c r="V34" s="128" t="n"/>
      <c r="X34" s="153" t="n"/>
      <c r="Y34" s="154" t="n"/>
      <c r="Z34" s="128" t="n"/>
      <c r="AA34" s="128" t="n"/>
    </row>
    <row r="35" ht="16.5" customHeight="1" s="116">
      <c r="B35" s="133" t="inlineStr">
        <is>
          <t>symbol</t>
        </is>
      </c>
      <c r="C35" s="133" t="inlineStr">
        <is>
          <t>strike</t>
        </is>
      </c>
      <c r="D35" s="133" t="inlineStr">
        <is>
          <t>delta</t>
        </is>
      </c>
      <c r="E35" s="133" t="inlineStr">
        <is>
          <t>DTE</t>
        </is>
      </c>
      <c r="F35" s="133" t="inlineStr">
        <is>
          <t>priceCur</t>
        </is>
      </c>
      <c r="G35" s="133" t="inlineStr">
        <is>
          <t>кол</t>
        </is>
      </c>
      <c r="H35" s="133" t="inlineStr">
        <is>
          <t>cost</t>
        </is>
      </c>
      <c r="I35" s="133" t="inlineStr">
        <is>
          <t>% cost</t>
        </is>
      </c>
      <c r="M35" s="133" t="inlineStr">
        <is>
          <t>Strike</t>
        </is>
      </c>
      <c r="N35" s="198" t="inlineStr">
        <is>
          <t>Effi_Pnl</t>
        </is>
      </c>
      <c r="O35" s="198" t="inlineStr">
        <is>
          <t>Effi_Intr</t>
        </is>
      </c>
      <c r="P35" s="149" t="inlineStr">
        <is>
          <t>Delta</t>
        </is>
      </c>
      <c r="Q35" s="149" t="inlineStr">
        <is>
          <t>Pnl</t>
        </is>
      </c>
      <c r="R35" s="149" t="inlineStr">
        <is>
          <t>Intrin</t>
        </is>
      </c>
      <c r="S35" s="129" t="inlineStr">
        <is>
          <t>Acclerat</t>
        </is>
      </c>
      <c r="V35" s="128" t="n"/>
      <c r="X35" s="153" t="n"/>
      <c r="Y35" s="154" t="n"/>
      <c r="Z35" s="128" t="n"/>
      <c r="AA35" s="128" t="n"/>
    </row>
    <row r="36" ht="16.5" customHeight="1" s="116">
      <c r="B36" s="129" t="n"/>
      <c r="C36" s="149" t="n"/>
      <c r="D36" s="184" t="n"/>
      <c r="E36" s="195" t="n"/>
      <c r="F36" s="132" t="n"/>
      <c r="G36" s="208" t="n"/>
      <c r="H36" s="132" t="n"/>
      <c r="I36" s="151" t="n"/>
      <c r="M36" s="189" t="n"/>
      <c r="N36" s="129" t="n"/>
      <c r="O36" s="129" t="n"/>
      <c r="P36" s="129" t="n"/>
      <c r="Q36" s="130" t="n"/>
      <c r="R36" s="130" t="n"/>
      <c r="S36" s="130" t="n"/>
      <c r="V36" s="128" t="n"/>
      <c r="X36" s="153" t="n"/>
      <c r="Y36" s="154" t="n"/>
      <c r="Z36" s="128" t="n"/>
      <c r="AA36" s="128" t="n"/>
    </row>
    <row r="37" ht="16.5" customHeight="1" s="116">
      <c r="B37" s="129" t="n"/>
      <c r="C37" s="149" t="n"/>
      <c r="D37" s="184" t="n"/>
      <c r="E37" s="195" t="n"/>
      <c r="F37" s="132" t="n"/>
      <c r="G37" s="208" t="n"/>
      <c r="H37" s="132" t="n"/>
      <c r="I37" s="151" t="n"/>
      <c r="M37" s="189" t="n"/>
      <c r="N37" s="129" t="n"/>
      <c r="O37" s="129" t="n"/>
      <c r="P37" s="129" t="n"/>
      <c r="Q37" s="130" t="n"/>
      <c r="R37" s="130" t="n"/>
      <c r="S37" s="130" t="n"/>
      <c r="V37" s="128" t="n"/>
      <c r="X37" s="153" t="n"/>
      <c r="Y37" s="154" t="n"/>
      <c r="Z37" s="128" t="n"/>
      <c r="AA37" s="128" t="n"/>
    </row>
    <row r="38" ht="16.5" customHeight="1" s="116">
      <c r="B38" s="129" t="n"/>
      <c r="C38" s="149" t="n"/>
      <c r="D38" s="184" t="n"/>
      <c r="E38" s="195" t="n"/>
      <c r="F38" s="132" t="n"/>
      <c r="G38" s="208" t="n"/>
      <c r="H38" s="132" t="n"/>
      <c r="I38" s="151" t="n"/>
      <c r="M38" s="189" t="n"/>
      <c r="N38" s="129" t="n"/>
      <c r="O38" s="129" t="n"/>
      <c r="P38" s="129" t="n"/>
      <c r="Q38" s="130" t="n"/>
      <c r="R38" s="130" t="n"/>
      <c r="S38" s="130" t="n"/>
      <c r="V38" s="128" t="n"/>
      <c r="X38" s="153" t="n"/>
      <c r="Y38" s="154" t="n"/>
      <c r="Z38" s="128" t="n"/>
      <c r="AA38" s="128" t="n"/>
    </row>
    <row r="39" ht="16.5" customHeight="1" s="116">
      <c r="B39" s="129" t="n"/>
      <c r="C39" s="149" t="n"/>
      <c r="D39" s="184" t="n"/>
      <c r="E39" s="195" t="n"/>
      <c r="F39" s="132" t="n"/>
      <c r="G39" s="208" t="n"/>
      <c r="H39" s="132" t="n"/>
      <c r="I39" s="151" t="n"/>
      <c r="M39" s="189" t="n"/>
      <c r="N39" s="129" t="n"/>
      <c r="O39" s="129" t="n"/>
      <c r="P39" s="129" t="n"/>
      <c r="Q39" s="130" t="n"/>
      <c r="R39" s="130" t="n"/>
      <c r="S39" s="130" t="n"/>
      <c r="V39" s="128" t="n"/>
      <c r="X39" s="153" t="n"/>
      <c r="Y39" s="154" t="n"/>
      <c r="Z39" s="128" t="n"/>
      <c r="AA39" s="128" t="n"/>
    </row>
    <row r="40" ht="16.5" customHeight="1" s="116">
      <c r="B40" s="129" t="n"/>
      <c r="C40" s="149" t="n"/>
      <c r="D40" s="184" t="n"/>
      <c r="E40" s="195" t="n"/>
      <c r="F40" s="132" t="n"/>
      <c r="G40" s="208" t="n"/>
      <c r="H40" s="132" t="n"/>
      <c r="I40" s="151" t="n"/>
      <c r="M40" s="189" t="n"/>
      <c r="N40" s="129" t="n"/>
      <c r="O40" s="129" t="n"/>
      <c r="P40" s="129" t="n"/>
      <c r="Q40" s="130" t="n"/>
      <c r="R40" s="130" t="n"/>
      <c r="S40" s="130" t="n"/>
      <c r="V40" s="128" t="n"/>
      <c r="X40" s="153" t="n"/>
      <c r="Y40" s="154" t="n"/>
      <c r="Z40" s="128" t="n"/>
      <c r="AA40" s="128" t="n"/>
    </row>
    <row r="41" ht="16.5" customHeight="1" s="116">
      <c r="B41" s="129" t="n"/>
      <c r="C41" s="149" t="n"/>
      <c r="D41" s="184" t="n"/>
      <c r="E41" s="195" t="n"/>
      <c r="F41" s="132" t="n"/>
      <c r="G41" s="208" t="n"/>
      <c r="H41" s="132" t="n"/>
      <c r="I41" s="151" t="n"/>
      <c r="M41" s="189" t="n"/>
      <c r="N41" s="129" t="n"/>
      <c r="O41" s="129" t="n"/>
      <c r="P41" s="129" t="n"/>
      <c r="Q41" s="130" t="n"/>
      <c r="R41" s="130" t="n"/>
      <c r="S41" s="130" t="n"/>
      <c r="V41" s="128" t="n"/>
      <c r="X41" s="153" t="n"/>
      <c r="Y41" s="154" t="n"/>
      <c r="Z41" s="128" t="n"/>
      <c r="AA41" s="128" t="n"/>
    </row>
    <row r="42" ht="16.5" customHeight="1" s="116">
      <c r="B42" s="129" t="n"/>
      <c r="C42" s="149" t="n"/>
      <c r="D42" s="184" t="n"/>
      <c r="E42" s="195" t="n"/>
      <c r="F42" s="132" t="n"/>
      <c r="G42" s="208" t="n"/>
      <c r="H42" s="132" t="n"/>
      <c r="I42" s="151" t="n"/>
      <c r="M42" s="189" t="n"/>
      <c r="N42" s="129" t="n"/>
      <c r="O42" s="129" t="n"/>
      <c r="P42" s="192" t="n"/>
      <c r="Q42" s="130" t="n"/>
      <c r="R42" s="130" t="n"/>
      <c r="S42" s="130" t="n"/>
      <c r="V42" s="128" t="n"/>
      <c r="X42" s="153" t="n"/>
      <c r="Y42" s="154" t="n"/>
      <c r="Z42" s="128" t="n"/>
      <c r="AA42" s="128" t="n"/>
    </row>
    <row r="43" ht="16.5" customHeight="1" s="116">
      <c r="B43" s="129" t="n"/>
      <c r="C43" s="202" t="n"/>
      <c r="D43" s="203" t="n"/>
      <c r="E43" s="202" t="n"/>
      <c r="F43" s="202" t="n"/>
      <c r="G43" s="202" t="n"/>
      <c r="H43" s="204" t="n"/>
      <c r="I43" s="205" t="n"/>
      <c r="M43" s="189" t="n"/>
      <c r="N43" s="129" t="n"/>
      <c r="O43" s="129" t="n"/>
      <c r="P43" s="129" t="n"/>
      <c r="Q43" s="130" t="n"/>
      <c r="R43" s="130" t="n"/>
      <c r="S43" s="130" t="n"/>
      <c r="V43" s="128" t="n"/>
      <c r="X43" s="153" t="n"/>
      <c r="Y43" s="154" t="n"/>
      <c r="Z43" s="128" t="n"/>
      <c r="AA43" s="128" t="n"/>
    </row>
    <row r="44" ht="16.5" customHeight="1" s="116">
      <c r="B44" s="129" t="n"/>
      <c r="C44" s="202" t="n"/>
      <c r="D44" s="203" t="n"/>
      <c r="E44" s="202" t="n"/>
      <c r="F44" s="202" t="n"/>
      <c r="G44" s="202" t="n"/>
      <c r="H44" s="204" t="n"/>
      <c r="I44" s="205" t="n"/>
      <c r="M44" s="189" t="n"/>
      <c r="N44" s="129" t="n"/>
      <c r="O44" s="129" t="n"/>
      <c r="P44" s="129" t="n"/>
      <c r="Q44" s="130" t="n"/>
      <c r="R44" s="130" t="n"/>
      <c r="S44" s="130" t="n"/>
      <c r="V44" s="128" t="n"/>
      <c r="X44" s="153" t="n"/>
      <c r="Y44" s="154" t="n"/>
      <c r="Z44" s="128" t="n"/>
      <c r="AA44" s="128" t="n"/>
    </row>
    <row r="45" ht="16.5" customHeight="1" s="116">
      <c r="B45" s="129" t="n"/>
      <c r="C45" s="202" t="n"/>
      <c r="D45" s="203" t="n"/>
      <c r="E45" s="202" t="n"/>
      <c r="F45" s="202" t="n"/>
      <c r="G45" s="202" t="n"/>
      <c r="H45" s="204" t="n"/>
      <c r="I45" s="205" t="n"/>
      <c r="M45" s="189" t="n"/>
      <c r="N45" s="129" t="n"/>
      <c r="O45" s="129" t="n"/>
      <c r="P45" s="129" t="n"/>
      <c r="Q45" s="130" t="n"/>
      <c r="R45" s="130" t="n"/>
      <c r="S45" s="130" t="n"/>
      <c r="V45" s="130">
        <f>Q33-R60</f>
        <v/>
      </c>
      <c r="W45" s="186">
        <f>V45/V46</f>
        <v/>
      </c>
      <c r="X45" s="153" t="n"/>
      <c r="Y45" s="154" t="n"/>
      <c r="Z45" s="128" t="n"/>
      <c r="AA45" s="128" t="n"/>
    </row>
    <row r="46" ht="16.5" customHeight="1" s="116">
      <c r="B46" s="166" t="n"/>
      <c r="C46" s="193" t="n"/>
      <c r="E46" s="193" t="n"/>
      <c r="H46" s="193" t="n"/>
      <c r="I46" s="118" t="n"/>
      <c r="M46" s="206" t="n"/>
      <c r="Q46" s="131" t="n"/>
      <c r="R46" s="131" t="n"/>
      <c r="S46" s="131" t="n"/>
      <c r="V46" s="130">
        <f>H33-I59</f>
        <v/>
      </c>
      <c r="W46" s="129" t="n"/>
      <c r="X46" s="153" t="n"/>
      <c r="Y46" s="154" t="n"/>
      <c r="Z46" s="128" t="n"/>
      <c r="AA46" s="128" t="n"/>
    </row>
    <row r="47" ht="16.5" customHeight="1" s="116">
      <c r="I47" s="193" t="n"/>
      <c r="J47" s="118" t="n"/>
      <c r="K47" s="118" t="n"/>
      <c r="L47" s="118" t="n"/>
      <c r="N47" s="206" t="n"/>
      <c r="R47" s="131" t="n"/>
      <c r="S47" s="131" t="n"/>
      <c r="T47" s="131" t="n"/>
      <c r="V47" s="128" t="n"/>
      <c r="X47" s="153" t="n"/>
      <c r="Y47" s="154" t="n"/>
      <c r="Z47" s="128" t="n"/>
      <c r="AA47" s="128" t="n"/>
    </row>
    <row r="48" ht="16.5" customHeight="1" s="116">
      <c r="B48" s="133" t="inlineStr">
        <is>
          <t>symbol</t>
        </is>
      </c>
      <c r="C48" s="133" t="inlineStr">
        <is>
          <t>strike</t>
        </is>
      </c>
      <c r="D48" s="133" t="inlineStr">
        <is>
          <t>delta</t>
        </is>
      </c>
      <c r="E48" s="133" t="inlineStr">
        <is>
          <t>DTE</t>
        </is>
      </c>
      <c r="F48" s="133" t="inlineStr">
        <is>
          <t>priceCur</t>
        </is>
      </c>
      <c r="G48" s="133" t="inlineStr">
        <is>
          <t>кол</t>
        </is>
      </c>
      <c r="H48" s="133" t="inlineStr">
        <is>
          <t>cost</t>
        </is>
      </c>
      <c r="I48" s="133" t="inlineStr">
        <is>
          <t>% cost</t>
        </is>
      </c>
      <c r="J48" s="148" t="n"/>
      <c r="K48" s="148" t="n"/>
      <c r="L48" s="148" t="n"/>
      <c r="M48" s="133" t="inlineStr">
        <is>
          <t>Strike</t>
        </is>
      </c>
      <c r="N48" s="198" t="inlineStr">
        <is>
          <t>Effi_Pnl</t>
        </is>
      </c>
      <c r="O48" s="198" t="inlineStr">
        <is>
          <t>Effi_Intr</t>
        </is>
      </c>
      <c r="P48" s="149" t="inlineStr">
        <is>
          <t>Delta</t>
        </is>
      </c>
      <c r="Q48" s="149" t="inlineStr">
        <is>
          <t>Pnl</t>
        </is>
      </c>
      <c r="R48" s="149" t="inlineStr">
        <is>
          <t>Intrin</t>
        </is>
      </c>
      <c r="S48" s="129" t="inlineStr">
        <is>
          <t>Acclerat</t>
        </is>
      </c>
      <c r="V48" s="128" t="n"/>
      <c r="X48" s="153" t="n"/>
      <c r="Y48" s="154" t="n"/>
      <c r="Z48" s="128" t="n"/>
      <c r="AA48" s="128" t="n"/>
    </row>
    <row r="49" ht="16.5" customHeight="1" s="116">
      <c r="B49" s="129" t="n"/>
      <c r="C49" s="149" t="n"/>
      <c r="D49" s="184" t="n"/>
      <c r="E49" s="149" t="n"/>
      <c r="F49" s="151" t="n"/>
      <c r="G49" s="149" t="n"/>
      <c r="H49" s="132" t="n"/>
      <c r="I49" s="132" t="n"/>
      <c r="J49" s="153" t="n"/>
      <c r="K49" s="153" t="n"/>
      <c r="L49" s="153" t="n"/>
      <c r="M49" s="189" t="n"/>
      <c r="N49" s="199" t="n"/>
      <c r="O49" s="199" t="n"/>
      <c r="P49" s="184" t="n"/>
      <c r="Q49" s="130" t="n"/>
      <c r="R49" s="130" t="n"/>
      <c r="S49" s="129" t="n"/>
      <c r="V49" s="128" t="n"/>
      <c r="X49" s="153" t="n"/>
      <c r="Y49" s="154" t="n"/>
      <c r="Z49" s="128" t="n"/>
      <c r="AA49" s="128" t="n"/>
    </row>
    <row r="50" ht="16.5" customHeight="1" s="116">
      <c r="B50" s="129" t="n"/>
      <c r="C50" s="149" t="n"/>
      <c r="D50" s="184" t="n"/>
      <c r="E50" s="149" t="n"/>
      <c r="F50" s="151" t="n"/>
      <c r="G50" s="149" t="n"/>
      <c r="H50" s="132" t="n"/>
      <c r="I50" s="132" t="n"/>
      <c r="J50" s="153" t="n"/>
      <c r="K50" s="153" t="n"/>
      <c r="L50" s="153" t="n"/>
      <c r="M50" s="189" t="n"/>
      <c r="N50" s="199" t="n"/>
      <c r="O50" s="199" t="n"/>
      <c r="P50" s="184" t="n"/>
      <c r="Q50" s="130" t="n"/>
      <c r="R50" s="130" t="n"/>
      <c r="S50" s="130" t="n"/>
      <c r="V50" s="128" t="n"/>
      <c r="X50" s="153" t="n"/>
      <c r="Y50" s="154" t="n"/>
      <c r="Z50" s="128" t="n"/>
      <c r="AA50" s="128" t="n"/>
    </row>
    <row r="51" ht="16.5" customHeight="1" s="116">
      <c r="B51" s="129" t="n"/>
      <c r="C51" s="149" t="n"/>
      <c r="D51" s="184" t="n"/>
      <c r="E51" s="149" t="n"/>
      <c r="F51" s="151" t="n"/>
      <c r="G51" s="149" t="n"/>
      <c r="H51" s="132" t="n"/>
      <c r="I51" s="132" t="n"/>
      <c r="J51" s="153" t="n"/>
      <c r="K51" s="153" t="n"/>
      <c r="L51" s="153" t="n"/>
      <c r="M51" s="189" t="n"/>
      <c r="N51" s="199" t="n"/>
      <c r="O51" s="199" t="n"/>
      <c r="P51" s="184" t="n"/>
      <c r="Q51" s="130" t="n"/>
      <c r="R51" s="130" t="n"/>
      <c r="S51" s="130" t="n"/>
      <c r="V51" s="128" t="n"/>
      <c r="X51" s="153" t="n"/>
      <c r="Y51" s="154" t="n"/>
      <c r="Z51" s="128" t="n"/>
      <c r="AA51" s="128" t="n"/>
    </row>
    <row r="52" ht="16.5" customHeight="1" s="116">
      <c r="B52" s="129" t="n"/>
      <c r="C52" s="149" t="n"/>
      <c r="D52" s="184" t="n"/>
      <c r="E52" s="149" t="n"/>
      <c r="F52" s="151" t="n"/>
      <c r="G52" s="149" t="n"/>
      <c r="H52" s="132" t="n"/>
      <c r="I52" s="132" t="n"/>
      <c r="J52" s="153" t="n"/>
      <c r="K52" s="153" t="n"/>
      <c r="L52" s="153" t="n"/>
      <c r="M52" s="189" t="n"/>
      <c r="N52" s="199" t="n"/>
      <c r="O52" s="199" t="n"/>
      <c r="P52" s="184" t="n"/>
      <c r="Q52" s="130" t="n"/>
      <c r="R52" s="130" t="n"/>
      <c r="S52" s="130" t="n"/>
      <c r="V52" s="128" t="n"/>
      <c r="X52" s="153" t="n"/>
      <c r="Y52" s="154" t="n"/>
      <c r="Z52" s="128" t="n"/>
      <c r="AA52" s="128" t="n"/>
    </row>
    <row r="53" ht="16.5" customHeight="1" s="116">
      <c r="B53" s="129" t="n"/>
      <c r="C53" s="149" t="n"/>
      <c r="D53" s="184" t="n"/>
      <c r="E53" s="149" t="n"/>
      <c r="F53" s="151" t="n"/>
      <c r="G53" s="149" t="n"/>
      <c r="H53" s="132" t="n"/>
      <c r="I53" s="132" t="n"/>
      <c r="J53" s="153" t="n"/>
      <c r="K53" s="153" t="n"/>
      <c r="L53" s="153" t="n"/>
      <c r="M53" s="189" t="n"/>
      <c r="N53" s="199" t="n"/>
      <c r="O53" s="199" t="n"/>
      <c r="P53" s="184" t="n"/>
      <c r="Q53" s="130" t="n"/>
      <c r="R53" s="130" t="n"/>
      <c r="S53" s="130" t="n"/>
      <c r="V53" s="128" t="n"/>
      <c r="X53" s="153" t="n"/>
      <c r="Y53" s="154" t="n"/>
      <c r="Z53" s="128" t="n"/>
      <c r="AA53" s="128" t="n"/>
    </row>
    <row r="54" ht="16.5" customHeight="1" s="116">
      <c r="B54" s="129" t="n"/>
      <c r="C54" s="149" t="n"/>
      <c r="D54" s="184" t="n"/>
      <c r="E54" s="149" t="n"/>
      <c r="F54" s="151" t="n"/>
      <c r="G54" s="149" t="n"/>
      <c r="H54" s="132" t="n"/>
      <c r="I54" s="132" t="n"/>
      <c r="J54" s="153" t="n"/>
      <c r="K54" s="153" t="n"/>
      <c r="L54" s="153" t="n"/>
      <c r="M54" s="189" t="n"/>
      <c r="N54" s="199" t="n"/>
      <c r="O54" s="199" t="n"/>
      <c r="P54" s="184" t="n"/>
      <c r="Q54" s="130" t="n"/>
      <c r="R54" s="130" t="n"/>
      <c r="S54" s="130" t="n"/>
      <c r="V54" s="128" t="n"/>
      <c r="X54" s="153" t="n"/>
      <c r="Y54" s="154" t="n"/>
      <c r="Z54" s="128" t="n"/>
      <c r="AA54" s="128" t="n"/>
    </row>
    <row r="55" ht="16.5" customHeight="1" s="116">
      <c r="B55" s="129" t="n"/>
      <c r="C55" s="149" t="n"/>
      <c r="D55" s="184" t="n"/>
      <c r="E55" s="149" t="n"/>
      <c r="F55" s="151" t="n"/>
      <c r="G55" s="149" t="n"/>
      <c r="H55" s="132" t="n"/>
      <c r="I55" s="132" t="n"/>
      <c r="J55" s="153" t="n"/>
      <c r="K55" s="153" t="n"/>
      <c r="L55" s="153" t="n"/>
      <c r="M55" s="189" t="n"/>
      <c r="N55" s="199" t="n"/>
      <c r="O55" s="199" t="n"/>
      <c r="P55" s="200" t="n"/>
      <c r="Q55" s="130" t="n"/>
      <c r="R55" s="130" t="n"/>
      <c r="S55" s="130" t="n"/>
      <c r="V55" s="128" t="n"/>
      <c r="X55" s="153" t="n"/>
      <c r="Y55" s="154" t="n"/>
      <c r="Z55" s="128" t="n"/>
      <c r="AA55" s="128" t="n"/>
    </row>
    <row r="56" ht="16.5" customHeight="1" s="116">
      <c r="B56" s="129" t="n"/>
      <c r="C56" s="149" t="n"/>
      <c r="D56" s="184" t="n"/>
      <c r="E56" s="149" t="n"/>
      <c r="F56" s="151" t="n"/>
      <c r="G56" s="149" t="n"/>
      <c r="H56" s="132" t="n"/>
      <c r="I56" s="132" t="n"/>
      <c r="J56" s="153" t="n"/>
      <c r="K56" s="153" t="n"/>
      <c r="L56" s="153" t="n"/>
      <c r="M56" s="189" t="n"/>
      <c r="N56" s="199" t="n"/>
      <c r="O56" s="199" t="n"/>
      <c r="P56" s="184" t="n"/>
      <c r="Q56" s="130" t="n"/>
      <c r="R56" s="130" t="n"/>
      <c r="S56" s="130" t="n"/>
      <c r="V56" s="128" t="n"/>
      <c r="X56" s="153" t="n"/>
      <c r="Y56" s="154" t="n"/>
      <c r="Z56" s="128" t="n"/>
      <c r="AA56" s="128" t="n"/>
    </row>
    <row r="57" ht="16.5" customHeight="1" s="116">
      <c r="B57" s="129" t="n"/>
      <c r="C57" s="149" t="n"/>
      <c r="D57" s="184" t="n"/>
      <c r="E57" s="149" t="n"/>
      <c r="F57" s="151" t="n"/>
      <c r="G57" s="149" t="n"/>
      <c r="H57" s="132" t="n"/>
      <c r="I57" s="132" t="n"/>
      <c r="J57" s="153" t="n"/>
      <c r="K57" s="153" t="n"/>
      <c r="L57" s="153" t="n"/>
      <c r="M57" s="189" t="n"/>
      <c r="N57" s="199" t="n"/>
      <c r="O57" s="199" t="n"/>
      <c r="P57" s="184" t="n"/>
      <c r="Q57" s="130" t="n"/>
      <c r="R57" s="130" t="n"/>
      <c r="S57" s="130" t="n"/>
      <c r="V57" s="128" t="n"/>
      <c r="X57" s="153" t="n"/>
      <c r="Y57" s="154" t="n"/>
      <c r="Z57" s="128" t="n"/>
      <c r="AA57" s="128" t="n"/>
    </row>
    <row r="58" ht="16.5" customHeight="1" s="116">
      <c r="B58" s="129" t="n"/>
      <c r="C58" s="149" t="n"/>
      <c r="D58" s="184" t="n"/>
      <c r="E58" s="149" t="n"/>
      <c r="F58" s="151" t="n"/>
      <c r="G58" s="149" t="n"/>
      <c r="H58" s="132" t="n"/>
      <c r="I58" s="132" t="n"/>
      <c r="J58" s="153" t="n"/>
      <c r="K58" s="153" t="n"/>
      <c r="L58" s="153" t="n"/>
      <c r="M58" s="189" t="n"/>
      <c r="N58" s="199" t="n"/>
      <c r="O58" s="199" t="n"/>
      <c r="P58" s="184" t="n"/>
      <c r="Q58" s="130" t="n"/>
      <c r="R58" s="130" t="n"/>
      <c r="S58" s="130" t="n"/>
      <c r="V58" s="128" t="n"/>
      <c r="X58" s="153" t="n"/>
      <c r="Y58" s="154" t="n"/>
      <c r="Z58" s="128" t="n"/>
      <c r="AA58" s="128" t="n"/>
    </row>
    <row r="59" ht="16.5" customHeight="1" s="116">
      <c r="B59" s="166" t="n"/>
      <c r="C59" s="193" t="n"/>
      <c r="D59" s="193" t="n"/>
      <c r="E59" s="193" t="n"/>
      <c r="G59" s="118" t="n"/>
      <c r="H59" s="118" t="n"/>
      <c r="I59" s="118" t="n"/>
      <c r="J59" s="118" t="n"/>
      <c r="K59" s="118" t="n"/>
      <c r="L59" s="118" t="n"/>
      <c r="M59" s="206" t="n"/>
      <c r="Q59" s="131" t="n"/>
      <c r="R59" s="131" t="n"/>
      <c r="S59" s="131" t="n"/>
      <c r="V59" s="128" t="n"/>
      <c r="X59" s="153" t="n"/>
      <c r="Y59" s="154" t="n"/>
      <c r="Z59" s="128" t="n"/>
      <c r="AA59" s="128" t="n"/>
    </row>
    <row r="60" ht="16.5" customHeight="1" s="116">
      <c r="B60" s="166" t="n"/>
      <c r="C60" s="193" t="n"/>
      <c r="D60" s="193" t="n"/>
      <c r="E60" s="193" t="n"/>
      <c r="G60" s="118" t="n"/>
      <c r="H60" s="118" t="n"/>
      <c r="I60" s="118" t="n"/>
      <c r="J60" s="118" t="n"/>
      <c r="K60" s="118" t="n"/>
      <c r="L60" s="118" t="n"/>
      <c r="R60" s="131" t="n"/>
      <c r="V60" s="128" t="n"/>
      <c r="X60" s="153" t="n"/>
      <c r="Y60" s="154" t="n"/>
      <c r="Z60" s="128" t="n"/>
      <c r="AA60" s="128" t="n"/>
    </row>
    <row r="61" ht="16.5" customHeight="1" s="116">
      <c r="B61" s="133" t="inlineStr">
        <is>
          <t>symbol</t>
        </is>
      </c>
      <c r="C61" s="133" t="inlineStr">
        <is>
          <t>strike</t>
        </is>
      </c>
      <c r="D61" s="133" t="inlineStr">
        <is>
          <t>delta</t>
        </is>
      </c>
      <c r="E61" s="133" t="inlineStr">
        <is>
          <t>DTE</t>
        </is>
      </c>
      <c r="F61" s="133" t="inlineStr">
        <is>
          <t>price</t>
        </is>
      </c>
      <c r="G61" s="133" t="inlineStr">
        <is>
          <t>кол</t>
        </is>
      </c>
      <c r="H61" s="133" t="inlineStr">
        <is>
          <t>cost</t>
        </is>
      </c>
      <c r="I61" s="133" t="inlineStr">
        <is>
          <t>% cost</t>
        </is>
      </c>
      <c r="J61" s="148" t="n"/>
      <c r="K61" s="148" t="n"/>
      <c r="L61" s="148" t="n"/>
      <c r="M61" s="133" t="inlineStr">
        <is>
          <t>Strike</t>
        </is>
      </c>
      <c r="N61" s="198" t="inlineStr">
        <is>
          <t>Effi_Pnl</t>
        </is>
      </c>
      <c r="O61" s="198" t="inlineStr">
        <is>
          <t>Effi_Intr</t>
        </is>
      </c>
      <c r="P61" s="149" t="inlineStr">
        <is>
          <t>Delta</t>
        </is>
      </c>
      <c r="Q61" s="149" t="inlineStr">
        <is>
          <t>Pnl</t>
        </is>
      </c>
      <c r="R61" s="149" t="inlineStr">
        <is>
          <t>Intrin</t>
        </is>
      </c>
      <c r="S61" s="129" t="inlineStr">
        <is>
          <t>Acclerat</t>
        </is>
      </c>
      <c r="U61" s="166" t="n"/>
      <c r="V61" s="182" t="n">
        <v>18</v>
      </c>
      <c r="W61" s="182" t="n">
        <v>11</v>
      </c>
      <c r="X61" s="182" t="n"/>
      <c r="Y61" s="189" t="inlineStr">
        <is>
          <t>total</t>
        </is>
      </c>
      <c r="Z61" s="182" t="inlineStr">
        <is>
          <t>cost</t>
        </is>
      </c>
      <c r="AA61" s="182" t="inlineStr">
        <is>
          <t>% cost</t>
        </is>
      </c>
    </row>
    <row r="62" ht="16.5" customHeight="1" s="116">
      <c r="B62" s="129" t="inlineStr">
        <is>
          <t>SOL-24APR26-75-P-USDT</t>
        </is>
      </c>
      <c r="C62" s="149" t="n">
        <v>75</v>
      </c>
      <c r="D62" s="184" t="n">
        <v>-0.21597053</v>
      </c>
      <c r="E62" s="195" t="n">
        <v>11</v>
      </c>
      <c r="F62" s="132" t="n">
        <v>1.76</v>
      </c>
      <c r="G62" s="149" t="n">
        <v>3</v>
      </c>
      <c r="H62" s="132" t="n">
        <v>5.28</v>
      </c>
      <c r="I62" s="151" t="n">
        <v>0.28995057660626</v>
      </c>
      <c r="J62" s="153" t="n"/>
      <c r="K62" s="153" t="n"/>
      <c r="L62" s="153" t="n"/>
      <c r="M62" s="189" t="n">
        <v>80</v>
      </c>
      <c r="N62" s="199" t="n">
        <v>0.124871759564369</v>
      </c>
      <c r="O62" s="199" t="n">
        <v>-1</v>
      </c>
      <c r="P62" s="184" t="n">
        <v>-2.95541168770818</v>
      </c>
      <c r="Q62" s="130" t="n">
        <v>2.27391474166715</v>
      </c>
      <c r="R62" s="130" t="n">
        <v>-18.21</v>
      </c>
      <c r="S62" s="129" t="n"/>
      <c r="U62" s="166" t="n">
        <v>75</v>
      </c>
      <c r="V62" s="149" t="n"/>
      <c r="W62" s="129" t="n">
        <v>3</v>
      </c>
      <c r="X62" s="129" t="n"/>
      <c r="Y62" s="149" t="n">
        <v>3</v>
      </c>
      <c r="Z62" s="132" t="n">
        <v>5.28</v>
      </c>
      <c r="AA62" s="151" t="n">
        <v>0.28995057660626</v>
      </c>
    </row>
    <row r="63" ht="16.5" customHeight="1" s="116">
      <c r="B63" s="129" t="inlineStr">
        <is>
          <t>SOL-24APR26-78-P-USDT</t>
        </is>
      </c>
      <c r="C63" s="149" t="n">
        <v>78</v>
      </c>
      <c r="D63" s="184" t="n">
        <v>-0.31262275</v>
      </c>
      <c r="E63" s="195" t="n">
        <v>11</v>
      </c>
      <c r="F63" s="132" t="n">
        <v>2.15</v>
      </c>
      <c r="G63" s="149" t="n">
        <v>3</v>
      </c>
      <c r="H63" s="132" t="n">
        <v>6.45</v>
      </c>
      <c r="I63" s="151" t="n">
        <v>0.354200988467875</v>
      </c>
      <c r="J63" s="153" t="n"/>
      <c r="K63" s="153" t="n"/>
      <c r="L63" s="153" t="n"/>
      <c r="M63" s="189" t="n">
        <v>78</v>
      </c>
      <c r="N63" s="199" t="n">
        <v>0.485409709481253</v>
      </c>
      <c r="O63" s="199" t="n">
        <v>-0.780340472267985</v>
      </c>
      <c r="P63" s="184" t="n">
        <v>-3.61777803283105</v>
      </c>
      <c r="Q63" s="130" t="n">
        <v>8.83931080965362</v>
      </c>
      <c r="R63" s="130" t="n">
        <v>-14.21</v>
      </c>
      <c r="S63" s="130" t="n">
        <v>6.56539606798647</v>
      </c>
      <c r="U63" s="166" t="n">
        <v>78</v>
      </c>
      <c r="V63" s="149" t="n"/>
      <c r="W63" s="129" t="n">
        <v>3</v>
      </c>
      <c r="X63" s="129" t="n"/>
      <c r="Y63" s="149" t="n">
        <v>3</v>
      </c>
      <c r="Z63" s="132" t="n">
        <v>6.45</v>
      </c>
      <c r="AA63" s="151" t="n">
        <v>0.354200988467875</v>
      </c>
    </row>
    <row r="64" ht="16.5" customHeight="1" s="116">
      <c r="B64" s="129" t="inlineStr">
        <is>
          <t>SOL-24APR26-80-P-USDT</t>
        </is>
      </c>
      <c r="C64" s="149" t="n">
        <v>80</v>
      </c>
      <c r="D64" s="132" t="n">
        <v>-0.39076307</v>
      </c>
      <c r="E64" s="149" t="n">
        <v>11</v>
      </c>
      <c r="F64" s="132" t="n">
        <v>3.24</v>
      </c>
      <c r="G64" s="149" t="n">
        <v>2</v>
      </c>
      <c r="H64" s="132" t="n">
        <v>6.48</v>
      </c>
      <c r="I64" s="132" t="n">
        <v>0.355848434925865</v>
      </c>
      <c r="J64" s="153" t="n"/>
      <c r="K64" s="153" t="n"/>
      <c r="L64" s="153" t="n"/>
      <c r="M64" s="189" t="n">
        <v>76</v>
      </c>
      <c r="N64" s="199" t="n">
        <v>0.9207505944535</v>
      </c>
      <c r="O64" s="199" t="n">
        <v>-0.231191652937946</v>
      </c>
      <c r="P64" s="184" t="n">
        <v>-4.31269122050838</v>
      </c>
      <c r="Q64" s="130" t="n">
        <v>16.7668683249982</v>
      </c>
      <c r="R64" s="130" t="n">
        <v>-4.21</v>
      </c>
      <c r="S64" s="130" t="n">
        <v>7.92755751534462</v>
      </c>
      <c r="U64" s="166" t="n">
        <v>80</v>
      </c>
      <c r="V64" s="149" t="n"/>
      <c r="W64" s="129" t="n">
        <v>2</v>
      </c>
      <c r="X64" s="129" t="n"/>
      <c r="Y64" s="149" t="n">
        <v>2</v>
      </c>
      <c r="Z64" s="132" t="n">
        <v>6.48</v>
      </c>
      <c r="AA64" s="151" t="n">
        <v>0.355848434925865</v>
      </c>
    </row>
    <row r="65" ht="16.5" customHeight="1" s="116">
      <c r="B65" s="129" t="n"/>
      <c r="C65" s="149" t="n"/>
      <c r="D65" s="132" t="n"/>
      <c r="E65" s="149" t="n"/>
      <c r="F65" s="149" t="n"/>
      <c r="G65" s="149" t="n"/>
      <c r="H65" s="132" t="n"/>
      <c r="I65" s="132" t="n"/>
      <c r="J65" s="153" t="n"/>
      <c r="K65" s="153" t="n"/>
      <c r="L65" s="153" t="n"/>
      <c r="M65" s="189" t="n">
        <v>75</v>
      </c>
      <c r="N65" s="199" t="n">
        <v>1.16719658177456</v>
      </c>
      <c r="O65" s="199" t="n">
        <v>0.043382756727073</v>
      </c>
      <c r="P65" s="184" t="n">
        <v>-4.66255128003659</v>
      </c>
      <c r="Q65" s="130" t="n">
        <v>21.2546497541147</v>
      </c>
      <c r="R65" s="130" t="n">
        <v>0.79</v>
      </c>
      <c r="S65" s="130" t="n">
        <v>4.4877814291165</v>
      </c>
      <c r="U65" s="166" t="n"/>
      <c r="V65" s="193" t="n"/>
      <c r="W65" s="131" t="n"/>
      <c r="Y65" s="118" t="n">
        <v>8</v>
      </c>
      <c r="Z65" s="193" t="n">
        <v>18.21</v>
      </c>
      <c r="AA65" s="118" t="n"/>
    </row>
    <row r="66" ht="16.5" customHeight="1" s="116">
      <c r="B66" s="129" t="n"/>
      <c r="C66" s="149" t="n"/>
      <c r="D66" s="132" t="n"/>
      <c r="E66" s="149" t="n"/>
      <c r="F66" s="149" t="n"/>
      <c r="G66" s="149" t="n"/>
      <c r="H66" s="132" t="n"/>
      <c r="I66" s="132" t="n"/>
      <c r="J66" s="153" t="n"/>
      <c r="K66" s="153" t="n"/>
      <c r="L66" s="153" t="n"/>
      <c r="M66" s="189" t="n">
        <v>74</v>
      </c>
      <c r="N66" s="199" t="n">
        <v>1.43276264070908</v>
      </c>
      <c r="O66" s="199" t="n">
        <v>0.482701812191104</v>
      </c>
      <c r="P66" s="184" t="n">
        <v>-5.00832185956195</v>
      </c>
      <c r="Q66" s="130" t="n">
        <v>26.0906076873124</v>
      </c>
      <c r="R66" s="130" t="n">
        <v>8.789999999999999</v>
      </c>
      <c r="S66" s="130" t="n">
        <v>4.83595793319764</v>
      </c>
      <c r="V66" s="128" t="n"/>
      <c r="X66" s="153" t="n"/>
      <c r="Y66" s="154" t="n"/>
      <c r="Z66" s="128" t="n"/>
      <c r="AA66" s="128" t="n"/>
    </row>
    <row r="67" ht="16.5" customHeight="1" s="116">
      <c r="B67" s="129" t="n"/>
      <c r="C67" s="149" t="n"/>
      <c r="D67" s="132" t="n"/>
      <c r="E67" s="149" t="n"/>
      <c r="F67" s="149" t="n"/>
      <c r="G67" s="149" t="n"/>
      <c r="H67" s="132" t="n"/>
      <c r="I67" s="132" t="n"/>
      <c r="J67" s="153" t="n"/>
      <c r="K67" s="153" t="n"/>
      <c r="L67" s="153" t="n"/>
      <c r="M67" s="189" t="n">
        <v>72</v>
      </c>
      <c r="N67" s="199" t="n">
        <v>2.01965021923589</v>
      </c>
      <c r="O67" s="199" t="n">
        <v>1.36133992311917</v>
      </c>
      <c r="P67" s="184" t="n">
        <v>-5.67055477980432</v>
      </c>
      <c r="Q67" s="130" t="n">
        <v>36.7778304922855</v>
      </c>
      <c r="R67" s="130" t="n">
        <v>24.79</v>
      </c>
      <c r="S67" s="130" t="n">
        <v>10.6872228049732</v>
      </c>
      <c r="V67" s="128" t="n"/>
      <c r="X67" s="153" t="n"/>
      <c r="Y67" s="154" t="n"/>
      <c r="Z67" s="128" t="n"/>
      <c r="AA67" s="128" t="n"/>
    </row>
    <row r="68" ht="16.5" customHeight="1" s="116">
      <c r="B68" s="129" t="n"/>
      <c r="C68" s="149" t="n"/>
      <c r="D68" s="132" t="n"/>
      <c r="E68" s="149" t="n"/>
      <c r="F68" s="149" t="n"/>
      <c r="G68" s="149" t="n"/>
      <c r="H68" s="132" t="n"/>
      <c r="I68" s="132" t="n"/>
      <c r="J68" s="153" t="n"/>
      <c r="K68" s="153" t="n"/>
      <c r="L68" s="153" t="n"/>
      <c r="M68" s="189" t="n">
        <v>70</v>
      </c>
      <c r="N68" s="199" t="n">
        <v>2.67597159495353</v>
      </c>
      <c r="O68" s="199" t="n">
        <v>2.23997803404723</v>
      </c>
      <c r="P68" s="200" t="n">
        <v>-6.26796916240257</v>
      </c>
      <c r="Q68" s="130" t="n">
        <v>48.7294427441038</v>
      </c>
      <c r="R68" s="130" t="n">
        <v>40.79</v>
      </c>
      <c r="S68" s="130" t="n">
        <v>11.9516122518183</v>
      </c>
      <c r="V68" s="128" t="n"/>
      <c r="X68" s="153" t="n"/>
      <c r="Y68" s="154" t="n"/>
      <c r="Z68" s="128" t="n"/>
      <c r="AA68" s="128" t="n"/>
    </row>
    <row r="69" ht="16.5" customHeight="1" s="116">
      <c r="B69" s="129" t="n"/>
      <c r="C69" s="149" t="n"/>
      <c r="D69" s="132" t="n"/>
      <c r="E69" s="149" t="n"/>
      <c r="F69" s="149" t="n"/>
      <c r="G69" s="151" t="n"/>
      <c r="H69" s="132" t="n"/>
      <c r="I69" s="132" t="n"/>
      <c r="J69" s="153" t="n"/>
      <c r="K69" s="153" t="n"/>
      <c r="L69" s="153" t="n"/>
      <c r="M69" s="189" t="n">
        <v>65</v>
      </c>
      <c r="N69" s="199" t="n">
        <v>4.55995032843521</v>
      </c>
      <c r="O69" s="199" t="n">
        <v>4.43657331136738</v>
      </c>
      <c r="P69" s="184" t="n">
        <v>-7.34873380539595</v>
      </c>
      <c r="Q69" s="130" t="n">
        <v>83.03669548080509</v>
      </c>
      <c r="R69" s="130" t="n">
        <v>80.79000000000001</v>
      </c>
      <c r="S69" s="130" t="n">
        <v>34.3072527367013</v>
      </c>
      <c r="V69" s="128" t="n"/>
      <c r="X69" s="153" t="n"/>
      <c r="Y69" s="154" t="n"/>
      <c r="Z69" s="128" t="n"/>
      <c r="AA69" s="128" t="n"/>
    </row>
    <row r="70" ht="16.5" customHeight="1" s="116">
      <c r="B70" s="129" t="n"/>
      <c r="C70" s="149" t="n"/>
      <c r="D70" s="132" t="n"/>
      <c r="E70" s="149" t="n"/>
      <c r="F70" s="149" t="n"/>
      <c r="G70" s="151" t="n"/>
      <c r="H70" s="132" t="n"/>
      <c r="I70" s="132" t="n"/>
      <c r="J70" s="153" t="n"/>
      <c r="K70" s="153" t="n"/>
      <c r="L70" s="153" t="n"/>
      <c r="M70" s="189" t="n">
        <v>60</v>
      </c>
      <c r="N70" s="199" t="n">
        <v>6.65636759557739</v>
      </c>
      <c r="O70" s="199" t="n">
        <v>6.63316858868753</v>
      </c>
      <c r="P70" s="184" t="n">
        <v>-7.83840189926358</v>
      </c>
      <c r="Q70" s="130" t="n">
        <v>121.212453915464</v>
      </c>
      <c r="R70" s="130" t="n">
        <v>120.79</v>
      </c>
      <c r="S70" s="130" t="n">
        <v>38.1757584346592</v>
      </c>
      <c r="V70" s="128" t="n"/>
      <c r="X70" s="153" t="n"/>
      <c r="Y70" s="154" t="n"/>
      <c r="Z70" s="128" t="n"/>
      <c r="AA70" s="128" t="n"/>
    </row>
    <row r="71" ht="16.5" customHeight="1" s="116">
      <c r="B71" s="129" t="n"/>
      <c r="C71" s="149" t="n"/>
      <c r="D71" s="132" t="n"/>
      <c r="E71" s="149" t="n"/>
      <c r="F71" s="149" t="n"/>
      <c r="G71" s="151" t="n"/>
      <c r="H71" s="132" t="n"/>
      <c r="I71" s="132" t="n"/>
      <c r="J71" s="153" t="n"/>
      <c r="K71" s="153" t="n"/>
      <c r="L71" s="153" t="n"/>
      <c r="M71" s="189" t="n">
        <v>57</v>
      </c>
      <c r="N71" s="199" t="n">
        <v>7.9577907601859</v>
      </c>
      <c r="O71" s="199" t="n">
        <v>7.95112575507963</v>
      </c>
      <c r="P71" s="184" t="n">
        <v>-7.94529111840612</v>
      </c>
      <c r="Q71" s="130" t="n">
        <v>144.911369742985</v>
      </c>
      <c r="R71" s="130" t="n">
        <v>144.79</v>
      </c>
      <c r="S71" s="130" t="n">
        <v>23.6989158275209</v>
      </c>
      <c r="V71" s="128" t="n"/>
      <c r="X71" s="153" t="n"/>
      <c r="Y71" s="154" t="n"/>
      <c r="Z71" s="128" t="n"/>
      <c r="AA71" s="128" t="n"/>
    </row>
    <row r="72" ht="16.5" customHeight="1" s="116">
      <c r="B72" s="166" t="n"/>
      <c r="C72" s="193" t="n"/>
      <c r="D72" s="193" t="n"/>
      <c r="E72" s="193" t="n"/>
      <c r="G72" s="118" t="n">
        <v>18.21</v>
      </c>
      <c r="H72" s="118" t="n"/>
      <c r="I72" s="118" t="n"/>
      <c r="J72" s="118" t="n"/>
      <c r="K72" s="118" t="n"/>
      <c r="L72" s="118" t="n"/>
      <c r="M72" s="206" t="n"/>
      <c r="Q72" s="131" t="n">
        <v>18.6671969683386</v>
      </c>
      <c r="R72" s="131" t="n"/>
      <c r="S72" s="131" t="n"/>
      <c r="V72" s="128" t="n"/>
      <c r="X72" s="153" t="n"/>
      <c r="Y72" s="154" t="n"/>
      <c r="Z72" s="128" t="n"/>
      <c r="AA72" s="128" t="n"/>
    </row>
    <row r="73" ht="13.5" customHeight="1" s="116">
      <c r="Z73" s="119" t="n"/>
    </row>
    <row r="74" ht="14.25" customHeight="1" s="116">
      <c r="B74" s="177" t="inlineStr">
        <is>
          <t>Activ</t>
        </is>
      </c>
      <c r="C74" s="178" t="n"/>
      <c r="D74" s="178" t="n"/>
      <c r="E74" s="178" t="n"/>
      <c r="F74" s="179" t="n"/>
      <c r="M74" s="177" t="inlineStr">
        <is>
          <t>Total Options</t>
        </is>
      </c>
      <c r="N74" s="178" t="n"/>
      <c r="O74" s="178" t="n"/>
      <c r="P74" s="178" t="n"/>
      <c r="Q74" s="178" t="n"/>
      <c r="R74" s="178" t="n"/>
      <c r="S74" s="178" t="n"/>
      <c r="T74" s="179" t="n"/>
      <c r="U74" s="180" t="n"/>
      <c r="X74" s="214">
        <f>B23</f>
        <v/>
      </c>
      <c r="Y74" s="179" t="n"/>
      <c r="Z74" s="214">
        <f>B24</f>
        <v/>
      </c>
      <c r="AA74" s="179" t="n"/>
      <c r="AB74" s="214">
        <f>B25</f>
        <v/>
      </c>
      <c r="AC74" s="179" t="n"/>
      <c r="AD74" s="214">
        <f>B26</f>
        <v/>
      </c>
      <c r="AE74" s="179" t="n"/>
      <c r="AF74" s="214">
        <f>B27</f>
        <v/>
      </c>
      <c r="AG74" s="179" t="n"/>
      <c r="AH74" s="214">
        <f>B28</f>
        <v/>
      </c>
      <c r="AI74" s="179" t="n"/>
      <c r="AJ74" s="214">
        <f>B29</f>
        <v/>
      </c>
      <c r="AK74" s="179" t="n"/>
      <c r="AL74" s="214">
        <f>B30</f>
        <v/>
      </c>
      <c r="AM74" s="179" t="n"/>
      <c r="AN74" s="214">
        <f>B31</f>
        <v/>
      </c>
      <c r="AO74" s="179" t="n"/>
      <c r="AP74" s="214">
        <f>B32</f>
        <v/>
      </c>
      <c r="AQ74" s="179" t="n"/>
    </row>
    <row r="75" ht="14.25" customHeight="1" s="116">
      <c r="B75" s="149" t="inlineStr">
        <is>
          <t>Price</t>
        </is>
      </c>
      <c r="C75" s="149" t="inlineStr">
        <is>
          <t>Efficien Pnl</t>
        </is>
      </c>
      <c r="D75" s="149" t="inlineStr">
        <is>
          <t>Efficien Intr</t>
        </is>
      </c>
      <c r="E75" s="149" t="inlineStr">
        <is>
          <t>Pnl</t>
        </is>
      </c>
      <c r="F75" s="149" t="inlineStr">
        <is>
          <t>%loss</t>
        </is>
      </c>
      <c r="M75" s="149" t="inlineStr">
        <is>
          <t>Price</t>
        </is>
      </c>
      <c r="N75" s="149" t="inlineStr">
        <is>
          <t>Delta</t>
        </is>
      </c>
      <c r="O75" s="149" t="inlineStr">
        <is>
          <t>Pnl</t>
        </is>
      </c>
      <c r="P75" s="149" t="inlineStr">
        <is>
          <t>Intrin</t>
        </is>
      </c>
      <c r="Q75" s="149" t="inlineStr">
        <is>
          <t>Pnl %loss</t>
        </is>
      </c>
      <c r="R75" s="149" t="inlineStr">
        <is>
          <t>Int %loss</t>
        </is>
      </c>
      <c r="S75" s="149" t="inlineStr">
        <is>
          <t>Pnl_loss</t>
        </is>
      </c>
      <c r="T75" s="149" t="inlineStr">
        <is>
          <t>Intrin_Loss</t>
        </is>
      </c>
      <c r="U75" s="149" t="n"/>
      <c r="W75" s="149" t="inlineStr">
        <is>
          <t>Price</t>
        </is>
      </c>
      <c r="X75" s="182" t="inlineStr">
        <is>
          <t>Pnl</t>
        </is>
      </c>
      <c r="Y75" s="182" t="inlineStr">
        <is>
          <t>Intrin</t>
        </is>
      </c>
      <c r="Z75" s="182" t="inlineStr">
        <is>
          <t>Pnl</t>
        </is>
      </c>
      <c r="AA75" s="182" t="inlineStr">
        <is>
          <t>Intrin</t>
        </is>
      </c>
      <c r="AB75" s="182" t="inlineStr">
        <is>
          <t>Pnl</t>
        </is>
      </c>
      <c r="AC75" s="182" t="inlineStr">
        <is>
          <t>Intrin</t>
        </is>
      </c>
      <c r="AD75" s="182" t="inlineStr">
        <is>
          <t>Pnl</t>
        </is>
      </c>
      <c r="AE75" s="182" t="inlineStr">
        <is>
          <t>Intrin</t>
        </is>
      </c>
      <c r="AF75" s="182" t="inlineStr">
        <is>
          <t>Pnl</t>
        </is>
      </c>
      <c r="AG75" s="182" t="inlineStr">
        <is>
          <t>Intrin</t>
        </is>
      </c>
      <c r="AH75" s="182" t="inlineStr">
        <is>
          <t>Pnl</t>
        </is>
      </c>
      <c r="AI75" s="182" t="inlineStr">
        <is>
          <t>Intrin</t>
        </is>
      </c>
      <c r="AJ75" s="182" t="inlineStr">
        <is>
          <t>Pnl</t>
        </is>
      </c>
      <c r="AK75" s="182" t="inlineStr">
        <is>
          <t>Intrin</t>
        </is>
      </c>
      <c r="AL75" s="182" t="inlineStr">
        <is>
          <t>Pnl</t>
        </is>
      </c>
      <c r="AM75" s="182" t="inlineStr">
        <is>
          <t>Intrin</t>
        </is>
      </c>
      <c r="AN75" s="182" t="inlineStr">
        <is>
          <t>Pnl</t>
        </is>
      </c>
      <c r="AO75" s="182" t="inlineStr">
        <is>
          <t>Intrin</t>
        </is>
      </c>
      <c r="AP75" s="182" t="inlineStr">
        <is>
          <t>Pnl</t>
        </is>
      </c>
      <c r="AQ75" s="182" t="inlineStr">
        <is>
          <t>Intrin</t>
        </is>
      </c>
    </row>
    <row r="76" ht="14.25" customHeight="1" s="116">
      <c r="B76" s="183">
        <f>ROUND(Portfolio!D10,0)</f>
        <v/>
      </c>
      <c r="C76" s="184">
        <f>O76/$H$33</f>
        <v/>
      </c>
      <c r="D76" s="184">
        <f>P76/$H$33</f>
        <v/>
      </c>
      <c r="E76" s="130">
        <f>($C$2*B76)-$E$2</f>
        <v/>
      </c>
      <c r="F76" s="185">
        <f>(E76/$E$2)</f>
        <v/>
      </c>
      <c r="M76" s="183">
        <f>B76</f>
        <v/>
      </c>
      <c r="N76" s="184">
        <f>Hedge_MID!C314</f>
        <v/>
      </c>
      <c r="O76" s="130">
        <f>Hedge_MID!G314</f>
        <v/>
      </c>
      <c r="P76" s="130">
        <f>Y76+AA76+AC76+AE76+AG76+AI76+AK76+AM76+AO76+AQ76</f>
        <v/>
      </c>
      <c r="Q76" s="185">
        <f>S76/$E$2</f>
        <v/>
      </c>
      <c r="R76" s="185">
        <f>T76/$E$2</f>
        <v/>
      </c>
      <c r="S76" s="130">
        <f>E76+O76</f>
        <v/>
      </c>
      <c r="T76" s="130">
        <f>E76+P76</f>
        <v/>
      </c>
      <c r="U76" s="130" t="n"/>
      <c r="W76" s="183">
        <f>B76</f>
        <v/>
      </c>
      <c r="X76" s="130">
        <f>Hedge_MID!G17</f>
        <v/>
      </c>
      <c r="Y76" s="130">
        <f>IF(B76&gt;$C$23,-1*$H$23,(($C$23-B76)*$G$23)-$H$23)</f>
        <v/>
      </c>
      <c r="Z76" s="130">
        <f>Hedge_MID!G46</f>
        <v/>
      </c>
      <c r="AA76" s="130">
        <f>IF(B76&gt;$C$24,-1*$H$24,(($C$24-B76)*$G$24)-$H$24)</f>
        <v/>
      </c>
      <c r="AB76" s="130">
        <f>Hedge_MID!G75</f>
        <v/>
      </c>
      <c r="AC76" s="130">
        <f>IF(B76&gt;$C$25,-1*$H$25,(($C$25-B76)*$G$25)-$H$25)</f>
        <v/>
      </c>
      <c r="AD76" s="130">
        <f>Hedge_MID!G104</f>
        <v/>
      </c>
      <c r="AE76" s="130">
        <f>IF(B76&gt;$C$26,-1*$H$26,(($C$26-B76)*$G$26)-$H$26)</f>
        <v/>
      </c>
      <c r="AF76" s="130">
        <f>Hedge_MID!G134</f>
        <v/>
      </c>
      <c r="AG76" s="130">
        <f>IF(B76&gt;$C$27,-1*$H$27,(($C$27-B76)*$G$27)-$H$27)</f>
        <v/>
      </c>
      <c r="AH76" s="130">
        <f>Hedge_MID!G164</f>
        <v/>
      </c>
      <c r="AI76" s="130">
        <f>IF(B76&gt;$C$28,-1*$H$28,(($C$28-B76)*$G$28)-$H$28)</f>
        <v/>
      </c>
      <c r="AJ76" s="130">
        <f>Hedge_MID!G194</f>
        <v/>
      </c>
      <c r="AK76" s="130">
        <f>IF(B76&gt;$C$29,-1*$H$29,(($C$29-B76)*$G$29)-$H$29)</f>
        <v/>
      </c>
      <c r="AL76" s="130">
        <f>Hedge_MID!G224</f>
        <v/>
      </c>
      <c r="AM76" s="130">
        <f>IF(B76&gt;$C$30,-1*$H$30,(($C$30-B76)*$G$30)-$H$30)</f>
        <v/>
      </c>
      <c r="AN76" s="130">
        <f>Hedge_MID!G254</f>
        <v/>
      </c>
      <c r="AO76" s="130">
        <f>IF(B76&gt;$C$31,-1*$H$31,(($C$31-B76)*$G$31)-$H$31)</f>
        <v/>
      </c>
      <c r="AP76" s="130">
        <f>Hedge_MID!G284</f>
        <v/>
      </c>
      <c r="AQ76" s="130">
        <f>IF(B76&gt;$C$32,-1*$H$32,(($C$32-B76)*$G$32)-$H$32)</f>
        <v/>
      </c>
      <c r="AR76" s="117" t="n"/>
    </row>
    <row r="77" ht="14.25" customHeight="1" s="116">
      <c r="B77" s="183">
        <f>B76-1</f>
        <v/>
      </c>
      <c r="C77" s="184">
        <f>O77/$H$33</f>
        <v/>
      </c>
      <c r="D77" s="184">
        <f>P77/$H$33</f>
        <v/>
      </c>
      <c r="E77" s="130">
        <f>($C$2*B77)-$E$2</f>
        <v/>
      </c>
      <c r="F77" s="185">
        <f>(E77/$E$2)</f>
        <v/>
      </c>
      <c r="M77" s="183">
        <f>M76-1</f>
        <v/>
      </c>
      <c r="N77" s="184">
        <f>Hedge_MID!C315</f>
        <v/>
      </c>
      <c r="O77" s="130">
        <f>Hedge_MID!G315</f>
        <v/>
      </c>
      <c r="P77" s="130">
        <f>Y77+AA77+AC77+AE77+AG77+AI77+AK77+AM77+AO77+AQ77</f>
        <v/>
      </c>
      <c r="Q77" s="185">
        <f>S77/$E$2</f>
        <v/>
      </c>
      <c r="R77" s="185">
        <f>T77/$E$2</f>
        <v/>
      </c>
      <c r="S77" s="130">
        <f>E77+O77</f>
        <v/>
      </c>
      <c r="T77" s="130">
        <f>E77+P77</f>
        <v/>
      </c>
      <c r="U77" s="186">
        <f>O78-2*O77+O76</f>
        <v/>
      </c>
      <c r="V77" s="187" t="n"/>
      <c r="W77" s="183">
        <f>W76-1</f>
        <v/>
      </c>
      <c r="X77" s="130">
        <f>Hedge_MID!G18</f>
        <v/>
      </c>
      <c r="Y77" s="130">
        <f>IF(B77&gt;$C$23,-1*$H$23,(($C$23-B77)*$G$23)-$H$23)</f>
        <v/>
      </c>
      <c r="Z77" s="130">
        <f>Hedge_MID!G47</f>
        <v/>
      </c>
      <c r="AA77" s="130">
        <f>IF(B77&gt;$C$24,-1*$H$24,(($C$24-B77)*$G$24)-$H$24)</f>
        <v/>
      </c>
      <c r="AB77" s="130">
        <f>Hedge_MID!G76</f>
        <v/>
      </c>
      <c r="AC77" s="130">
        <f>IF(B77&gt;$C$25,-1*$H$25,(($C$25-B77)*$G$25)-$H$25)</f>
        <v/>
      </c>
      <c r="AD77" s="130">
        <f>Hedge_MID!G105</f>
        <v/>
      </c>
      <c r="AE77" s="130">
        <f>IF(B77&gt;$C$26,-1*$H$26,(($C$26-B77)*$G$26)-$H$26)</f>
        <v/>
      </c>
      <c r="AF77" s="130">
        <f>Hedge_MID!G135</f>
        <v/>
      </c>
      <c r="AG77" s="130">
        <f>IF(B77&gt;$C$27,-1*$H$27,(($C$27-B77)*$G$27)-$H$27)</f>
        <v/>
      </c>
      <c r="AH77" s="130">
        <f>Hedge_MID!G165</f>
        <v/>
      </c>
      <c r="AI77" s="130">
        <f>IF(B77&gt;$C$28,-1*$H$28,(($C$28-B77)*$G$28)-$H$28)</f>
        <v/>
      </c>
      <c r="AJ77" s="130">
        <f>Hedge_MID!G195</f>
        <v/>
      </c>
      <c r="AK77" s="130">
        <f>IF(B77&gt;$C$29,-1*$H$29,(($C$29-B77)*$G$29)-$H$29)</f>
        <v/>
      </c>
      <c r="AL77" s="130">
        <f>Hedge_MID!G225</f>
        <v/>
      </c>
      <c r="AM77" s="130">
        <f>IF(B77&gt;$C$30,-1*$H$30,(($C$30-B77)*$G$30)-$H$30)</f>
        <v/>
      </c>
      <c r="AN77" s="130">
        <f>Hedge_MID!G255</f>
        <v/>
      </c>
      <c r="AO77" s="130">
        <f>IF(B77&gt;$C$31,-1*$H$31,(($C$31-B77)*$G$31)-$H$31)</f>
        <v/>
      </c>
      <c r="AP77" s="130">
        <f>Hedge_MID!G285</f>
        <v/>
      </c>
      <c r="AQ77" s="130">
        <f>IF(B77&gt;$C$32,-1*$H$32,(($C$32-B77)*$G$32)-$H$32)</f>
        <v/>
      </c>
      <c r="AR77" s="117" t="n"/>
    </row>
    <row r="78" ht="14.25" customHeight="1" s="116">
      <c r="B78" s="183">
        <f>B77-1</f>
        <v/>
      </c>
      <c r="C78" s="184">
        <f>O78/$H$33</f>
        <v/>
      </c>
      <c r="D78" s="184">
        <f>P78/$H$33</f>
        <v/>
      </c>
      <c r="E78" s="130">
        <f>($C$2*B78)-$E$2</f>
        <v/>
      </c>
      <c r="F78" s="185">
        <f>(E78/$E$2)</f>
        <v/>
      </c>
      <c r="M78" s="183">
        <f>M77-1</f>
        <v/>
      </c>
      <c r="N78" s="184">
        <f>Hedge_MID!C316</f>
        <v/>
      </c>
      <c r="O78" s="130">
        <f>Hedge_MID!G316</f>
        <v/>
      </c>
      <c r="P78" s="130">
        <f>Y78+AA78+AC78+AE78+AG78+AI78+AK78+AM78+AO78+AQ78</f>
        <v/>
      </c>
      <c r="Q78" s="185">
        <f>S78/$E$2</f>
        <v/>
      </c>
      <c r="R78" s="185">
        <f>T78/$E$2</f>
        <v/>
      </c>
      <c r="S78" s="130">
        <f>E78+O78</f>
        <v/>
      </c>
      <c r="T78" s="130">
        <f>E78+P78</f>
        <v/>
      </c>
      <c r="U78" s="186">
        <f>O79-2*O78+O77</f>
        <v/>
      </c>
      <c r="V78" s="187" t="n"/>
      <c r="W78" s="183">
        <f>W77-1</f>
        <v/>
      </c>
      <c r="X78" s="130">
        <f>Hedge_MID!G19</f>
        <v/>
      </c>
      <c r="Y78" s="130">
        <f>IF(B78&gt;$C$23,-1*$H$23,(($C$23-B78)*$G$23)-$H$23)</f>
        <v/>
      </c>
      <c r="Z78" s="130">
        <f>Hedge_MID!G48</f>
        <v/>
      </c>
      <c r="AA78" s="130">
        <f>IF(B78&gt;$C$24,-1*$H$24,(($C$24-B78)*$G$24)-$H$24)</f>
        <v/>
      </c>
      <c r="AB78" s="130">
        <f>Hedge_MID!G77</f>
        <v/>
      </c>
      <c r="AC78" s="130">
        <f>IF(B78&gt;$C$25,-1*$H$25,(($C$25-B78)*$G$25)-$H$25)</f>
        <v/>
      </c>
      <c r="AD78" s="130">
        <f>Hedge_MID!G106</f>
        <v/>
      </c>
      <c r="AE78" s="130">
        <f>IF(B78&gt;$C$26,-1*$H$26,(($C$26-B78)*$G$26)-$H$26)</f>
        <v/>
      </c>
      <c r="AF78" s="130">
        <f>Hedge_MID!G136</f>
        <v/>
      </c>
      <c r="AG78" s="130">
        <f>IF(B78&gt;$C$27,-1*$H$27,(($C$27-B78)*$G$27)-$H$27)</f>
        <v/>
      </c>
      <c r="AH78" s="130">
        <f>Hedge_MID!G166</f>
        <v/>
      </c>
      <c r="AI78" s="130">
        <f>IF(B78&gt;$C$28,-1*$H$28,(($C$28-B78)*$G$28)-$H$28)</f>
        <v/>
      </c>
      <c r="AJ78" s="130">
        <f>Hedge_MID!G196</f>
        <v/>
      </c>
      <c r="AK78" s="130">
        <f>IF(B78&gt;$C$29,-1*$H$29,(($C$29-B78)*$G$29)-$H$29)</f>
        <v/>
      </c>
      <c r="AL78" s="130">
        <f>Hedge_MID!G226</f>
        <v/>
      </c>
      <c r="AM78" s="130">
        <f>IF(B78&gt;$C$30,-1*$H$30,(($C$30-B78)*$G$30)-$H$30)</f>
        <v/>
      </c>
      <c r="AN78" s="130">
        <f>Hedge_MID!G256</f>
        <v/>
      </c>
      <c r="AO78" s="130">
        <f>IF(B78&gt;$C$31,-1*$H$31,(($C$31-B78)*$G$31)-$H$31)</f>
        <v/>
      </c>
      <c r="AP78" s="130">
        <f>Hedge_MID!G286</f>
        <v/>
      </c>
      <c r="AQ78" s="130">
        <f>IF(B78&gt;$C$32,-1*$H$32,(($C$32-B78)*$G$32)-$H$32)</f>
        <v/>
      </c>
      <c r="AR78" s="117" t="n"/>
    </row>
    <row r="79" ht="14.25" customHeight="1" s="116">
      <c r="B79" s="183">
        <f>B78-1</f>
        <v/>
      </c>
      <c r="C79" s="184">
        <f>O79/$H$33</f>
        <v/>
      </c>
      <c r="D79" s="184">
        <f>P79/$H$33</f>
        <v/>
      </c>
      <c r="E79" s="130">
        <f>($C$2*B79)-$E$2</f>
        <v/>
      </c>
      <c r="F79" s="185">
        <f>(E79/$E$2)</f>
        <v/>
      </c>
      <c r="M79" s="183">
        <f>M78-1</f>
        <v/>
      </c>
      <c r="N79" s="184">
        <f>Hedge_MID!C317</f>
        <v/>
      </c>
      <c r="O79" s="130">
        <f>Hedge_MID!G317</f>
        <v/>
      </c>
      <c r="P79" s="130">
        <f>Y79+AA79+AC79+AE79+AG79+AI79+AK79+AM79+AO79+AQ79</f>
        <v/>
      </c>
      <c r="Q79" s="185">
        <f>S79/$E$2</f>
        <v/>
      </c>
      <c r="R79" s="185">
        <f>T79/$E$2</f>
        <v/>
      </c>
      <c r="S79" s="130">
        <f>E79+O79</f>
        <v/>
      </c>
      <c r="T79" s="130">
        <f>E79+P79</f>
        <v/>
      </c>
      <c r="U79" s="186">
        <f>O80-2*O79+O78</f>
        <v/>
      </c>
      <c r="V79" s="187" t="n"/>
      <c r="W79" s="183">
        <f>W78-1</f>
        <v/>
      </c>
      <c r="X79" s="130">
        <f>Hedge_MID!G20</f>
        <v/>
      </c>
      <c r="Y79" s="130">
        <f>IF(B79&gt;$C$23,-1*$H$23,(($C$23-B79)*$G$23)-$H$23)</f>
        <v/>
      </c>
      <c r="Z79" s="130">
        <f>Hedge_MID!G49</f>
        <v/>
      </c>
      <c r="AA79" s="130">
        <f>IF(B79&gt;$C$24,-1*$H$24,(($C$24-B79)*$G$24)-$H$24)</f>
        <v/>
      </c>
      <c r="AB79" s="130">
        <f>Hedge_MID!G78</f>
        <v/>
      </c>
      <c r="AC79" s="130">
        <f>IF(B79&gt;$C$25,-1*$H$25,(($C$25-B79)*$G$25)-$H$25)</f>
        <v/>
      </c>
      <c r="AD79" s="130">
        <f>Hedge_MID!G107</f>
        <v/>
      </c>
      <c r="AE79" s="130">
        <f>IF(B79&gt;$C$26,-1*$H$26,(($C$26-B79)*$G$26)-$H$26)</f>
        <v/>
      </c>
      <c r="AF79" s="130">
        <f>Hedge_MID!G137</f>
        <v/>
      </c>
      <c r="AG79" s="130">
        <f>IF(B79&gt;$C$27,-1*$H$27,(($C$27-B79)*$G$27)-$H$27)</f>
        <v/>
      </c>
      <c r="AH79" s="130">
        <f>Hedge_MID!G167</f>
        <v/>
      </c>
      <c r="AI79" s="130">
        <f>IF(B79&gt;$C$28,-1*$H$28,(($C$28-B79)*$G$28)-$H$28)</f>
        <v/>
      </c>
      <c r="AJ79" s="130">
        <f>Hedge_MID!G197</f>
        <v/>
      </c>
      <c r="AK79" s="130">
        <f>IF(B79&gt;$C$29,-1*$H$29,(($C$29-B79)*$G$29)-$H$29)</f>
        <v/>
      </c>
      <c r="AL79" s="130">
        <f>Hedge_MID!G227</f>
        <v/>
      </c>
      <c r="AM79" s="130">
        <f>IF(B79&gt;$C$30,-1*$H$30,(($C$30-B79)*$G$30)-$H$30)</f>
        <v/>
      </c>
      <c r="AN79" s="130">
        <f>Hedge_MID!G257</f>
        <v/>
      </c>
      <c r="AO79" s="130">
        <f>IF(B79&gt;$C$31,-1*$H$31,(($C$31-B79)*$G$31)-$H$31)</f>
        <v/>
      </c>
      <c r="AP79" s="130">
        <f>Hedge_MID!G287</f>
        <v/>
      </c>
      <c r="AQ79" s="130">
        <f>IF(B79&gt;$C$32,-1*$H$32,(($C$32-B79)*$G$32)-$H$32)</f>
        <v/>
      </c>
      <c r="AR79" s="117" t="n"/>
    </row>
    <row r="80" ht="14.25" customHeight="1" s="116">
      <c r="B80" s="183">
        <f>B79-1</f>
        <v/>
      </c>
      <c r="C80" s="184">
        <f>O80/$H$33</f>
        <v/>
      </c>
      <c r="D80" s="184">
        <f>P80/$H$33</f>
        <v/>
      </c>
      <c r="E80" s="130">
        <f>($C$2*B80)-$E$2</f>
        <v/>
      </c>
      <c r="F80" s="185">
        <f>(E80/$E$2)</f>
        <v/>
      </c>
      <c r="M80" s="183">
        <f>M79-1</f>
        <v/>
      </c>
      <c r="N80" s="184">
        <f>Hedge_MID!C318</f>
        <v/>
      </c>
      <c r="O80" s="130">
        <f>Hedge_MID!G318</f>
        <v/>
      </c>
      <c r="P80" s="130">
        <f>Y80+AA80+AC80+AE80+AG80+AI80+AK80+AM80+AO80+AQ80</f>
        <v/>
      </c>
      <c r="Q80" s="185">
        <f>S80/$E$2</f>
        <v/>
      </c>
      <c r="R80" s="185">
        <f>T80/$E$2</f>
        <v/>
      </c>
      <c r="S80" s="130">
        <f>E80+O80</f>
        <v/>
      </c>
      <c r="T80" s="130">
        <f>E80+P80</f>
        <v/>
      </c>
      <c r="U80" s="186">
        <f>O81-2*O80+O79</f>
        <v/>
      </c>
      <c r="V80" s="187" t="n"/>
      <c r="W80" s="183">
        <f>W79-1</f>
        <v/>
      </c>
      <c r="X80" s="130">
        <f>Hedge_MID!G21</f>
        <v/>
      </c>
      <c r="Y80" s="130">
        <f>IF(B80&gt;$C$23,-1*$H$23,(($C$23-B80)*$G$23)-$H$23)</f>
        <v/>
      </c>
      <c r="Z80" s="130">
        <f>Hedge_MID!G50</f>
        <v/>
      </c>
      <c r="AA80" s="130">
        <f>IF(B80&gt;$C$24,-1*$H$24,(($C$24-B80)*$G$24)-$H$24)</f>
        <v/>
      </c>
      <c r="AB80" s="130">
        <f>Hedge_MID!G79</f>
        <v/>
      </c>
      <c r="AC80" s="130">
        <f>IF(B80&gt;$C$25,-1*$H$25,(($C$25-B80)*$G$25)-$H$25)</f>
        <v/>
      </c>
      <c r="AD80" s="130">
        <f>Hedge_MID!G108</f>
        <v/>
      </c>
      <c r="AE80" s="130">
        <f>IF(B80&gt;$C$26,-1*$H$26,(($C$26-B80)*$G$26)-$H$26)</f>
        <v/>
      </c>
      <c r="AF80" s="130">
        <f>Hedge_MID!G138</f>
        <v/>
      </c>
      <c r="AG80" s="130">
        <f>IF(B80&gt;$C$27,-1*$H$27,(($C$27-B80)*$G$27)-$H$27)</f>
        <v/>
      </c>
      <c r="AH80" s="130">
        <f>Hedge_MID!G168</f>
        <v/>
      </c>
      <c r="AI80" s="130">
        <f>IF(B80&gt;$C$28,-1*$H$28,(($C$28-B80)*$G$28)-$H$28)</f>
        <v/>
      </c>
      <c r="AJ80" s="130">
        <f>Hedge_MID!G198</f>
        <v/>
      </c>
      <c r="AK80" s="130">
        <f>IF(B80&gt;$C$29,-1*$H$29,(($C$29-B80)*$G$29)-$H$29)</f>
        <v/>
      </c>
      <c r="AL80" s="130">
        <f>Hedge_MID!G228</f>
        <v/>
      </c>
      <c r="AM80" s="130">
        <f>IF(B80&gt;$C$30,-1*$H$30,(($C$30-B80)*$G$30)-$H$30)</f>
        <v/>
      </c>
      <c r="AN80" s="130">
        <f>Hedge_MID!G258</f>
        <v/>
      </c>
      <c r="AO80" s="130">
        <f>IF(B80&gt;$C$31,-1*$H$31,(($C$31-B80)*$G$31)-$H$31)</f>
        <v/>
      </c>
      <c r="AP80" s="130">
        <f>Hedge_MID!G288</f>
        <v/>
      </c>
      <c r="AQ80" s="130">
        <f>IF(B80&gt;$C$32,-1*$H$32,(($C$32-B80)*$G$32)-$H$32)</f>
        <v/>
      </c>
      <c r="AR80" s="117" t="n"/>
    </row>
    <row r="81" ht="14.25" customHeight="1" s="116">
      <c r="B81" s="183">
        <f>B80-1</f>
        <v/>
      </c>
      <c r="C81" s="184">
        <f>O81/$H$33</f>
        <v/>
      </c>
      <c r="D81" s="184">
        <f>P81/$H$33</f>
        <v/>
      </c>
      <c r="E81" s="130">
        <f>($C$2*B81)-$E$2</f>
        <v/>
      </c>
      <c r="F81" s="185">
        <f>(E81/$E$2)</f>
        <v/>
      </c>
      <c r="M81" s="183">
        <f>M80-1</f>
        <v/>
      </c>
      <c r="N81" s="184">
        <f>Hedge_MID!C319</f>
        <v/>
      </c>
      <c r="O81" s="130">
        <f>Hedge_MID!G319</f>
        <v/>
      </c>
      <c r="P81" s="130">
        <f>Y81+AA81+AC81+AE81+AG81+AI81+AK81+AM81+AO81+AQ81</f>
        <v/>
      </c>
      <c r="Q81" s="185">
        <f>S81/$E$2</f>
        <v/>
      </c>
      <c r="R81" s="185">
        <f>T81/$E$2</f>
        <v/>
      </c>
      <c r="S81" s="130">
        <f>E81+O81</f>
        <v/>
      </c>
      <c r="T81" s="130">
        <f>E81+P81</f>
        <v/>
      </c>
      <c r="U81" s="186">
        <f>O82-2*O81+O80</f>
        <v/>
      </c>
      <c r="V81" s="187" t="n"/>
      <c r="W81" s="183">
        <f>W80-1</f>
        <v/>
      </c>
      <c r="X81" s="130">
        <f>Hedge_MID!G22</f>
        <v/>
      </c>
      <c r="Y81" s="130">
        <f>IF(B81&gt;$C$23,-1*$H$23,(($C$23-B81)*$G$23)-$H$23)</f>
        <v/>
      </c>
      <c r="Z81" s="130">
        <f>Hedge_MID!G51</f>
        <v/>
      </c>
      <c r="AA81" s="130">
        <f>IF(B81&gt;$C$24,-1*$H$24,(($C$24-B81)*$G$24)-$H$24)</f>
        <v/>
      </c>
      <c r="AB81" s="130">
        <f>Hedge_MID!G80</f>
        <v/>
      </c>
      <c r="AC81" s="130">
        <f>IF(B81&gt;$C$25,-1*$H$25,(($C$25-B81)*$G$25)-$H$25)</f>
        <v/>
      </c>
      <c r="AD81" s="130">
        <f>Hedge_MID!G109</f>
        <v/>
      </c>
      <c r="AE81" s="130">
        <f>IF(B81&gt;$C$26,-1*$H$26,(($C$26-B81)*$G$26)-$H$26)</f>
        <v/>
      </c>
      <c r="AF81" s="130">
        <f>Hedge_MID!G139</f>
        <v/>
      </c>
      <c r="AG81" s="130">
        <f>IF(B81&gt;$C$27,-1*$H$27,(($C$27-B81)*$G$27)-$H$27)</f>
        <v/>
      </c>
      <c r="AH81" s="130">
        <f>Hedge_MID!G169</f>
        <v/>
      </c>
      <c r="AI81" s="130">
        <f>IF(B81&gt;$C$28,-1*$H$28,(($C$28-B81)*$G$28)-$H$28)</f>
        <v/>
      </c>
      <c r="AJ81" s="130">
        <f>Hedge_MID!G199</f>
        <v/>
      </c>
      <c r="AK81" s="130">
        <f>IF(B81&gt;$C$29,-1*$H$29,(($C$29-B81)*$G$29)-$H$29)</f>
        <v/>
      </c>
      <c r="AL81" s="130">
        <f>Hedge_MID!G229</f>
        <v/>
      </c>
      <c r="AM81" s="130">
        <f>IF(B81&gt;$C$30,-1*$H$30,(($C$30-B81)*$G$30)-$H$30)</f>
        <v/>
      </c>
      <c r="AN81" s="130">
        <f>Hedge_MID!G259</f>
        <v/>
      </c>
      <c r="AO81" s="130">
        <f>IF(B81&gt;$C$31,-1*$H$31,(($C$31-B81)*$G$31)-$H$31)</f>
        <v/>
      </c>
      <c r="AP81" s="130">
        <f>Hedge_MID!G289</f>
        <v/>
      </c>
      <c r="AQ81" s="130">
        <f>IF(B81&gt;$C$32,-1*$H$32,(($C$32-B81)*$G$32)-$H$32)</f>
        <v/>
      </c>
      <c r="AR81" s="117" t="n"/>
    </row>
    <row r="82" ht="14.25" customHeight="1" s="116">
      <c r="B82" s="183">
        <f>B81-1</f>
        <v/>
      </c>
      <c r="C82" s="184">
        <f>O82/$H$33</f>
        <v/>
      </c>
      <c r="D82" s="184">
        <f>P82/$H$33</f>
        <v/>
      </c>
      <c r="E82" s="130">
        <f>($C$2*B82)-$E$2</f>
        <v/>
      </c>
      <c r="F82" s="185">
        <f>(E82/$E$2)</f>
        <v/>
      </c>
      <c r="M82" s="183">
        <f>M81-1</f>
        <v/>
      </c>
      <c r="N82" s="184">
        <f>Hedge_MID!C320</f>
        <v/>
      </c>
      <c r="O82" s="130">
        <f>Hedge_MID!G320</f>
        <v/>
      </c>
      <c r="P82" s="130">
        <f>Y82+AA82+AC82+AE82+AG82+AI82+AK82+AM82+AO82+AQ82</f>
        <v/>
      </c>
      <c r="Q82" s="185">
        <f>S82/$E$2</f>
        <v/>
      </c>
      <c r="R82" s="185">
        <f>T82/$E$2</f>
        <v/>
      </c>
      <c r="S82" s="130">
        <f>E82+O82</f>
        <v/>
      </c>
      <c r="T82" s="130">
        <f>E82+P82</f>
        <v/>
      </c>
      <c r="U82" s="186">
        <f>O83-2*O82+O81</f>
        <v/>
      </c>
      <c r="V82" s="187" t="n"/>
      <c r="W82" s="183">
        <f>W81-1</f>
        <v/>
      </c>
      <c r="X82" s="130">
        <f>Hedge_MID!G23</f>
        <v/>
      </c>
      <c r="Y82" s="130">
        <f>IF(B82&gt;$C$23,-1*$H$23,(($C$23-B82)*$G$23)-$H$23)</f>
        <v/>
      </c>
      <c r="Z82" s="130">
        <f>Hedge_MID!G52</f>
        <v/>
      </c>
      <c r="AA82" s="130">
        <f>IF(B82&gt;$C$24,-1*$H$24,(($C$24-B82)*$G$24)-$H$24)</f>
        <v/>
      </c>
      <c r="AB82" s="130">
        <f>Hedge_MID!G81</f>
        <v/>
      </c>
      <c r="AC82" s="130">
        <f>IF(B82&gt;$C$25,-1*$H$25,(($C$25-B82)*$G$25)-$H$25)</f>
        <v/>
      </c>
      <c r="AD82" s="130">
        <f>Hedge_MID!G110</f>
        <v/>
      </c>
      <c r="AE82" s="130">
        <f>IF(B82&gt;$C$26,-1*$H$26,(($C$26-B82)*$G$26)-$H$26)</f>
        <v/>
      </c>
      <c r="AF82" s="130">
        <f>Hedge_MID!G140</f>
        <v/>
      </c>
      <c r="AG82" s="130">
        <f>IF(B82&gt;$C$27,-1*$H$27,(($C$27-B82)*$G$27)-$H$27)</f>
        <v/>
      </c>
      <c r="AH82" s="130">
        <f>Hedge_MID!G170</f>
        <v/>
      </c>
      <c r="AI82" s="130">
        <f>IF(B82&gt;$C$28,-1*$H$28,(($C$28-B82)*$G$28)-$H$28)</f>
        <v/>
      </c>
      <c r="AJ82" s="130">
        <f>Hedge_MID!G200</f>
        <v/>
      </c>
      <c r="AK82" s="130">
        <f>IF(B82&gt;$C$29,-1*$H$29,(($C$29-B82)*$G$29)-$H$29)</f>
        <v/>
      </c>
      <c r="AL82" s="130">
        <f>Hedge_MID!G230</f>
        <v/>
      </c>
      <c r="AM82" s="130">
        <f>IF(B82&gt;$C$30,-1*$H$30,(($C$30-B82)*$G$30)-$H$30)</f>
        <v/>
      </c>
      <c r="AN82" s="130">
        <f>Hedge_MID!G260</f>
        <v/>
      </c>
      <c r="AO82" s="130">
        <f>IF(B82&gt;$C$31,-1*$H$31,(($C$31-B82)*$G$31)-$H$31)</f>
        <v/>
      </c>
      <c r="AP82" s="130">
        <f>Hedge_MID!G290</f>
        <v/>
      </c>
      <c r="AQ82" s="130">
        <f>IF(B82&gt;$C$32,-1*$H$32,(($C$32-B82)*$G$32)-$H$32)</f>
        <v/>
      </c>
      <c r="AR82" s="117" t="n"/>
    </row>
    <row r="83" ht="14.25" customHeight="1" s="116">
      <c r="B83" s="183">
        <f>B82-1</f>
        <v/>
      </c>
      <c r="C83" s="184">
        <f>O83/$H$33</f>
        <v/>
      </c>
      <c r="D83" s="184">
        <f>P83/$H$33</f>
        <v/>
      </c>
      <c r="E83" s="130">
        <f>($C$2*B83)-$E$2</f>
        <v/>
      </c>
      <c r="F83" s="185">
        <f>(E83/$E$2)</f>
        <v/>
      </c>
      <c r="M83" s="183">
        <f>M82-1</f>
        <v/>
      </c>
      <c r="N83" s="184">
        <f>Hedge_MID!C321</f>
        <v/>
      </c>
      <c r="O83" s="130">
        <f>Hedge_MID!G321</f>
        <v/>
      </c>
      <c r="P83" s="130">
        <f>Y83+AA83+AC83+AE83+AG83+AI83+AK83+AM83+AO83+AQ83</f>
        <v/>
      </c>
      <c r="Q83" s="185">
        <f>S83/$E$2</f>
        <v/>
      </c>
      <c r="R83" s="185">
        <f>T83/$E$2</f>
        <v/>
      </c>
      <c r="S83" s="130">
        <f>E83+O83</f>
        <v/>
      </c>
      <c r="T83" s="130">
        <f>E83+P83</f>
        <v/>
      </c>
      <c r="U83" s="186">
        <f>O84-2*O83+O82</f>
        <v/>
      </c>
      <c r="V83" s="187" t="n"/>
      <c r="W83" s="183">
        <f>W82-1</f>
        <v/>
      </c>
      <c r="X83" s="130">
        <f>Hedge_MID!G24</f>
        <v/>
      </c>
      <c r="Y83" s="130">
        <f>IF(B83&gt;$C$23,-1*$H$23,(($C$23-B83)*$G$23)-$H$23)</f>
        <v/>
      </c>
      <c r="Z83" s="130">
        <f>Hedge_MID!G53</f>
        <v/>
      </c>
      <c r="AA83" s="130">
        <f>IF(B83&gt;$C$24,-1*$H$24,(($C$24-B83)*$G$24)-$H$24)</f>
        <v/>
      </c>
      <c r="AB83" s="130">
        <f>Hedge_MID!G82</f>
        <v/>
      </c>
      <c r="AC83" s="130">
        <f>IF(B83&gt;$C$25,-1*$H$25,(($C$25-B83)*$G$25)-$H$25)</f>
        <v/>
      </c>
      <c r="AD83" s="130">
        <f>Hedge_MID!G111</f>
        <v/>
      </c>
      <c r="AE83" s="130">
        <f>IF(B83&gt;$C$26,-1*$H$26,(($C$26-B83)*$G$26)-$H$26)</f>
        <v/>
      </c>
      <c r="AF83" s="130">
        <f>Hedge_MID!G141</f>
        <v/>
      </c>
      <c r="AG83" s="130">
        <f>IF(B83&gt;$C$27,-1*$H$27,(($C$27-B83)*$G$27)-$H$27)</f>
        <v/>
      </c>
      <c r="AH83" s="130">
        <f>Hedge_MID!G171</f>
        <v/>
      </c>
      <c r="AI83" s="130">
        <f>IF(B83&gt;$C$28,-1*$H$28,(($C$28-B83)*$G$28)-$H$28)</f>
        <v/>
      </c>
      <c r="AJ83" s="130">
        <f>Hedge_MID!G201</f>
        <v/>
      </c>
      <c r="AK83" s="130">
        <f>IF(B83&gt;$C$29,-1*$H$29,(($C$29-B83)*$G$29)-$H$29)</f>
        <v/>
      </c>
      <c r="AL83" s="130">
        <f>Hedge_MID!G231</f>
        <v/>
      </c>
      <c r="AM83" s="130">
        <f>IF(B83&gt;$C$30,-1*$H$30,(($C$30-B83)*$G$30)-$H$30)</f>
        <v/>
      </c>
      <c r="AN83" s="130">
        <f>Hedge_MID!G261</f>
        <v/>
      </c>
      <c r="AO83" s="130">
        <f>IF(B83&gt;$C$31,-1*$H$31,(($C$31-B83)*$G$31)-$H$31)</f>
        <v/>
      </c>
      <c r="AP83" s="130">
        <f>Hedge_MID!G291</f>
        <v/>
      </c>
      <c r="AQ83" s="130">
        <f>IF(B83&gt;$C$32,-1*$H$32,(($C$32-B83)*$G$32)-$H$32)</f>
        <v/>
      </c>
      <c r="AR83" s="117" t="n"/>
    </row>
    <row r="84" ht="14.25" customHeight="1" s="116">
      <c r="B84" s="183">
        <f>B83-1</f>
        <v/>
      </c>
      <c r="C84" s="184">
        <f>O84/$H$33</f>
        <v/>
      </c>
      <c r="D84" s="184">
        <f>P84/$H$33</f>
        <v/>
      </c>
      <c r="E84" s="130">
        <f>($C$2*B84)-$E$2</f>
        <v/>
      </c>
      <c r="F84" s="185">
        <f>(E84/$E$2)</f>
        <v/>
      </c>
      <c r="M84" s="183">
        <f>M83-1</f>
        <v/>
      </c>
      <c r="N84" s="184">
        <f>Hedge_MID!C322</f>
        <v/>
      </c>
      <c r="O84" s="130">
        <f>Hedge_MID!G322</f>
        <v/>
      </c>
      <c r="P84" s="130">
        <f>Y84+AA84+AC84+AE84+AG84+AI84+AK84+AM84+AO84+AQ84</f>
        <v/>
      </c>
      <c r="Q84" s="185">
        <f>S84/$E$2</f>
        <v/>
      </c>
      <c r="R84" s="185">
        <f>T84/$E$2</f>
        <v/>
      </c>
      <c r="S84" s="130">
        <f>E84+O84</f>
        <v/>
      </c>
      <c r="T84" s="130">
        <f>E84+P84</f>
        <v/>
      </c>
      <c r="U84" s="186">
        <f>O85-2*O84+O83</f>
        <v/>
      </c>
      <c r="V84" s="187" t="n"/>
      <c r="W84" s="183">
        <f>W83-1</f>
        <v/>
      </c>
      <c r="X84" s="130">
        <f>Hedge_MID!G25</f>
        <v/>
      </c>
      <c r="Y84" s="130">
        <f>IF(B84&gt;$C$23,-1*$H$23,(($C$23-B84)*$G$23)-$H$23)</f>
        <v/>
      </c>
      <c r="Z84" s="130">
        <f>Hedge_MID!G54</f>
        <v/>
      </c>
      <c r="AA84" s="130">
        <f>IF(B84&gt;$C$24,-1*$H$24,(($C$24-B84)*$G$24)-$H$24)</f>
        <v/>
      </c>
      <c r="AB84" s="130">
        <f>Hedge_MID!G83</f>
        <v/>
      </c>
      <c r="AC84" s="130">
        <f>IF(B84&gt;$C$25,-1*$H$25,(($C$25-B84)*$G$25)-$H$25)</f>
        <v/>
      </c>
      <c r="AD84" s="130">
        <f>Hedge_MID!G112</f>
        <v/>
      </c>
      <c r="AE84" s="130">
        <f>IF(B84&gt;$C$26,-1*$H$26,(($C$26-B84)*$G$26)-$H$26)</f>
        <v/>
      </c>
      <c r="AF84" s="130">
        <f>Hedge_MID!G142</f>
        <v/>
      </c>
      <c r="AG84" s="130">
        <f>IF(B84&gt;$C$27,-1*$H$27,(($C$27-B84)*$G$27)-$H$27)</f>
        <v/>
      </c>
      <c r="AH84" s="130">
        <f>Hedge_MID!G172</f>
        <v/>
      </c>
      <c r="AI84" s="130">
        <f>IF(B84&gt;$C$28,-1*$H$28,(($C$28-B84)*$G$28)-$H$28)</f>
        <v/>
      </c>
      <c r="AJ84" s="130">
        <f>Hedge_MID!G202</f>
        <v/>
      </c>
      <c r="AK84" s="130">
        <f>IF(B84&gt;$C$29,-1*$H$29,(($C$29-B84)*$G$29)-$H$29)</f>
        <v/>
      </c>
      <c r="AL84" s="130">
        <f>Hedge_MID!G232</f>
        <v/>
      </c>
      <c r="AM84" s="130">
        <f>IF(B84&gt;$C$30,-1*$H$30,(($C$30-B84)*$G$30)-$H$30)</f>
        <v/>
      </c>
      <c r="AN84" s="130">
        <f>Hedge_MID!G262</f>
        <v/>
      </c>
      <c r="AO84" s="130">
        <f>IF(B84&gt;$C$31,-1*$H$31,(($C$31-B84)*$G$31)-$H$31)</f>
        <v/>
      </c>
      <c r="AP84" s="130">
        <f>Hedge_MID!G292</f>
        <v/>
      </c>
      <c r="AQ84" s="130">
        <f>IF(B84&gt;$C$32,-1*$H$32,(($C$32-B84)*$G$32)-$H$32)</f>
        <v/>
      </c>
      <c r="AR84" s="117" t="n"/>
    </row>
    <row r="85" ht="14.25" customHeight="1" s="116">
      <c r="B85" s="183">
        <f>B84-1</f>
        <v/>
      </c>
      <c r="C85" s="184">
        <f>O85/$H$33</f>
        <v/>
      </c>
      <c r="D85" s="184">
        <f>P85/$H$33</f>
        <v/>
      </c>
      <c r="E85" s="130">
        <f>($C$2*B85)-$E$2</f>
        <v/>
      </c>
      <c r="F85" s="185">
        <f>(E85/$E$2)</f>
        <v/>
      </c>
      <c r="M85" s="183">
        <f>M84-1</f>
        <v/>
      </c>
      <c r="N85" s="184">
        <f>Hedge_MID!C323</f>
        <v/>
      </c>
      <c r="O85" s="130">
        <f>Hedge_MID!G323</f>
        <v/>
      </c>
      <c r="P85" s="130">
        <f>Y85+AA85+AC85+AE85+AG85+AI85+AK85+AM85+AO85+AQ85</f>
        <v/>
      </c>
      <c r="Q85" s="185">
        <f>S85/$E$2</f>
        <v/>
      </c>
      <c r="R85" s="185">
        <f>T85/$E$2</f>
        <v/>
      </c>
      <c r="S85" s="130">
        <f>E85+O85</f>
        <v/>
      </c>
      <c r="T85" s="130">
        <f>E85+P85</f>
        <v/>
      </c>
      <c r="U85" s="186">
        <f>O86-2*O85+O84</f>
        <v/>
      </c>
      <c r="V85" s="187" t="n"/>
      <c r="W85" s="183">
        <f>W84-1</f>
        <v/>
      </c>
      <c r="X85" s="130">
        <f>Hedge_MID!G26</f>
        <v/>
      </c>
      <c r="Y85" s="130">
        <f>IF(B85&gt;$C$23,-1*$H$23,(($C$23-B85)*$G$23)-$H$23)</f>
        <v/>
      </c>
      <c r="Z85" s="130">
        <f>Hedge_MID!G55</f>
        <v/>
      </c>
      <c r="AA85" s="130">
        <f>IF(B85&gt;$C$24,-1*$H$24,(($C$24-B85)*$G$24)-$H$24)</f>
        <v/>
      </c>
      <c r="AB85" s="130">
        <f>Hedge_MID!G84</f>
        <v/>
      </c>
      <c r="AC85" s="130">
        <f>IF(B85&gt;$C$25,-1*$H$25,(($C$25-B85)*$G$25)-$H$25)</f>
        <v/>
      </c>
      <c r="AD85" s="130">
        <f>Hedge_MID!G113</f>
        <v/>
      </c>
      <c r="AE85" s="130">
        <f>IF(B85&gt;$C$26,-1*$H$26,(($C$26-B85)*$G$26)-$H$26)</f>
        <v/>
      </c>
      <c r="AF85" s="130">
        <f>Hedge_MID!G143</f>
        <v/>
      </c>
      <c r="AG85" s="130">
        <f>IF(B85&gt;$C$27,-1*$H$27,(($C$27-B85)*$G$27)-$H$27)</f>
        <v/>
      </c>
      <c r="AH85" s="130">
        <f>Hedge_MID!G173</f>
        <v/>
      </c>
      <c r="AI85" s="130">
        <f>IF(B85&gt;$C$28,-1*$H$28,(($C$28-B85)*$G$28)-$H$28)</f>
        <v/>
      </c>
      <c r="AJ85" s="130">
        <f>Hedge_MID!G203</f>
        <v/>
      </c>
      <c r="AK85" s="130">
        <f>IF(B85&gt;$C$29,-1*$H$29,(($C$29-B85)*$G$29)-$H$29)</f>
        <v/>
      </c>
      <c r="AL85" s="130">
        <f>Hedge_MID!G233</f>
        <v/>
      </c>
      <c r="AM85" s="130">
        <f>IF(B85&gt;$C$30,-1*$H$30,(($C$30-B85)*$G$30)-$H$30)</f>
        <v/>
      </c>
      <c r="AN85" s="130">
        <f>Hedge_MID!G263</f>
        <v/>
      </c>
      <c r="AO85" s="130">
        <f>IF(B85&gt;$C$31,-1*$H$31,(($C$31-B85)*$G$31)-$H$31)</f>
        <v/>
      </c>
      <c r="AP85" s="130">
        <f>Hedge_MID!G293</f>
        <v/>
      </c>
      <c r="AQ85" s="130">
        <f>IF(B85&gt;$C$32,-1*$H$32,(($C$32-B85)*$G$32)-$H$32)</f>
        <v/>
      </c>
      <c r="AR85" s="117" t="n"/>
    </row>
    <row r="86" ht="14.25" customHeight="1" s="116">
      <c r="B86" s="183">
        <f>B85-1</f>
        <v/>
      </c>
      <c r="C86" s="184">
        <f>O86/$H$33</f>
        <v/>
      </c>
      <c r="D86" s="184">
        <f>P86/$H$33</f>
        <v/>
      </c>
      <c r="E86" s="130">
        <f>($C$2*B86)-$E$2</f>
        <v/>
      </c>
      <c r="F86" s="185">
        <f>(E86/$E$2)</f>
        <v/>
      </c>
      <c r="M86" s="183">
        <f>M85-1</f>
        <v/>
      </c>
      <c r="N86" s="184">
        <f>Hedge_MID!C324</f>
        <v/>
      </c>
      <c r="O86" s="130">
        <f>Hedge_MID!G324</f>
        <v/>
      </c>
      <c r="P86" s="130">
        <f>Y86+AA86+AC86+AE86+AG86+AI86+AK86+AM86+AO86+AQ86</f>
        <v/>
      </c>
      <c r="Q86" s="185">
        <f>S86/$E$2</f>
        <v/>
      </c>
      <c r="R86" s="185">
        <f>T86/$E$2</f>
        <v/>
      </c>
      <c r="S86" s="130">
        <f>E86+O86</f>
        <v/>
      </c>
      <c r="T86" s="130">
        <f>E86+P86</f>
        <v/>
      </c>
      <c r="U86" s="186">
        <f>O87-2*O86+O85</f>
        <v/>
      </c>
      <c r="V86" s="187" t="n"/>
      <c r="W86" s="183">
        <f>W85-1</f>
        <v/>
      </c>
      <c r="X86" s="130">
        <f>Hedge_MID!G27</f>
        <v/>
      </c>
      <c r="Y86" s="130">
        <f>IF(B86&gt;$C$23,-1*$H$23,(($C$23-B86)*$G$23)-$H$23)</f>
        <v/>
      </c>
      <c r="Z86" s="130">
        <f>Hedge_MID!G56</f>
        <v/>
      </c>
      <c r="AA86" s="130">
        <f>IF(B86&gt;$C$24,-1*$H$24,(($C$24-B86)*$G$24)-$H$24)</f>
        <v/>
      </c>
      <c r="AB86" s="130">
        <f>Hedge_MID!G85</f>
        <v/>
      </c>
      <c r="AC86" s="130">
        <f>IF(B86&gt;$C$25,-1*$H$25,(($C$25-B86)*$G$25)-$H$25)</f>
        <v/>
      </c>
      <c r="AD86" s="130">
        <f>Hedge_MID!G114</f>
        <v/>
      </c>
      <c r="AE86" s="130">
        <f>IF(B86&gt;$C$26,-1*$H$26,(($C$26-B86)*$G$26)-$H$26)</f>
        <v/>
      </c>
      <c r="AF86" s="130">
        <f>Hedge_MID!G144</f>
        <v/>
      </c>
      <c r="AG86" s="130">
        <f>IF(B86&gt;$C$27,-1*$H$27,(($C$27-B86)*$G$27)-$H$27)</f>
        <v/>
      </c>
      <c r="AH86" s="130">
        <f>Hedge_MID!G174</f>
        <v/>
      </c>
      <c r="AI86" s="130">
        <f>IF(B86&gt;$C$28,-1*$H$28,(($C$28-B86)*$G$28)-$H$28)</f>
        <v/>
      </c>
      <c r="AJ86" s="130">
        <f>Hedge_MID!G204</f>
        <v/>
      </c>
      <c r="AK86" s="130">
        <f>IF(B86&gt;$C$29,-1*$H$29,(($C$29-B86)*$G$29)-$H$29)</f>
        <v/>
      </c>
      <c r="AL86" s="130">
        <f>Hedge_MID!G234</f>
        <v/>
      </c>
      <c r="AM86" s="130">
        <f>IF(B86&gt;$C$30,-1*$H$30,(($C$30-B86)*$G$30)-$H$30)</f>
        <v/>
      </c>
      <c r="AN86" s="130">
        <f>Hedge_MID!G264</f>
        <v/>
      </c>
      <c r="AO86" s="130">
        <f>IF(B86&gt;$C$31,-1*$H$31,(($C$31-B86)*$G$31)-$H$31)</f>
        <v/>
      </c>
      <c r="AP86" s="130">
        <f>Hedge_MID!G294</f>
        <v/>
      </c>
      <c r="AQ86" s="130">
        <f>IF(B86&gt;$C$32,-1*$H$32,(($C$32-B86)*$G$32)-$H$32)</f>
        <v/>
      </c>
      <c r="AR86" s="117" t="n"/>
    </row>
    <row r="87" ht="14.25" customHeight="1" s="116">
      <c r="B87" s="183">
        <f>B86-1</f>
        <v/>
      </c>
      <c r="C87" s="184">
        <f>O87/$H$33</f>
        <v/>
      </c>
      <c r="D87" s="184">
        <f>P87/$H$33</f>
        <v/>
      </c>
      <c r="E87" s="130">
        <f>($C$2*B87)-$E$2</f>
        <v/>
      </c>
      <c r="F87" s="185">
        <f>(E87/$E$2)</f>
        <v/>
      </c>
      <c r="M87" s="183">
        <f>M86-1</f>
        <v/>
      </c>
      <c r="N87" s="184">
        <f>Hedge_MID!C325</f>
        <v/>
      </c>
      <c r="O87" s="130">
        <f>Hedge_MID!G325</f>
        <v/>
      </c>
      <c r="P87" s="130">
        <f>Y87+AA87+AC87+AE87+AG87+AI87+AK87+AM87+AO87+AQ87</f>
        <v/>
      </c>
      <c r="Q87" s="185">
        <f>S87/$E$2</f>
        <v/>
      </c>
      <c r="R87" s="185">
        <f>T87/$E$2</f>
        <v/>
      </c>
      <c r="S87" s="130">
        <f>E87+O87</f>
        <v/>
      </c>
      <c r="T87" s="130">
        <f>E87+P87</f>
        <v/>
      </c>
      <c r="U87" s="186">
        <f>O88-2*O87+O86</f>
        <v/>
      </c>
      <c r="V87" s="187" t="n"/>
      <c r="W87" s="183">
        <f>W86-1</f>
        <v/>
      </c>
      <c r="X87" s="130">
        <f>Hedge_MID!G28</f>
        <v/>
      </c>
      <c r="Y87" s="130">
        <f>IF(B87&gt;$C$23,-1*$H$23,(($C$23-B87)*$G$23)-$H$23)</f>
        <v/>
      </c>
      <c r="Z87" s="130">
        <f>Hedge_MID!G57</f>
        <v/>
      </c>
      <c r="AA87" s="130">
        <f>IF(B87&gt;$C$24,-1*$H$24,(($C$24-B87)*$G$24)-$H$24)</f>
        <v/>
      </c>
      <c r="AB87" s="130">
        <f>Hedge_MID!G86</f>
        <v/>
      </c>
      <c r="AC87" s="130">
        <f>IF(B87&gt;$C$25,-1*$H$25,(($C$25-B87)*$G$25)-$H$25)</f>
        <v/>
      </c>
      <c r="AD87" s="130">
        <f>Hedge_MID!G115</f>
        <v/>
      </c>
      <c r="AE87" s="130">
        <f>IF(B87&gt;$C$26,-1*$H$26,(($C$26-B87)*$G$26)-$H$26)</f>
        <v/>
      </c>
      <c r="AF87" s="130">
        <f>Hedge_MID!G145</f>
        <v/>
      </c>
      <c r="AG87" s="130">
        <f>IF(B87&gt;$C$27,-1*$H$27,(($C$27-B87)*$G$27)-$H$27)</f>
        <v/>
      </c>
      <c r="AH87" s="130">
        <f>Hedge_MID!G175</f>
        <v/>
      </c>
      <c r="AI87" s="130">
        <f>IF(B87&gt;$C$28,-1*$H$28,(($C$28-B87)*$G$28)-$H$28)</f>
        <v/>
      </c>
      <c r="AJ87" s="130">
        <f>Hedge_MID!G205</f>
        <v/>
      </c>
      <c r="AK87" s="130">
        <f>IF(B87&gt;$C$29,-1*$H$29,(($C$29-B87)*$G$29)-$H$29)</f>
        <v/>
      </c>
      <c r="AL87" s="130">
        <f>Hedge_MID!G235</f>
        <v/>
      </c>
      <c r="AM87" s="130">
        <f>IF(B87&gt;$C$30,-1*$H$30,(($C$30-B87)*$G$30)-$H$30)</f>
        <v/>
      </c>
      <c r="AN87" s="130">
        <f>Hedge_MID!G265</f>
        <v/>
      </c>
      <c r="AO87" s="130">
        <f>IF(B87&gt;$C$31,-1*$H$31,(($C$31-B87)*$G$31)-$H$31)</f>
        <v/>
      </c>
      <c r="AP87" s="130">
        <f>Hedge_MID!G295</f>
        <v/>
      </c>
      <c r="AQ87" s="130">
        <f>IF(B87&gt;$C$32,-1*$H$32,(($C$32-B87)*$G$32)-$H$32)</f>
        <v/>
      </c>
      <c r="AR87" s="117" t="n"/>
    </row>
    <row r="88" ht="14.25" customHeight="1" s="116">
      <c r="B88" s="183">
        <f>B87-1</f>
        <v/>
      </c>
      <c r="C88" s="184">
        <f>O88/$H$33</f>
        <v/>
      </c>
      <c r="D88" s="184">
        <f>P88/$H$33</f>
        <v/>
      </c>
      <c r="E88" s="130">
        <f>($C$2*B88)-$E$2</f>
        <v/>
      </c>
      <c r="F88" s="185">
        <f>(E88/$E$2)</f>
        <v/>
      </c>
      <c r="M88" s="183">
        <f>M87-1</f>
        <v/>
      </c>
      <c r="N88" s="184">
        <f>Hedge_MID!C326</f>
        <v/>
      </c>
      <c r="O88" s="130">
        <f>Hedge_MID!G326</f>
        <v/>
      </c>
      <c r="P88" s="130">
        <f>Y88+AA88+AC88+AE88+AG88+AI88+AK88+AM88+AO88+AQ88</f>
        <v/>
      </c>
      <c r="Q88" s="185">
        <f>S88/$E$2</f>
        <v/>
      </c>
      <c r="R88" s="185">
        <f>T88/$E$2</f>
        <v/>
      </c>
      <c r="S88" s="130">
        <f>E88+O88</f>
        <v/>
      </c>
      <c r="T88" s="130">
        <f>E88+P88</f>
        <v/>
      </c>
      <c r="U88" s="186">
        <f>O89-2*O88+O87</f>
        <v/>
      </c>
      <c r="V88" s="187" t="n"/>
      <c r="W88" s="183">
        <f>W87-1</f>
        <v/>
      </c>
      <c r="X88" s="130">
        <f>Hedge_MID!G29</f>
        <v/>
      </c>
      <c r="Y88" s="130">
        <f>IF(B88&gt;$C$23,-1*$H$23,(($C$23-B88)*$G$23)-$H$23)</f>
        <v/>
      </c>
      <c r="Z88" s="130">
        <f>Hedge_MID!G58</f>
        <v/>
      </c>
      <c r="AA88" s="130">
        <f>IF(B88&gt;$C$24,-1*$H$24,(($C$24-B88)*$G$24)-$H$24)</f>
        <v/>
      </c>
      <c r="AB88" s="130">
        <f>Hedge_MID!G87</f>
        <v/>
      </c>
      <c r="AC88" s="130">
        <f>IF(B88&gt;$C$25,-1*$H$25,(($C$25-B88)*$G$25)-$H$25)</f>
        <v/>
      </c>
      <c r="AD88" s="130">
        <f>Hedge_MID!G116</f>
        <v/>
      </c>
      <c r="AE88" s="130">
        <f>IF(B88&gt;$C$26,-1*$H$26,(($C$26-B88)*$G$26)-$H$26)</f>
        <v/>
      </c>
      <c r="AF88" s="130">
        <f>Hedge_MID!G146</f>
        <v/>
      </c>
      <c r="AG88" s="130">
        <f>IF(B88&gt;$C$27,-1*$H$27,(($C$27-B88)*$G$27)-$H$27)</f>
        <v/>
      </c>
      <c r="AH88" s="130">
        <f>Hedge_MID!G176</f>
        <v/>
      </c>
      <c r="AI88" s="130">
        <f>IF(B88&gt;$C$28,-1*$H$28,(($C$28-B88)*$G$28)-$H$28)</f>
        <v/>
      </c>
      <c r="AJ88" s="130">
        <f>Hedge_MID!G206</f>
        <v/>
      </c>
      <c r="AK88" s="130">
        <f>IF(B88&gt;$C$29,-1*$H$29,(($C$29-B88)*$G$29)-$H$29)</f>
        <v/>
      </c>
      <c r="AL88" s="130">
        <f>Hedge_MID!G236</f>
        <v/>
      </c>
      <c r="AM88" s="130">
        <f>IF(B88&gt;$C$30,-1*$H$30,(($C$30-B88)*$G$30)-$H$30)</f>
        <v/>
      </c>
      <c r="AN88" s="130">
        <f>Hedge_MID!G266</f>
        <v/>
      </c>
      <c r="AO88" s="130">
        <f>IF(B88&gt;$C$31,-1*$H$31,(($C$31-B88)*$G$31)-$H$31)</f>
        <v/>
      </c>
      <c r="AP88" s="130">
        <f>Hedge_MID!G296</f>
        <v/>
      </c>
      <c r="AQ88" s="130">
        <f>IF(B88&gt;$C$32,-1*$H$32,(($C$32-B88)*$G$32)-$H$32)</f>
        <v/>
      </c>
      <c r="AR88" s="117" t="n"/>
    </row>
    <row r="89" ht="14.25" customHeight="1" s="116">
      <c r="B89" s="183">
        <f>B88-1</f>
        <v/>
      </c>
      <c r="C89" s="184">
        <f>O89/$H$33</f>
        <v/>
      </c>
      <c r="D89" s="184">
        <f>P89/$H$33</f>
        <v/>
      </c>
      <c r="E89" s="130">
        <f>($C$2*B89)-$E$2</f>
        <v/>
      </c>
      <c r="F89" s="185">
        <f>(E89/$E$2)</f>
        <v/>
      </c>
      <c r="M89" s="183">
        <f>M88-1</f>
        <v/>
      </c>
      <c r="N89" s="184">
        <f>Hedge_MID!C327</f>
        <v/>
      </c>
      <c r="O89" s="130">
        <f>Hedge_MID!G327</f>
        <v/>
      </c>
      <c r="P89" s="130">
        <f>Y89+AA89+AC89+AE89+AG89+AI89+AK89+AM89+AO89+AQ89</f>
        <v/>
      </c>
      <c r="Q89" s="185">
        <f>S89/$E$2</f>
        <v/>
      </c>
      <c r="R89" s="185">
        <f>T89/$E$2</f>
        <v/>
      </c>
      <c r="S89" s="130">
        <f>E89+O89</f>
        <v/>
      </c>
      <c r="T89" s="130">
        <f>E89+P89</f>
        <v/>
      </c>
      <c r="U89" s="186">
        <f>O90-2*O89+O88</f>
        <v/>
      </c>
      <c r="V89" s="187" t="n"/>
      <c r="W89" s="183">
        <f>W88-1</f>
        <v/>
      </c>
      <c r="X89" s="130">
        <f>Hedge_MID!G30</f>
        <v/>
      </c>
      <c r="Y89" s="130">
        <f>IF(B89&gt;$C$23,-1*$H$23,(($C$23-B89)*$G$23)-$H$23)</f>
        <v/>
      </c>
      <c r="Z89" s="130">
        <f>Hedge_MID!G59</f>
        <v/>
      </c>
      <c r="AA89" s="130">
        <f>IF(B89&gt;$C$24,-1*$H$24,(($C$24-B89)*$G$24)-$H$24)</f>
        <v/>
      </c>
      <c r="AB89" s="130">
        <f>Hedge_MID!G88</f>
        <v/>
      </c>
      <c r="AC89" s="130">
        <f>IF(B89&gt;$C$25,-1*$H$25,(($C$25-B89)*$G$25)-$H$25)</f>
        <v/>
      </c>
      <c r="AD89" s="130">
        <f>Hedge_MID!G117</f>
        <v/>
      </c>
      <c r="AE89" s="130">
        <f>IF(B89&gt;$C$26,-1*$H$26,(($C$26-B89)*$G$26)-$H$26)</f>
        <v/>
      </c>
      <c r="AF89" s="130">
        <f>Hedge_MID!G147</f>
        <v/>
      </c>
      <c r="AG89" s="130">
        <f>IF(B89&gt;$C$27,-1*$H$27,(($C$27-B89)*$G$27)-$H$27)</f>
        <v/>
      </c>
      <c r="AH89" s="130">
        <f>Hedge_MID!G177</f>
        <v/>
      </c>
      <c r="AI89" s="130">
        <f>IF(B89&gt;$C$28,-1*$H$28,(($C$28-B89)*$G$28)-$H$28)</f>
        <v/>
      </c>
      <c r="AJ89" s="130">
        <f>Hedge_MID!G207</f>
        <v/>
      </c>
      <c r="AK89" s="130">
        <f>IF(B89&gt;$C$29,-1*$H$29,(($C$29-B89)*$G$29)-$H$29)</f>
        <v/>
      </c>
      <c r="AL89" s="130">
        <f>Hedge_MID!G237</f>
        <v/>
      </c>
      <c r="AM89" s="130">
        <f>IF(B89&gt;$C$30,-1*$H$30,(($C$30-B89)*$G$30)-$H$30)</f>
        <v/>
      </c>
      <c r="AN89" s="130">
        <f>Hedge_MID!G267</f>
        <v/>
      </c>
      <c r="AO89" s="130">
        <f>IF(B89&gt;$C$31,-1*$H$31,(($C$31-B89)*$G$31)-$H$31)</f>
        <v/>
      </c>
      <c r="AP89" s="130">
        <f>Hedge_MID!G297</f>
        <v/>
      </c>
      <c r="AQ89" s="130">
        <f>IF(B89&gt;$C$32,-1*$H$32,(($C$32-B89)*$G$32)-$H$32)</f>
        <v/>
      </c>
      <c r="AR89" s="117" t="n"/>
    </row>
    <row r="90" ht="14.25" customHeight="1" s="116">
      <c r="B90" s="183">
        <f>B89-1</f>
        <v/>
      </c>
      <c r="C90" s="184">
        <f>O90/$H$33</f>
        <v/>
      </c>
      <c r="D90" s="184">
        <f>P90/$H$33</f>
        <v/>
      </c>
      <c r="E90" s="130">
        <f>($C$2*B90)-$E$2</f>
        <v/>
      </c>
      <c r="F90" s="185">
        <f>(E90/$E$2)</f>
        <v/>
      </c>
      <c r="M90" s="183">
        <f>M89-1</f>
        <v/>
      </c>
      <c r="N90" s="184">
        <f>Hedge_MID!C328</f>
        <v/>
      </c>
      <c r="O90" s="130">
        <f>Hedge_MID!G328</f>
        <v/>
      </c>
      <c r="P90" s="130">
        <f>Y90+AA90+AC90+AE90+AG90+AI90+AK90+AM90+AO90+AQ90</f>
        <v/>
      </c>
      <c r="Q90" s="185">
        <f>S90/$E$2</f>
        <v/>
      </c>
      <c r="R90" s="185">
        <f>T90/$E$2</f>
        <v/>
      </c>
      <c r="S90" s="130">
        <f>E90+O90</f>
        <v/>
      </c>
      <c r="T90" s="130">
        <f>E90+P90</f>
        <v/>
      </c>
      <c r="U90" s="186">
        <f>O91-2*O90+O89</f>
        <v/>
      </c>
      <c r="V90" s="187" t="n"/>
      <c r="W90" s="183">
        <f>W89-1</f>
        <v/>
      </c>
      <c r="X90" s="130">
        <f>Hedge_MID!G31</f>
        <v/>
      </c>
      <c r="Y90" s="130">
        <f>IF(B90&gt;$C$23,-1*$H$23,(($C$23-B90)*$G$23)-$H$23)</f>
        <v/>
      </c>
      <c r="Z90" s="130">
        <f>Hedge_MID!G60</f>
        <v/>
      </c>
      <c r="AA90" s="130">
        <f>IF(B90&gt;$C$24,-1*$H$24,(($C$24-B90)*$G$24)-$H$24)</f>
        <v/>
      </c>
      <c r="AB90" s="130">
        <f>Hedge_MID!G89</f>
        <v/>
      </c>
      <c r="AC90" s="130">
        <f>IF(B90&gt;$C$25,-1*$H$25,(($C$25-B90)*$G$25)-$H$25)</f>
        <v/>
      </c>
      <c r="AD90" s="130">
        <f>Hedge_MID!G118</f>
        <v/>
      </c>
      <c r="AE90" s="130">
        <f>IF(B90&gt;$C$26,-1*$H$26,(($C$26-B90)*$G$26)-$H$26)</f>
        <v/>
      </c>
      <c r="AF90" s="130">
        <f>Hedge_MID!G148</f>
        <v/>
      </c>
      <c r="AG90" s="130">
        <f>IF(B90&gt;$C$27,-1*$H$27,(($C$27-B90)*$G$27)-$H$27)</f>
        <v/>
      </c>
      <c r="AH90" s="130">
        <f>Hedge_MID!G178</f>
        <v/>
      </c>
      <c r="AI90" s="130">
        <f>IF(B90&gt;$C$28,-1*$H$28,(($C$28-B90)*$G$28)-$H$28)</f>
        <v/>
      </c>
      <c r="AJ90" s="130">
        <f>Hedge_MID!G208</f>
        <v/>
      </c>
      <c r="AK90" s="130">
        <f>IF(B90&gt;$C$29,-1*$H$29,(($C$29-B90)*$G$29)-$H$29)</f>
        <v/>
      </c>
      <c r="AL90" s="130">
        <f>Hedge_MID!G238</f>
        <v/>
      </c>
      <c r="AM90" s="130">
        <f>IF(B90&gt;$C$30,-1*$H$30,(($C$30-B90)*$G$30)-$H$30)</f>
        <v/>
      </c>
      <c r="AN90" s="130">
        <f>Hedge_MID!G268</f>
        <v/>
      </c>
      <c r="AO90" s="130">
        <f>IF(B90&gt;$C$31,-1*$H$31,(($C$31-B90)*$G$31)-$H$31)</f>
        <v/>
      </c>
      <c r="AP90" s="130">
        <f>Hedge_MID!G298</f>
        <v/>
      </c>
      <c r="AQ90" s="130">
        <f>IF(B90&gt;$C$32,-1*$H$32,(($C$32-B90)*$G$32)-$H$32)</f>
        <v/>
      </c>
      <c r="AR90" s="117" t="n"/>
    </row>
    <row r="91" ht="14.25" customHeight="1" s="116">
      <c r="B91" s="183">
        <f>B90-1</f>
        <v/>
      </c>
      <c r="C91" s="184">
        <f>O91/$H$33</f>
        <v/>
      </c>
      <c r="D91" s="184">
        <f>P91/$H$33</f>
        <v/>
      </c>
      <c r="E91" s="130">
        <f>($C$2*B91)-$E$2</f>
        <v/>
      </c>
      <c r="F91" s="185">
        <f>(E91/$E$2)</f>
        <v/>
      </c>
      <c r="M91" s="183">
        <f>M90-1</f>
        <v/>
      </c>
      <c r="N91" s="184">
        <f>Hedge_MID!C329</f>
        <v/>
      </c>
      <c r="O91" s="130">
        <f>Hedge_MID!G329</f>
        <v/>
      </c>
      <c r="P91" s="130">
        <f>Y91+AA91+AC91+AE91+AG91+AI91+AK91+AM91+AO91+AQ91</f>
        <v/>
      </c>
      <c r="Q91" s="185">
        <f>S91/$E$2</f>
        <v/>
      </c>
      <c r="R91" s="185">
        <f>T91/$E$2</f>
        <v/>
      </c>
      <c r="S91" s="130">
        <f>E91+O91</f>
        <v/>
      </c>
      <c r="T91" s="130">
        <f>E91+P91</f>
        <v/>
      </c>
      <c r="U91" s="186">
        <f>O92-2*O91+O90</f>
        <v/>
      </c>
      <c r="V91" s="187" t="n"/>
      <c r="W91" s="183">
        <f>W90-1</f>
        <v/>
      </c>
      <c r="X91" s="130">
        <f>Hedge_MID!G32</f>
        <v/>
      </c>
      <c r="Y91" s="130">
        <f>IF(B91&gt;$C$23,-1*$H$23,(($C$23-B91)*$G$23)-$H$23)</f>
        <v/>
      </c>
      <c r="Z91" s="130">
        <f>Hedge_MID!G61</f>
        <v/>
      </c>
      <c r="AA91" s="130">
        <f>IF(B91&gt;$C$24,-1*$H$24,(($C$24-B91)*$G$24)-$H$24)</f>
        <v/>
      </c>
      <c r="AB91" s="130">
        <f>Hedge_MID!G90</f>
        <v/>
      </c>
      <c r="AC91" s="130">
        <f>IF(B91&gt;$C$25,-1*$H$25,(($C$25-B91)*$G$25)-$H$25)</f>
        <v/>
      </c>
      <c r="AD91" s="130">
        <f>Hedge_MID!G119</f>
        <v/>
      </c>
      <c r="AE91" s="130">
        <f>IF(B91&gt;$C$26,-1*$H$26,(($C$26-B91)*$G$26)-$H$26)</f>
        <v/>
      </c>
      <c r="AF91" s="130">
        <f>Hedge_MID!G149</f>
        <v/>
      </c>
      <c r="AG91" s="130">
        <f>IF(B91&gt;$C$27,-1*$H$27,(($C$27-B91)*$G$27)-$H$27)</f>
        <v/>
      </c>
      <c r="AH91" s="130">
        <f>Hedge_MID!G179</f>
        <v/>
      </c>
      <c r="AI91" s="130">
        <f>IF(B91&gt;$C$28,-1*$H$28,(($C$28-B91)*$G$28)-$H$28)</f>
        <v/>
      </c>
      <c r="AJ91" s="130">
        <f>Hedge_MID!G209</f>
        <v/>
      </c>
      <c r="AK91" s="130">
        <f>IF(B91&gt;$C$29,-1*$H$29,(($C$29-B91)*$G$29)-$H$29)</f>
        <v/>
      </c>
      <c r="AL91" s="130">
        <f>Hedge_MID!G239</f>
        <v/>
      </c>
      <c r="AM91" s="130">
        <f>IF(B91&gt;$C$30,-1*$H$30,(($C$30-B91)*$G$30)-$H$30)</f>
        <v/>
      </c>
      <c r="AN91" s="130">
        <f>Hedge_MID!G269</f>
        <v/>
      </c>
      <c r="AO91" s="130">
        <f>IF(B91&gt;$C$31,-1*$H$31,(($C$31-B91)*$G$31)-$H$31)</f>
        <v/>
      </c>
      <c r="AP91" s="130">
        <f>Hedge_MID!G299</f>
        <v/>
      </c>
      <c r="AQ91" s="130">
        <f>IF(B91&gt;$C$32,-1*$H$32,(($C$32-B91)*$G$32)-$H$32)</f>
        <v/>
      </c>
      <c r="AR91" s="117" t="n"/>
    </row>
    <row r="92" ht="14.25" customHeight="1" s="116">
      <c r="B92" s="183">
        <f>B91-1</f>
        <v/>
      </c>
      <c r="C92" s="184">
        <f>O92/$H$33</f>
        <v/>
      </c>
      <c r="D92" s="184">
        <f>P92/$H$33</f>
        <v/>
      </c>
      <c r="E92" s="130">
        <f>($C$2*B92)-$E$2</f>
        <v/>
      </c>
      <c r="F92" s="185">
        <f>(E92/$E$2)</f>
        <v/>
      </c>
      <c r="M92" s="183">
        <f>M91-1</f>
        <v/>
      </c>
      <c r="N92" s="184">
        <f>Hedge_MID!C330</f>
        <v/>
      </c>
      <c r="O92" s="130">
        <f>Hedge_MID!G330</f>
        <v/>
      </c>
      <c r="P92" s="130">
        <f>Y92+AA92+AC92+AE92+AG92+AI92+AK92+AM92+AO92+AQ92</f>
        <v/>
      </c>
      <c r="Q92" s="185">
        <f>S92/$E$2</f>
        <v/>
      </c>
      <c r="R92" s="185">
        <f>T92/$E$2</f>
        <v/>
      </c>
      <c r="S92" s="130">
        <f>E92+O92</f>
        <v/>
      </c>
      <c r="T92" s="130">
        <f>E92+P92</f>
        <v/>
      </c>
      <c r="U92" s="186">
        <f>O93-2*O92+O91</f>
        <v/>
      </c>
      <c r="V92" s="187" t="n"/>
      <c r="W92" s="183">
        <f>W91-1</f>
        <v/>
      </c>
      <c r="X92" s="130">
        <f>Hedge_MID!G33</f>
        <v/>
      </c>
      <c r="Y92" s="130">
        <f>IF(B92&gt;$C$23,-1*$H$23,(($C$23-B92)*$G$23)-$H$23)</f>
        <v/>
      </c>
      <c r="Z92" s="130">
        <f>Hedge_MID!G62</f>
        <v/>
      </c>
      <c r="AA92" s="130">
        <f>IF(B92&gt;$C$24,-1*$H$24,(($C$24-B92)*$G$24)-$H$24)</f>
        <v/>
      </c>
      <c r="AB92" s="130">
        <f>Hedge_MID!G91</f>
        <v/>
      </c>
      <c r="AC92" s="130">
        <f>IF(B92&gt;$C$25,-1*$H$25,(($C$25-B92)*$G$25)-$H$25)</f>
        <v/>
      </c>
      <c r="AD92" s="130">
        <f>Hedge_MID!G120</f>
        <v/>
      </c>
      <c r="AE92" s="130">
        <f>IF(B92&gt;$C$26,-1*$H$26,(($C$26-B92)*$G$26)-$H$26)</f>
        <v/>
      </c>
      <c r="AF92" s="130">
        <f>Hedge_MID!G150</f>
        <v/>
      </c>
      <c r="AG92" s="130">
        <f>IF(B92&gt;$C$27,-1*$H$27,(($C$27-B92)*$G$27)-$H$27)</f>
        <v/>
      </c>
      <c r="AH92" s="130">
        <f>Hedge_MID!G180</f>
        <v/>
      </c>
      <c r="AI92" s="130">
        <f>IF(B92&gt;$C$28,-1*$H$28,(($C$28-B92)*$G$28)-$H$28)</f>
        <v/>
      </c>
      <c r="AJ92" s="130">
        <f>Hedge_MID!G210</f>
        <v/>
      </c>
      <c r="AK92" s="130">
        <f>IF(B92&gt;$C$29,-1*$H$29,(($C$29-B92)*$G$29)-$H$29)</f>
        <v/>
      </c>
      <c r="AL92" s="130">
        <f>Hedge_MID!G240</f>
        <v/>
      </c>
      <c r="AM92" s="130">
        <f>IF(B92&gt;$C$30,-1*$H$30,(($C$30-B92)*$G$30)-$H$30)</f>
        <v/>
      </c>
      <c r="AN92" s="130">
        <f>Hedge_MID!G270</f>
        <v/>
      </c>
      <c r="AO92" s="130">
        <f>IF(B92&gt;$C$31,-1*$H$31,(($C$31-B92)*$G$31)-$H$31)</f>
        <v/>
      </c>
      <c r="AP92" s="130">
        <f>Hedge_MID!G300</f>
        <v/>
      </c>
      <c r="AQ92" s="130">
        <f>IF(B92&gt;$C$32,-1*$H$32,(($C$32-B92)*$G$32)-$H$32)</f>
        <v/>
      </c>
      <c r="AR92" s="117" t="n"/>
    </row>
    <row r="93" ht="14.25" customHeight="1" s="116">
      <c r="B93" s="183">
        <f>B92-1</f>
        <v/>
      </c>
      <c r="C93" s="184">
        <f>O93/$H$33</f>
        <v/>
      </c>
      <c r="D93" s="184">
        <f>P93/$H$33</f>
        <v/>
      </c>
      <c r="E93" s="130">
        <f>($C$2*B93)-$E$2</f>
        <v/>
      </c>
      <c r="F93" s="185">
        <f>(E93/$E$2)</f>
        <v/>
      </c>
      <c r="M93" s="183">
        <f>M92-1</f>
        <v/>
      </c>
      <c r="N93" s="184">
        <f>Hedge_MID!C331</f>
        <v/>
      </c>
      <c r="O93" s="130">
        <f>Hedge_MID!G331</f>
        <v/>
      </c>
      <c r="P93" s="130">
        <f>Y93+AA93+AC93+AE93+AG93+AI93+AK93+AM93+AO93+AQ93</f>
        <v/>
      </c>
      <c r="Q93" s="185">
        <f>S93/$E$2</f>
        <v/>
      </c>
      <c r="R93" s="185">
        <f>T93/$E$2</f>
        <v/>
      </c>
      <c r="S93" s="130">
        <f>E93+O93</f>
        <v/>
      </c>
      <c r="T93" s="130">
        <f>E93+P93</f>
        <v/>
      </c>
      <c r="U93" s="186">
        <f>O94-2*O93+O92</f>
        <v/>
      </c>
      <c r="V93" s="187" t="n"/>
      <c r="W93" s="183">
        <f>W92-1</f>
        <v/>
      </c>
      <c r="X93" s="130">
        <f>Hedge_MID!G34</f>
        <v/>
      </c>
      <c r="Y93" s="130">
        <f>IF(B93&gt;$C$23,-1*$H$23,(($C$23-B93)*$G$23)-$H$23)</f>
        <v/>
      </c>
      <c r="Z93" s="130">
        <f>Hedge_MID!G63</f>
        <v/>
      </c>
      <c r="AA93" s="130">
        <f>IF(B93&gt;$C$24,-1*$H$24,(($C$24-B93)*$G$24)-$H$24)</f>
        <v/>
      </c>
      <c r="AB93" s="130">
        <f>Hedge_MID!G92</f>
        <v/>
      </c>
      <c r="AC93" s="130">
        <f>IF(B93&gt;$C$25,-1*$H$25,(($C$25-B93)*$G$25)-$H$25)</f>
        <v/>
      </c>
      <c r="AD93" s="130">
        <f>Hedge_MID!G121</f>
        <v/>
      </c>
      <c r="AE93" s="130">
        <f>IF(B93&gt;$C$26,-1*$H$26,(($C$26-B93)*$G$26)-$H$26)</f>
        <v/>
      </c>
      <c r="AF93" s="130">
        <f>Hedge_MID!G151</f>
        <v/>
      </c>
      <c r="AG93" s="130">
        <f>IF(B93&gt;$C$27,-1*$H$27,(($C$27-B93)*$G$27)-$H$27)</f>
        <v/>
      </c>
      <c r="AH93" s="130">
        <f>Hedge_MID!G181</f>
        <v/>
      </c>
      <c r="AI93" s="130">
        <f>IF(B93&gt;$C$28,-1*$H$28,(($C$28-B93)*$G$28)-$H$28)</f>
        <v/>
      </c>
      <c r="AJ93" s="130">
        <f>Hedge_MID!G211</f>
        <v/>
      </c>
      <c r="AK93" s="130">
        <f>IF(B93&gt;$C$29,-1*$H$29,(($C$29-B93)*$G$29)-$H$29)</f>
        <v/>
      </c>
      <c r="AL93" s="130">
        <f>Hedge_MID!G241</f>
        <v/>
      </c>
      <c r="AM93" s="130">
        <f>IF(B93&gt;$C$30,-1*$H$30,(($C$30-B93)*$G$30)-$H$30)</f>
        <v/>
      </c>
      <c r="AN93" s="130">
        <f>Hedge_MID!G271</f>
        <v/>
      </c>
      <c r="AO93" s="130">
        <f>IF(B93&gt;$C$31,-1*$H$31,(($C$31-B93)*$G$31)-$H$31)</f>
        <v/>
      </c>
      <c r="AP93" s="130">
        <f>Hedge_MID!G301</f>
        <v/>
      </c>
      <c r="AQ93" s="130">
        <f>IF(B93&gt;$C$32,-1*$H$32,(($C$32-B93)*$G$32)-$H$32)</f>
        <v/>
      </c>
      <c r="AR93" s="117" t="n"/>
    </row>
    <row r="94" ht="14.25" customHeight="1" s="116">
      <c r="B94" s="183">
        <f>B93-1</f>
        <v/>
      </c>
      <c r="C94" s="184">
        <f>O94/$H$33</f>
        <v/>
      </c>
      <c r="D94" s="184">
        <f>P94/$H$33</f>
        <v/>
      </c>
      <c r="E94" s="130">
        <f>($C$2*B94)-$E$2</f>
        <v/>
      </c>
      <c r="F94" s="185">
        <f>(E94/$E$2)</f>
        <v/>
      </c>
      <c r="M94" s="183">
        <f>M93-1</f>
        <v/>
      </c>
      <c r="N94" s="184">
        <f>Hedge_MID!C332</f>
        <v/>
      </c>
      <c r="O94" s="130">
        <f>Hedge_MID!G332</f>
        <v/>
      </c>
      <c r="P94" s="130">
        <f>Y94+AA94+AC94+AE94+AG94+AI94+AK94+AM94+AO94+AQ94</f>
        <v/>
      </c>
      <c r="Q94" s="185">
        <f>S94/$E$2</f>
        <v/>
      </c>
      <c r="R94" s="185">
        <f>T94/$E$2</f>
        <v/>
      </c>
      <c r="S94" s="130">
        <f>E94+O94</f>
        <v/>
      </c>
      <c r="T94" s="130">
        <f>E94+P94</f>
        <v/>
      </c>
      <c r="U94" s="186">
        <f>O95-2*O94+O93</f>
        <v/>
      </c>
      <c r="V94" s="187" t="n"/>
      <c r="W94" s="183">
        <f>W93-1</f>
        <v/>
      </c>
      <c r="X94" s="130">
        <f>Hedge_MID!G35</f>
        <v/>
      </c>
      <c r="Y94" s="130">
        <f>IF(B94&gt;$C$23,-1*$H$23,(($C$23-B94)*$G$23)-$H$23)</f>
        <v/>
      </c>
      <c r="Z94" s="130">
        <f>Hedge_MID!G64</f>
        <v/>
      </c>
      <c r="AA94" s="130">
        <f>IF(B94&gt;$C$24,-1*$H$24,(($C$24-B94)*$G$24)-$H$24)</f>
        <v/>
      </c>
      <c r="AB94" s="130">
        <f>Hedge_MID!G93</f>
        <v/>
      </c>
      <c r="AC94" s="130">
        <f>IF(B94&gt;$C$25,-1*$H$25,(($C$25-B94)*$G$25)-$H$25)</f>
        <v/>
      </c>
      <c r="AD94" s="130">
        <f>Hedge_MID!G122</f>
        <v/>
      </c>
      <c r="AE94" s="130">
        <f>IF(B94&gt;$C$26,-1*$H$26,(($C$26-B94)*$G$26)-$H$26)</f>
        <v/>
      </c>
      <c r="AF94" s="130">
        <f>Hedge_MID!G152</f>
        <v/>
      </c>
      <c r="AG94" s="130">
        <f>IF(B94&gt;$C$27,-1*$H$27,(($C$27-B94)*$G$27)-$H$27)</f>
        <v/>
      </c>
      <c r="AH94" s="130">
        <f>Hedge_MID!G182</f>
        <v/>
      </c>
      <c r="AI94" s="130">
        <f>IF(B94&gt;$C$28,-1*$H$28,(($C$28-B94)*$G$28)-$H$28)</f>
        <v/>
      </c>
      <c r="AJ94" s="130">
        <f>Hedge_MID!G212</f>
        <v/>
      </c>
      <c r="AK94" s="130">
        <f>IF(B94&gt;$C$29,-1*$H$29,(($C$29-B94)*$G$29)-$H$29)</f>
        <v/>
      </c>
      <c r="AL94" s="130">
        <f>Hedge_MID!G242</f>
        <v/>
      </c>
      <c r="AM94" s="130">
        <f>IF(B94&gt;$C$30,-1*$H$30,(($C$30-B94)*$G$30)-$H$30)</f>
        <v/>
      </c>
      <c r="AN94" s="130">
        <f>Hedge_MID!G272</f>
        <v/>
      </c>
      <c r="AO94" s="130">
        <f>IF(B94&gt;$C$31,-1*$H$31,(($C$31-B94)*$G$31)-$H$31)</f>
        <v/>
      </c>
      <c r="AP94" s="130">
        <f>Hedge_MID!G302</f>
        <v/>
      </c>
      <c r="AQ94" s="130">
        <f>IF(B94&gt;$C$32,-1*$H$32,(($C$32-B94)*$G$32)-$H$32)</f>
        <v/>
      </c>
      <c r="AR94" s="117" t="n"/>
    </row>
    <row r="95" ht="14.25" customHeight="1" s="116">
      <c r="B95" s="183">
        <f>B94-1</f>
        <v/>
      </c>
      <c r="C95" s="184">
        <f>O95/$H$33</f>
        <v/>
      </c>
      <c r="D95" s="184">
        <f>P95/$H$33</f>
        <v/>
      </c>
      <c r="E95" s="130">
        <f>($C$2*B95)-$E$2</f>
        <v/>
      </c>
      <c r="F95" s="185">
        <f>(E95/$E$2)</f>
        <v/>
      </c>
      <c r="M95" s="183">
        <f>M94-1</f>
        <v/>
      </c>
      <c r="N95" s="184">
        <f>Hedge_MID!C333</f>
        <v/>
      </c>
      <c r="O95" s="130">
        <f>Hedge_MID!G333</f>
        <v/>
      </c>
      <c r="P95" s="130">
        <f>Y95+AA95+AC95+AE95+AG95+AI95+AK95+AM95+AO95+AQ95</f>
        <v/>
      </c>
      <c r="Q95" s="185">
        <f>S95/$E$2</f>
        <v/>
      </c>
      <c r="R95" s="185">
        <f>T95/$E$2</f>
        <v/>
      </c>
      <c r="S95" s="130">
        <f>E95+O95</f>
        <v/>
      </c>
      <c r="T95" s="130">
        <f>E95+P95</f>
        <v/>
      </c>
      <c r="U95" s="186">
        <f>O96-2*O95+O94</f>
        <v/>
      </c>
      <c r="V95" s="187" t="n"/>
      <c r="W95" s="183">
        <f>W94-1</f>
        <v/>
      </c>
      <c r="X95" s="130">
        <f>Hedge_MID!G36</f>
        <v/>
      </c>
      <c r="Y95" s="130">
        <f>IF(B95&gt;$C$23,-1*$H$23,(($C$23-B95)*$G$23)-$H$23)</f>
        <v/>
      </c>
      <c r="Z95" s="130">
        <f>Hedge_MID!G65</f>
        <v/>
      </c>
      <c r="AA95" s="130">
        <f>IF(B95&gt;$C$24,-1*$H$24,(($C$24-B95)*$G$24)-$H$24)</f>
        <v/>
      </c>
      <c r="AB95" s="130">
        <f>Hedge_MID!G94</f>
        <v/>
      </c>
      <c r="AC95" s="130">
        <f>IF(B95&gt;$C$25,-1*$H$25,(($C$25-B95)*$G$25)-$H$25)</f>
        <v/>
      </c>
      <c r="AD95" s="130">
        <f>Hedge_MID!G123</f>
        <v/>
      </c>
      <c r="AE95" s="130">
        <f>IF(B95&gt;$C$26,-1*$H$26,(($C$26-B95)*$G$26)-$H$26)</f>
        <v/>
      </c>
      <c r="AF95" s="130">
        <f>Hedge_MID!G153</f>
        <v/>
      </c>
      <c r="AG95" s="130">
        <f>IF(B95&gt;$C$27,-1*$H$27,(($C$27-B95)*$G$27)-$H$27)</f>
        <v/>
      </c>
      <c r="AH95" s="130">
        <f>Hedge_MID!G183</f>
        <v/>
      </c>
      <c r="AI95" s="130">
        <f>IF(B95&gt;$C$28,-1*$H$28,(($C$28-B95)*$G$28)-$H$28)</f>
        <v/>
      </c>
      <c r="AJ95" s="130">
        <f>Hedge_MID!G213</f>
        <v/>
      </c>
      <c r="AK95" s="130">
        <f>IF(B95&gt;$C$29,-1*$H$29,(($C$29-B95)*$G$29)-$H$29)</f>
        <v/>
      </c>
      <c r="AL95" s="130">
        <f>Hedge_MID!G243</f>
        <v/>
      </c>
      <c r="AM95" s="130">
        <f>IF(B95&gt;$C$30,-1*$H$30,(($C$30-B95)*$G$30)-$H$30)</f>
        <v/>
      </c>
      <c r="AN95" s="130">
        <f>Hedge_MID!G273</f>
        <v/>
      </c>
      <c r="AO95" s="130">
        <f>IF(B95&gt;$C$31,-1*$H$31,(($C$31-B95)*$G$31)-$H$31)</f>
        <v/>
      </c>
      <c r="AP95" s="130">
        <f>Hedge_MID!G303</f>
        <v/>
      </c>
      <c r="AQ95" s="130">
        <f>IF(B95&gt;$C$32,-1*$H$32,(($C$32-B95)*$G$32)-$H$32)</f>
        <v/>
      </c>
      <c r="AR95" s="117" t="n"/>
    </row>
    <row r="96" ht="14.25" customHeight="1" s="116">
      <c r="B96" s="183">
        <f>B95-1</f>
        <v/>
      </c>
      <c r="C96" s="184">
        <f>O96/$H$33</f>
        <v/>
      </c>
      <c r="D96" s="184">
        <f>P96/$H$33</f>
        <v/>
      </c>
      <c r="E96" s="130">
        <f>($C$2*B96)-$E$2</f>
        <v/>
      </c>
      <c r="F96" s="185">
        <f>(E96/$E$2)</f>
        <v/>
      </c>
      <c r="M96" s="183">
        <f>M95-1</f>
        <v/>
      </c>
      <c r="N96" s="184">
        <f>Hedge_MID!C334</f>
        <v/>
      </c>
      <c r="O96" s="130">
        <f>Hedge_MID!G334</f>
        <v/>
      </c>
      <c r="P96" s="130">
        <f>Y96+AA96+AC96+AE96+AG96+AI96+AK96+AM96+AO96+AQ96</f>
        <v/>
      </c>
      <c r="Q96" s="185">
        <f>S96/$E$2</f>
        <v/>
      </c>
      <c r="R96" s="185">
        <f>T96/$E$2</f>
        <v/>
      </c>
      <c r="S96" s="130">
        <f>E96+O96</f>
        <v/>
      </c>
      <c r="T96" s="130">
        <f>E96+P96</f>
        <v/>
      </c>
      <c r="U96" s="186">
        <f>O97-2*O96+O95</f>
        <v/>
      </c>
      <c r="V96" s="187" t="n"/>
      <c r="W96" s="183">
        <f>W95-1</f>
        <v/>
      </c>
      <c r="X96" s="130">
        <f>Hedge_MID!G37</f>
        <v/>
      </c>
      <c r="Y96" s="130">
        <f>IF(B96&gt;$C$23,-1*$H$23,(($C$23-B96)*$G$23)-$H$23)</f>
        <v/>
      </c>
      <c r="Z96" s="130">
        <f>Hedge_MID!G66</f>
        <v/>
      </c>
      <c r="AA96" s="130">
        <f>IF(B96&gt;$C$24,-1*$H$24,(($C$24-B96)*$G$24)-$H$24)</f>
        <v/>
      </c>
      <c r="AB96" s="130">
        <f>Hedge_MID!G95</f>
        <v/>
      </c>
      <c r="AC96" s="130">
        <f>IF(B96&gt;$C$25,-1*$H$25,(($C$25-B96)*$G$25)-$H$25)</f>
        <v/>
      </c>
      <c r="AD96" s="130">
        <f>Hedge_MID!G124</f>
        <v/>
      </c>
      <c r="AE96" s="130">
        <f>IF(B96&gt;$C$26,-1*$H$26,(($C$26-B96)*$G$26)-$H$26)</f>
        <v/>
      </c>
      <c r="AF96" s="130">
        <f>Hedge_MID!G154</f>
        <v/>
      </c>
      <c r="AG96" s="130">
        <f>IF(B96&gt;$C$27,-1*$H$27,(($C$27-B96)*$G$27)-$H$27)</f>
        <v/>
      </c>
      <c r="AH96" s="130">
        <f>Hedge_MID!G184</f>
        <v/>
      </c>
      <c r="AI96" s="130">
        <f>IF(B96&gt;$C$28,-1*$H$28,(($C$28-B96)*$G$28)-$H$28)</f>
        <v/>
      </c>
      <c r="AJ96" s="130">
        <f>Hedge_MID!G214</f>
        <v/>
      </c>
      <c r="AK96" s="130">
        <f>IF(B96&gt;$C$29,-1*$H$29,(($C$29-B96)*$G$29)-$H$29)</f>
        <v/>
      </c>
      <c r="AL96" s="130">
        <f>Hedge_MID!G244</f>
        <v/>
      </c>
      <c r="AM96" s="130">
        <f>IF(B96&gt;$C$30,-1*$H$30,(($C$30-B96)*$G$30)-$H$30)</f>
        <v/>
      </c>
      <c r="AN96" s="130">
        <f>Hedge_MID!G274</f>
        <v/>
      </c>
      <c r="AO96" s="130">
        <f>IF(B96&gt;$C$31,-1*$H$31,(($C$31-B96)*$G$31)-$H$31)</f>
        <v/>
      </c>
      <c r="AP96" s="130">
        <f>Hedge_MID!G304</f>
        <v/>
      </c>
      <c r="AQ96" s="130">
        <f>IF(B96&gt;$C$32,-1*$H$32,(($C$32-B96)*$G$32)-$H$32)</f>
        <v/>
      </c>
      <c r="AR96" s="117" t="n"/>
    </row>
    <row r="97" ht="14.25" customHeight="1" s="116">
      <c r="B97" s="183">
        <f>B96-1</f>
        <v/>
      </c>
      <c r="C97" s="184">
        <f>O97/$H$33</f>
        <v/>
      </c>
      <c r="D97" s="184">
        <f>P97/$H$33</f>
        <v/>
      </c>
      <c r="E97" s="130">
        <f>($C$2*B97)-$E$2</f>
        <v/>
      </c>
      <c r="F97" s="185">
        <f>(E97/$E$2)</f>
        <v/>
      </c>
      <c r="M97" s="183">
        <f>M96-1</f>
        <v/>
      </c>
      <c r="N97" s="184">
        <f>Hedge_MID!C335</f>
        <v/>
      </c>
      <c r="O97" s="130">
        <f>Hedge_MID!G335</f>
        <v/>
      </c>
      <c r="P97" s="130">
        <f>Y97+AA97+AC97+AE97+AG97+AI97+AK97+AM97+AO97+AQ97</f>
        <v/>
      </c>
      <c r="Q97" s="185">
        <f>S97/$E$2</f>
        <v/>
      </c>
      <c r="R97" s="185">
        <f>T97/$E$2</f>
        <v/>
      </c>
      <c r="S97" s="130">
        <f>E97+O97</f>
        <v/>
      </c>
      <c r="T97" s="130">
        <f>E97+P97</f>
        <v/>
      </c>
      <c r="U97" s="186">
        <f>O98-2*O97+O96</f>
        <v/>
      </c>
      <c r="V97" s="187" t="n"/>
      <c r="W97" s="183">
        <f>W96-1</f>
        <v/>
      </c>
      <c r="X97" s="130">
        <f>Hedge_MID!G38</f>
        <v/>
      </c>
      <c r="Y97" s="130">
        <f>IF(B97&gt;$C$23,-1*$H$23,(($C$23-B97)*$G$23)-$H$23)</f>
        <v/>
      </c>
      <c r="Z97" s="130">
        <f>Hedge_MID!G67</f>
        <v/>
      </c>
      <c r="AA97" s="130">
        <f>IF(B97&gt;$C$24,-1*$H$24,(($C$24-B97)*$G$24)-$H$24)</f>
        <v/>
      </c>
      <c r="AB97" s="130">
        <f>Hedge_MID!G96</f>
        <v/>
      </c>
      <c r="AC97" s="130">
        <f>IF(B97&gt;$C$25,-1*$H$25,(($C$25-B97)*$G$25)-$H$25)</f>
        <v/>
      </c>
      <c r="AD97" s="130">
        <f>Hedge_MID!G125</f>
        <v/>
      </c>
      <c r="AE97" s="130">
        <f>IF(B97&gt;$C$26,-1*$H$26,(($C$26-B97)*$G$26)-$H$26)</f>
        <v/>
      </c>
      <c r="AF97" s="130">
        <f>Hedge_MID!G155</f>
        <v/>
      </c>
      <c r="AG97" s="130">
        <f>IF(B97&gt;$C$27,-1*$H$27,(($C$27-B97)*$G$27)-$H$27)</f>
        <v/>
      </c>
      <c r="AH97" s="130">
        <f>Hedge_MID!G185</f>
        <v/>
      </c>
      <c r="AI97" s="130">
        <f>IF(B97&gt;$C$28,-1*$H$28,(($C$28-B97)*$G$28)-$H$28)</f>
        <v/>
      </c>
      <c r="AJ97" s="130">
        <f>Hedge_MID!G215</f>
        <v/>
      </c>
      <c r="AK97" s="130">
        <f>IF(B97&gt;$C$29,-1*$H$29,(($C$29-B97)*$G$29)-$H$29)</f>
        <v/>
      </c>
      <c r="AL97" s="130">
        <f>Hedge_MID!G245</f>
        <v/>
      </c>
      <c r="AM97" s="130">
        <f>IF(B97&gt;$C$30,-1*$H$30,(($C$30-B97)*$G$30)-$H$30)</f>
        <v/>
      </c>
      <c r="AN97" s="130">
        <f>Hedge_MID!G275</f>
        <v/>
      </c>
      <c r="AO97" s="130">
        <f>IF(B97&gt;$C$31,-1*$H$31,(($C$31-B97)*$G$31)-$H$31)</f>
        <v/>
      </c>
      <c r="AP97" s="130">
        <f>Hedge_MID!G305</f>
        <v/>
      </c>
      <c r="AQ97" s="130">
        <f>IF(B97&gt;$C$32,-1*$H$32,(($C$32-B97)*$G$32)-$H$32)</f>
        <v/>
      </c>
      <c r="AR97" s="117" t="n"/>
    </row>
    <row r="98" ht="14.25" customHeight="1" s="116">
      <c r="B98" s="183">
        <f>B97-1</f>
        <v/>
      </c>
      <c r="C98" s="184">
        <f>O98/$H$33</f>
        <v/>
      </c>
      <c r="D98" s="184">
        <f>P98/$H$33</f>
        <v/>
      </c>
      <c r="E98" s="130">
        <f>($C$2*B98)-$E$2</f>
        <v/>
      </c>
      <c r="F98" s="185">
        <f>(E98/$E$2)</f>
        <v/>
      </c>
      <c r="M98" s="183">
        <f>M97-1</f>
        <v/>
      </c>
      <c r="N98" s="184">
        <f>Hedge_MID!C336</f>
        <v/>
      </c>
      <c r="O98" s="130">
        <f>Hedge_MID!G336</f>
        <v/>
      </c>
      <c r="P98" s="130">
        <f>Y98+AA98+AC98+AE98+AG98+AI98+AK98+AM98+AO98+AQ98</f>
        <v/>
      </c>
      <c r="Q98" s="185">
        <f>S98/$E$2</f>
        <v/>
      </c>
      <c r="R98" s="185">
        <f>T98/$E$2</f>
        <v/>
      </c>
      <c r="S98" s="130">
        <f>E98+O98</f>
        <v/>
      </c>
      <c r="T98" s="130">
        <f>E98+P98</f>
        <v/>
      </c>
      <c r="U98" s="186">
        <f>O99-2*O98+O97</f>
        <v/>
      </c>
      <c r="V98" s="187" t="n"/>
      <c r="W98" s="183">
        <f>W97-1</f>
        <v/>
      </c>
      <c r="X98" s="130">
        <f>Hedge_MID!G39</f>
        <v/>
      </c>
      <c r="Y98" s="130">
        <f>IF(B98&gt;$C$23,-1*$H$23,(($C$23-B98)*$G$23)-$H$23)</f>
        <v/>
      </c>
      <c r="Z98" s="130">
        <f>Hedge_MID!G68</f>
        <v/>
      </c>
      <c r="AA98" s="130">
        <f>IF(B98&gt;$C$24,-1*$H$24,(($C$24-B98)*$G$24)-$H$24)</f>
        <v/>
      </c>
      <c r="AB98" s="130">
        <f>Hedge_MID!G97</f>
        <v/>
      </c>
      <c r="AC98" s="130">
        <f>IF(B98&gt;$C$25,-1*$H$25,(($C$25-B98)*$G$25)-$H$25)</f>
        <v/>
      </c>
      <c r="AD98" s="130">
        <f>Hedge_MID!G126</f>
        <v/>
      </c>
      <c r="AE98" s="130">
        <f>IF(B98&gt;$C$26,-1*$H$26,(($C$26-B98)*$G$26)-$H$26)</f>
        <v/>
      </c>
      <c r="AF98" s="130">
        <f>Hedge_MID!G156</f>
        <v/>
      </c>
      <c r="AG98" s="130">
        <f>IF(B98&gt;$C$27,-1*$H$27,(($C$27-B98)*$G$27)-$H$27)</f>
        <v/>
      </c>
      <c r="AH98" s="130">
        <f>Hedge_MID!G186</f>
        <v/>
      </c>
      <c r="AI98" s="130">
        <f>IF(B98&gt;$C$28,-1*$H$28,(($C$28-B98)*$G$28)-$H$28)</f>
        <v/>
      </c>
      <c r="AJ98" s="130">
        <f>Hedge_MID!G216</f>
        <v/>
      </c>
      <c r="AK98" s="130">
        <f>IF(B98&gt;$C$29,-1*$H$29,(($C$29-B98)*$G$29)-$H$29)</f>
        <v/>
      </c>
      <c r="AL98" s="130">
        <f>Hedge_MID!G246</f>
        <v/>
      </c>
      <c r="AM98" s="130">
        <f>IF(B98&gt;$C$30,-1*$H$30,(($C$30-B98)*$G$30)-$H$30)</f>
        <v/>
      </c>
      <c r="AN98" s="130">
        <f>Hedge_MID!G276</f>
        <v/>
      </c>
      <c r="AO98" s="130">
        <f>IF(B98&gt;$C$31,-1*$H$31,(($C$31-B98)*$G$31)-$H$31)</f>
        <v/>
      </c>
      <c r="AP98" s="130">
        <f>Hedge_MID!G306</f>
        <v/>
      </c>
      <c r="AQ98" s="130">
        <f>IF(B98&gt;$C$32,-1*$H$32,(($C$32-B98)*$G$32)-$H$32)</f>
        <v/>
      </c>
      <c r="AR98" s="117" t="n"/>
    </row>
    <row r="99" ht="14.25" customHeight="1" s="116">
      <c r="B99" s="183">
        <f>B98-1</f>
        <v/>
      </c>
      <c r="C99" s="184">
        <f>O99/$H$33</f>
        <v/>
      </c>
      <c r="D99" s="184">
        <f>P99/$H$33</f>
        <v/>
      </c>
      <c r="E99" s="130">
        <f>($C$2*B99)-$E$2</f>
        <v/>
      </c>
      <c r="F99" s="185">
        <f>(E99/$E$2)</f>
        <v/>
      </c>
      <c r="M99" s="183">
        <f>M98-1</f>
        <v/>
      </c>
      <c r="N99" s="184">
        <f>Hedge_MID!C337</f>
        <v/>
      </c>
      <c r="O99" s="130">
        <f>Hedge_MID!G337</f>
        <v/>
      </c>
      <c r="P99" s="130">
        <f>Y99+AA99+AC99+AE99+AG99+AI99+AK99+AM99+AO99+AQ99</f>
        <v/>
      </c>
      <c r="Q99" s="185">
        <f>S99/$E$2</f>
        <v/>
      </c>
      <c r="R99" s="185">
        <f>T99/$E$2</f>
        <v/>
      </c>
      <c r="S99" s="130">
        <f>E99+O99</f>
        <v/>
      </c>
      <c r="T99" s="130">
        <f>E99+P99</f>
        <v/>
      </c>
      <c r="U99" s="186">
        <f>O100-2*O99+O98</f>
        <v/>
      </c>
      <c r="V99" s="187" t="n"/>
      <c r="W99" s="183">
        <f>W98-1</f>
        <v/>
      </c>
      <c r="X99" s="130">
        <f>Hedge_MID!G40</f>
        <v/>
      </c>
      <c r="Y99" s="130">
        <f>IF(B99&gt;$C$23,-1*$H$23,(($C$23-B99)*$G$23)-$H$23)</f>
        <v/>
      </c>
      <c r="Z99" s="130">
        <f>Hedge_MID!G69</f>
        <v/>
      </c>
      <c r="AA99" s="130">
        <f>IF(B99&gt;$C$24,-1*$H$24,(($C$24-B99)*$G$24)-$H$24)</f>
        <v/>
      </c>
      <c r="AB99" s="130">
        <f>Hedge_MID!G98</f>
        <v/>
      </c>
      <c r="AC99" s="130">
        <f>IF(B99&gt;$C$25,-1*$H$25,(($C$25-B99)*$G$25)-$H$25)</f>
        <v/>
      </c>
      <c r="AD99" s="130">
        <f>Hedge_MID!G127</f>
        <v/>
      </c>
      <c r="AE99" s="130">
        <f>IF(B99&gt;$C$26,-1*$H$26,(($C$26-B99)*$G$26)-$H$26)</f>
        <v/>
      </c>
      <c r="AF99" s="130">
        <f>Hedge_MID!G157</f>
        <v/>
      </c>
      <c r="AG99" s="130">
        <f>IF(B99&gt;$C$27,-1*$H$27,(($C$27-B99)*$G$27)-$H$27)</f>
        <v/>
      </c>
      <c r="AH99" s="130">
        <f>Hedge_MID!G187</f>
        <v/>
      </c>
      <c r="AI99" s="130">
        <f>IF(B99&gt;$C$28,-1*$H$28,(($C$28-B99)*$G$28)-$H$28)</f>
        <v/>
      </c>
      <c r="AJ99" s="130">
        <f>Hedge_MID!G217</f>
        <v/>
      </c>
      <c r="AK99" s="130">
        <f>IF(B99&gt;$C$29,-1*$H$29,(($C$29-B99)*$G$29)-$H$29)</f>
        <v/>
      </c>
      <c r="AL99" s="130">
        <f>Hedge_MID!G247</f>
        <v/>
      </c>
      <c r="AM99" s="130">
        <f>IF(B99&gt;$C$30,-1*$H$30,(($C$30-B99)*$G$30)-$H$30)</f>
        <v/>
      </c>
      <c r="AN99" s="130">
        <f>Hedge_MID!G277</f>
        <v/>
      </c>
      <c r="AO99" s="130">
        <f>IF(B99&gt;$C$31,-1*$H$31,(($C$31-B99)*$G$31)-$H$31)</f>
        <v/>
      </c>
      <c r="AP99" s="130">
        <f>Hedge_MID!G307</f>
        <v/>
      </c>
      <c r="AQ99" s="130">
        <f>IF(B99&gt;$C$32,-1*$H$32,(($C$32-B99)*$G$32)-$H$32)</f>
        <v/>
      </c>
      <c r="AR99" s="117" t="n"/>
    </row>
    <row r="100" ht="14.25" customHeight="1" s="116">
      <c r="B100" s="183">
        <f>B99-1</f>
        <v/>
      </c>
      <c r="C100" s="184">
        <f>O100/$H$33</f>
        <v/>
      </c>
      <c r="D100" s="184">
        <f>P100/$H$33</f>
        <v/>
      </c>
      <c r="E100" s="130">
        <f>($C$2*B100)-$E$2</f>
        <v/>
      </c>
      <c r="F100" s="185">
        <f>(E100/$E$2)</f>
        <v/>
      </c>
      <c r="M100" s="183">
        <f>M99-1</f>
        <v/>
      </c>
      <c r="N100" s="184">
        <f>Hedge_MID!C338</f>
        <v/>
      </c>
      <c r="O100" s="130">
        <f>Hedge_MID!G338</f>
        <v/>
      </c>
      <c r="P100" s="130">
        <f>Y100+AA100+AC100+AE100+AG100+AI100+AK100+AM100+AO100+AQ100</f>
        <v/>
      </c>
      <c r="Q100" s="185">
        <f>S100/$E$2</f>
        <v/>
      </c>
      <c r="R100" s="185">
        <f>T100/$E$2</f>
        <v/>
      </c>
      <c r="S100" s="130">
        <f>E100+O100</f>
        <v/>
      </c>
      <c r="T100" s="130">
        <f>E100+P100</f>
        <v/>
      </c>
      <c r="U100" s="186">
        <f>O101-2*O100+O99</f>
        <v/>
      </c>
      <c r="V100" s="187" t="n"/>
      <c r="W100" s="183">
        <f>W99-1</f>
        <v/>
      </c>
      <c r="X100" s="130">
        <f>Hedge_MID!G41</f>
        <v/>
      </c>
      <c r="Y100" s="130">
        <f>IF(B100&gt;$C$23,-1*$H$23,(($C$23-B100)*$G$23)-$H$23)</f>
        <v/>
      </c>
      <c r="Z100" s="130">
        <f>Hedge_MID!G70</f>
        <v/>
      </c>
      <c r="AA100" s="130">
        <f>IF(B100&gt;$C$24,-1*$H$24,(($C$24-B100)*$G$24)-$H$24)</f>
        <v/>
      </c>
      <c r="AB100" s="130">
        <f>Hedge_MID!G99</f>
        <v/>
      </c>
      <c r="AC100" s="130">
        <f>IF(B100&gt;$C$25,-1*$H$25,(($C$25-B100)*$G$25)-$H$25)</f>
        <v/>
      </c>
      <c r="AD100" s="130">
        <f>Hedge_MID!G128</f>
        <v/>
      </c>
      <c r="AE100" s="130">
        <f>IF(B100&gt;$C$26,-1*$H$26,(($C$26-B100)*$G$26)-$H$26)</f>
        <v/>
      </c>
      <c r="AF100" s="130">
        <f>Hedge_MID!G158</f>
        <v/>
      </c>
      <c r="AG100" s="130">
        <f>IF(B100&gt;$C$27,-1*$H$27,(($C$27-B100)*$G$27)-$H$27)</f>
        <v/>
      </c>
      <c r="AH100" s="130">
        <f>Hedge_MID!G188</f>
        <v/>
      </c>
      <c r="AI100" s="130">
        <f>IF(B100&gt;$C$28,-1*$H$28,(($C$28-B100)*$G$28)-$H$28)</f>
        <v/>
      </c>
      <c r="AJ100" s="130">
        <f>Hedge_MID!G218</f>
        <v/>
      </c>
      <c r="AK100" s="130">
        <f>IF(B100&gt;$C$29,-1*$H$29,(($C$29-B100)*$G$29)-$H$29)</f>
        <v/>
      </c>
      <c r="AL100" s="130">
        <f>Hedge_MID!G248</f>
        <v/>
      </c>
      <c r="AM100" s="130">
        <f>IF(B100&gt;$C$30,-1*$H$30,(($C$30-B100)*$G$30)-$H$30)</f>
        <v/>
      </c>
      <c r="AN100" s="130">
        <f>Hedge_MID!G278</f>
        <v/>
      </c>
      <c r="AO100" s="130">
        <f>IF(B100&gt;$C$31,-1*$H$31,(($C$31-B100)*$G$31)-$H$31)</f>
        <v/>
      </c>
      <c r="AP100" s="130">
        <f>Hedge_MID!G308</f>
        <v/>
      </c>
      <c r="AQ100" s="130">
        <f>IF(B100&gt;$C$32,-1*$H$32,(($C$32-B100)*$G$32)-$H$32)</f>
        <v/>
      </c>
      <c r="AR100" s="117" t="n"/>
    </row>
    <row r="101" ht="14.25" customHeight="1" s="116">
      <c r="B101" s="183">
        <f>B100-1</f>
        <v/>
      </c>
      <c r="C101" s="184">
        <f>O101/$H$33</f>
        <v/>
      </c>
      <c r="D101" s="184">
        <f>P101/$H$33</f>
        <v/>
      </c>
      <c r="E101" s="130">
        <f>($C$2*B101)-$E$2</f>
        <v/>
      </c>
      <c r="F101" s="185">
        <f>(E101/$E$2)</f>
        <v/>
      </c>
      <c r="M101" s="183">
        <f>M100-1</f>
        <v/>
      </c>
      <c r="N101" s="184">
        <f>Hedge_MID!C339</f>
        <v/>
      </c>
      <c r="O101" s="130">
        <f>Hedge_MID!G339</f>
        <v/>
      </c>
      <c r="P101" s="130">
        <f>Y101+AA101+AC101+AE101+AG101+AI101+AK101+AM101+AO101+AQ101</f>
        <v/>
      </c>
      <c r="Q101" s="185">
        <f>S101/$E$2</f>
        <v/>
      </c>
      <c r="R101" s="185">
        <f>T101/$E$2</f>
        <v/>
      </c>
      <c r="S101" s="130">
        <f>E101+O101</f>
        <v/>
      </c>
      <c r="T101" s="130">
        <f>E101+P101</f>
        <v/>
      </c>
      <c r="U101" s="186">
        <f>O102-2*O101+O100</f>
        <v/>
      </c>
      <c r="V101" s="187" t="n"/>
      <c r="W101" s="183">
        <f>W100-1</f>
        <v/>
      </c>
      <c r="X101" s="130">
        <f>Hedge_MID!G42</f>
        <v/>
      </c>
      <c r="Y101" s="130">
        <f>IF(B101&gt;$C$23,-1*$H$23,(($C$23-B101)*$G$23)-$H$23)</f>
        <v/>
      </c>
      <c r="Z101" s="130">
        <f>Hedge_MID!G71</f>
        <v/>
      </c>
      <c r="AA101" s="130">
        <f>IF(B101&gt;$C$24,-1*$H$24,(($C$24-B101)*$G$24)-$H$24)</f>
        <v/>
      </c>
      <c r="AB101" s="130">
        <f>Hedge_MID!G100</f>
        <v/>
      </c>
      <c r="AC101" s="130">
        <f>IF(B101&gt;$C$25,-1*$H$25,(($C$25-B101)*$G$25)-$H$25)</f>
        <v/>
      </c>
      <c r="AD101" s="130">
        <f>Hedge_MID!G129</f>
        <v/>
      </c>
      <c r="AE101" s="130">
        <f>IF(B101&gt;$C$26,-1*$H$26,(($C$26-B101)*$G$26)-$H$26)</f>
        <v/>
      </c>
      <c r="AF101" s="130">
        <f>Hedge_MID!G159</f>
        <v/>
      </c>
      <c r="AG101" s="130">
        <f>IF(B101&gt;$C$27,-1*$H$27,(($C$27-B101)*$G$27)-$H$27)</f>
        <v/>
      </c>
      <c r="AH101" s="130">
        <f>Hedge_MID!G189</f>
        <v/>
      </c>
      <c r="AI101" s="130">
        <f>IF(B101&gt;$C$28,-1*$H$28,(($C$28-B101)*$G$28)-$H$28)</f>
        <v/>
      </c>
      <c r="AJ101" s="130">
        <f>Hedge_MID!G219</f>
        <v/>
      </c>
      <c r="AK101" s="130">
        <f>IF(B101&gt;$C$29,-1*$H$29,(($C$29-B101)*$G$29)-$H$29)</f>
        <v/>
      </c>
      <c r="AL101" s="130">
        <f>Hedge_MID!G249</f>
        <v/>
      </c>
      <c r="AM101" s="130">
        <f>IF(B101&gt;$C$30,-1*$H$30,(($C$30-B101)*$G$30)-$H$30)</f>
        <v/>
      </c>
      <c r="AN101" s="130">
        <f>Hedge_MID!G279</f>
        <v/>
      </c>
      <c r="AO101" s="130">
        <f>IF(B101&gt;$C$31,-1*$H$31,(($C$31-B101)*$G$31)-$H$31)</f>
        <v/>
      </c>
      <c r="AP101" s="130">
        <f>Hedge_MID!G309</f>
        <v/>
      </c>
      <c r="AQ101" s="130">
        <f>IF(B101&gt;$C$32,-1*$H$32,(($C$32-B101)*$G$32)-$H$32)</f>
        <v/>
      </c>
      <c r="AR101" s="117" t="n"/>
    </row>
    <row r="102" ht="14.25" customHeight="1" s="116">
      <c r="B102" s="183">
        <f>B101-1</f>
        <v/>
      </c>
      <c r="C102" s="184">
        <f>O102/$H$33</f>
        <v/>
      </c>
      <c r="D102" s="184">
        <f>P102/$H$33</f>
        <v/>
      </c>
      <c r="E102" s="130">
        <f>($C$2*B102)-$E$2</f>
        <v/>
      </c>
      <c r="F102" s="185">
        <f>(E102/$E$2)</f>
        <v/>
      </c>
      <c r="M102" s="183">
        <f>M101-1</f>
        <v/>
      </c>
      <c r="N102" s="184">
        <f>Hedge_MID!C340</f>
        <v/>
      </c>
      <c r="O102" s="130">
        <f>Hedge_MID!G340</f>
        <v/>
      </c>
      <c r="P102" s="130">
        <f>Y102+AA102+AC102+AE102+AG102+AI102+AK102+AM102+AO102+AQ102</f>
        <v/>
      </c>
      <c r="Q102" s="185">
        <f>S102/$E$2</f>
        <v/>
      </c>
      <c r="R102" s="185">
        <f>T102/$E$2</f>
        <v/>
      </c>
      <c r="S102" s="130">
        <f>E102+O102</f>
        <v/>
      </c>
      <c r="T102" s="130">
        <f>E102+P102</f>
        <v/>
      </c>
      <c r="U102" s="129" t="n"/>
      <c r="W102" s="183">
        <f>W101-1</f>
        <v/>
      </c>
      <c r="X102" s="130">
        <f>Hedge_MID!G43</f>
        <v/>
      </c>
      <c r="Y102" s="130">
        <f>IF(B102&gt;$C$23,-1*$H$23,(($C$23-B102)*$G$23)-$H$23)</f>
        <v/>
      </c>
      <c r="Z102" s="130">
        <f>Hedge_MID!G72</f>
        <v/>
      </c>
      <c r="AA102" s="130">
        <f>IF(B102&gt;$C$24,-1*$H$24,(($C$24-B102)*$G$24)-$H$24)</f>
        <v/>
      </c>
      <c r="AB102" s="130">
        <f>Hedge_MID!G101</f>
        <v/>
      </c>
      <c r="AC102" s="130">
        <f>IF(B102&gt;$C$25,-1*$H$25,(($C$25-B102)*$G$25)-$H$25)</f>
        <v/>
      </c>
      <c r="AD102" s="130">
        <f>Hedge_MID!G130</f>
        <v/>
      </c>
      <c r="AE102" s="130">
        <f>IF(B102&gt;$C$26,-1*$H$26,(($C$26-B102)*$G$26)-$H$26)</f>
        <v/>
      </c>
      <c r="AF102" s="130">
        <f>Hedge_MID!G160</f>
        <v/>
      </c>
      <c r="AG102" s="130">
        <f>IF(B102&gt;$C$27,-1*$H$27,(($C$27-B102)*$G$27)-$H$27)</f>
        <v/>
      </c>
      <c r="AH102" s="130">
        <f>Hedge_MID!G190</f>
        <v/>
      </c>
      <c r="AI102" s="130">
        <f>IF(B102&gt;$C$28,-1*$H$28,(($C$28-B102)*$G$28)-$H$28)</f>
        <v/>
      </c>
      <c r="AJ102" s="130">
        <f>Hedge_MID!G220</f>
        <v/>
      </c>
      <c r="AK102" s="130">
        <f>IF(B102&gt;$C$29,-1*$H$29,(($C$29-B102)*$G$29)-$H$29)</f>
        <v/>
      </c>
      <c r="AL102" s="130">
        <f>Hedge_MID!G250</f>
        <v/>
      </c>
      <c r="AM102" s="130">
        <f>IF(B102&gt;$C$30,-1*$H$30,(($C$30-B102)*$G$30)-$H$30)</f>
        <v/>
      </c>
      <c r="AN102" s="130">
        <f>Hedge_MID!G280</f>
        <v/>
      </c>
      <c r="AO102" s="130">
        <f>IF(B102&gt;$C$31,-1*$H$31,(($C$31-B102)*$G$31)-$H$31)</f>
        <v/>
      </c>
      <c r="AP102" s="130">
        <f>Hedge_MID!G310</f>
        <v/>
      </c>
      <c r="AQ102" s="130">
        <f>IF(B102&gt;$C$32,-1*$H$32,(($C$32-B102)*$G$32)-$H$32)</f>
        <v/>
      </c>
      <c r="AR102" s="117" t="n"/>
    </row>
    <row r="103" ht="14.25" customHeight="1" s="116"/>
    <row r="1048529" ht="12.75" customHeight="1" s="116"/>
    <row r="1048530" ht="12.75" customHeight="1" s="116"/>
    <row r="1048531" ht="12.75" customHeight="1" s="116"/>
    <row r="1048532" ht="12.75" customHeight="1" s="116"/>
    <row r="1048533" ht="12.75" customHeight="1" s="116"/>
    <row r="1048534" ht="12.75" customHeight="1" s="116"/>
    <row r="1048535" ht="12.75" customHeight="1" s="116"/>
    <row r="1048536" ht="12.75" customHeight="1" s="116"/>
    <row r="1048537" ht="12.75" customHeight="1" s="116"/>
    <row r="1048538" ht="12.75" customHeight="1" s="116"/>
    <row r="1048539" ht="12.75" customHeight="1" s="116"/>
    <row r="1048540" ht="12.75" customHeight="1" s="116"/>
    <row r="1048541" ht="12.75" customHeight="1" s="116"/>
    <row r="1048542" ht="12.75" customHeight="1" s="116"/>
    <row r="1048543" ht="12.75" customHeight="1" s="116"/>
    <row r="1048544" ht="12.75" customHeight="1" s="116"/>
    <row r="1048545" ht="12.75" customHeight="1" s="116"/>
    <row r="1048546" ht="12.75" customHeight="1" s="116"/>
    <row r="1048547" ht="12.75" customHeight="1" s="116"/>
    <row r="1048548" ht="12.75" customHeight="1" s="116"/>
    <row r="1048549" ht="12.75" customHeight="1" s="116"/>
    <row r="1048550" ht="12.75" customHeight="1" s="116"/>
    <row r="1048551" ht="12.75" customHeight="1" s="116"/>
    <row r="1048552" ht="12.75" customHeight="1" s="116"/>
    <row r="1048553" ht="12.75" customHeight="1" s="116"/>
    <row r="1048554" ht="12.75" customHeight="1" s="116"/>
    <row r="1048555" ht="12.75" customHeight="1" s="116"/>
    <row r="1048556" ht="12.75" customHeight="1" s="116"/>
    <row r="1048557" ht="12.75" customHeight="1" s="116"/>
    <row r="1048558" ht="12.75" customHeight="1" s="116"/>
    <row r="1048559" ht="12.75" customHeight="1" s="116"/>
    <row r="1048560" ht="12.75" customHeight="1" s="116"/>
    <row r="1048561" ht="12.75" customHeight="1" s="116"/>
    <row r="1048562" ht="12.75" customHeight="1" s="116"/>
    <row r="1048563" ht="12.75" customHeight="1" s="116"/>
    <row r="1048564" ht="12.75" customHeight="1" s="116"/>
    <row r="1048565" ht="12.75" customHeight="1" s="116"/>
    <row r="1048566" ht="12.75" customHeight="1" s="116"/>
    <row r="1048567" ht="12.75" customHeight="1" s="116"/>
    <row r="1048568" ht="12.75" customHeight="1" s="116"/>
    <row r="1048569" ht="12.75" customHeight="1" s="116"/>
    <row r="1048570" ht="12.75" customHeight="1" s="116"/>
    <row r="1048571" ht="12.75" customHeight="1" s="116"/>
    <row r="1048572" ht="12.75" customHeight="1" s="116"/>
    <row r="1048573" ht="12.75" customHeight="1" s="116"/>
    <row r="1048574" ht="12.75" customHeight="1" s="116"/>
    <row r="1048575" ht="12.75" customHeight="1" s="116"/>
    <row r="1048576" ht="12.75" customHeight="1" s="116"/>
  </sheetData>
  <mergeCells count="13">
    <mergeCell ref="AB74:AC74"/>
    <mergeCell ref="AH74:AI74"/>
    <mergeCell ref="AF74:AG74"/>
    <mergeCell ref="B74:F74"/>
    <mergeCell ref="AL74:AM74"/>
    <mergeCell ref="M74:T74"/>
    <mergeCell ref="AP74:AQ74"/>
    <mergeCell ref="I7:K7"/>
    <mergeCell ref="AJ74:AK74"/>
    <mergeCell ref="AN74:AO74"/>
    <mergeCell ref="Z74:AA74"/>
    <mergeCell ref="X74:Y74"/>
    <mergeCell ref="AD74:AE74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U4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8" activeCellId="0" sqref="G8"/>
    </sheetView>
  </sheetViews>
  <sheetFormatPr baseColWidth="8" defaultColWidth="11.53515625" defaultRowHeight="13.5" zeroHeight="0" outlineLevelRow="0"/>
  <cols>
    <col width="23.97" customWidth="1" style="117" min="1" max="1"/>
    <col width="19.73" customWidth="1" style="117" min="13" max="13"/>
  </cols>
  <sheetData>
    <row r="1" ht="15" customHeight="1" s="116">
      <c r="A1" s="133" t="inlineStr">
        <is>
          <t>symbol</t>
        </is>
      </c>
      <c r="B1" s="133" t="inlineStr">
        <is>
          <t>strike</t>
        </is>
      </c>
      <c r="C1" s="133" t="inlineStr">
        <is>
          <t>delta</t>
        </is>
      </c>
      <c r="D1" s="133" t="inlineStr">
        <is>
          <t>gamma</t>
        </is>
      </c>
      <c r="E1" s="133" t="inlineStr">
        <is>
          <t>vega</t>
        </is>
      </c>
      <c r="F1" s="133" t="inlineStr">
        <is>
          <t>theta</t>
        </is>
      </c>
      <c r="G1" s="133" t="inlineStr">
        <is>
          <t>mark_price</t>
        </is>
      </c>
      <c r="H1" s="133" t="inlineStr">
        <is>
          <t>iv</t>
        </is>
      </c>
      <c r="I1" s="133" t="inlineStr">
        <is>
          <t>dte</t>
        </is>
      </c>
      <c r="J1" s="133" t="inlineStr">
        <is>
          <t>T</t>
        </is>
      </c>
      <c r="K1" s="133" t="inlineStr">
        <is>
          <t>type</t>
        </is>
      </c>
      <c r="L1" s="133" t="inlineStr">
        <is>
          <t>spot_price</t>
        </is>
      </c>
      <c r="M1" s="133" t="inlineStr">
        <is>
          <t>hedge_cost_per_day</t>
        </is>
      </c>
      <c r="N1" s="133" t="inlineStr">
        <is>
          <t>total_price</t>
        </is>
      </c>
      <c r="O1" s="133" t="inlineStr">
        <is>
          <t>position</t>
        </is>
      </c>
      <c r="P1" s="133" t="inlineStr">
        <is>
          <t>contracts</t>
        </is>
      </c>
      <c r="R1" s="117" t="inlineStr">
        <is>
          <t>Start</t>
        </is>
      </c>
      <c r="S1" s="117" t="inlineStr">
        <is>
          <t>Current</t>
        </is>
      </c>
    </row>
    <row r="2" ht="13.5" customHeight="1" s="116">
      <c r="A2" s="117">
        <f>'Mid_laeyr(test)'!B9</f>
        <v/>
      </c>
      <c r="B2" s="117">
        <f>VLOOKUP(A2,OptionBoard!$A$2:$M$86,2,FALSE())</f>
        <v/>
      </c>
      <c r="C2" s="117">
        <f>VLOOKUP(A2,OptionBoard!$A$2:$M$86,3,0)</f>
        <v/>
      </c>
      <c r="D2" s="117">
        <f>VLOOKUP(A2,OptionBoard!$A$2:$M$86,4,0)</f>
        <v/>
      </c>
      <c r="E2" s="117">
        <f>VLOOKUP(A2,OptionBoard!$A$2:$M$86,5,0)</f>
        <v/>
      </c>
      <c r="F2" s="117">
        <f>VLOOKUP(A2,OptionBoard!$A$2:$M$86,6,0)</f>
        <v/>
      </c>
      <c r="G2" s="117" t="n">
        <v>0.61</v>
      </c>
      <c r="H2" s="117">
        <f>VLOOKUP(A2,OptionBoard!$A$2:$M$86,8,0)</f>
        <v/>
      </c>
      <c r="I2" s="117">
        <f>VLOOKUP(A2,OptionBoard!$A$2:$M$86,9,0)</f>
        <v/>
      </c>
      <c r="J2" s="117">
        <f>VLOOKUP(A2,OptionBoard!$A$2:$M$86,10,0)</f>
        <v/>
      </c>
      <c r="K2" s="117">
        <f>VLOOKUP(A2,OptionBoard!$A$2:$M$86,11,FALSE())</f>
        <v/>
      </c>
      <c r="L2" s="117">
        <f>VLOOKUP(A2,OptionBoard!$A$2:$M$86,12,0)</f>
        <v/>
      </c>
      <c r="M2" s="117">
        <f>VLOOKUP(A2,OptionBoard!$A$2:$M$86,13,0)</f>
        <v/>
      </c>
      <c r="N2" s="134">
        <f>G2*P2</f>
        <v/>
      </c>
      <c r="O2" s="135" t="inlineStr">
        <is>
          <t>buy</t>
        </is>
      </c>
      <c r="P2" s="135">
        <f>'Mid_laeyr(test)'!G9</f>
        <v/>
      </c>
      <c r="R2" s="117">
        <f>G2</f>
        <v/>
      </c>
      <c r="S2" s="117">
        <f>VLOOKUP(A2,OptionBoard!$A$2:$G$93,7,FALSE())</f>
        <v/>
      </c>
      <c r="U2" s="117">
        <f>R2-S2</f>
        <v/>
      </c>
    </row>
    <row r="3" ht="13.5" customHeight="1" s="116">
      <c r="A3" s="117">
        <f>'Mid_laeyr(test)'!B10</f>
        <v/>
      </c>
      <c r="B3" s="117">
        <f>VLOOKUP(A3,OptionBoard!$A$2:$M$86,2,FALSE())</f>
        <v/>
      </c>
      <c r="C3" s="117">
        <f>VLOOKUP(A3,OptionBoard!$A$2:$M$86,3,0)</f>
        <v/>
      </c>
      <c r="D3" s="117">
        <f>VLOOKUP(A3,OptionBoard!$A$2:$M$86,4,0)</f>
        <v/>
      </c>
      <c r="E3" s="117">
        <f>VLOOKUP(A3,OptionBoard!$A$2:$M$86,5,0)</f>
        <v/>
      </c>
      <c r="F3" s="117">
        <f>VLOOKUP(A3,OptionBoard!$A$2:$M$86,6,0)</f>
        <v/>
      </c>
      <c r="G3" s="117" t="n">
        <v>0.59</v>
      </c>
      <c r="H3" s="117">
        <f>VLOOKUP(A3,OptionBoard!$A$2:$M$86,8,0)</f>
        <v/>
      </c>
      <c r="I3" s="117">
        <f>VLOOKUP(A3,OptionBoard!$A$2:$M$86,9,0)</f>
        <v/>
      </c>
      <c r="J3" s="117">
        <f>VLOOKUP(A3,OptionBoard!$A$2:$M$86,10,0)</f>
        <v/>
      </c>
      <c r="K3" s="117">
        <f>VLOOKUP(A3,OptionBoard!$A$2:$M$86,11,FALSE())</f>
        <v/>
      </c>
      <c r="L3" s="117">
        <f>VLOOKUP(A3,OptionBoard!$A$2:$M$86,12,0)</f>
        <v/>
      </c>
      <c r="M3" s="117">
        <f>VLOOKUP(A3,OptionBoard!$A$2:$M$86,13,0)</f>
        <v/>
      </c>
      <c r="N3" s="134">
        <f>G3*P3</f>
        <v/>
      </c>
      <c r="O3" s="135" t="inlineStr">
        <is>
          <t>buy</t>
        </is>
      </c>
      <c r="P3" s="135">
        <f>'Mid_laeyr(test)'!G10</f>
        <v/>
      </c>
      <c r="R3" s="117">
        <f>G3</f>
        <v/>
      </c>
      <c r="S3" s="117">
        <f>VLOOKUP(A3,OptionBoard!$A$2:$G$93,7,FALSE())</f>
        <v/>
      </c>
      <c r="U3" s="117">
        <f>R3-S3</f>
        <v/>
      </c>
    </row>
    <row r="4" ht="13.5" customHeight="1" s="116">
      <c r="A4" s="117">
        <f>'Mid_laeyr(test)'!B11</f>
        <v/>
      </c>
      <c r="B4" s="117">
        <f>VLOOKUP(A4,OptionBoard!$A$2:$M$86,2,FALSE())</f>
        <v/>
      </c>
      <c r="C4" s="117">
        <f>VLOOKUP(A4,OptionBoard!$A$2:$M$86,3,0)</f>
        <v/>
      </c>
      <c r="D4" s="117">
        <f>VLOOKUP(A4,OptionBoard!$A$2:$M$86,4,0)</f>
        <v/>
      </c>
      <c r="E4" s="117">
        <f>VLOOKUP(A4,OptionBoard!$A$2:$M$86,5,0)</f>
        <v/>
      </c>
      <c r="F4" s="117">
        <f>VLOOKUP(A4,OptionBoard!$A$2:$M$86,6,0)</f>
        <v/>
      </c>
      <c r="G4" s="117" t="n">
        <v>1.74</v>
      </c>
      <c r="H4" s="117">
        <f>VLOOKUP(A4,OptionBoard!$A$2:$M$86,8,0)</f>
        <v/>
      </c>
      <c r="I4" s="117">
        <f>VLOOKUP(A4,OptionBoard!$A$2:$M$86,9,0)</f>
        <v/>
      </c>
      <c r="J4" s="117">
        <f>VLOOKUP(A4,OptionBoard!$A$2:$M$86,10,0)</f>
        <v/>
      </c>
      <c r="K4" s="117">
        <f>VLOOKUP(A4,OptionBoard!$A$2:$M$86,11,FALSE())</f>
        <v/>
      </c>
      <c r="L4" s="117">
        <f>VLOOKUP(A4,OptionBoard!$A$2:$M$86,12,0)</f>
        <v/>
      </c>
      <c r="M4" s="117">
        <f>VLOOKUP(A4,OptionBoard!$A$2:$M$86,13,0)</f>
        <v/>
      </c>
      <c r="N4" s="134">
        <f>G4*P4</f>
        <v/>
      </c>
      <c r="O4" s="135" t="inlineStr">
        <is>
          <t>buy</t>
        </is>
      </c>
      <c r="P4" s="135">
        <f>'Mid_laeyr(test)'!G11</f>
        <v/>
      </c>
      <c r="R4" s="117">
        <f>G4</f>
        <v/>
      </c>
      <c r="S4" s="117">
        <f>VLOOKUP(A4,OptionBoard!$A$2:$G$93,7,FALSE())</f>
        <v/>
      </c>
      <c r="U4" s="117">
        <f>R4-S4</f>
        <v/>
      </c>
    </row>
    <row r="5" ht="13.5" customHeight="1" s="116">
      <c r="A5" s="117">
        <f>'Mid_laeyr(test)'!B12</f>
        <v/>
      </c>
      <c r="B5" s="117">
        <f>VLOOKUP(A5,OptionBoard!$A$2:$M$86,2,FALSE())</f>
        <v/>
      </c>
      <c r="C5" s="117">
        <f>VLOOKUP(A5,OptionBoard!$A$2:$M$86,3,0)</f>
        <v/>
      </c>
      <c r="D5" s="117">
        <f>VLOOKUP(A5,OptionBoard!$A$2:$M$86,4,0)</f>
        <v/>
      </c>
      <c r="E5" s="117">
        <f>VLOOKUP(A5,OptionBoard!$A$2:$M$86,5,0)</f>
        <v/>
      </c>
      <c r="F5" s="117">
        <f>VLOOKUP(A5,OptionBoard!$A$2:$M$86,6,0)</f>
        <v/>
      </c>
      <c r="G5" s="117" t="n">
        <v>0.98</v>
      </c>
      <c r="H5" s="117">
        <f>VLOOKUP(A5,OptionBoard!$A$2:$M$86,8,0)</f>
        <v/>
      </c>
      <c r="I5" s="117">
        <f>VLOOKUP(A5,OptionBoard!$A$2:$M$86,9,0)</f>
        <v/>
      </c>
      <c r="J5" s="117">
        <f>VLOOKUP(A5,OptionBoard!$A$2:$M$86,10,0)</f>
        <v/>
      </c>
      <c r="K5" s="117">
        <f>VLOOKUP(A5,OptionBoard!$A$2:$M$86,11,FALSE())</f>
        <v/>
      </c>
      <c r="L5" s="117">
        <f>VLOOKUP(A5,OptionBoard!$A$2:$M$86,12,0)</f>
        <v/>
      </c>
      <c r="M5" s="117">
        <f>VLOOKUP(A5,OptionBoard!$A$2:$M$86,13,0)</f>
        <v/>
      </c>
      <c r="N5" s="134">
        <f>G5*P5</f>
        <v/>
      </c>
      <c r="O5" s="135" t="inlineStr">
        <is>
          <t>buy</t>
        </is>
      </c>
      <c r="P5" s="135">
        <f>'Mid_laeyr(test)'!G12</f>
        <v/>
      </c>
      <c r="R5" s="117">
        <f>G5</f>
        <v/>
      </c>
      <c r="S5" s="117">
        <f>VLOOKUP(A5,OptionBoard!$A$2:$G$93,7,FALSE())</f>
        <v/>
      </c>
      <c r="U5" s="117">
        <f>R5-S5</f>
        <v/>
      </c>
    </row>
    <row r="6" ht="13.5" customHeight="1" s="116">
      <c r="A6" s="117">
        <f>'Mid_laeyr(test)'!B13</f>
        <v/>
      </c>
      <c r="B6" s="117">
        <f>VLOOKUP(A6,OptionBoard!$A$2:$M$86,2,FALSE())</f>
        <v/>
      </c>
      <c r="C6" s="117">
        <f>VLOOKUP(A6,OptionBoard!$A$2:$M$86,3,0)</f>
        <v/>
      </c>
      <c r="D6" s="117">
        <f>VLOOKUP(A6,OptionBoard!$A$2:$M$86,4,0)</f>
        <v/>
      </c>
      <c r="E6" s="117">
        <f>VLOOKUP(A6,OptionBoard!$A$2:$M$86,5,0)</f>
        <v/>
      </c>
      <c r="F6" s="117">
        <f>VLOOKUP(A6,OptionBoard!$A$2:$M$86,6,0)</f>
        <v/>
      </c>
      <c r="G6" s="117" t="n">
        <v>1.51</v>
      </c>
      <c r="H6" s="117">
        <f>VLOOKUP(A6,OptionBoard!$A$2:$M$86,8,0)</f>
        <v/>
      </c>
      <c r="I6" s="117">
        <f>VLOOKUP(A6,OptionBoard!$A$2:$M$86,9,0)</f>
        <v/>
      </c>
      <c r="J6" s="117">
        <f>VLOOKUP(A6,OptionBoard!$A$2:$M$86,10,0)</f>
        <v/>
      </c>
      <c r="K6" s="117">
        <f>VLOOKUP(A6,OptionBoard!$A$2:$M$86,11,FALSE())</f>
        <v/>
      </c>
      <c r="L6" s="117">
        <f>VLOOKUP(A6,OptionBoard!$A$2:$M$86,12,0)</f>
        <v/>
      </c>
      <c r="M6" s="117">
        <f>VLOOKUP(A6,OptionBoard!$A$2:$M$86,13,0)</f>
        <v/>
      </c>
      <c r="N6" s="134">
        <f>G6*P6</f>
        <v/>
      </c>
      <c r="O6" s="135" t="inlineStr">
        <is>
          <t>buy</t>
        </is>
      </c>
      <c r="P6" s="135">
        <f>'Mid_laeyr(test)'!G13</f>
        <v/>
      </c>
      <c r="R6" s="117">
        <f>G6</f>
        <v/>
      </c>
      <c r="S6" s="117">
        <f>VLOOKUP(A6,OptionBoard!$A$2:$G$93,7,FALSE())</f>
        <v/>
      </c>
      <c r="U6" s="117">
        <f>R6-S6</f>
        <v/>
      </c>
    </row>
    <row r="7" ht="13.5" customHeight="1" s="116">
      <c r="A7" s="117">
        <f>'Mid_laeyr(test)'!B14</f>
        <v/>
      </c>
      <c r="B7" s="117">
        <f>VLOOKUP(A7,OptionBoard!$A$2:$M$86,2,FALSE())</f>
        <v/>
      </c>
      <c r="C7" s="117">
        <f>VLOOKUP(A7,OptionBoard!$A$2:$M$86,3,0)</f>
        <v/>
      </c>
      <c r="D7" s="117">
        <f>VLOOKUP(A7,OptionBoard!$A$2:$M$86,4,0)</f>
        <v/>
      </c>
      <c r="E7" s="117">
        <f>VLOOKUP(A7,OptionBoard!$A$2:$M$86,5,0)</f>
        <v/>
      </c>
      <c r="F7" s="117">
        <f>VLOOKUP(A7,OptionBoard!$A$2:$M$86,6,0)</f>
        <v/>
      </c>
      <c r="G7" s="117" t="n">
        <v>3.15</v>
      </c>
      <c r="H7" s="117">
        <f>VLOOKUP(A7,OptionBoard!$A$2:$M$86,8,0)</f>
        <v/>
      </c>
      <c r="I7" s="117">
        <f>VLOOKUP(A7,OptionBoard!$A$2:$M$86,9,0)</f>
        <v/>
      </c>
      <c r="J7" s="117">
        <f>VLOOKUP(A7,OptionBoard!$A$2:$M$86,10,0)</f>
        <v/>
      </c>
      <c r="K7" s="117">
        <f>VLOOKUP(A7,OptionBoard!$A$2:$M$86,11,FALSE())</f>
        <v/>
      </c>
      <c r="L7" s="117">
        <f>VLOOKUP(A7,OptionBoard!$A$2:$M$86,12,0)</f>
        <v/>
      </c>
      <c r="M7" s="117">
        <f>VLOOKUP(A7,OptionBoard!$A$2:$M$86,13,0)</f>
        <v/>
      </c>
      <c r="N7" s="134">
        <f>G7*P7</f>
        <v/>
      </c>
      <c r="O7" s="135" t="inlineStr">
        <is>
          <t>buy</t>
        </is>
      </c>
      <c r="P7" s="135">
        <f>'Mid_laeyr(test)'!G14</f>
        <v/>
      </c>
      <c r="R7" s="117" t="n"/>
      <c r="S7" s="117">
        <f>VLOOKUP(A7,OptionBoard!$A$2:$G$93,7,FALSE())</f>
        <v/>
      </c>
      <c r="U7" s="117">
        <f>R7-S7</f>
        <v/>
      </c>
    </row>
    <row r="8" ht="13.5" customHeight="1" s="116">
      <c r="A8" s="117">
        <f>'Mid_laeyr(test)'!B15</f>
        <v/>
      </c>
      <c r="B8" s="117">
        <f>VLOOKUP(A8,OptionBoard!$A$2:$M$86,2,FALSE())</f>
        <v/>
      </c>
      <c r="C8" s="117">
        <f>VLOOKUP(A8,OptionBoard!$A$2:$M$86,3,0)</f>
        <v/>
      </c>
      <c r="D8" s="117">
        <f>VLOOKUP(A8,OptionBoard!$A$2:$M$86,4,0)</f>
        <v/>
      </c>
      <c r="E8" s="117">
        <f>VLOOKUP(A8,OptionBoard!$A$2:$M$86,5,0)</f>
        <v/>
      </c>
      <c r="F8" s="117">
        <f>VLOOKUP(A8,OptionBoard!$A$2:$M$86,6,0)</f>
        <v/>
      </c>
      <c r="G8" s="117" t="n">
        <v>1.2</v>
      </c>
      <c r="H8" s="117">
        <f>VLOOKUP(A8,OptionBoard!$A$2:$M$86,8,0)</f>
        <v/>
      </c>
      <c r="I8" s="117">
        <f>VLOOKUP(A8,OptionBoard!$A$2:$M$86,9,0)</f>
        <v/>
      </c>
      <c r="J8" s="117">
        <f>VLOOKUP(A8,OptionBoard!$A$2:$M$86,10,0)</f>
        <v/>
      </c>
      <c r="K8" s="117">
        <f>VLOOKUP(A8,OptionBoard!$A$2:$M$86,11,FALSE())</f>
        <v/>
      </c>
      <c r="L8" s="117">
        <f>VLOOKUP(A8,OptionBoard!$A$2:$M$86,12,0)</f>
        <v/>
      </c>
      <c r="M8" s="117">
        <f>VLOOKUP(A8,OptionBoard!$A$2:$M$86,13,0)</f>
        <v/>
      </c>
      <c r="N8" s="134">
        <f>G8*P8</f>
        <v/>
      </c>
      <c r="O8" s="135" t="inlineStr">
        <is>
          <t>buy</t>
        </is>
      </c>
      <c r="P8" s="135">
        <f>'Mid_laeyr(test)'!G15</f>
        <v/>
      </c>
      <c r="R8" s="117" t="n"/>
      <c r="S8" s="117">
        <f>VLOOKUP(A8,OptionBoard!$A$2:$G$93,7,FALSE())</f>
        <v/>
      </c>
      <c r="U8" s="117">
        <f>R8-S8</f>
        <v/>
      </c>
    </row>
    <row r="9" ht="13.5" customHeight="1" s="116">
      <c r="A9" s="117">
        <f>'Mid_laeyr(test)'!B16</f>
        <v/>
      </c>
      <c r="B9" s="117">
        <f>VLOOKUP(A9,OptionBoard!$A$2:$M$86,2,FALSE())</f>
        <v/>
      </c>
      <c r="C9" s="117">
        <f>VLOOKUP(A9,OptionBoard!$A$2:$M$86,3,0)</f>
        <v/>
      </c>
      <c r="D9" s="117">
        <f>VLOOKUP(A9,OptionBoard!$A$2:$M$86,4,0)</f>
        <v/>
      </c>
      <c r="E9" s="117">
        <f>VLOOKUP(A9,OptionBoard!$A$2:$M$86,5,0)</f>
        <v/>
      </c>
      <c r="F9" s="117">
        <f>VLOOKUP(A9,OptionBoard!$A$2:$M$86,6,0)</f>
        <v/>
      </c>
      <c r="G9" s="117" t="n">
        <v>1.74</v>
      </c>
      <c r="H9" s="117">
        <f>VLOOKUP(A9,OptionBoard!$A$2:$M$86,8,0)</f>
        <v/>
      </c>
      <c r="I9" s="117">
        <f>VLOOKUP(A9,OptionBoard!$A$2:$M$86,9,0)</f>
        <v/>
      </c>
      <c r="J9" s="117">
        <f>VLOOKUP(A9,OptionBoard!$A$2:$M$86,10,0)</f>
        <v/>
      </c>
      <c r="K9" s="117">
        <f>VLOOKUP(A9,OptionBoard!$A$2:$M$86,11,FALSE())</f>
        <v/>
      </c>
      <c r="L9" s="117">
        <f>VLOOKUP(A9,OptionBoard!$A$2:$M$86,12,0)</f>
        <v/>
      </c>
      <c r="M9" s="117">
        <f>VLOOKUP(A9,OptionBoard!$A$2:$M$86,13,0)</f>
        <v/>
      </c>
      <c r="N9" s="134">
        <f>G9*P9</f>
        <v/>
      </c>
      <c r="O9" s="135" t="inlineStr">
        <is>
          <t>buy</t>
        </is>
      </c>
      <c r="P9" s="135">
        <f>'Mid_laeyr(test)'!G16</f>
        <v/>
      </c>
      <c r="R9" s="117" t="n"/>
      <c r="S9" s="117">
        <f>VLOOKUP(A9,OptionBoard!$A$2:$G$93,7,FALSE())</f>
        <v/>
      </c>
      <c r="U9" s="117">
        <f>R9-S9</f>
        <v/>
      </c>
    </row>
    <row r="10" ht="13.5" customHeight="1" s="116">
      <c r="A10" s="117">
        <f>'Mid_laeyr(test)'!B17</f>
        <v/>
      </c>
      <c r="B10" s="117">
        <f>VLOOKUP(A10,OptionBoard!$A$2:$M$86,2,FALSE())</f>
        <v/>
      </c>
      <c r="C10" s="117">
        <f>VLOOKUP(A10,OptionBoard!$A$2:$M$86,3,0)</f>
        <v/>
      </c>
      <c r="D10" s="117">
        <f>VLOOKUP(A10,OptionBoard!$A$2:$M$86,4,0)</f>
        <v/>
      </c>
      <c r="E10" s="117">
        <f>VLOOKUP(A10,OptionBoard!$A$2:$M$86,5,0)</f>
        <v/>
      </c>
      <c r="F10" s="117">
        <f>VLOOKUP(A10,OptionBoard!$A$2:$M$86,6,0)</f>
        <v/>
      </c>
      <c r="G10" s="117" t="n">
        <v>1.91</v>
      </c>
      <c r="H10" s="117">
        <f>VLOOKUP(A10,OptionBoard!$A$2:$M$86,8,0)</f>
        <v/>
      </c>
      <c r="I10" s="117">
        <f>VLOOKUP(A10,OptionBoard!$A$2:$M$86,9,0)</f>
        <v/>
      </c>
      <c r="J10" s="117">
        <f>VLOOKUP(A10,OptionBoard!$A$2:$M$86,10,0)</f>
        <v/>
      </c>
      <c r="K10" s="117">
        <f>VLOOKUP(A10,OptionBoard!$A$2:$M$86,11,FALSE())</f>
        <v/>
      </c>
      <c r="L10" s="117">
        <f>VLOOKUP(A10,OptionBoard!$A$2:$M$86,12,0)</f>
        <v/>
      </c>
      <c r="M10" s="117">
        <f>VLOOKUP(A10,OptionBoard!$A$2:$M$86,13,0)</f>
        <v/>
      </c>
      <c r="N10" s="134">
        <f>G10*P10</f>
        <v/>
      </c>
      <c r="O10" s="135" t="inlineStr">
        <is>
          <t>buy</t>
        </is>
      </c>
      <c r="P10" s="135">
        <f>'Mid_laeyr(test)'!G17</f>
        <v/>
      </c>
      <c r="R10" s="117" t="n"/>
      <c r="S10" s="117">
        <f>VLOOKUP(A10,OptionBoard!$A$2:$G$93,7,FALSE())</f>
        <v/>
      </c>
      <c r="U10" s="117">
        <f>R10-S10</f>
        <v/>
      </c>
    </row>
    <row r="11" ht="13.5" customHeight="1" s="116">
      <c r="A11" s="117">
        <f>'Mid_laeyr(test)'!B18</f>
        <v/>
      </c>
      <c r="B11" s="117">
        <f>VLOOKUP(A11,OptionBoard!$A$2:$M$86,2,FALSE())</f>
        <v/>
      </c>
      <c r="C11" s="117">
        <f>VLOOKUP(A11,OptionBoard!$A$2:$M$86,3,0)</f>
        <v/>
      </c>
      <c r="D11" s="117">
        <f>VLOOKUP(A11,OptionBoard!$A$2:$M$86,4,0)</f>
        <v/>
      </c>
      <c r="E11" s="117">
        <f>VLOOKUP(A11,OptionBoard!$A$2:$M$86,5,0)</f>
        <v/>
      </c>
      <c r="F11" s="117">
        <f>VLOOKUP(A11,OptionBoard!$A$2:$M$86,6,0)</f>
        <v/>
      </c>
      <c r="G11" s="117" t="n">
        <v>3.77</v>
      </c>
      <c r="H11" s="117">
        <f>VLOOKUP(A11,OptionBoard!$A$2:$M$86,8,0)</f>
        <v/>
      </c>
      <c r="I11" s="117">
        <f>VLOOKUP(A11,OptionBoard!$A$2:$M$86,9,0)</f>
        <v/>
      </c>
      <c r="J11" s="117">
        <f>VLOOKUP(A11,OptionBoard!$A$2:$M$86,10,0)</f>
        <v/>
      </c>
      <c r="K11" s="117">
        <f>VLOOKUP(A11,OptionBoard!$A$2:$M$86,11,FALSE())</f>
        <v/>
      </c>
      <c r="L11" s="117">
        <f>VLOOKUP(A11,OptionBoard!$A$2:$M$86,12,0)</f>
        <v/>
      </c>
      <c r="M11" s="117">
        <f>VLOOKUP(A11,OptionBoard!$A$2:$M$86,13,0)</f>
        <v/>
      </c>
      <c r="N11" s="134">
        <f>G11*P11</f>
        <v/>
      </c>
      <c r="O11" s="135" t="inlineStr">
        <is>
          <t>buy</t>
        </is>
      </c>
      <c r="P11" s="135">
        <f>'Mid_laeyr(test)'!G18</f>
        <v/>
      </c>
      <c r="R11" s="117" t="n"/>
      <c r="S11" s="117">
        <f>VLOOKUP(A11,OptionBoard!$A$2:$G$93,7,FALSE())</f>
        <v/>
      </c>
      <c r="U11" s="117">
        <f>R11-S11</f>
        <v/>
      </c>
    </row>
    <row r="12" ht="13.5" customHeight="1" s="116">
      <c r="A12" s="117">
        <f>'Mid_laeyr(test)'!B19</f>
        <v/>
      </c>
      <c r="B12" s="117">
        <f>VLOOKUP(A12,OptionBoard!$A$2:$M$86,2,FALSE())</f>
        <v/>
      </c>
      <c r="C12" s="117">
        <f>VLOOKUP(A12,OptionBoard!$A$2:$M$86,3,0)</f>
        <v/>
      </c>
      <c r="D12" s="117">
        <f>VLOOKUP(A12,OptionBoard!$A$2:$M$86,4,0)</f>
        <v/>
      </c>
      <c r="E12" s="117">
        <f>VLOOKUP(A12,OptionBoard!$A$2:$M$86,5,0)</f>
        <v/>
      </c>
      <c r="F12" s="117">
        <f>VLOOKUP(A12,OptionBoard!$A$2:$M$86,6,0)</f>
        <v/>
      </c>
      <c r="G12" s="117" t="n">
        <v>5.27</v>
      </c>
      <c r="H12" s="117">
        <f>VLOOKUP(A12,OptionBoard!$A$2:$M$86,8,0)</f>
        <v/>
      </c>
      <c r="I12" s="117">
        <f>VLOOKUP(A12,OptionBoard!$A$2:$M$86,9,0)</f>
        <v/>
      </c>
      <c r="J12" s="117">
        <f>VLOOKUP(A12,OptionBoard!$A$2:$M$86,10,0)</f>
        <v/>
      </c>
      <c r="K12" s="117">
        <f>VLOOKUP(A12,OptionBoard!$A$2:$M$86,11,FALSE())</f>
        <v/>
      </c>
      <c r="L12" s="117">
        <f>VLOOKUP(A12,OptionBoard!$A$2:$M$86,12,0)</f>
        <v/>
      </c>
      <c r="M12" s="117">
        <f>VLOOKUP(A12,OptionBoard!$A$2:$M$86,13,0)</f>
        <v/>
      </c>
      <c r="N12" s="134">
        <f>G12*P12</f>
        <v/>
      </c>
      <c r="O12" s="135" t="inlineStr">
        <is>
          <t>buy</t>
        </is>
      </c>
      <c r="P12" s="135">
        <f>'Mid_laeyr(test)'!G19</f>
        <v/>
      </c>
      <c r="R12" s="117" t="n"/>
      <c r="S12" s="117">
        <f>VLOOKUP(A12,OptionBoard!$A$2:$G$93,7,FALSE())</f>
        <v/>
      </c>
      <c r="U12" s="117" t="n"/>
    </row>
    <row r="13" ht="13.5" customHeight="1" s="116">
      <c r="A13" s="117">
        <f>'Mid_laeyr(test)'!B20</f>
        <v/>
      </c>
      <c r="B13" s="117">
        <f>VLOOKUP(A13,OptionBoard!$A$2:$M$86,2,FALSE())</f>
        <v/>
      </c>
      <c r="C13" s="117">
        <f>VLOOKUP(A13,OptionBoard!$A$2:$M$86,3,0)</f>
        <v/>
      </c>
      <c r="D13" s="117">
        <f>VLOOKUP(A13,OptionBoard!$A$2:$M$86,4,0)</f>
        <v/>
      </c>
      <c r="E13" s="117">
        <f>VLOOKUP(A13,OptionBoard!$A$2:$M$86,5,0)</f>
        <v/>
      </c>
      <c r="F13" s="117">
        <f>VLOOKUP(A13,OptionBoard!$A$2:$M$86,6,0)</f>
        <v/>
      </c>
      <c r="G13" s="117" t="n">
        <v>6.05</v>
      </c>
      <c r="H13" s="117">
        <f>VLOOKUP(A13,OptionBoard!$A$2:$M$86,8,0)</f>
        <v/>
      </c>
      <c r="I13" s="117">
        <f>VLOOKUP(A13,OptionBoard!$A$2:$M$86,9,0)</f>
        <v/>
      </c>
      <c r="J13" s="117">
        <f>VLOOKUP(A13,OptionBoard!$A$2:$M$86,10,0)</f>
        <v/>
      </c>
      <c r="K13" s="117">
        <f>VLOOKUP(A13,OptionBoard!$A$2:$M$86,11,FALSE())</f>
        <v/>
      </c>
      <c r="L13" s="117">
        <f>VLOOKUP(A13,OptionBoard!$A$2:$M$86,12,0)</f>
        <v/>
      </c>
      <c r="M13" s="117">
        <f>VLOOKUP(A13,OptionBoard!$A$2:$M$86,13,0)</f>
        <v/>
      </c>
      <c r="N13" s="134">
        <f>G13*P13</f>
        <v/>
      </c>
      <c r="O13" s="135" t="inlineStr">
        <is>
          <t>buy</t>
        </is>
      </c>
      <c r="P13" s="135">
        <f>'Mid_laeyr(test)'!G20</f>
        <v/>
      </c>
      <c r="R13" s="117" t="n"/>
      <c r="S13" s="117">
        <f>VLOOKUP(A13,OptionBoard!$A$2:$G$93,7,FALSE())</f>
        <v/>
      </c>
      <c r="U13" s="117" t="n"/>
    </row>
    <row r="14" ht="13.5" customHeight="1" s="116">
      <c r="N14" s="134" t="n"/>
      <c r="O14" s="135" t="n"/>
      <c r="P14" s="135" t="n"/>
    </row>
    <row r="15" ht="13.5" customHeight="1" s="116">
      <c r="B15" s="118" t="n"/>
      <c r="C15" s="136" t="n"/>
      <c r="D15" s="136" t="n"/>
      <c r="E15" s="136" t="n"/>
      <c r="F15" s="136" t="n"/>
      <c r="G15" s="136" t="n"/>
      <c r="H15" s="118" t="n"/>
      <c r="I15" s="118" t="n"/>
      <c r="J15" s="136" t="n"/>
      <c r="K15" s="118" t="n"/>
      <c r="L15" s="118" t="n"/>
      <c r="M15" s="118" t="n"/>
      <c r="N15" s="118" t="n"/>
      <c r="O15" s="118" t="n"/>
      <c r="P15" s="118" t="n"/>
    </row>
    <row r="16" ht="13.5" customHeight="1" s="116">
      <c r="A16" s="117" t="inlineStr">
        <is>
          <t>Now_Greeks</t>
        </is>
      </c>
      <c r="C16" s="117">
        <f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P11)+(IF($O$12="buy",1,-1) * C12 * P12)+(IF($O$13="buy",1,-1) * C13 * P13)</f>
        <v/>
      </c>
      <c r="D16" s="117">
        <f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P11)+(IF($O$12="buy",1,-1) * D12 * P12)+(IF($O$13="buy",1,-1) * D13 * P13)</f>
        <v/>
      </c>
      <c r="E16" s="117">
        <f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P11)+(IF($O$12="buy",1,-1) * E12 * P12)+(IF($O$13="buy",1,-1) * E13 * P13)</f>
        <v/>
      </c>
      <c r="F16" s="117">
        <f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P11)+(IF($O$12="buy",1,-1) * F12 * P12)+(IF($O$13="buy",1,-1) * F13 * P13)</f>
        <v/>
      </c>
      <c r="G16" s="117">
        <f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P11)+(IF($O$12="buy",1,-1) * G12 * P12)+(IF($O$13="buy",1,-1) * G13 * P13)</f>
        <v/>
      </c>
      <c r="H16" s="117" t="n"/>
      <c r="M16" s="117">
        <f>M2*P2+M3*P3+M5*P5+M4*P4+M6*P6+M7*P7+M8*P8+M9*P9+M10*P10+M11*P11+M12*P12+M13*P13</f>
        <v/>
      </c>
      <c r="S16" s="117">
        <f>F16/C16</f>
        <v/>
      </c>
    </row>
    <row r="18" ht="17.25" customHeight="1" s="116">
      <c r="A18" s="117">
        <f>A2</f>
        <v/>
      </c>
      <c r="B18" s="137" t="n"/>
      <c r="C18" s="133" t="inlineStr">
        <is>
          <t>delta</t>
        </is>
      </c>
      <c r="D18" s="133" t="inlineStr">
        <is>
          <t>gamma</t>
        </is>
      </c>
      <c r="E18" s="133" t="inlineStr">
        <is>
          <t>vega</t>
        </is>
      </c>
      <c r="F18" s="133" t="inlineStr">
        <is>
          <t>theta</t>
        </is>
      </c>
      <c r="G18" s="133" t="inlineStr">
        <is>
          <t>mark_price</t>
        </is>
      </c>
      <c r="I18" s="133" t="inlineStr">
        <is>
          <t>d1</t>
        </is>
      </c>
      <c r="J18" s="133" t="inlineStr">
        <is>
          <t>d2</t>
        </is>
      </c>
    </row>
    <row r="19" ht="13.5" customHeight="1" s="116">
      <c r="B19" s="138">
        <f>Portfolio!B28</f>
        <v/>
      </c>
      <c r="C19" s="139">
        <f>IF($O$2="sell",-1,1) *  IF($K$2="call",  NORMDIST(I19,0,1,1),  NORMDIST(I19,0,1,1)-1  ) * $P$2</f>
        <v/>
      </c>
      <c r="D19" s="139">
        <f>IF($O$2="sell",-1,1) * NORMDIST(I19,0,1,0)/(B19*$H$2*SQRT($J$2)) * $P$2</f>
        <v/>
      </c>
      <c r="E19" s="139">
        <f>IF($O$2="sell",-1,1) * (B19*NORMDIST(I19,0,1,0)*SQRT($J$2)/365) * $P$2</f>
        <v/>
      </c>
      <c r="F19" s="139">
        <f>IF($O$2="sell",-1,1) * (-(B19*NORMDIST(I19,0,1,0)*$H$2)/(2*SQRT($J$2))/365) *$P$2</f>
        <v/>
      </c>
      <c r="G19" s="139">
        <f>IF($O$2="buy",1,-1)*( IF($K$2="call",B19*NORMDIST(I19,0,1,1) - $B$2*NORMDIST(J19,0,1,1),$B$2*NORMDIST(-J19,0,1,1) - B19*NORMDIST(-I19,0,1,1) ) - $G$2) * $P$2</f>
        <v/>
      </c>
      <c r="I19" s="140">
        <f>(LN(B19/$B$2)+($H$2^2/2)*($J$2))/($H$2*SQRT($J$2))</f>
        <v/>
      </c>
      <c r="J19" s="140">
        <f>I19 - $H$2*SQRT($J$2)</f>
        <v/>
      </c>
    </row>
    <row r="20" ht="13.5" customHeight="1" s="116">
      <c r="B20" s="138">
        <f>Portfolio!B29</f>
        <v/>
      </c>
      <c r="C20" s="139">
        <f>IF($O$2="sell",-1,1) *  IF($K$2="call",  NORMDIST(I20,0,1,1),  NORMDIST(I20,0,1,1)-1  ) * $P$2</f>
        <v/>
      </c>
      <c r="D20" s="139">
        <f>IF($O$2="sell",-1,1) * NORMDIST(I20,0,1,0)/(B20*$H$2*SQRT($J$2)) * $P$2</f>
        <v/>
      </c>
      <c r="E20" s="139">
        <f>IF($O$2="sell",-1,1) * (B20*NORMDIST(I20,0,1,0)*SQRT($J$2)/365) * $P$2</f>
        <v/>
      </c>
      <c r="F20" s="139">
        <f>IF($O$2="sell",-1,1) * (-(B20*NORMDIST(I20,0,1,0)*$H$2)/(2*SQRT($J$2))/365) *$P$2</f>
        <v/>
      </c>
      <c r="G20" s="139">
        <f>IF($O$2="buy",1,-1)*( IF($K$2="call",B20*NORMDIST(I20,0,1,1) - $B$2*NORMDIST(J20,0,1,1),$B$2*NORMDIST(-J20,0,1,1) - B20*NORMDIST(-I20,0,1,1) ) - $G$2) * $P$2</f>
        <v/>
      </c>
      <c r="I20" s="140">
        <f>(LN(B20/$B$2)+($H$2^2/2)*($J$2))/($H$2*SQRT($J$2))</f>
        <v/>
      </c>
      <c r="J20" s="140">
        <f>I20 - $H$2*SQRT($J$2)</f>
        <v/>
      </c>
      <c r="L20" s="117" t="n"/>
    </row>
    <row r="21" ht="13.5" customHeight="1" s="116">
      <c r="B21" s="138">
        <f>Portfolio!B30</f>
        <v/>
      </c>
      <c r="C21" s="139">
        <f>IF($O$2="sell",-1,1) *  IF($K$2="call",  NORMDIST(I21,0,1,1),  NORMDIST(I21,0,1,1)-1  ) * $P$2</f>
        <v/>
      </c>
      <c r="D21" s="139">
        <f>IF($O$2="sell",-1,1) * NORMDIST(I21,0,1,0)/(B21*$H$2*SQRT($J$2)) * $P$2</f>
        <v/>
      </c>
      <c r="E21" s="139">
        <f>IF($O$2="sell",-1,1) * (B21*NORMDIST(I21,0,1,0)*SQRT($J$2)/365) * $P$2</f>
        <v/>
      </c>
      <c r="F21" s="139">
        <f>IF($O$2="sell",-1,1) * (-(B21*NORMDIST(I21,0,1,0)*$H$2)/(2*SQRT($J$2))/365) *$P$2</f>
        <v/>
      </c>
      <c r="G21" s="139">
        <f>IF($O$2="buy",1,-1)*( IF($K$2="call",B21*NORMDIST(I21,0,1,1) - $B$2*NORMDIST(J21,0,1,1),$B$2*NORMDIST(-J21,0,1,1) - B21*NORMDIST(-I21,0,1,1) ) - $G$2) * $P$2</f>
        <v/>
      </c>
      <c r="I21" s="140">
        <f>(LN(B21/$B$2)+($H$2^2/2)*($J$2))/($H$2*SQRT($J$2))</f>
        <v/>
      </c>
      <c r="J21" s="140">
        <f>I21 - $H$2*SQRT($J$2)</f>
        <v/>
      </c>
      <c r="L21" s="117" t="n"/>
      <c r="M21" s="141" t="n"/>
    </row>
    <row r="22" ht="13.5" customHeight="1" s="116">
      <c r="B22" s="138">
        <f>Portfolio!B31</f>
        <v/>
      </c>
      <c r="C22" s="139">
        <f>IF($O$2="sell",-1,1) *  IF($K$2="call",  NORMDIST(I22,0,1,1),  NORMDIST(I22,0,1,1)-1  ) * $P$2</f>
        <v/>
      </c>
      <c r="D22" s="139">
        <f>IF($O$2="sell",-1,1) * NORMDIST(I22,0,1,0)/(B22*$H$2*SQRT($J$2)) * $P$2</f>
        <v/>
      </c>
      <c r="E22" s="139">
        <f>IF($O$2="sell",-1,1) * (B22*NORMDIST(I22,0,1,0)*SQRT($J$2)/365) * $P$2</f>
        <v/>
      </c>
      <c r="F22" s="139">
        <f>IF($O$2="sell",-1,1) * (-(B22*NORMDIST(I22,0,1,0)*$H$2)/(2*SQRT($J$2))/365) *$P$2</f>
        <v/>
      </c>
      <c r="G22" s="139">
        <f>IF($O$2="buy",1,-1)*( IF($K$2="call",B22*NORMDIST(I22,0,1,1) - $B$2*NORMDIST(J22,0,1,1),$B$2*NORMDIST(-J22,0,1,1) - B22*NORMDIST(-I22,0,1,1) ) - $G$2) * $P$2</f>
        <v/>
      </c>
      <c r="I22" s="140">
        <f>(LN(B22/$B$2)+($H$2^2/2)*($J$2))/($H$2*SQRT($J$2))</f>
        <v/>
      </c>
      <c r="J22" s="140">
        <f>I22 - $H$2*SQRT($J$2)</f>
        <v/>
      </c>
      <c r="L22" s="117" t="n"/>
      <c r="M22" s="141" t="n"/>
      <c r="N22" s="141" t="n"/>
    </row>
    <row r="23" ht="13.5" customHeight="1" s="116">
      <c r="B23" s="138">
        <f>Portfolio!B32</f>
        <v/>
      </c>
      <c r="C23" s="139">
        <f>IF($O$2="sell",-1,1) *  IF($K$2="call",  NORMDIST(I23,0,1,1),  NORMDIST(I23,0,1,1)-1  ) * $P$2</f>
        <v/>
      </c>
      <c r="D23" s="139">
        <f>IF($O$2="sell",-1,1) * NORMDIST(I23,0,1,0)/(B23*$H$2*SQRT($J$2)) * $P$2</f>
        <v/>
      </c>
      <c r="E23" s="139">
        <f>IF($O$2="sell",-1,1) * (B23*NORMDIST(I23,0,1,0)*SQRT($J$2)/365) * $P$2</f>
        <v/>
      </c>
      <c r="F23" s="139">
        <f>IF($O$2="sell",-1,1) * (-(B23*NORMDIST(I23,0,1,0)*$H$2)/(2*SQRT($J$2))/365) *$P$2</f>
        <v/>
      </c>
      <c r="G23" s="139">
        <f>IF($O$2="buy",1,-1)*( IF($K$2="call",B23*NORMDIST(I23,0,1,1) - $B$2*NORMDIST(J23,0,1,1),$B$2*NORMDIST(-J23,0,1,1) - B23*NORMDIST(-I23,0,1,1) ) - $G$2) * $P$2</f>
        <v/>
      </c>
      <c r="I23" s="140">
        <f>(LN(B23/$B$2)+($H$2^2/2)*($J$2))/($H$2*SQRT($J$2))</f>
        <v/>
      </c>
      <c r="J23" s="140">
        <f>I23 - $H$2*SQRT($J$2)</f>
        <v/>
      </c>
      <c r="L23" s="117" t="n"/>
      <c r="M23" s="141" t="n"/>
      <c r="N23" s="141" t="n"/>
    </row>
    <row r="24" ht="13.5" customHeight="1" s="116">
      <c r="B24" s="138">
        <f>Portfolio!B33</f>
        <v/>
      </c>
      <c r="C24" s="139">
        <f>IF($O$2="sell",-1,1) *  IF($K$2="call",  NORMDIST(I24,0,1,1),  NORMDIST(I24,0,1,1)-1  ) * $P$2</f>
        <v/>
      </c>
      <c r="D24" s="139">
        <f>IF($O$2="sell",-1,1) * NORMDIST(I24,0,1,0)/(B24*$H$2*SQRT($J$2)) * $P$2</f>
        <v/>
      </c>
      <c r="E24" s="139">
        <f>IF($O$2="sell",-1,1) * (B24*NORMDIST(I24,0,1,0)*SQRT($J$2)/365) * $P$2</f>
        <v/>
      </c>
      <c r="F24" s="139">
        <f>IF($O$2="sell",-1,1) * (-(B24*NORMDIST(I24,0,1,0)*$H$2)/(2*SQRT($J$2))/365) *$P$2</f>
        <v/>
      </c>
      <c r="G24" s="139">
        <f>IF($O$2="buy",1,-1)*( IF($K$2="call",B24*NORMDIST(I24,0,1,1) - $B$2*NORMDIST(J24,0,1,1),$B$2*NORMDIST(-J24,0,1,1) - B24*NORMDIST(-I24,0,1,1) ) - $G$2) * $P$2</f>
        <v/>
      </c>
      <c r="I24" s="140">
        <f>(LN(B24/$B$2)+($H$2^2/2)*($J$2))/($H$2*SQRT($J$2))</f>
        <v/>
      </c>
      <c r="J24" s="140">
        <f>I24 - $H$2*SQRT($J$2)</f>
        <v/>
      </c>
      <c r="L24" s="117" t="n"/>
      <c r="M24" s="141" t="n"/>
      <c r="N24" s="141" t="n"/>
    </row>
    <row r="25" ht="13.5" customHeight="1" s="116">
      <c r="B25" s="138">
        <f>Portfolio!B34</f>
        <v/>
      </c>
      <c r="C25" s="139">
        <f>IF($O$2="sell",-1,1) *  IF($K$2="call",  NORMDIST(I25,0,1,1),  NORMDIST(I25,0,1,1)-1  ) * $P$2</f>
        <v/>
      </c>
      <c r="D25" s="139">
        <f>IF($O$2="sell",-1,1) * NORMDIST(I25,0,1,0)/(B25*$H$2*SQRT($J$2)) * $P$2</f>
        <v/>
      </c>
      <c r="E25" s="139">
        <f>IF($O$2="sell",-1,1) * (B25*NORMDIST(I25,0,1,0)*SQRT($J$2)/365) * $P$2</f>
        <v/>
      </c>
      <c r="F25" s="139">
        <f>IF($O$2="sell",-1,1) * (-(B25*NORMDIST(I25,0,1,0)*$H$2)/(2*SQRT($J$2))/365) *$P$2</f>
        <v/>
      </c>
      <c r="G25" s="139">
        <f>IF($O$2="buy",1,-1)*( IF($K$2="call",B25*NORMDIST(I25,0,1,1) - $B$2*NORMDIST(J25,0,1,1),$B$2*NORMDIST(-J25,0,1,1) - B25*NORMDIST(-I25,0,1,1) ) - $G$2) * $P$2</f>
        <v/>
      </c>
      <c r="I25" s="140">
        <f>(LN(B25/$B$2)+($H$2^2/2)*($J$2))/($H$2*SQRT($J$2))</f>
        <v/>
      </c>
      <c r="J25" s="140">
        <f>I25 - $H$2*SQRT($J$2)</f>
        <v/>
      </c>
      <c r="L25" s="117" t="n"/>
      <c r="M25" s="141" t="n"/>
      <c r="N25" s="141" t="n"/>
    </row>
    <row r="26" ht="13.5" customHeight="1" s="116">
      <c r="B26" s="138">
        <f>Portfolio!B35</f>
        <v/>
      </c>
      <c r="C26" s="139">
        <f>IF($O$2="sell",-1,1) *  IF($K$2="call",  NORMDIST(I26,0,1,1),  NORMDIST(I26,0,1,1)-1  ) * $P$2</f>
        <v/>
      </c>
      <c r="D26" s="139">
        <f>IF($O$2="sell",-1,1) * NORMDIST(I26,0,1,0)/(B26*$H$2*SQRT($J$2)) * $P$2</f>
        <v/>
      </c>
      <c r="E26" s="139">
        <f>IF($O$2="sell",-1,1) * (B26*NORMDIST(I26,0,1,0)*SQRT($J$2)/365) * $P$2</f>
        <v/>
      </c>
      <c r="F26" s="139">
        <f>IF($O$2="sell",-1,1) * (-(B26*NORMDIST(I26,0,1,0)*$H$2)/(2*SQRT($J$2))/365) *$P$2</f>
        <v/>
      </c>
      <c r="G26" s="139">
        <f>IF($O$2="buy",1,-1)*( IF($K$2="call",B26*NORMDIST(I26,0,1,1) - $B$2*NORMDIST(J26,0,1,1),$B$2*NORMDIST(-J26,0,1,1) - B26*NORMDIST(-I26,0,1,1) ) - $G$2) * $P$2</f>
        <v/>
      </c>
      <c r="I26" s="140">
        <f>(LN(B26/$B$2)+($H$2^2/2)*($J$2))/($H$2*SQRT($J$2))</f>
        <v/>
      </c>
      <c r="J26" s="140">
        <f>I26 - $H$2*SQRT($J$2)</f>
        <v/>
      </c>
      <c r="L26" s="117" t="n"/>
      <c r="M26" s="141" t="n"/>
      <c r="N26" s="141" t="n"/>
    </row>
    <row r="27" ht="13.5" customHeight="1" s="116">
      <c r="B27" s="138">
        <f>Portfolio!B36</f>
        <v/>
      </c>
      <c r="C27" s="139">
        <f>IF($O$2="sell",-1,1) *  IF($K$2="call",  NORMDIST(I27,0,1,1),  NORMDIST(I27,0,1,1)-1  ) * $P$2</f>
        <v/>
      </c>
      <c r="D27" s="139">
        <f>IF($O$2="sell",-1,1) * NORMDIST(I27,0,1,0)/(B27*$H$2*SQRT($J$2)) * $P$2</f>
        <v/>
      </c>
      <c r="E27" s="139">
        <f>IF($O$2="sell",-1,1) * (B27*NORMDIST(I27,0,1,0)*SQRT($J$2)/365) * $P$2</f>
        <v/>
      </c>
      <c r="F27" s="139">
        <f>IF($O$2="sell",-1,1) * (-(B27*NORMDIST(I27,0,1,0)*$H$2)/(2*SQRT($J$2))/365) *$P$2</f>
        <v/>
      </c>
      <c r="G27" s="139">
        <f>IF($O$2="buy",1,-1)*( IF($K$2="call",B27*NORMDIST(I27,0,1,1) - $B$2*NORMDIST(J27,0,1,1),$B$2*NORMDIST(-J27,0,1,1) - B27*NORMDIST(-I27,0,1,1) ) - $G$2) * $P$2</f>
        <v/>
      </c>
      <c r="I27" s="140">
        <f>(LN(B27/$B$2)+($H$2^2/2)*($J$2))/($H$2*SQRT($J$2))</f>
        <v/>
      </c>
      <c r="J27" s="140">
        <f>I27 - $H$2*SQRT($J$2)</f>
        <v/>
      </c>
      <c r="L27" s="117" t="n"/>
      <c r="M27" s="141" t="n"/>
      <c r="N27" s="141" t="n"/>
    </row>
    <row r="28" ht="13.5" customHeight="1" s="116">
      <c r="B28" s="138">
        <f>Portfolio!B37</f>
        <v/>
      </c>
      <c r="C28" s="139">
        <f>IF($O$2="sell",-1,1) *  IF($K$2="call",  NORMDIST(I28,0,1,1),  NORMDIST(I28,0,1,1)-1  ) * $P$2</f>
        <v/>
      </c>
      <c r="D28" s="139">
        <f>IF($O$2="sell",-1,1) * NORMDIST(I28,0,1,0)/(B28*$H$2*SQRT($J$2)) * $P$2</f>
        <v/>
      </c>
      <c r="E28" s="139">
        <f>IF($O$2="sell",-1,1) * (B28*NORMDIST(I28,0,1,0)*SQRT($J$2)/365) * $P$2</f>
        <v/>
      </c>
      <c r="F28" s="139">
        <f>IF($O$2="sell",-1,1) * (-(B28*NORMDIST(I28,0,1,0)*$H$2)/(2*SQRT($J$2))/365) *$P$2</f>
        <v/>
      </c>
      <c r="G28" s="139">
        <f>IF($O$2="buy",1,-1)*( IF($K$2="call",B28*NORMDIST(I28,0,1,1) - $B$2*NORMDIST(J28,0,1,1),$B$2*NORMDIST(-J28,0,1,1) - B28*NORMDIST(-I28,0,1,1) ) - $G$2) * $P$2</f>
        <v/>
      </c>
      <c r="I28" s="140">
        <f>(LN(B28/$B$2)+($H$2^2/2)*($J$2))/($H$2*SQRT($J$2))</f>
        <v/>
      </c>
      <c r="J28" s="140">
        <f>I28 - $H$2*SQRT($J$2)</f>
        <v/>
      </c>
      <c r="L28" s="117" t="n"/>
      <c r="M28" s="141" t="n"/>
      <c r="N28" s="141" t="n"/>
    </row>
    <row r="29" ht="13.5" customHeight="1" s="116">
      <c r="B29" s="138">
        <f>Portfolio!B38</f>
        <v/>
      </c>
      <c r="C29" s="139">
        <f>IF($O$2="sell",-1,1) *  IF($K$2="call",  NORMDIST(I29,0,1,1),  NORMDIST(I29,0,1,1)-1  ) * $P$2</f>
        <v/>
      </c>
      <c r="D29" s="139">
        <f>IF($O$2="sell",-1,1) * NORMDIST(I29,0,1,0)/(B29*$H$2*SQRT($J$2)) * $P$2</f>
        <v/>
      </c>
      <c r="E29" s="139">
        <f>IF($O$2="sell",-1,1) * (B29*NORMDIST(I29,0,1,0)*SQRT($J$2)/365) * $P$2</f>
        <v/>
      </c>
      <c r="F29" s="139">
        <f>IF($O$2="sell",-1,1) * (-(B29*NORMDIST(I29,0,1,0)*$H$2)/(2*SQRT($J$2))/365) *$P$2</f>
        <v/>
      </c>
      <c r="G29" s="139">
        <f>IF($O$2="buy",1,-1)*( IF($K$2="call",B29*NORMDIST(I29,0,1,1) - $B$2*NORMDIST(J29,0,1,1),$B$2*NORMDIST(-J29,0,1,1) - B29*NORMDIST(-I29,0,1,1) ) - $G$2) * $P$2</f>
        <v/>
      </c>
      <c r="I29" s="140">
        <f>(LN(B29/$B$2)+($H$2^2/2)*($J$2))/($H$2*SQRT($J$2))</f>
        <v/>
      </c>
      <c r="J29" s="140">
        <f>I29 - $H$2*SQRT($J$2)</f>
        <v/>
      </c>
      <c r="L29" s="117" t="n"/>
      <c r="M29" s="141" t="n"/>
      <c r="N29" s="141" t="n"/>
    </row>
    <row r="30" ht="13.5" customHeight="1" s="116">
      <c r="B30" s="138">
        <f>Portfolio!B39</f>
        <v/>
      </c>
      <c r="C30" s="139">
        <f>IF($O$2="sell",-1,1) *  IF($K$2="call",  NORMDIST(I30,0,1,1),  NORMDIST(I30,0,1,1)-1  ) * $P$2</f>
        <v/>
      </c>
      <c r="D30" s="139">
        <f>IF($O$2="sell",-1,1) * NORMDIST(I30,0,1,0)/(B30*$H$2*SQRT($J$2)) * $P$2</f>
        <v/>
      </c>
      <c r="E30" s="139">
        <f>IF($O$2="sell",-1,1) * (B30*NORMDIST(I30,0,1,0)*SQRT($J$2)/365) * $P$2</f>
        <v/>
      </c>
      <c r="F30" s="139">
        <f>IF($O$2="sell",-1,1) * (-(B30*NORMDIST(I30,0,1,0)*$H$2)/(2*SQRT($J$2))/365) *$P$2</f>
        <v/>
      </c>
      <c r="G30" s="139">
        <f>IF($O$2="buy",1,-1)*( IF($K$2="call",B30*NORMDIST(I30,0,1,1) - $B$2*NORMDIST(J30,0,1,1),$B$2*NORMDIST(-J30,0,1,1) - B30*NORMDIST(-I30,0,1,1) ) - $G$2) * $P$2</f>
        <v/>
      </c>
      <c r="I30" s="140">
        <f>(LN(B30/$B$2)+($H$2^2/2)*($J$2))/($H$2*SQRT($J$2))</f>
        <v/>
      </c>
      <c r="J30" s="140">
        <f>I30 - $H$2*SQRT($J$2)</f>
        <v/>
      </c>
      <c r="L30" s="117" t="n"/>
      <c r="M30" s="141" t="n"/>
      <c r="N30" s="141" t="n"/>
    </row>
    <row r="31" ht="13.5" customHeight="1" s="116">
      <c r="B31" s="138">
        <f>Portfolio!B40</f>
        <v/>
      </c>
      <c r="C31" s="139">
        <f>IF($O$2="sell",-1,1) *  IF($K$2="call",  NORMDIST(I31,0,1,1),  NORMDIST(I31,0,1,1)-1  ) * $P$2</f>
        <v/>
      </c>
      <c r="D31" s="139">
        <f>IF($O$2="sell",-1,1) * NORMDIST(I31,0,1,0)/(B31*$H$2*SQRT($J$2)) * $P$2</f>
        <v/>
      </c>
      <c r="E31" s="139">
        <f>IF($O$2="sell",-1,1) * (B31*NORMDIST(I31,0,1,0)*SQRT($J$2)/365) * $P$2</f>
        <v/>
      </c>
      <c r="F31" s="139">
        <f>IF($O$2="sell",-1,1) * (-(B31*NORMDIST(I31,0,1,0)*$H$2)/(2*SQRT($J$2))/365) *$P$2</f>
        <v/>
      </c>
      <c r="G31" s="139">
        <f>IF($O$2="buy",1,-1)*( IF($K$2="call",B31*NORMDIST(I31,0,1,1) - $B$2*NORMDIST(J31,0,1,1),$B$2*NORMDIST(-J31,0,1,1) - B31*NORMDIST(-I31,0,1,1) ) - $G$2) * $P$2</f>
        <v/>
      </c>
      <c r="I31" s="140">
        <f>(LN(B31/$B$2)+($H$2^2/2)*($J$2))/($H$2*SQRT($J$2))</f>
        <v/>
      </c>
      <c r="J31" s="140">
        <f>I31 - $H$2*SQRT($J$2)</f>
        <v/>
      </c>
      <c r="L31" s="117" t="n"/>
      <c r="M31" s="141" t="n"/>
      <c r="N31" s="141" t="n"/>
    </row>
    <row r="32" ht="13.5" customHeight="1" s="116">
      <c r="B32" s="138">
        <f>Portfolio!B41</f>
        <v/>
      </c>
      <c r="C32" s="139">
        <f>IF($O$2="sell",-1,1) *  IF($K$2="call",  NORMDIST(I32,0,1,1),  NORMDIST(I32,0,1,1)-1  ) * $P$2</f>
        <v/>
      </c>
      <c r="D32" s="139">
        <f>IF($O$2="sell",-1,1) * NORMDIST(I32,0,1,0)/(B32*$H$2*SQRT($J$2)) * $P$2</f>
        <v/>
      </c>
      <c r="E32" s="139">
        <f>IF($O$2="sell",-1,1) * (B32*NORMDIST(I32,0,1,0)*SQRT($J$2)/365) * $P$2</f>
        <v/>
      </c>
      <c r="F32" s="139">
        <f>IF($O$2="sell",-1,1) * (-(B32*NORMDIST(I32,0,1,0)*$H$2)/(2*SQRT($J$2))/365) *$P$2</f>
        <v/>
      </c>
      <c r="G32" s="139">
        <f>IF($O$2="buy",1,-1)*( IF($K$2="call",B32*NORMDIST(I32,0,1,1) - $B$2*NORMDIST(J32,0,1,1),$B$2*NORMDIST(-J32,0,1,1) - B32*NORMDIST(-I32,0,1,1) ) - $G$2) * $P$2</f>
        <v/>
      </c>
      <c r="I32" s="140">
        <f>(LN(B32/$B$2)+($H$2^2/2)*($J$2))/($H$2*SQRT($J$2))</f>
        <v/>
      </c>
      <c r="J32" s="140">
        <f>I32 - $H$2*SQRT($J$2)</f>
        <v/>
      </c>
      <c r="L32" s="117" t="n"/>
      <c r="M32" s="141" t="n"/>
      <c r="N32" s="141" t="n"/>
    </row>
    <row r="33" ht="13.5" customHeight="1" s="116">
      <c r="B33" s="138">
        <f>Portfolio!B42</f>
        <v/>
      </c>
      <c r="C33" s="139">
        <f>IF($O$2="sell",-1,1) *  IF($K$2="call",  NORMDIST(I33,0,1,1),  NORMDIST(I33,0,1,1)-1  ) * $P$2</f>
        <v/>
      </c>
      <c r="D33" s="139">
        <f>IF($O$2="sell",-1,1) * NORMDIST(I33,0,1,0)/(B33*$H$2*SQRT($J$2)) * $P$2</f>
        <v/>
      </c>
      <c r="E33" s="139">
        <f>IF($O$2="sell",-1,1) * (B33*NORMDIST(I33,0,1,0)*SQRT($J$2)/365) * $P$2</f>
        <v/>
      </c>
      <c r="F33" s="139">
        <f>IF($O$2="sell",-1,1) * (-(B33*NORMDIST(I33,0,1,0)*$H$2)/(2*SQRT($J$2))/365) *$P$2</f>
        <v/>
      </c>
      <c r="G33" s="139">
        <f>IF($O$2="buy",1,-1)*( IF($K$2="call",B33*NORMDIST(I33,0,1,1) - $B$2*NORMDIST(J33,0,1,1),$B$2*NORMDIST(-J33,0,1,1) - B33*NORMDIST(-I33,0,1,1) ) - $G$2) * $P$2</f>
        <v/>
      </c>
      <c r="I33" s="140">
        <f>(LN(B33/$B$2)+($H$2^2/2)*($J$2))/($H$2*SQRT($J$2))</f>
        <v/>
      </c>
      <c r="J33" s="140">
        <f>I33 - $H$2*SQRT($J$2)</f>
        <v/>
      </c>
      <c r="L33" s="117" t="n"/>
      <c r="M33" s="141" t="n"/>
      <c r="N33" s="141" t="n"/>
    </row>
    <row r="34" ht="13.5" customHeight="1" s="116">
      <c r="B34" s="138">
        <f>Portfolio!B43</f>
        <v/>
      </c>
      <c r="C34" s="139">
        <f>IF($O$2="sell",-1,1) *  IF($K$2="call",  NORMDIST(I34,0,1,1),  NORMDIST(I34,0,1,1)-1  ) * $P$2</f>
        <v/>
      </c>
      <c r="D34" s="139">
        <f>IF($O$2="sell",-1,1) * NORMDIST(I34,0,1,0)/(B34*$H$2*SQRT($J$2)) * $P$2</f>
        <v/>
      </c>
      <c r="E34" s="139">
        <f>IF($O$2="sell",-1,1) * (B34*NORMDIST(I34,0,1,0)*SQRT($J$2)/365) * $P$2</f>
        <v/>
      </c>
      <c r="F34" s="139">
        <f>IF($O$2="sell",-1,1) * (-(B34*NORMDIST(I34,0,1,0)*$H$2)/(2*SQRT($J$2))/365) *$P$2</f>
        <v/>
      </c>
      <c r="G34" s="139">
        <f>IF($O$2="buy",1,-1)*( IF($K$2="call",B34*NORMDIST(I34,0,1,1) - $B$2*NORMDIST(J34,0,1,1),$B$2*NORMDIST(-J34,0,1,1) - B34*NORMDIST(-I34,0,1,1) ) - $G$2) * $P$2</f>
        <v/>
      </c>
      <c r="I34" s="140">
        <f>(LN(B34/$B$2)+($H$2^2/2)*($J$2))/($H$2*SQRT($J$2))</f>
        <v/>
      </c>
      <c r="J34" s="140">
        <f>I34 - $H$2*SQRT($J$2)</f>
        <v/>
      </c>
      <c r="L34" s="117" t="n"/>
      <c r="M34" s="141" t="n"/>
      <c r="N34" s="141" t="n"/>
    </row>
    <row r="35" ht="13.5" customHeight="1" s="116">
      <c r="B35" s="138">
        <f>Portfolio!B44</f>
        <v/>
      </c>
      <c r="C35" s="139">
        <f>IF($O$2="sell",-1,1) *  IF($K$2="call",  NORMDIST(I35,0,1,1),  NORMDIST(I35,0,1,1)-1  ) * $P$2</f>
        <v/>
      </c>
      <c r="D35" s="139">
        <f>IF($O$2="sell",-1,1) * NORMDIST(I35,0,1,0)/(B35*$H$2*SQRT($J$2)) * $P$2</f>
        <v/>
      </c>
      <c r="E35" s="139">
        <f>IF($O$2="sell",-1,1) * (B35*NORMDIST(I35,0,1,0)*SQRT($J$2)/365) * $P$2</f>
        <v/>
      </c>
      <c r="F35" s="139">
        <f>IF($O$2="sell",-1,1) * (-(B35*NORMDIST(I35,0,1,0)*$H$2)/(2*SQRT($J$2))/365) *$P$2</f>
        <v/>
      </c>
      <c r="G35" s="139">
        <f>IF($O$2="buy",1,-1)*( IF($K$2="call",B35*NORMDIST(I35,0,1,1) - $B$2*NORMDIST(J35,0,1,1),$B$2*NORMDIST(-J35,0,1,1) - B35*NORMDIST(-I35,0,1,1) ) - $G$2) * $P$2</f>
        <v/>
      </c>
      <c r="I35" s="140">
        <f>(LN(B35/$B$2)+($H$2^2/2)*($J$2))/($H$2*SQRT($J$2))</f>
        <v/>
      </c>
      <c r="J35" s="140">
        <f>I35 - $H$2*SQRT($J$2)</f>
        <v/>
      </c>
      <c r="L35" s="117" t="n"/>
      <c r="M35" s="141" t="n"/>
      <c r="N35" s="141" t="n"/>
    </row>
    <row r="36" ht="13.5" customHeight="1" s="116">
      <c r="B36" s="138">
        <f>Portfolio!B45</f>
        <v/>
      </c>
      <c r="C36" s="139">
        <f>IF($O$2="sell",-1,1) *  IF($K$2="call",  NORMDIST(I36,0,1,1),  NORMDIST(I36,0,1,1)-1  ) * $P$2</f>
        <v/>
      </c>
      <c r="D36" s="139">
        <f>IF($O$2="sell",-1,1) * NORMDIST(I36,0,1,0)/(B36*$H$2*SQRT($J$2)) * $P$2</f>
        <v/>
      </c>
      <c r="E36" s="139">
        <f>IF($O$2="sell",-1,1) * (B36*NORMDIST(I36,0,1,0)*SQRT($J$2)/365) * $P$2</f>
        <v/>
      </c>
      <c r="F36" s="139">
        <f>IF($O$2="sell",-1,1) * (-(B36*NORMDIST(I36,0,1,0)*$H$2)/(2*SQRT($J$2))/365) *$P$2</f>
        <v/>
      </c>
      <c r="G36" s="139">
        <f>IF($O$2="buy",1,-1)*( IF($K$2="call",B36*NORMDIST(I36,0,1,1) - $B$2*NORMDIST(J36,0,1,1),$B$2*NORMDIST(-J36,0,1,1) - B36*NORMDIST(-I36,0,1,1) ) - $G$2) * $P$2</f>
        <v/>
      </c>
      <c r="I36" s="140">
        <f>(LN(B36/$B$2)+($H$2^2/2)*($J$2))/($H$2*SQRT($J$2))</f>
        <v/>
      </c>
      <c r="J36" s="140">
        <f>I36 - $H$2*SQRT($J$2)</f>
        <v/>
      </c>
      <c r="L36" s="117" t="n"/>
      <c r="M36" s="141" t="n"/>
      <c r="N36" s="141" t="n"/>
    </row>
    <row r="37" ht="13.5" customHeight="1" s="116">
      <c r="B37" s="138">
        <f>Portfolio!B46</f>
        <v/>
      </c>
      <c r="C37" s="139">
        <f>IF($O$2="sell",-1,1) *  IF($K$2="call",  NORMDIST(I37,0,1,1),  NORMDIST(I37,0,1,1)-1  ) * $P$2</f>
        <v/>
      </c>
      <c r="D37" s="139">
        <f>IF($O$2="sell",-1,1) * NORMDIST(I37,0,1,0)/(B37*$H$2*SQRT($J$2)) * $P$2</f>
        <v/>
      </c>
      <c r="E37" s="139">
        <f>IF($O$2="sell",-1,1) * (B37*NORMDIST(I37,0,1,0)*SQRT($J$2)/365) * $P$2</f>
        <v/>
      </c>
      <c r="F37" s="139">
        <f>IF($O$2="sell",-1,1) * (-(B37*NORMDIST(I37,0,1,0)*$H$2)/(2*SQRT($J$2))/365) *$P$2</f>
        <v/>
      </c>
      <c r="G37" s="139">
        <f>IF($O$2="buy",1,-1)*( IF($K$2="call",B37*NORMDIST(I37,0,1,1) - $B$2*NORMDIST(J37,0,1,1),$B$2*NORMDIST(-J37,0,1,1) - B37*NORMDIST(-I37,0,1,1) ) - $G$2) * $P$2</f>
        <v/>
      </c>
      <c r="I37" s="140">
        <f>(LN(B37/$B$2)+($H$2^2/2)*($J$2))/($H$2*SQRT($J$2))</f>
        <v/>
      </c>
      <c r="J37" s="140">
        <f>I37 - $H$2*SQRT($J$2)</f>
        <v/>
      </c>
      <c r="L37" s="117" t="n"/>
      <c r="M37" s="141" t="n"/>
      <c r="N37" s="141" t="n"/>
    </row>
    <row r="38" ht="13.5" customHeight="1" s="116">
      <c r="B38" s="138">
        <f>Portfolio!B47</f>
        <v/>
      </c>
      <c r="C38" s="139">
        <f>IF($O$2="sell",-1,1) *  IF($K$2="call",  NORMDIST(I38,0,1,1),  NORMDIST(I38,0,1,1)-1  ) * $P$2</f>
        <v/>
      </c>
      <c r="D38" s="139">
        <f>IF($O$2="sell",-1,1) * NORMDIST(I38,0,1,0)/(B38*$H$2*SQRT($J$2)) * $P$2</f>
        <v/>
      </c>
      <c r="E38" s="139">
        <f>IF($O$2="sell",-1,1) * (B38*NORMDIST(I38,0,1,0)*SQRT($J$2)/365) * $P$2</f>
        <v/>
      </c>
      <c r="F38" s="139">
        <f>IF($O$2="sell",-1,1) * (-(B38*NORMDIST(I38,0,1,0)*$H$2)/(2*SQRT($J$2))/365) *$P$2</f>
        <v/>
      </c>
      <c r="G38" s="139">
        <f>IF($O$2="buy",1,-1)*( IF($K$2="call",B38*NORMDIST(I38,0,1,1) - $B$2*NORMDIST(J38,0,1,1),$B$2*NORMDIST(-J38,0,1,1) - B38*NORMDIST(-I38,0,1,1) ) - $G$2) * $P$2</f>
        <v/>
      </c>
      <c r="I38" s="140">
        <f>(LN(B38/$B$2)+($H$2^2/2)*($J$2))/($H$2*SQRT($J$2))</f>
        <v/>
      </c>
      <c r="J38" s="140">
        <f>I38 - $H$2*SQRT($J$2)</f>
        <v/>
      </c>
      <c r="L38" s="117" t="n"/>
      <c r="M38" s="141" t="n"/>
      <c r="N38" s="141" t="n"/>
    </row>
    <row r="39" ht="13.5" customHeight="1" s="116">
      <c r="B39" s="138">
        <f>Portfolio!B48</f>
        <v/>
      </c>
      <c r="C39" s="139">
        <f>IF($O$2="sell",-1,1) *  IF($K$2="call",  NORMDIST(I39,0,1,1),  NORMDIST(I39,0,1,1)-1  ) * $P$2</f>
        <v/>
      </c>
      <c r="D39" s="139">
        <f>IF($O$2="sell",-1,1) * NORMDIST(I39,0,1,0)/(B39*$H$2*SQRT($J$2)) * $P$2</f>
        <v/>
      </c>
      <c r="E39" s="139">
        <f>IF($O$2="sell",-1,1) * (B39*NORMDIST(I39,0,1,0)*SQRT($J$2)/365) * $P$2</f>
        <v/>
      </c>
      <c r="F39" s="139">
        <f>IF($O$2="sell",-1,1) * (-(B39*NORMDIST(I39,0,1,0)*$H$2)/(2*SQRT($J$2))/365) *$P$2</f>
        <v/>
      </c>
      <c r="G39" s="139">
        <f>IF($O$2="buy",1,-1)*( IF($K$2="call",B39*NORMDIST(I39,0,1,1) - $B$2*NORMDIST(J39,0,1,1),$B$2*NORMDIST(-J39,0,1,1) - B39*NORMDIST(-I39,0,1,1) ) - $G$2) * $P$2</f>
        <v/>
      </c>
      <c r="I39" s="140">
        <f>(LN(B39/$B$2)+($H$2^2/2)*($J$2))/($H$2*SQRT($J$2))</f>
        <v/>
      </c>
      <c r="J39" s="140">
        <f>I39 - $H$2*SQRT($J$2)</f>
        <v/>
      </c>
      <c r="L39" s="117" t="n"/>
      <c r="M39" s="141" t="n"/>
      <c r="N39" s="141" t="n"/>
    </row>
    <row r="40" ht="13.5" customHeight="1" s="116">
      <c r="B40" s="138">
        <f>Portfolio!B49</f>
        <v/>
      </c>
      <c r="C40" s="139">
        <f>IF($O$2="sell",-1,1) *  IF($K$2="call",  NORMDIST(I40,0,1,1),  NORMDIST(I40,0,1,1)-1  ) * $P$2</f>
        <v/>
      </c>
      <c r="D40" s="139">
        <f>IF($O$2="sell",-1,1) * NORMDIST(I40,0,1,0)/(B40*$H$2*SQRT($J$2)) * $P$2</f>
        <v/>
      </c>
      <c r="E40" s="139">
        <f>IF($O$2="sell",-1,1) * (B40*NORMDIST(I40,0,1,0)*SQRT($J$2)/365) * $P$2</f>
        <v/>
      </c>
      <c r="F40" s="139">
        <f>IF($O$2="sell",-1,1) * (-(B40*NORMDIST(I40,0,1,0)*$H$2)/(2*SQRT($J$2))/365) *$P$2</f>
        <v/>
      </c>
      <c r="G40" s="139">
        <f>IF($O$2="buy",1,-1)*( IF($K$2="call",B40*NORMDIST(I40,0,1,1) - $B$2*NORMDIST(J40,0,1,1),$B$2*NORMDIST(-J40,0,1,1) - B40*NORMDIST(-I40,0,1,1) ) - $G$2) * $P$2</f>
        <v/>
      </c>
      <c r="I40" s="140">
        <f>(LN(B40/$B$2)+($H$2^2/2)*($J$2))/($H$2*SQRT($J$2))</f>
        <v/>
      </c>
      <c r="J40" s="140">
        <f>I40 - $H$2*SQRT($J$2)</f>
        <v/>
      </c>
      <c r="L40" s="117" t="n"/>
      <c r="M40" s="141" t="n"/>
      <c r="N40" s="141" t="n"/>
    </row>
    <row r="41" ht="13.5" customHeight="1" s="116">
      <c r="B41" s="138">
        <f>Portfolio!B50</f>
        <v/>
      </c>
      <c r="C41" s="139">
        <f>IF($O$2="sell",-1,1) *  IF($K$2="call",  NORMDIST(I41,0,1,1),  NORMDIST(I41,0,1,1)-1  ) * $P$2</f>
        <v/>
      </c>
      <c r="D41" s="139">
        <f>IF($O$2="sell",-1,1) * NORMDIST(I41,0,1,0)/(B41*$H$2*SQRT($J$2)) * $P$2</f>
        <v/>
      </c>
      <c r="E41" s="139">
        <f>IF($O$2="sell",-1,1) * (B41*NORMDIST(I41,0,1,0)*SQRT($J$2)/365) * $P$2</f>
        <v/>
      </c>
      <c r="F41" s="139">
        <f>IF($O$2="sell",-1,1) * (-(B41*NORMDIST(I41,0,1,0)*$H$2)/(2*SQRT($J$2))/365) *$P$2</f>
        <v/>
      </c>
      <c r="G41" s="139">
        <f>IF($O$2="buy",1,-1)*( IF($K$2="call",B41*NORMDIST(I41,0,1,1) - $B$2*NORMDIST(J41,0,1,1),$B$2*NORMDIST(-J41,0,1,1) - B41*NORMDIST(-I41,0,1,1) ) - $G$2) * $P$2</f>
        <v/>
      </c>
      <c r="I41" s="140">
        <f>(LN(B41/$B$2)+($H$2^2/2)*($J$2))/($H$2*SQRT($J$2))</f>
        <v/>
      </c>
      <c r="J41" s="140">
        <f>I41 - $H$2*SQRT($J$2)</f>
        <v/>
      </c>
      <c r="L41" s="117" t="n"/>
      <c r="M41" s="141" t="n"/>
      <c r="N41" s="141" t="n"/>
    </row>
    <row r="42" ht="13.5" customHeight="1" s="116">
      <c r="B42" s="138">
        <f>Portfolio!B51</f>
        <v/>
      </c>
      <c r="C42" s="139">
        <f>IF($O$2="sell",-1,1) *  IF($K$2="call",  NORMDIST(I42,0,1,1),  NORMDIST(I42,0,1,1)-1  ) * $P$2</f>
        <v/>
      </c>
      <c r="D42" s="139">
        <f>IF($O$2="sell",-1,1) * NORMDIST(I42,0,1,0)/(B42*$H$2*SQRT($J$2)) * $P$2</f>
        <v/>
      </c>
      <c r="E42" s="139">
        <f>IF($O$2="sell",-1,1) * (B42*NORMDIST(I42,0,1,0)*SQRT($J$2)/365) * $P$2</f>
        <v/>
      </c>
      <c r="F42" s="139">
        <f>IF($O$2="sell",-1,1) * (-(B42*NORMDIST(I42,0,1,0)*$H$2)/(2*SQRT($J$2))/365) *$P$2</f>
        <v/>
      </c>
      <c r="G42" s="139">
        <f>IF($O$2="buy",1,-1)*( IF($K$2="call",B42*NORMDIST(I42,0,1,1) - $B$2*NORMDIST(J42,0,1,1),$B$2*NORMDIST(-J42,0,1,1) - B42*NORMDIST(-I42,0,1,1) ) - $G$2) * $P$2</f>
        <v/>
      </c>
      <c r="I42" s="140">
        <f>(LN(B42/$B$2)+($H$2^2/2)*($J$2))/($H$2*SQRT($J$2))</f>
        <v/>
      </c>
      <c r="J42" s="140">
        <f>I42 - $H$2*SQRT($J$2)</f>
        <v/>
      </c>
      <c r="L42" s="117" t="n"/>
      <c r="M42" s="141" t="n"/>
      <c r="N42" s="141" t="n"/>
    </row>
    <row r="43" ht="13.5" customHeight="1" s="116">
      <c r="B43" s="138">
        <f>Portfolio!B52</f>
        <v/>
      </c>
      <c r="C43" s="139">
        <f>IF($O$2="sell",-1,1) *  IF($K$2="call",  NORMDIST(I43,0,1,1),  NORMDIST(I43,0,1,1)-1  ) * $P$2</f>
        <v/>
      </c>
      <c r="D43" s="139">
        <f>IF($O$2="sell",-1,1) * NORMDIST(I43,0,1,0)/(B43*$H$2*SQRT($J$2)) * $P$2</f>
        <v/>
      </c>
      <c r="E43" s="139">
        <f>IF($O$2="sell",-1,1) * (B43*NORMDIST(I43,0,1,0)*SQRT($J$2)/365) * $P$2</f>
        <v/>
      </c>
      <c r="F43" s="139">
        <f>IF($O$2="sell",-1,1) * (-(B43*NORMDIST(I43,0,1,0)*$H$2)/(2*SQRT($J$2))/365) *$P$2</f>
        <v/>
      </c>
      <c r="G43" s="139">
        <f>IF($O$2="buy",1,-1)*( IF($K$2="call",B43*NORMDIST(I43,0,1,1) - $B$2*NORMDIST(J43,0,1,1),$B$2*NORMDIST(-J43,0,1,1) - B43*NORMDIST(-I43,0,1,1) ) - $G$2) * $P$2</f>
        <v/>
      </c>
      <c r="I43" s="140">
        <f>(LN(B43/$B$2)+($H$2^2/2)*($J$2))/($H$2*SQRT($J$2))</f>
        <v/>
      </c>
      <c r="J43" s="140">
        <f>I43 - $H$2*SQRT($J$2)</f>
        <v/>
      </c>
      <c r="L43" s="117" t="n"/>
      <c r="M43" s="141" t="n"/>
      <c r="N43" s="141" t="n"/>
    </row>
    <row r="44" ht="13.5" customHeight="1" s="116">
      <c r="B44" s="138">
        <f>Portfolio!B53</f>
        <v/>
      </c>
      <c r="C44" s="139">
        <f>IF($O$2="sell",-1,1) *  IF($K$2="call",  NORMDIST(I44,0,1,1),  NORMDIST(I44,0,1,1)-1  ) * $P$2</f>
        <v/>
      </c>
      <c r="D44" s="139">
        <f>IF($O$2="sell",-1,1) * NORMDIST(I44,0,1,0)/(B44*$H$2*SQRT($J$2)) * $P$2</f>
        <v/>
      </c>
      <c r="E44" s="139">
        <f>IF($O$2="sell",-1,1) * (B44*NORMDIST(I44,0,1,0)*SQRT($J$2)/365) * $P$2</f>
        <v/>
      </c>
      <c r="F44" s="139">
        <f>IF($O$2="sell",-1,1) * (-(B44*NORMDIST(I44,0,1,0)*$H$2)/(2*SQRT($J$2))/365) *$P$2</f>
        <v/>
      </c>
      <c r="G44" s="139">
        <f>IF($O$2="buy",1,-1)*( IF($K$2="call",B44*NORMDIST(I44,0,1,1) - $B$2*NORMDIST(J44,0,1,1),$B$2*NORMDIST(-J44,0,1,1) - B44*NORMDIST(-I44,0,1,1) ) - $G$2) * $P$2</f>
        <v/>
      </c>
      <c r="I44" s="140">
        <f>(LN(B44/$B$2)+($H$2^2/2)*($J$2))/($H$2*SQRT($J$2))</f>
        <v/>
      </c>
      <c r="J44" s="140">
        <f>I44 - $H$2*SQRT($J$2)</f>
        <v/>
      </c>
      <c r="L44" s="117" t="n"/>
      <c r="M44" s="141" t="n"/>
      <c r="N44" s="141" t="n"/>
    </row>
    <row r="45" ht="13.5" customHeight="1" s="116">
      <c r="B45" s="138">
        <f>Portfolio!B54</f>
        <v/>
      </c>
      <c r="C45" s="139">
        <f>IF($O$2="sell",-1,1) *  IF($K$2="call",  NORMDIST(I45,0,1,1),  NORMDIST(I45,0,1,1)-1  ) * $P$2</f>
        <v/>
      </c>
      <c r="D45" s="139">
        <f>IF($O$2="sell",-1,1) * NORMDIST(I45,0,1,0)/(B45*$H$2*SQRT($J$2)) * $P$2</f>
        <v/>
      </c>
      <c r="E45" s="139">
        <f>IF($O$2="sell",-1,1) * (B45*NORMDIST(I45,0,1,0)*SQRT($J$2)/365) * $P$2</f>
        <v/>
      </c>
      <c r="F45" s="139">
        <f>IF($O$2="sell",-1,1) * (-(B45*NORMDIST(I45,0,1,0)*$H$2)/(2*SQRT($J$2))/365) *$P$2</f>
        <v/>
      </c>
      <c r="G45" s="139">
        <f>IF($O$2="buy",1,-1)*( IF($K$2="call",B45*NORMDIST(I45,0,1,1) - $B$2*NORMDIST(J45,0,1,1),$B$2*NORMDIST(-J45,0,1,1) - B45*NORMDIST(-I45,0,1,1) ) - $G$2) * $P$2</f>
        <v/>
      </c>
      <c r="I45" s="140">
        <f>(LN(B45/$B$2)+($H$2^2/2)*($J$2))/($H$2*SQRT($J$2))</f>
        <v/>
      </c>
      <c r="J45" s="140">
        <f>I45 - $H$2*SQRT($J$2)</f>
        <v/>
      </c>
      <c r="L45" s="117" t="n"/>
      <c r="M45" s="141" t="n"/>
      <c r="N45" s="141" t="n"/>
    </row>
    <row r="47" ht="17.25" customHeight="1" s="116">
      <c r="A47" s="117">
        <f>A3</f>
        <v/>
      </c>
      <c r="B47" s="137" t="n"/>
      <c r="C47" s="133" t="inlineStr">
        <is>
          <t>delta</t>
        </is>
      </c>
      <c r="D47" s="133" t="inlineStr">
        <is>
          <t>gamma</t>
        </is>
      </c>
      <c r="E47" s="133" t="inlineStr">
        <is>
          <t>vega</t>
        </is>
      </c>
      <c r="F47" s="133" t="inlineStr">
        <is>
          <t>theta</t>
        </is>
      </c>
      <c r="G47" s="133" t="inlineStr">
        <is>
          <t>mark_price</t>
        </is>
      </c>
      <c r="I47" s="133" t="inlineStr">
        <is>
          <t>d1</t>
        </is>
      </c>
      <c r="J47" s="133" t="inlineStr">
        <is>
          <t>d2</t>
        </is>
      </c>
    </row>
    <row r="48" ht="13.5" customHeight="1" s="116">
      <c r="B48" s="138">
        <f>B19</f>
        <v/>
      </c>
      <c r="C48" s="139">
        <f>IF($O$3="sell",-1,1) *  IF($K$3="call",  NORMDIST(I48,0,1,1),  NORMDIST(I48,0,1,1)-1  ) * $P$3</f>
        <v/>
      </c>
      <c r="D48" s="139">
        <f>IF($O$3="sell",-1,1) * NORMDIST(I48,0,1,0)/(B48*$H$3*SQRT($J$3)) * $P$3</f>
        <v/>
      </c>
      <c r="E48" s="139">
        <f>IF($O$3="sell",-1,1) * (B48*NORMDIST(I48,0,1,0)*SQRT($J$3)/365) * $P$3</f>
        <v/>
      </c>
      <c r="F48" s="139">
        <f>IF($O$3="sell",-1,1) * (-(B48*NORMDIST(I48,0,1,0)*$H$3)/(2*SQRT($J$3))/365) *$P$3</f>
        <v/>
      </c>
      <c r="G48" s="139">
        <f>IF($O$3="buy",1,-1)*( IF($K$3="call",B48*NORMDIST(I48,0,1,1) - $B$3*NORMDIST(J48,0,1,1),$B$3*NORMDIST(-J48,0,1,1) - B48*NORMDIST(-I48,0,1,1) ) - $G$3) * $P$3</f>
        <v/>
      </c>
      <c r="I48" s="142">
        <f>(LN(B48/$B$3)+($H$3^2/2)*($J$3))/($H$3*SQRT($J$3))</f>
        <v/>
      </c>
      <c r="J48" s="140">
        <f>I48 - $H$3*SQRT($J$3)</f>
        <v/>
      </c>
    </row>
    <row r="49" ht="13.5" customHeight="1" s="116">
      <c r="B49" s="138">
        <f>B20</f>
        <v/>
      </c>
      <c r="C49" s="139">
        <f>IF($O$3="sell",-1,1) *  IF($K$3="call",  NORMDIST(I49,0,1,1),  NORMDIST(I49,0,1,1)-1  ) * $P$3</f>
        <v/>
      </c>
      <c r="D49" s="139">
        <f>IF($O$3="sell",-1,1) * NORMDIST(I49,0,1,0)/(B49*$H$3*SQRT($J$3)) * $P$3</f>
        <v/>
      </c>
      <c r="E49" s="139">
        <f>IF($O$3="sell",-1,1) * (B49*NORMDIST(I49,0,1,0)*SQRT($J$3)/365) * $P$3</f>
        <v/>
      </c>
      <c r="F49" s="139">
        <f>IF($O$3="sell",-1,1) * (-(B49*NORMDIST(I49,0,1,0)*$H$3)/(2*SQRT($J$3))/365) *$P$3</f>
        <v/>
      </c>
      <c r="G49" s="139">
        <f>IF($O$3="buy",1,-1)*( IF($K$3="call",B49*NORMDIST(I49,0,1,1) - $B$3*NORMDIST(J49,0,1,1),$B$3*NORMDIST(-J49,0,1,1) - B49*NORMDIST(-I49,0,1,1) ) - $G$3) * $P$3</f>
        <v/>
      </c>
      <c r="I49" s="142">
        <f>(LN(B49/$B$3)+($H$3^2/2)*($J$3))/($H$3*SQRT($J$3))</f>
        <v/>
      </c>
      <c r="J49" s="140">
        <f>I49 - $H$3*SQRT($J$3)</f>
        <v/>
      </c>
      <c r="L49" s="117" t="n"/>
    </row>
    <row r="50" ht="13.5" customHeight="1" s="116">
      <c r="B50" s="138">
        <f>B21</f>
        <v/>
      </c>
      <c r="C50" s="139">
        <f>IF($O$3="sell",-1,1) *  IF($K$3="call",  NORMDIST(I50,0,1,1),  NORMDIST(I50,0,1,1)-1  ) * $P$3</f>
        <v/>
      </c>
      <c r="D50" s="139">
        <f>IF($O$3="sell",-1,1) * NORMDIST(I50,0,1,0)/(B50*$H$3*SQRT($J$3)) * $P$3</f>
        <v/>
      </c>
      <c r="E50" s="139">
        <f>IF($O$3="sell",-1,1) * (B50*NORMDIST(I50,0,1,0)*SQRT($J$3)/365) * $P$3</f>
        <v/>
      </c>
      <c r="F50" s="139">
        <f>IF($O$3="sell",-1,1) * (-(B50*NORMDIST(I50,0,1,0)*$H$3)/(2*SQRT($J$3))/365) *$P$3</f>
        <v/>
      </c>
      <c r="G50" s="139">
        <f>IF($O$3="buy",1,-1)*( IF($K$3="call",B50*NORMDIST(I50,0,1,1) - $B$3*NORMDIST(J50,0,1,1),$B$3*NORMDIST(-J50,0,1,1) - B50*NORMDIST(-I50,0,1,1) ) - $G$3) * $P$3</f>
        <v/>
      </c>
      <c r="I50" s="142">
        <f>(LN(B50/$B$3)+($H$3^2/2)*($J$3))/($H$3*SQRT($J$3))</f>
        <v/>
      </c>
      <c r="J50" s="140">
        <f>I50 - $H$3*SQRT($J$3)</f>
        <v/>
      </c>
      <c r="L50" s="117" t="n"/>
      <c r="M50" s="141" t="n"/>
    </row>
    <row r="51" ht="13.5" customHeight="1" s="116">
      <c r="B51" s="138">
        <f>B22</f>
        <v/>
      </c>
      <c r="C51" s="139">
        <f>IF($O$3="sell",-1,1) *  IF($K$3="call",  NORMDIST(I51,0,1,1),  NORMDIST(I51,0,1,1)-1  ) * $P$3</f>
        <v/>
      </c>
      <c r="D51" s="139">
        <f>IF($O$3="sell",-1,1) * NORMDIST(I51,0,1,0)/(B51*$H$3*SQRT($J$3)) * $P$3</f>
        <v/>
      </c>
      <c r="E51" s="139">
        <f>IF($O$3="sell",-1,1) * (B51*NORMDIST(I51,0,1,0)*SQRT($J$3)/365) * $P$3</f>
        <v/>
      </c>
      <c r="F51" s="139">
        <f>IF($O$3="sell",-1,1) * (-(B51*NORMDIST(I51,0,1,0)*$H$3)/(2*SQRT($J$3))/365) *$P$3</f>
        <v/>
      </c>
      <c r="G51" s="139">
        <f>IF($O$3="buy",1,-1)*( IF($K$3="call",B51*NORMDIST(I51,0,1,1) - $B$3*NORMDIST(J51,0,1,1),$B$3*NORMDIST(-J51,0,1,1) - B51*NORMDIST(-I51,0,1,1) ) - $G$3) * $P$3</f>
        <v/>
      </c>
      <c r="I51" s="142">
        <f>(LN(B51/$B$3)+($H$3^2/2)*($J$3))/($H$3*SQRT($J$3))</f>
        <v/>
      </c>
      <c r="J51" s="140">
        <f>I51 - $H$3*SQRT($J$3)</f>
        <v/>
      </c>
      <c r="L51" s="117" t="n"/>
      <c r="M51" s="141" t="n"/>
      <c r="N51" s="141" t="n"/>
    </row>
    <row r="52" ht="13.5" customHeight="1" s="116">
      <c r="B52" s="138">
        <f>B23</f>
        <v/>
      </c>
      <c r="C52" s="139">
        <f>IF($O$3="sell",-1,1) *  IF($K$3="call",  NORMDIST(I52,0,1,1),  NORMDIST(I52,0,1,1)-1  ) * $P$3</f>
        <v/>
      </c>
      <c r="D52" s="139">
        <f>IF($O$3="sell",-1,1) * NORMDIST(I52,0,1,0)/(B52*$H$3*SQRT($J$3)) * $P$3</f>
        <v/>
      </c>
      <c r="E52" s="139">
        <f>IF($O$3="sell",-1,1) * (B52*NORMDIST(I52,0,1,0)*SQRT($J$3)/365) * $P$3</f>
        <v/>
      </c>
      <c r="F52" s="139">
        <f>IF($O$3="sell",-1,1) * (-(B52*NORMDIST(I52,0,1,0)*$H$3)/(2*SQRT($J$3))/365) *$P$3</f>
        <v/>
      </c>
      <c r="G52" s="139">
        <f>IF($O$3="buy",1,-1)*( IF($K$3="call",B52*NORMDIST(I52,0,1,1) - $B$3*NORMDIST(J52,0,1,1),$B$3*NORMDIST(-J52,0,1,1) - B52*NORMDIST(-I52,0,1,1) ) - $G$3) * $P$3</f>
        <v/>
      </c>
      <c r="I52" s="142">
        <f>(LN(B52/$B$3)+($H$3^2/2)*($J$3))/($H$3*SQRT($J$3))</f>
        <v/>
      </c>
      <c r="J52" s="140">
        <f>I52 - $H$3*SQRT($J$3)</f>
        <v/>
      </c>
      <c r="L52" s="117" t="n"/>
      <c r="M52" s="141" t="n"/>
      <c r="N52" s="141" t="n"/>
    </row>
    <row r="53" ht="13.5" customHeight="1" s="116">
      <c r="B53" s="138">
        <f>B24</f>
        <v/>
      </c>
      <c r="C53" s="139">
        <f>IF($O$3="sell",-1,1) *  IF($K$3="call",  NORMDIST(I53,0,1,1),  NORMDIST(I53,0,1,1)-1  ) * $P$3</f>
        <v/>
      </c>
      <c r="D53" s="139">
        <f>IF($O$3="sell",-1,1) * NORMDIST(I53,0,1,0)/(B53*$H$3*SQRT($J$3)) * $P$3</f>
        <v/>
      </c>
      <c r="E53" s="139">
        <f>IF($O$3="sell",-1,1) * (B53*NORMDIST(I53,0,1,0)*SQRT($J$3)/365) * $P$3</f>
        <v/>
      </c>
      <c r="F53" s="139">
        <f>IF($O$3="sell",-1,1) * (-(B53*NORMDIST(I53,0,1,0)*$H$3)/(2*SQRT($J$3))/365) *$P$3</f>
        <v/>
      </c>
      <c r="G53" s="139">
        <f>IF($O$3="buy",1,-1)*( IF($K$3="call",B53*NORMDIST(I53,0,1,1) - $B$3*NORMDIST(J53,0,1,1),$B$3*NORMDIST(-J53,0,1,1) - B53*NORMDIST(-I53,0,1,1) ) - $G$3) * $P$3</f>
        <v/>
      </c>
      <c r="I53" s="142">
        <f>(LN(B53/$B$3)+($H$3^2/2)*($J$3))/($H$3*SQRT($J$3))</f>
        <v/>
      </c>
      <c r="J53" s="140">
        <f>I53 - $H$3*SQRT($J$3)</f>
        <v/>
      </c>
      <c r="L53" s="117" t="n"/>
      <c r="M53" s="141" t="n"/>
      <c r="N53" s="141" t="n"/>
    </row>
    <row r="54" ht="13.5" customHeight="1" s="116">
      <c r="B54" s="138">
        <f>B25</f>
        <v/>
      </c>
      <c r="C54" s="139">
        <f>IF($O$3="sell",-1,1) *  IF($K$3="call",  NORMDIST(I54,0,1,1),  NORMDIST(I54,0,1,1)-1  ) * $P$3</f>
        <v/>
      </c>
      <c r="D54" s="139">
        <f>IF($O$3="sell",-1,1) * NORMDIST(I54,0,1,0)/(B54*$H$3*SQRT($J$3)) * $P$3</f>
        <v/>
      </c>
      <c r="E54" s="139">
        <f>IF($O$3="sell",-1,1) * (B54*NORMDIST(I54,0,1,0)*SQRT($J$3)/365) * $P$3</f>
        <v/>
      </c>
      <c r="F54" s="139">
        <f>IF($O$3="sell",-1,1) * (-(B54*NORMDIST(I54,0,1,0)*$H$3)/(2*SQRT($J$3))/365) *$P$3</f>
        <v/>
      </c>
      <c r="G54" s="139">
        <f>IF($O$3="buy",1,-1)*( IF($K$3="call",B54*NORMDIST(I54,0,1,1) - $B$3*NORMDIST(J54,0,1,1),$B$3*NORMDIST(-J54,0,1,1) - B54*NORMDIST(-I54,0,1,1) ) - $G$3) * $P$3</f>
        <v/>
      </c>
      <c r="I54" s="142">
        <f>(LN(B54/$B$3)+($H$3^2/2)*($J$3))/($H$3*SQRT($J$3))</f>
        <v/>
      </c>
      <c r="J54" s="140">
        <f>I54 - $H$3*SQRT($J$3)</f>
        <v/>
      </c>
      <c r="L54" s="117" t="n"/>
      <c r="M54" s="141" t="n"/>
      <c r="N54" s="141" t="n"/>
    </row>
    <row r="55" ht="13.5" customHeight="1" s="116">
      <c r="B55" s="138">
        <f>B26</f>
        <v/>
      </c>
      <c r="C55" s="139">
        <f>IF($O$3="sell",-1,1) *  IF($K$3="call",  NORMDIST(I55,0,1,1),  NORMDIST(I55,0,1,1)-1  ) * $P$3</f>
        <v/>
      </c>
      <c r="D55" s="139">
        <f>IF($O$3="sell",-1,1) * NORMDIST(I55,0,1,0)/(B55*$H$3*SQRT($J$3)) * $P$3</f>
        <v/>
      </c>
      <c r="E55" s="139">
        <f>IF($O$3="sell",-1,1) * (B55*NORMDIST(I55,0,1,0)*SQRT($J$3)/365) * $P$3</f>
        <v/>
      </c>
      <c r="F55" s="139">
        <f>IF($O$3="sell",-1,1) * (-(B55*NORMDIST(I55,0,1,0)*$H$3)/(2*SQRT($J$3))/365) *$P$3</f>
        <v/>
      </c>
      <c r="G55" s="139">
        <f>IF($O$3="buy",1,-1)*( IF($K$3="call",B55*NORMDIST(I55,0,1,1) - $B$3*NORMDIST(J55,0,1,1),$B$3*NORMDIST(-J55,0,1,1) - B55*NORMDIST(-I55,0,1,1) ) - $G$3) * $P$3</f>
        <v/>
      </c>
      <c r="I55" s="142">
        <f>(LN(B55/$B$3)+($H$3^2/2)*($J$3))/($H$3*SQRT($J$3))</f>
        <v/>
      </c>
      <c r="J55" s="140">
        <f>I55 - $H$3*SQRT($J$3)</f>
        <v/>
      </c>
      <c r="L55" s="117" t="n"/>
      <c r="M55" s="141" t="n"/>
      <c r="N55" s="141" t="n"/>
    </row>
    <row r="56" ht="13.5" customHeight="1" s="116">
      <c r="B56" s="138">
        <f>B27</f>
        <v/>
      </c>
      <c r="C56" s="139">
        <f>IF($O$3="sell",-1,1) *  IF($K$3="call",  NORMDIST(I56,0,1,1),  NORMDIST(I56,0,1,1)-1  ) * $P$3</f>
        <v/>
      </c>
      <c r="D56" s="139">
        <f>IF($O$3="sell",-1,1) * NORMDIST(I56,0,1,0)/(B56*$H$3*SQRT($J$3)) * $P$3</f>
        <v/>
      </c>
      <c r="E56" s="139">
        <f>IF($O$3="sell",-1,1) * (B56*NORMDIST(I56,0,1,0)*SQRT($J$3)/365) * $P$3</f>
        <v/>
      </c>
      <c r="F56" s="139">
        <f>IF($O$3="sell",-1,1) * (-(B56*NORMDIST(I56,0,1,0)*$H$3)/(2*SQRT($J$3))/365) *$P$3</f>
        <v/>
      </c>
      <c r="G56" s="139">
        <f>IF($O$3="buy",1,-1)*( IF($K$3="call",B56*NORMDIST(I56,0,1,1) - $B$3*NORMDIST(J56,0,1,1),$B$3*NORMDIST(-J56,0,1,1) - B56*NORMDIST(-I56,0,1,1) ) - $G$3) * $P$3</f>
        <v/>
      </c>
      <c r="I56" s="142">
        <f>(LN(B56/$B$3)+($H$3^2/2)*($J$3))/($H$3*SQRT($J$3))</f>
        <v/>
      </c>
      <c r="J56" s="140">
        <f>I56 - $H$3*SQRT($J$3)</f>
        <v/>
      </c>
      <c r="L56" s="117" t="n"/>
      <c r="M56" s="141" t="n"/>
      <c r="N56" s="141" t="n"/>
    </row>
    <row r="57" ht="13.5" customHeight="1" s="116">
      <c r="B57" s="138">
        <f>B28</f>
        <v/>
      </c>
      <c r="C57" s="139">
        <f>IF($O$3="sell",-1,1) *  IF($K$3="call",  NORMDIST(I57,0,1,1),  NORMDIST(I57,0,1,1)-1  ) * $P$3</f>
        <v/>
      </c>
      <c r="D57" s="139">
        <f>IF($O$3="sell",-1,1) * NORMDIST(I57,0,1,0)/(B57*$H$3*SQRT($J$3)) * $P$3</f>
        <v/>
      </c>
      <c r="E57" s="139">
        <f>IF($O$3="sell",-1,1) * (B57*NORMDIST(I57,0,1,0)*SQRT($J$3)/365) * $P$3</f>
        <v/>
      </c>
      <c r="F57" s="139">
        <f>IF($O$3="sell",-1,1) * (-(B57*NORMDIST(I57,0,1,0)*$H$3)/(2*SQRT($J$3))/365) *$P$3</f>
        <v/>
      </c>
      <c r="G57" s="139">
        <f>IF($O$3="buy",1,-1)*( IF($K$3="call",B57*NORMDIST(I57,0,1,1) - $B$3*NORMDIST(J57,0,1,1),$B$3*NORMDIST(-J57,0,1,1) - B57*NORMDIST(-I57,0,1,1) ) - $G$3) * $P$3</f>
        <v/>
      </c>
      <c r="I57" s="142">
        <f>(LN(B57/$B$3)+($H$3^2/2)*($J$3))/($H$3*SQRT($J$3))</f>
        <v/>
      </c>
      <c r="J57" s="140">
        <f>I57 - $H$3*SQRT($J$3)</f>
        <v/>
      </c>
      <c r="L57" s="117" t="n"/>
      <c r="M57" s="141" t="n"/>
      <c r="N57" s="141" t="n"/>
    </row>
    <row r="58" ht="13.5" customHeight="1" s="116">
      <c r="B58" s="138">
        <f>B29</f>
        <v/>
      </c>
      <c r="C58" s="139">
        <f>IF($O$3="sell",-1,1) *  IF($K$3="call",  NORMDIST(I58,0,1,1),  NORMDIST(I58,0,1,1)-1  ) * $P$3</f>
        <v/>
      </c>
      <c r="D58" s="139">
        <f>IF($O$3="sell",-1,1) * NORMDIST(I58,0,1,0)/(B58*$H$3*SQRT($J$3)) * $P$3</f>
        <v/>
      </c>
      <c r="E58" s="139">
        <f>IF($O$3="sell",-1,1) * (B58*NORMDIST(I58,0,1,0)*SQRT($J$3)/365) * $P$3</f>
        <v/>
      </c>
      <c r="F58" s="139">
        <f>IF($O$3="sell",-1,1) * (-(B58*NORMDIST(I58,0,1,0)*$H$3)/(2*SQRT($J$3))/365) *$P$3</f>
        <v/>
      </c>
      <c r="G58" s="139">
        <f>IF($O$3="buy",1,-1)*( IF($K$3="call",B58*NORMDIST(I58,0,1,1) - $B$3*NORMDIST(J58,0,1,1),$B$3*NORMDIST(-J58,0,1,1) - B58*NORMDIST(-I58,0,1,1) ) - $G$3) * $P$3</f>
        <v/>
      </c>
      <c r="I58" s="142">
        <f>(LN(B58/$B$3)+($H$3^2/2)*($J$3))/($H$3*SQRT($J$3))</f>
        <v/>
      </c>
      <c r="J58" s="140">
        <f>I58 - $H$3*SQRT($J$3)</f>
        <v/>
      </c>
      <c r="L58" s="117" t="n"/>
      <c r="M58" s="141" t="n"/>
      <c r="N58" s="141" t="n"/>
    </row>
    <row r="59" ht="13.5" customHeight="1" s="116">
      <c r="B59" s="138">
        <f>B30</f>
        <v/>
      </c>
      <c r="C59" s="139">
        <f>IF($O$3="sell",-1,1) *  IF($K$3="call",  NORMDIST(I59,0,1,1),  NORMDIST(I59,0,1,1)-1  ) * $P$3</f>
        <v/>
      </c>
      <c r="D59" s="139">
        <f>IF($O$3="sell",-1,1) * NORMDIST(I59,0,1,0)/(B59*$H$3*SQRT($J$3)) * $P$3</f>
        <v/>
      </c>
      <c r="E59" s="139">
        <f>IF($O$3="sell",-1,1) * (B59*NORMDIST(I59,0,1,0)*SQRT($J$3)/365) * $P$3</f>
        <v/>
      </c>
      <c r="F59" s="139">
        <f>IF($O$3="sell",-1,1) * (-(B59*NORMDIST(I59,0,1,0)*$H$3)/(2*SQRT($J$3))/365) *$P$3</f>
        <v/>
      </c>
      <c r="G59" s="139">
        <f>IF($O$3="buy",1,-1)*( IF($K$3="call",B59*NORMDIST(I59,0,1,1) - $B$3*NORMDIST(J59,0,1,1),$B$3*NORMDIST(-J59,0,1,1) - B59*NORMDIST(-I59,0,1,1) ) - $G$3) * $P$3</f>
        <v/>
      </c>
      <c r="I59" s="142">
        <f>(LN(B59/$B$3)+($H$3^2/2)*($J$3))/($H$3*SQRT($J$3))</f>
        <v/>
      </c>
      <c r="J59" s="140">
        <f>I59 - $H$3*SQRT($J$3)</f>
        <v/>
      </c>
      <c r="L59" s="117" t="n"/>
      <c r="M59" s="141" t="n"/>
      <c r="N59" s="141" t="n"/>
    </row>
    <row r="60" ht="13.5" customHeight="1" s="116">
      <c r="B60" s="138">
        <f>B31</f>
        <v/>
      </c>
      <c r="C60" s="139">
        <f>IF($O$3="sell",-1,1) *  IF($K$3="call",  NORMDIST(I60,0,1,1),  NORMDIST(I60,0,1,1)-1  ) * $P$3</f>
        <v/>
      </c>
      <c r="D60" s="139">
        <f>IF($O$3="sell",-1,1) * NORMDIST(I60,0,1,0)/(B60*$H$3*SQRT($J$3)) * $P$3</f>
        <v/>
      </c>
      <c r="E60" s="139">
        <f>IF($O$3="sell",-1,1) * (B60*NORMDIST(I60,0,1,0)*SQRT($J$3)/365) * $P$3</f>
        <v/>
      </c>
      <c r="F60" s="139">
        <f>IF($O$3="sell",-1,1) * (-(B60*NORMDIST(I60,0,1,0)*$H$3)/(2*SQRT($J$3))/365) *$P$3</f>
        <v/>
      </c>
      <c r="G60" s="139">
        <f>IF($O$3="buy",1,-1)*( IF($K$3="call",B60*NORMDIST(I60,0,1,1) - $B$3*NORMDIST(J60,0,1,1),$B$3*NORMDIST(-J60,0,1,1) - B60*NORMDIST(-I60,0,1,1) ) - $G$3) * $P$3</f>
        <v/>
      </c>
      <c r="I60" s="142">
        <f>(LN(B60/$B$3)+($H$3^2/2)*($J$3))/($H$3*SQRT($J$3))</f>
        <v/>
      </c>
      <c r="J60" s="140">
        <f>I60 - $H$3*SQRT($J$3)</f>
        <v/>
      </c>
      <c r="L60" s="117" t="n"/>
      <c r="M60" s="141" t="n"/>
      <c r="N60" s="141" t="n"/>
    </row>
    <row r="61" ht="13.5" customHeight="1" s="116">
      <c r="B61" s="138">
        <f>B32</f>
        <v/>
      </c>
      <c r="C61" s="139">
        <f>IF($O$3="sell",-1,1) *  IF($K$3="call",  NORMDIST(I61,0,1,1),  NORMDIST(I61,0,1,1)-1  ) * $P$3</f>
        <v/>
      </c>
      <c r="D61" s="139">
        <f>IF($O$3="sell",-1,1) * NORMDIST(I61,0,1,0)/(B61*$H$3*SQRT($J$3)) * $P$3</f>
        <v/>
      </c>
      <c r="E61" s="139">
        <f>IF($O$3="sell",-1,1) * (B61*NORMDIST(I61,0,1,0)*SQRT($J$3)/365) * $P$3</f>
        <v/>
      </c>
      <c r="F61" s="139">
        <f>IF($O$3="sell",-1,1) * (-(B61*NORMDIST(I61,0,1,0)*$H$3)/(2*SQRT($J$3))/365) *$P$3</f>
        <v/>
      </c>
      <c r="G61" s="139">
        <f>IF($O$3="buy",1,-1)*( IF($K$3="call",B61*NORMDIST(I61,0,1,1) - $B$3*NORMDIST(J61,0,1,1),$B$3*NORMDIST(-J61,0,1,1) - B61*NORMDIST(-I61,0,1,1) ) - $G$3) * $P$3</f>
        <v/>
      </c>
      <c r="I61" s="142">
        <f>(LN(B61/$B$3)+($H$3^2/2)*($J$3))/($H$3*SQRT($J$3))</f>
        <v/>
      </c>
      <c r="J61" s="140">
        <f>I61 - $H$3*SQRT($J$3)</f>
        <v/>
      </c>
      <c r="L61" s="117" t="n"/>
      <c r="M61" s="141" t="n"/>
      <c r="N61" s="141" t="n"/>
    </row>
    <row r="62" ht="13.5" customHeight="1" s="116">
      <c r="B62" s="138">
        <f>B33</f>
        <v/>
      </c>
      <c r="C62" s="139">
        <f>IF($O$3="sell",-1,1) *  IF($K$3="call",  NORMDIST(I62,0,1,1),  NORMDIST(I62,0,1,1)-1  ) * $P$3</f>
        <v/>
      </c>
      <c r="D62" s="139">
        <f>IF($O$3="sell",-1,1) * NORMDIST(I62,0,1,0)/(B62*$H$3*SQRT($J$3)) * $P$3</f>
        <v/>
      </c>
      <c r="E62" s="139">
        <f>IF($O$3="sell",-1,1) * (B62*NORMDIST(I62,0,1,0)*SQRT($J$3)/365) * $P$3</f>
        <v/>
      </c>
      <c r="F62" s="139">
        <f>IF($O$3="sell",-1,1) * (-(B62*NORMDIST(I62,0,1,0)*$H$3)/(2*SQRT($J$3))/365) *$P$3</f>
        <v/>
      </c>
      <c r="G62" s="139">
        <f>IF($O$3="buy",1,-1)*( IF($K$3="call",B62*NORMDIST(I62,0,1,1) - $B$3*NORMDIST(J62,0,1,1),$B$3*NORMDIST(-J62,0,1,1) - B62*NORMDIST(-I62,0,1,1) ) - $G$3) * $P$3</f>
        <v/>
      </c>
      <c r="I62" s="142">
        <f>(LN(B62/$B$3)+($H$3^2/2)*($J$3))/($H$3*SQRT($J$3))</f>
        <v/>
      </c>
      <c r="J62" s="140">
        <f>I62 - $H$3*SQRT($J$3)</f>
        <v/>
      </c>
      <c r="L62" s="117" t="n"/>
      <c r="M62" s="141" t="n"/>
      <c r="N62" s="141" t="n"/>
    </row>
    <row r="63" ht="13.5" customHeight="1" s="116">
      <c r="B63" s="138">
        <f>B34</f>
        <v/>
      </c>
      <c r="C63" s="139">
        <f>IF($O$3="sell",-1,1) *  IF($K$3="call",  NORMDIST(I63,0,1,1),  NORMDIST(I63,0,1,1)-1  ) * $P$3</f>
        <v/>
      </c>
      <c r="D63" s="139">
        <f>IF($O$3="sell",-1,1) * NORMDIST(I63,0,1,0)/(B63*$H$3*SQRT($J$3)) * $P$3</f>
        <v/>
      </c>
      <c r="E63" s="139">
        <f>IF($O$3="sell",-1,1) * (B63*NORMDIST(I63,0,1,0)*SQRT($J$3)/365) * $P$3</f>
        <v/>
      </c>
      <c r="F63" s="139">
        <f>IF($O$3="sell",-1,1) * (-(B63*NORMDIST(I63,0,1,0)*$H$3)/(2*SQRT($J$3))/365) *$P$3</f>
        <v/>
      </c>
      <c r="G63" s="139">
        <f>IF($O$3="buy",1,-1)*( IF($K$3="call",B63*NORMDIST(I63,0,1,1) - $B$3*NORMDIST(J63,0,1,1),$B$3*NORMDIST(-J63,0,1,1) - B63*NORMDIST(-I63,0,1,1) ) - $G$3) * $P$3</f>
        <v/>
      </c>
      <c r="I63" s="142">
        <f>(LN(B63/$B$3)+($H$3^2/2)*($J$3))/($H$3*SQRT($J$3))</f>
        <v/>
      </c>
      <c r="J63" s="140">
        <f>I63 - $H$3*SQRT($J$3)</f>
        <v/>
      </c>
      <c r="L63" s="117" t="n"/>
      <c r="M63" s="141" t="n"/>
      <c r="N63" s="141" t="n"/>
    </row>
    <row r="64" ht="13.5" customHeight="1" s="116">
      <c r="B64" s="138">
        <f>B35</f>
        <v/>
      </c>
      <c r="C64" s="139">
        <f>IF($O$3="sell",-1,1) *  IF($K$3="call",  NORMDIST(I64,0,1,1),  NORMDIST(I64,0,1,1)-1  ) * $P$3</f>
        <v/>
      </c>
      <c r="D64" s="139">
        <f>IF($O$3="sell",-1,1) * NORMDIST(I64,0,1,0)/(B64*$H$3*SQRT($J$3)) * $P$3</f>
        <v/>
      </c>
      <c r="E64" s="139">
        <f>IF($O$3="sell",-1,1) * (B64*NORMDIST(I64,0,1,0)*SQRT($J$3)/365) * $P$3</f>
        <v/>
      </c>
      <c r="F64" s="139">
        <f>IF($O$3="sell",-1,1) * (-(B64*NORMDIST(I64,0,1,0)*$H$3)/(2*SQRT($J$3))/365) *$P$3</f>
        <v/>
      </c>
      <c r="G64" s="139">
        <f>IF($O$3="buy",1,-1)*( IF($K$3="call",B64*NORMDIST(I64,0,1,1) - $B$3*NORMDIST(J64,0,1,1),$B$3*NORMDIST(-J64,0,1,1) - B64*NORMDIST(-I64,0,1,1) ) - $G$3) * $P$3</f>
        <v/>
      </c>
      <c r="I64" s="142">
        <f>(LN(B64/$B$3)+($H$3^2/2)*($J$3))/($H$3*SQRT($J$3))</f>
        <v/>
      </c>
      <c r="J64" s="140">
        <f>I64 - $H$3*SQRT($J$3)</f>
        <v/>
      </c>
      <c r="L64" s="117" t="n"/>
      <c r="M64" s="141" t="n"/>
      <c r="N64" s="141" t="n"/>
    </row>
    <row r="65" ht="13.5" customHeight="1" s="116">
      <c r="B65" s="138">
        <f>B36</f>
        <v/>
      </c>
      <c r="C65" s="139">
        <f>IF($O$3="sell",-1,1) *  IF($K$3="call",  NORMDIST(I65,0,1,1),  NORMDIST(I65,0,1,1)-1  ) * $P$3</f>
        <v/>
      </c>
      <c r="D65" s="139">
        <f>IF($O$3="sell",-1,1) * NORMDIST(I65,0,1,0)/(B65*$H$3*SQRT($J$3)) * $P$3</f>
        <v/>
      </c>
      <c r="E65" s="139">
        <f>IF($O$3="sell",-1,1) * (B65*NORMDIST(I65,0,1,0)*SQRT($J$3)/365) * $P$3</f>
        <v/>
      </c>
      <c r="F65" s="139">
        <f>IF($O$3="sell",-1,1) * (-(B65*NORMDIST(I65,0,1,0)*$H$3)/(2*SQRT($J$3))/365) *$P$3</f>
        <v/>
      </c>
      <c r="G65" s="139">
        <f>IF($O$3="buy",1,-1)*( IF($K$3="call",B65*NORMDIST(I65,0,1,1) - $B$3*NORMDIST(J65,0,1,1),$B$3*NORMDIST(-J65,0,1,1) - B65*NORMDIST(-I65,0,1,1) ) - $G$3) * $P$3</f>
        <v/>
      </c>
      <c r="I65" s="142">
        <f>(LN(B65/$B$3)+($H$3^2/2)*($J$3))/($H$3*SQRT($J$3))</f>
        <v/>
      </c>
      <c r="J65" s="140">
        <f>I65 - $H$3*SQRT($J$3)</f>
        <v/>
      </c>
      <c r="L65" s="117" t="n"/>
      <c r="M65" s="141" t="n"/>
      <c r="N65" s="141" t="n"/>
    </row>
    <row r="66" ht="13.5" customHeight="1" s="116">
      <c r="B66" s="138">
        <f>B37</f>
        <v/>
      </c>
      <c r="C66" s="139">
        <f>IF($O$3="sell",-1,1) *  IF($K$3="call",  NORMDIST(I66,0,1,1),  NORMDIST(I66,0,1,1)-1  ) * $P$3</f>
        <v/>
      </c>
      <c r="D66" s="139">
        <f>IF($O$3="sell",-1,1) * NORMDIST(I66,0,1,0)/(B66*$H$3*SQRT($J$3)) * $P$3</f>
        <v/>
      </c>
      <c r="E66" s="139">
        <f>IF($O$3="sell",-1,1) * (B66*NORMDIST(I66,0,1,0)*SQRT($J$3)/365) * $P$3</f>
        <v/>
      </c>
      <c r="F66" s="139">
        <f>IF($O$3="sell",-1,1) * (-(B66*NORMDIST(I66,0,1,0)*$H$3)/(2*SQRT($J$3))/365) *$P$3</f>
        <v/>
      </c>
      <c r="G66" s="139">
        <f>IF($O$3="buy",1,-1)*( IF($K$3="call",B66*NORMDIST(I66,0,1,1) - $B$3*NORMDIST(J66,0,1,1),$B$3*NORMDIST(-J66,0,1,1) - B66*NORMDIST(-I66,0,1,1) ) - $G$3) * $P$3</f>
        <v/>
      </c>
      <c r="I66" s="142">
        <f>(LN(B66/$B$3)+($H$3^2/2)*($J$3))/($H$3*SQRT($J$3))</f>
        <v/>
      </c>
      <c r="J66" s="140">
        <f>I66 - $H$3*SQRT($J$3)</f>
        <v/>
      </c>
      <c r="L66" s="117" t="n"/>
      <c r="M66" s="141" t="n"/>
      <c r="N66" s="141" t="n"/>
    </row>
    <row r="67" ht="13.5" customHeight="1" s="116">
      <c r="B67" s="138">
        <f>B38</f>
        <v/>
      </c>
      <c r="C67" s="139">
        <f>IF($O$3="sell",-1,1) *  IF($K$3="call",  NORMDIST(I67,0,1,1),  NORMDIST(I67,0,1,1)-1  ) * $P$3</f>
        <v/>
      </c>
      <c r="D67" s="139">
        <f>IF($O$3="sell",-1,1) * NORMDIST(I67,0,1,0)/(B67*$H$3*SQRT($J$3)) * $P$3</f>
        <v/>
      </c>
      <c r="E67" s="139">
        <f>IF($O$3="sell",-1,1) * (B67*NORMDIST(I67,0,1,0)*SQRT($J$3)/365) * $P$3</f>
        <v/>
      </c>
      <c r="F67" s="139">
        <f>IF($O$3="sell",-1,1) * (-(B67*NORMDIST(I67,0,1,0)*$H$3)/(2*SQRT($J$3))/365) *$P$3</f>
        <v/>
      </c>
      <c r="G67" s="139">
        <f>IF($O$3="buy",1,-1)*( IF($K$3="call",B67*NORMDIST(I67,0,1,1) - $B$3*NORMDIST(J67,0,1,1),$B$3*NORMDIST(-J67,0,1,1) - B67*NORMDIST(-I67,0,1,1) ) - $G$3) * $P$3</f>
        <v/>
      </c>
      <c r="I67" s="142">
        <f>(LN(B67/$B$3)+($H$3^2/2)*($J$3))/($H$3*SQRT($J$3))</f>
        <v/>
      </c>
      <c r="J67" s="140">
        <f>I67 - $H$3*SQRT($J$3)</f>
        <v/>
      </c>
      <c r="L67" s="117" t="n"/>
      <c r="M67" s="141" t="n"/>
      <c r="N67" s="141" t="n"/>
    </row>
    <row r="68" ht="13.5" customHeight="1" s="116">
      <c r="B68" s="138">
        <f>B39</f>
        <v/>
      </c>
      <c r="C68" s="139">
        <f>IF($O$3="sell",-1,1) *  IF($K$3="call",  NORMDIST(I68,0,1,1),  NORMDIST(I68,0,1,1)-1  ) * $P$3</f>
        <v/>
      </c>
      <c r="D68" s="139">
        <f>IF($O$3="sell",-1,1) * NORMDIST(I68,0,1,0)/(B68*$H$3*SQRT($J$3)) * $P$3</f>
        <v/>
      </c>
      <c r="E68" s="139">
        <f>IF($O$3="sell",-1,1) * (B68*NORMDIST(I68,0,1,0)*SQRT($J$3)/365) * $P$3</f>
        <v/>
      </c>
      <c r="F68" s="139">
        <f>IF($O$3="sell",-1,1) * (-(B68*NORMDIST(I68,0,1,0)*$H$3)/(2*SQRT($J$3))/365) *$P$3</f>
        <v/>
      </c>
      <c r="G68" s="139">
        <f>IF($O$3="buy",1,-1)*( IF($K$3="call",B68*NORMDIST(I68,0,1,1) - $B$3*NORMDIST(J68,0,1,1),$B$3*NORMDIST(-J68,0,1,1) - B68*NORMDIST(-I68,0,1,1) ) - $G$3) * $P$3</f>
        <v/>
      </c>
      <c r="I68" s="142">
        <f>(LN(B68/$B$3)+($H$3^2/2)*($J$3))/($H$3*SQRT($J$3))</f>
        <v/>
      </c>
      <c r="J68" s="140">
        <f>I68 - $H$3*SQRT($J$3)</f>
        <v/>
      </c>
      <c r="L68" s="117" t="n"/>
      <c r="M68" s="141" t="n"/>
      <c r="N68" s="141" t="n"/>
    </row>
    <row r="69" ht="13.5" customHeight="1" s="116">
      <c r="B69" s="138">
        <f>B40</f>
        <v/>
      </c>
      <c r="C69" s="139">
        <f>IF($O$3="sell",-1,1) *  IF($K$3="call",  NORMDIST(I69,0,1,1),  NORMDIST(I69,0,1,1)-1  ) * $P$3</f>
        <v/>
      </c>
      <c r="D69" s="139">
        <f>IF($O$3="sell",-1,1) * NORMDIST(I69,0,1,0)/(B69*$H$3*SQRT($J$3)) * $P$3</f>
        <v/>
      </c>
      <c r="E69" s="139">
        <f>IF($O$3="sell",-1,1) * (B69*NORMDIST(I69,0,1,0)*SQRT($J$3)/365) * $P$3</f>
        <v/>
      </c>
      <c r="F69" s="139">
        <f>IF($O$3="sell",-1,1) * (-(B69*NORMDIST(I69,0,1,0)*$H$3)/(2*SQRT($J$3))/365) *$P$3</f>
        <v/>
      </c>
      <c r="G69" s="139">
        <f>IF($O$3="buy",1,-1)*( IF($K$3="call",B69*NORMDIST(I69,0,1,1) - $B$3*NORMDIST(J69,0,1,1),$B$3*NORMDIST(-J69,0,1,1) - B69*NORMDIST(-I69,0,1,1) ) - $G$3) * $P$3</f>
        <v/>
      </c>
      <c r="I69" s="142">
        <f>(LN(B69/$B$3)+($H$3^2/2)*($J$3))/($H$3*SQRT($J$3))</f>
        <v/>
      </c>
      <c r="J69" s="140">
        <f>I69 - $H$3*SQRT($J$3)</f>
        <v/>
      </c>
      <c r="L69" s="117" t="n"/>
      <c r="M69" s="141" t="n"/>
      <c r="N69" s="141" t="n"/>
    </row>
    <row r="70" ht="13.5" customHeight="1" s="116">
      <c r="B70" s="138">
        <f>B41</f>
        <v/>
      </c>
      <c r="C70" s="139">
        <f>IF($O$3="sell",-1,1) *  IF($K$3="call",  NORMDIST(I70,0,1,1),  NORMDIST(I70,0,1,1)-1  ) * $P$3</f>
        <v/>
      </c>
      <c r="D70" s="139">
        <f>IF($O$3="sell",-1,1) * NORMDIST(I70,0,1,0)/(B70*$H$3*SQRT($J$3)) * $P$3</f>
        <v/>
      </c>
      <c r="E70" s="139">
        <f>IF($O$3="sell",-1,1) * (B70*NORMDIST(I70,0,1,0)*SQRT($J$3)/365) * $P$3</f>
        <v/>
      </c>
      <c r="F70" s="139">
        <f>IF($O$3="sell",-1,1) * (-(B70*NORMDIST(I70,0,1,0)*$H$3)/(2*SQRT($J$3))/365) *$P$3</f>
        <v/>
      </c>
      <c r="G70" s="139">
        <f>IF($O$3="buy",1,-1)*( IF($K$3="call",B70*NORMDIST(I70,0,1,1) - $B$3*NORMDIST(J70,0,1,1),$B$3*NORMDIST(-J70,0,1,1) - B70*NORMDIST(-I70,0,1,1) ) - $G$3) * $P$3</f>
        <v/>
      </c>
      <c r="I70" s="142">
        <f>(LN(B70/$B$3)+($H$3^2/2)*($J$3))/($H$3*SQRT($J$3))</f>
        <v/>
      </c>
      <c r="J70" s="140">
        <f>I70 - $H$3*SQRT($J$3)</f>
        <v/>
      </c>
      <c r="L70" s="117" t="n"/>
      <c r="M70" s="141" t="n"/>
      <c r="N70" s="141" t="n"/>
    </row>
    <row r="71" ht="13.5" customHeight="1" s="116">
      <c r="B71" s="138">
        <f>B42</f>
        <v/>
      </c>
      <c r="C71" s="139">
        <f>IF($O$3="sell",-1,1) *  IF($K$3="call",  NORMDIST(I71,0,1,1),  NORMDIST(I71,0,1,1)-1  ) * $P$3</f>
        <v/>
      </c>
      <c r="D71" s="139">
        <f>IF($O$3="sell",-1,1) * NORMDIST(I71,0,1,0)/(B71*$H$3*SQRT($J$3)) * $P$3</f>
        <v/>
      </c>
      <c r="E71" s="139">
        <f>IF($O$3="sell",-1,1) * (B71*NORMDIST(I71,0,1,0)*SQRT($J$3)/365) * $P$3</f>
        <v/>
      </c>
      <c r="F71" s="139">
        <f>IF($O$3="sell",-1,1) * (-(B71*NORMDIST(I71,0,1,0)*$H$3)/(2*SQRT($J$3))/365) *$P$3</f>
        <v/>
      </c>
      <c r="G71" s="139">
        <f>IF($O$3="buy",1,-1)*( IF($K$3="call",B71*NORMDIST(I71,0,1,1) - $B$3*NORMDIST(J71,0,1,1),$B$3*NORMDIST(-J71,0,1,1) - B71*NORMDIST(-I71,0,1,1) ) - $G$3) * $P$3</f>
        <v/>
      </c>
      <c r="I71" s="142">
        <f>(LN(B71/$B$3)+($H$3^2/2)*($J$3))/($H$3*SQRT($J$3))</f>
        <v/>
      </c>
      <c r="J71" s="140">
        <f>I71 - $H$3*SQRT($J$3)</f>
        <v/>
      </c>
      <c r="L71" s="117" t="n"/>
      <c r="M71" s="141" t="n"/>
      <c r="N71" s="141" t="n"/>
    </row>
    <row r="72" ht="13.5" customHeight="1" s="116">
      <c r="B72" s="138">
        <f>B43</f>
        <v/>
      </c>
      <c r="C72" s="139">
        <f>IF($O$3="sell",-1,1) *  IF($K$3="call",  NORMDIST(I72,0,1,1),  NORMDIST(I72,0,1,1)-1  ) * $P$3</f>
        <v/>
      </c>
      <c r="D72" s="139">
        <f>IF($O$3="sell",-1,1) * NORMDIST(I72,0,1,0)/(B72*$H$3*SQRT($J$3)) * $P$3</f>
        <v/>
      </c>
      <c r="E72" s="139">
        <f>IF($O$3="sell",-1,1) * (B72*NORMDIST(I72,0,1,0)*SQRT($J$3)/365) * $P$3</f>
        <v/>
      </c>
      <c r="F72" s="139">
        <f>IF($O$3="sell",-1,1) * (-(B72*NORMDIST(I72,0,1,0)*$H$3)/(2*SQRT($J$3))/365) *$P$3</f>
        <v/>
      </c>
      <c r="G72" s="139">
        <f>IF($O$3="buy",1,-1)*( IF($K$3="call",B72*NORMDIST(I72,0,1,1) - $B$3*NORMDIST(J72,0,1,1),$B$3*NORMDIST(-J72,0,1,1) - B72*NORMDIST(-I72,0,1,1) ) - $G$3) * $P$3</f>
        <v/>
      </c>
      <c r="I72" s="142">
        <f>(LN(B72/$B$3)+($H$3^2/2)*($J$3))/($H$3*SQRT($J$3))</f>
        <v/>
      </c>
      <c r="J72" s="140">
        <f>I72 - $H$3*SQRT($J$3)</f>
        <v/>
      </c>
      <c r="L72" s="117" t="n"/>
      <c r="M72" s="141" t="n"/>
      <c r="N72" s="141" t="n"/>
    </row>
    <row r="73" ht="13.5" customHeight="1" s="116">
      <c r="B73" s="138">
        <f>B44</f>
        <v/>
      </c>
      <c r="C73" s="139">
        <f>IF($O$3="sell",-1,1) *  IF($K$3="call",  NORMDIST(I73,0,1,1),  NORMDIST(I73,0,1,1)-1  ) * $P$3</f>
        <v/>
      </c>
      <c r="D73" s="139">
        <f>IF($O$3="sell",-1,1) * NORMDIST(I73,0,1,0)/(B73*$H$3*SQRT($J$3)) * $P$3</f>
        <v/>
      </c>
      <c r="E73" s="139">
        <f>IF($O$3="sell",-1,1) * (B73*NORMDIST(I73,0,1,0)*SQRT($J$3)/365) * $P$3</f>
        <v/>
      </c>
      <c r="F73" s="139">
        <f>IF($O$3="sell",-1,1) * (-(B73*NORMDIST(I73,0,1,0)*$H$3)/(2*SQRT($J$3))/365) *$P$3</f>
        <v/>
      </c>
      <c r="G73" s="139">
        <f>IF($O$3="buy",1,-1)*( IF($K$3="call",B73*NORMDIST(I73,0,1,1) - $B$3*NORMDIST(J73,0,1,1),$B$3*NORMDIST(-J73,0,1,1) - B73*NORMDIST(-I73,0,1,1) ) - $G$3) * $P$3</f>
        <v/>
      </c>
      <c r="I73" s="142">
        <f>(LN(B73/$B$3)+($H$3^2/2)*($J$3))/($H$3*SQRT($J$3))</f>
        <v/>
      </c>
      <c r="J73" s="140">
        <f>I73 - $H$3*SQRT($J$3)</f>
        <v/>
      </c>
      <c r="L73" s="117" t="n"/>
      <c r="M73" s="141" t="n"/>
      <c r="N73" s="141" t="n"/>
    </row>
    <row r="74" ht="13.5" customHeight="1" s="116">
      <c r="B74" s="138">
        <f>B45</f>
        <v/>
      </c>
      <c r="C74" s="139">
        <f>IF($O$3="sell",-1,1) *  IF($K$3="call",  NORMDIST(I74,0,1,1),  NORMDIST(I74,0,1,1)-1  ) * $P$3</f>
        <v/>
      </c>
      <c r="D74" s="139">
        <f>IF($O$3="sell",-1,1) * NORMDIST(I74,0,1,0)/(B74*$H$3*SQRT($J$3)) * $P$3</f>
        <v/>
      </c>
      <c r="E74" s="139">
        <f>IF($O$3="sell",-1,1) * (B74*NORMDIST(I74,0,1,0)*SQRT($J$3)/365) * $P$3</f>
        <v/>
      </c>
      <c r="F74" s="139">
        <f>IF($O$3="sell",-1,1) * (-(B74*NORMDIST(I74,0,1,0)*$H$3)/(2*SQRT($J$3))/365) *$P$3</f>
        <v/>
      </c>
      <c r="G74" s="139">
        <f>IF($O$3="buy",1,-1)*( IF($K$3="call",B74*NORMDIST(I74,0,1,1) - $B$3*NORMDIST(J74,0,1,1),$B$3*NORMDIST(-J74,0,1,1) - B74*NORMDIST(-I74,0,1,1) ) - $G$3) * $P$3</f>
        <v/>
      </c>
      <c r="I74" s="142">
        <f>(LN(B74/$B$3)+($H$3^2/2)*($J$3))/($H$3*SQRT($J$3))</f>
        <v/>
      </c>
      <c r="J74" s="140">
        <f>I74 - $H$3*SQRT($J$3)</f>
        <v/>
      </c>
      <c r="L74" s="117" t="n"/>
      <c r="M74" s="141" t="n"/>
      <c r="N74" s="141" t="n"/>
    </row>
    <row r="76" ht="17.25" customHeight="1" s="116">
      <c r="B76" s="137" t="n"/>
      <c r="C76" s="133" t="inlineStr">
        <is>
          <t>delta</t>
        </is>
      </c>
      <c r="D76" s="133" t="inlineStr">
        <is>
          <t>gamma</t>
        </is>
      </c>
      <c r="E76" s="133" t="inlineStr">
        <is>
          <t>vega</t>
        </is>
      </c>
      <c r="F76" s="133" t="inlineStr">
        <is>
          <t>theta</t>
        </is>
      </c>
      <c r="G76" s="133" t="inlineStr">
        <is>
          <t>mark_price</t>
        </is>
      </c>
      <c r="I76" s="133" t="inlineStr">
        <is>
          <t>d1</t>
        </is>
      </c>
      <c r="J76" s="133" t="inlineStr">
        <is>
          <t>d2</t>
        </is>
      </c>
    </row>
    <row r="77" ht="13.5" customHeight="1" s="116">
      <c r="A77" s="117">
        <f>A4</f>
        <v/>
      </c>
      <c r="B77" s="144">
        <f>B48</f>
        <v/>
      </c>
      <c r="C77" s="139">
        <f>IF($O$4="sell",-1,1) *  IF($K$4="call",  NORMDIST(I77,0,1,1),  NORMDIST(I77,0,1,1)-1  ) * $P$4</f>
        <v/>
      </c>
      <c r="D77" s="139">
        <f>IF($O$4="sell",-1,1) * NORMDIST(I77,0,1,0)/(B77*$H$4*SQRT($J$4)) * $P$4</f>
        <v/>
      </c>
      <c r="E77" s="139">
        <f>IF($O$4="sell",-1,1) * (B77*NORMDIST(I77,0,1,0)*SQRT($J$4)/365) * $P$4</f>
        <v/>
      </c>
      <c r="F77" s="139">
        <f>IF($O$4="sell",-1,1) * (-(B77*NORMDIST(I77,0,1,0)*$H$4)/(2*SQRT($J$4))/365) *$P$4</f>
        <v/>
      </c>
      <c r="G77" s="139">
        <f>IF($O$4="buy",1,-1)*( IF($K$4="call",B77*NORMDIST(I77,0,1,1) - $B$4*NORMDIST(J77,0,1,1),$B$4*NORMDIST(-J77,0,1,1) - B77*NORMDIST(-I77,0,1,1) ) - $G$4) * $P$4</f>
        <v/>
      </c>
      <c r="I77" s="140">
        <f>(LN(B77/$B$4)+($H$4^2/2)*($J$4))/($H$4*SQRT($J$4))</f>
        <v/>
      </c>
      <c r="J77" s="140">
        <f>I77 - $H$4*SQRT($J$4)</f>
        <v/>
      </c>
    </row>
    <row r="78" ht="13.5" customHeight="1" s="116">
      <c r="B78" s="144">
        <f>B49</f>
        <v/>
      </c>
      <c r="C78" s="139">
        <f>IF($O$4="sell",-1,1) *  IF($K$4="call",  NORMDIST(I78,0,1,1),  NORMDIST(I78,0,1,1)-1  ) * $P$4</f>
        <v/>
      </c>
      <c r="D78" s="139">
        <f>IF($O$4="sell",-1,1) * NORMDIST(I78,0,1,0)/(B78*$H$4*SQRT($J$4)) * $P$4</f>
        <v/>
      </c>
      <c r="E78" s="139">
        <f>IF($O$4="sell",-1,1) * (B78*NORMDIST(I78,0,1,0)*SQRT($J$4)/365) * $P$4</f>
        <v/>
      </c>
      <c r="F78" s="139">
        <f>IF($O$4="sell",-1,1) * (-(B78*NORMDIST(I78,0,1,0)*$H$4)/(2*SQRT($J$4))/365) *$P$4</f>
        <v/>
      </c>
      <c r="G78" s="139">
        <f>IF($O$4="buy",1,-1)*( IF($K$4="call",B78*NORMDIST(I78,0,1,1) - $B$4*NORMDIST(J78,0,1,1),$B$4*NORMDIST(-J78,0,1,1) - B78*NORMDIST(-I78,0,1,1) ) - $G$4) * $P$4</f>
        <v/>
      </c>
      <c r="I78" s="140">
        <f>(LN(B78/$B$4)+($H$4^2/2)*($J$4))/($H$4*SQRT($J$4))</f>
        <v/>
      </c>
      <c r="J78" s="140">
        <f>I78 - $H$4*SQRT($J$4)</f>
        <v/>
      </c>
    </row>
    <row r="79" ht="13.5" customHeight="1" s="116">
      <c r="B79" s="144">
        <f>B50</f>
        <v/>
      </c>
      <c r="C79" s="139">
        <f>IF($O$4="sell",-1,1) *  IF($K$4="call",  NORMDIST(I79,0,1,1),  NORMDIST(I79,0,1,1)-1  ) * $P$4</f>
        <v/>
      </c>
      <c r="D79" s="139">
        <f>IF($O$4="sell",-1,1) * NORMDIST(I79,0,1,0)/(B79*$H$4*SQRT($J$4)) * $P$4</f>
        <v/>
      </c>
      <c r="E79" s="139">
        <f>IF($O$4="sell",-1,1) * (B79*NORMDIST(I79,0,1,0)*SQRT($J$4)/365) * $P$4</f>
        <v/>
      </c>
      <c r="F79" s="139">
        <f>IF($O$4="sell",-1,1) * (-(B79*NORMDIST(I79,0,1,0)*$H$4)/(2*SQRT($J$4))/365) *$P$4</f>
        <v/>
      </c>
      <c r="G79" s="139">
        <f>IF($O$4="buy",1,-1)*( IF($K$4="call",B79*NORMDIST(I79,0,1,1) - $B$4*NORMDIST(J79,0,1,1),$B$4*NORMDIST(-J79,0,1,1) - B79*NORMDIST(-I79,0,1,1) ) - $G$4) * $P$4</f>
        <v/>
      </c>
      <c r="I79" s="140">
        <f>(LN(B79/$B$4)+($H$4^2/2)*($J$4))/($H$4*SQRT($J$4))</f>
        <v/>
      </c>
      <c r="J79" s="140">
        <f>I79 - $H$4*SQRT($J$4)</f>
        <v/>
      </c>
    </row>
    <row r="80" ht="13.5" customHeight="1" s="116">
      <c r="B80" s="144">
        <f>B51</f>
        <v/>
      </c>
      <c r="C80" s="139">
        <f>IF($O$4="sell",-1,1) *  IF($K$4="call",  NORMDIST(I80,0,1,1),  NORMDIST(I80,0,1,1)-1  ) * $P$4</f>
        <v/>
      </c>
      <c r="D80" s="139">
        <f>IF($O$4="sell",-1,1) * NORMDIST(I80,0,1,0)/(B80*$H$4*SQRT($J$4)) * $P$4</f>
        <v/>
      </c>
      <c r="E80" s="139">
        <f>IF($O$4="sell",-1,1) * (B80*NORMDIST(I80,0,1,0)*SQRT($J$4)/365) * $P$4</f>
        <v/>
      </c>
      <c r="F80" s="139">
        <f>IF($O$4="sell",-1,1) * (-(B80*NORMDIST(I80,0,1,0)*$H$4)/(2*SQRT($J$4))/365) *$P$4</f>
        <v/>
      </c>
      <c r="G80" s="139">
        <f>IF($O$4="buy",1,-1)*( IF($K$4="call",B80*NORMDIST(I80,0,1,1) - $B$4*NORMDIST(J80,0,1,1),$B$4*NORMDIST(-J80,0,1,1) - B80*NORMDIST(-I80,0,1,1) ) - $G$4) * $P$4</f>
        <v/>
      </c>
      <c r="I80" s="140">
        <f>(LN(B80/$B$4)+($H$4^2/2)*($J$4))/($H$4*SQRT($J$4))</f>
        <v/>
      </c>
      <c r="J80" s="140">
        <f>I80 - $H$4*SQRT($J$4)</f>
        <v/>
      </c>
    </row>
    <row r="81" ht="13.5" customHeight="1" s="116">
      <c r="B81" s="144">
        <f>B52</f>
        <v/>
      </c>
      <c r="C81" s="139">
        <f>IF($O$4="sell",-1,1) *  IF($K$4="call",  NORMDIST(I81,0,1,1),  NORMDIST(I81,0,1,1)-1  ) * $P$4</f>
        <v/>
      </c>
      <c r="D81" s="139">
        <f>IF($O$4="sell",-1,1) * NORMDIST(I81,0,1,0)/(B81*$H$4*SQRT($J$4)) * $P$4</f>
        <v/>
      </c>
      <c r="E81" s="139">
        <f>IF($O$4="sell",-1,1) * (B81*NORMDIST(I81,0,1,0)*SQRT($J$4)/365) * $P$4</f>
        <v/>
      </c>
      <c r="F81" s="139">
        <f>IF($O$4="sell",-1,1) * (-(B81*NORMDIST(I81,0,1,0)*$H$4)/(2*SQRT($J$4))/365) *$P$4</f>
        <v/>
      </c>
      <c r="G81" s="139">
        <f>IF($O$4="buy",1,-1)*( IF($K$4="call",B81*NORMDIST(I81,0,1,1) - $B$4*NORMDIST(J81,0,1,1),$B$4*NORMDIST(-J81,0,1,1) - B81*NORMDIST(-I81,0,1,1) ) - $G$4) * $P$4</f>
        <v/>
      </c>
      <c r="I81" s="140">
        <f>(LN(B81/$B$4)+($H$4^2/2)*($J$4))/($H$4*SQRT($J$4))</f>
        <v/>
      </c>
      <c r="J81" s="140">
        <f>I81 - $H$4*SQRT($J$4)</f>
        <v/>
      </c>
    </row>
    <row r="82" ht="13.5" customHeight="1" s="116">
      <c r="B82" s="144">
        <f>B53</f>
        <v/>
      </c>
      <c r="C82" s="139">
        <f>IF($O$4="sell",-1,1) *  IF($K$4="call",  NORMDIST(I82,0,1,1),  NORMDIST(I82,0,1,1)-1  ) * $P$4</f>
        <v/>
      </c>
      <c r="D82" s="139">
        <f>IF($O$4="sell",-1,1) * NORMDIST(I82,0,1,0)/(B82*$H$4*SQRT($J$4)) * $P$4</f>
        <v/>
      </c>
      <c r="E82" s="139">
        <f>IF($O$4="sell",-1,1) * (B82*NORMDIST(I82,0,1,0)*SQRT($J$4)/365) * $P$4</f>
        <v/>
      </c>
      <c r="F82" s="139">
        <f>IF($O$4="sell",-1,1) * (-(B82*NORMDIST(I82,0,1,0)*$H$4)/(2*SQRT($J$4))/365) *$P$4</f>
        <v/>
      </c>
      <c r="G82" s="139">
        <f>IF($O$4="buy",1,-1)*( IF($K$4="call",B82*NORMDIST(I82,0,1,1) - $B$4*NORMDIST(J82,0,1,1),$B$4*NORMDIST(-J82,0,1,1) - B82*NORMDIST(-I82,0,1,1) ) - $G$4) * $P$4</f>
        <v/>
      </c>
      <c r="I82" s="140">
        <f>(LN(B82/$B$4)+($H$4^2/2)*($J$4))/($H$4*SQRT($J$4))</f>
        <v/>
      </c>
      <c r="J82" s="140">
        <f>I82 - $H$4*SQRT($J$4)</f>
        <v/>
      </c>
    </row>
    <row r="83" ht="13.5" customHeight="1" s="116">
      <c r="B83" s="144">
        <f>B54</f>
        <v/>
      </c>
      <c r="C83" s="139">
        <f>IF($O$4="sell",-1,1) *  IF($K$4="call",  NORMDIST(I83,0,1,1),  NORMDIST(I83,0,1,1)-1  ) * $P$4</f>
        <v/>
      </c>
      <c r="D83" s="139">
        <f>IF($O$4="sell",-1,1) * NORMDIST(I83,0,1,0)/(B83*$H$4*SQRT($J$4)) * $P$4</f>
        <v/>
      </c>
      <c r="E83" s="139">
        <f>IF($O$4="sell",-1,1) * (B83*NORMDIST(I83,0,1,0)*SQRT($J$4)/365) * $P$4</f>
        <v/>
      </c>
      <c r="F83" s="139">
        <f>IF($O$4="sell",-1,1) * (-(B83*NORMDIST(I83,0,1,0)*$H$4)/(2*SQRT($J$4))/365) *$P$4</f>
        <v/>
      </c>
      <c r="G83" s="139">
        <f>IF($O$4="buy",1,-1)*( IF($K$4="call",B83*NORMDIST(I83,0,1,1) - $B$4*NORMDIST(J83,0,1,1),$B$4*NORMDIST(-J83,0,1,1) - B83*NORMDIST(-I83,0,1,1) ) - $G$4) * $P$4</f>
        <v/>
      </c>
      <c r="I83" s="140">
        <f>(LN(B83/$B$4)+($H$4^2/2)*($J$4))/($H$4*SQRT($J$4))</f>
        <v/>
      </c>
      <c r="J83" s="140">
        <f>I83 - $H$4*SQRT($J$4)</f>
        <v/>
      </c>
    </row>
    <row r="84" ht="13.5" customHeight="1" s="116">
      <c r="B84" s="144">
        <f>B55</f>
        <v/>
      </c>
      <c r="C84" s="139">
        <f>IF($O$4="sell",-1,1) *  IF($K$4="call",  NORMDIST(I84,0,1,1),  NORMDIST(I84,0,1,1)-1  ) * $P$4</f>
        <v/>
      </c>
      <c r="D84" s="139">
        <f>IF($O$4="sell",-1,1) * NORMDIST(I84,0,1,0)/(B84*$H$4*SQRT($J$4)) * $P$4</f>
        <v/>
      </c>
      <c r="E84" s="139">
        <f>IF($O$4="sell",-1,1) * (B84*NORMDIST(I84,0,1,0)*SQRT($J$4)/365) * $P$4</f>
        <v/>
      </c>
      <c r="F84" s="139">
        <f>IF($O$4="sell",-1,1) * (-(B84*NORMDIST(I84,0,1,0)*$H$4)/(2*SQRT($J$4))/365) *$P$4</f>
        <v/>
      </c>
      <c r="G84" s="139">
        <f>IF($O$4="buy",1,-1)*( IF($K$4="call",B84*NORMDIST(I84,0,1,1) - $B$4*NORMDIST(J84,0,1,1),$B$4*NORMDIST(-J84,0,1,1) - B84*NORMDIST(-I84,0,1,1) ) - $G$4) * $P$4</f>
        <v/>
      </c>
      <c r="I84" s="140">
        <f>(LN(B84/$B$4)+($H$4^2/2)*($J$4))/($H$4*SQRT($J$4))</f>
        <v/>
      </c>
      <c r="J84" s="140">
        <f>I84 - $H$4*SQRT($J$4)</f>
        <v/>
      </c>
    </row>
    <row r="85" ht="13.5" customHeight="1" s="116">
      <c r="B85" s="144">
        <f>B56</f>
        <v/>
      </c>
      <c r="C85" s="139">
        <f>IF($O$4="sell",-1,1) *  IF($K$4="call",  NORMDIST(I85,0,1,1),  NORMDIST(I85,0,1,1)-1  ) * $P$4</f>
        <v/>
      </c>
      <c r="D85" s="139">
        <f>IF($O$4="sell",-1,1) * NORMDIST(I85,0,1,0)/(B85*$H$4*SQRT($J$4)) * $P$4</f>
        <v/>
      </c>
      <c r="E85" s="139">
        <f>IF($O$4="sell",-1,1) * (B85*NORMDIST(I85,0,1,0)*SQRT($J$4)/365) * $P$4</f>
        <v/>
      </c>
      <c r="F85" s="139">
        <f>IF($O$4="sell",-1,1) * (-(B85*NORMDIST(I85,0,1,0)*$H$4)/(2*SQRT($J$4))/365) *$P$4</f>
        <v/>
      </c>
      <c r="G85" s="139">
        <f>IF($O$4="buy",1,-1)*( IF($K$4="call",B85*NORMDIST(I85,0,1,1) - $B$4*NORMDIST(J85,0,1,1),$B$4*NORMDIST(-J85,0,1,1) - B85*NORMDIST(-I85,0,1,1) ) - $G$4) * $P$4</f>
        <v/>
      </c>
      <c r="I85" s="140">
        <f>(LN(B85/$B$4)+($H$4^2/2)*($J$4))/($H$4*SQRT($J$4))</f>
        <v/>
      </c>
      <c r="J85" s="140">
        <f>I85 - $H$4*SQRT($J$4)</f>
        <v/>
      </c>
    </row>
    <row r="86" ht="13.5" customHeight="1" s="116">
      <c r="B86" s="144">
        <f>B57</f>
        <v/>
      </c>
      <c r="C86" s="139">
        <f>IF($O$4="sell",-1,1) *  IF($K$4="call",  NORMDIST(I86,0,1,1),  NORMDIST(I86,0,1,1)-1  ) * $P$4</f>
        <v/>
      </c>
      <c r="D86" s="139">
        <f>IF($O$4="sell",-1,1) * NORMDIST(I86,0,1,0)/(B86*$H$4*SQRT($J$4)) * $P$4</f>
        <v/>
      </c>
      <c r="E86" s="139">
        <f>IF($O$4="sell",-1,1) * (B86*NORMDIST(I86,0,1,0)*SQRT($J$4)/365) * $P$4</f>
        <v/>
      </c>
      <c r="F86" s="139">
        <f>IF($O$4="sell",-1,1) * (-(B86*NORMDIST(I86,0,1,0)*$H$4)/(2*SQRT($J$4))/365) *$P$4</f>
        <v/>
      </c>
      <c r="G86" s="139">
        <f>IF($O$4="buy",1,-1)*( IF($K$4="call",B86*NORMDIST(I86,0,1,1) - $B$4*NORMDIST(J86,0,1,1),$B$4*NORMDIST(-J86,0,1,1) - B86*NORMDIST(-I86,0,1,1) ) - $G$4) * $P$4</f>
        <v/>
      </c>
      <c r="I86" s="140">
        <f>(LN(B86/$B$4)+($H$4^2/2)*($J$4))/($H$4*SQRT($J$4))</f>
        <v/>
      </c>
      <c r="J86" s="140">
        <f>I86 - $H$4*SQRT($J$4)</f>
        <v/>
      </c>
    </row>
    <row r="87" ht="13.5" customHeight="1" s="116">
      <c r="B87" s="144">
        <f>B58</f>
        <v/>
      </c>
      <c r="C87" s="139">
        <f>IF($O$4="sell",-1,1) *  IF($K$4="call",  NORMDIST(I87,0,1,1),  NORMDIST(I87,0,1,1)-1  ) * $P$4</f>
        <v/>
      </c>
      <c r="D87" s="139">
        <f>IF($O$4="sell",-1,1) * NORMDIST(I87,0,1,0)/(B87*$H$4*SQRT($J$4)) * $P$4</f>
        <v/>
      </c>
      <c r="E87" s="139">
        <f>IF($O$4="sell",-1,1) * (B87*NORMDIST(I87,0,1,0)*SQRT($J$4)/365) * $P$4</f>
        <v/>
      </c>
      <c r="F87" s="139">
        <f>IF($O$4="sell",-1,1) * (-(B87*NORMDIST(I87,0,1,0)*$H$4)/(2*SQRT($J$4))/365) *$P$4</f>
        <v/>
      </c>
      <c r="G87" s="139">
        <f>IF($O$4="buy",1,-1)*( IF($K$4="call",B87*NORMDIST(I87,0,1,1) - $B$4*NORMDIST(J87,0,1,1),$B$4*NORMDIST(-J87,0,1,1) - B87*NORMDIST(-I87,0,1,1) ) - $G$4) * $P$4</f>
        <v/>
      </c>
      <c r="I87" s="140">
        <f>(LN(B87/$B$4)+($H$4^2/2)*($J$4))/($H$4*SQRT($J$4))</f>
        <v/>
      </c>
      <c r="J87" s="140">
        <f>I87 - $H$4*SQRT($J$4)</f>
        <v/>
      </c>
    </row>
    <row r="88" ht="13.5" customHeight="1" s="116">
      <c r="B88" s="144">
        <f>B59</f>
        <v/>
      </c>
      <c r="C88" s="139">
        <f>IF($O$4="sell",-1,1) *  IF($K$4="call",  NORMDIST(I88,0,1,1),  NORMDIST(I88,0,1,1)-1  ) * $P$4</f>
        <v/>
      </c>
      <c r="D88" s="139">
        <f>IF($O$4="sell",-1,1) * NORMDIST(I88,0,1,0)/(B88*$H$4*SQRT($J$4)) * $P$4</f>
        <v/>
      </c>
      <c r="E88" s="139">
        <f>IF($O$4="sell",-1,1) * (B88*NORMDIST(I88,0,1,0)*SQRT($J$4)/365) * $P$4</f>
        <v/>
      </c>
      <c r="F88" s="139">
        <f>IF($O$4="sell",-1,1) * (-(B88*NORMDIST(I88,0,1,0)*$H$4)/(2*SQRT($J$4))/365) *$P$4</f>
        <v/>
      </c>
      <c r="G88" s="139">
        <f>IF($O$4="buy",1,-1)*( IF($K$4="call",B88*NORMDIST(I88,0,1,1) - $B$4*NORMDIST(J88,0,1,1),$B$4*NORMDIST(-J88,0,1,1) - B88*NORMDIST(-I88,0,1,1) ) - $G$4) * $P$4</f>
        <v/>
      </c>
      <c r="I88" s="140">
        <f>(LN(B88/$B$4)+($H$4^2/2)*($J$4))/($H$4*SQRT($J$4))</f>
        <v/>
      </c>
      <c r="J88" s="140">
        <f>I88 - $H$4*SQRT($J$4)</f>
        <v/>
      </c>
    </row>
    <row r="89" ht="13.5" customHeight="1" s="116">
      <c r="B89" s="144">
        <f>B60</f>
        <v/>
      </c>
      <c r="C89" s="139">
        <f>IF($O$4="sell",-1,1) *  IF($K$4="call",  NORMDIST(I89,0,1,1),  NORMDIST(I89,0,1,1)-1  ) * $P$4</f>
        <v/>
      </c>
      <c r="D89" s="139">
        <f>IF($O$4="sell",-1,1) * NORMDIST(I89,0,1,0)/(B89*$H$4*SQRT($J$4)) * $P$4</f>
        <v/>
      </c>
      <c r="E89" s="139">
        <f>IF($O$4="sell",-1,1) * (B89*NORMDIST(I89,0,1,0)*SQRT($J$4)/365) * $P$4</f>
        <v/>
      </c>
      <c r="F89" s="139">
        <f>IF($O$4="sell",-1,1) * (-(B89*NORMDIST(I89,0,1,0)*$H$4)/(2*SQRT($J$4))/365) *$P$4</f>
        <v/>
      </c>
      <c r="G89" s="139">
        <f>IF($O$4="buy",1,-1)*( IF($K$4="call",B89*NORMDIST(I89,0,1,1) - $B$4*NORMDIST(J89,0,1,1),$B$4*NORMDIST(-J89,0,1,1) - B89*NORMDIST(-I89,0,1,1) ) - $G$4) * $P$4</f>
        <v/>
      </c>
      <c r="I89" s="140">
        <f>(LN(B89/$B$4)+($H$4^2/2)*($J$4))/($H$4*SQRT($J$4))</f>
        <v/>
      </c>
      <c r="J89" s="140">
        <f>I89 - $H$4*SQRT($J$4)</f>
        <v/>
      </c>
    </row>
    <row r="90" ht="13.5" customHeight="1" s="116">
      <c r="B90" s="144">
        <f>B61</f>
        <v/>
      </c>
      <c r="C90" s="139">
        <f>IF($O$4="sell",-1,1) *  IF($K$4="call",  NORMDIST(I90,0,1,1),  NORMDIST(I90,0,1,1)-1  ) * $P$4</f>
        <v/>
      </c>
      <c r="D90" s="139">
        <f>IF($O$4="sell",-1,1) * NORMDIST(I90,0,1,0)/(B90*$H$4*SQRT($J$4)) * $P$4</f>
        <v/>
      </c>
      <c r="E90" s="139">
        <f>IF($O$4="sell",-1,1) * (B90*NORMDIST(I90,0,1,0)*SQRT($J$4)/365) * $P$4</f>
        <v/>
      </c>
      <c r="F90" s="139">
        <f>IF($O$4="sell",-1,1) * (-(B90*NORMDIST(I90,0,1,0)*$H$4)/(2*SQRT($J$4))/365) *$P$4</f>
        <v/>
      </c>
      <c r="G90" s="139">
        <f>IF($O$4="buy",1,-1)*( IF($K$4="call",B90*NORMDIST(I90,0,1,1) - $B$4*NORMDIST(J90,0,1,1),$B$4*NORMDIST(-J90,0,1,1) - B90*NORMDIST(-I90,0,1,1) ) - $G$4) * $P$4</f>
        <v/>
      </c>
      <c r="I90" s="140">
        <f>(LN(B90/$B$4)+($H$4^2/2)*($J$4))/($H$4*SQRT($J$4))</f>
        <v/>
      </c>
      <c r="J90" s="140">
        <f>I90 - $H$4*SQRT($J$4)</f>
        <v/>
      </c>
    </row>
    <row r="91" ht="13.5" customHeight="1" s="116">
      <c r="B91" s="144">
        <f>B62</f>
        <v/>
      </c>
      <c r="C91" s="139">
        <f>IF($O$4="sell",-1,1) *  IF($K$4="call",  NORMDIST(I91,0,1,1),  NORMDIST(I91,0,1,1)-1  ) * $P$4</f>
        <v/>
      </c>
      <c r="D91" s="139">
        <f>IF($O$4="sell",-1,1) * NORMDIST(I91,0,1,0)/(B91*$H$4*SQRT($J$4)) * $P$4</f>
        <v/>
      </c>
      <c r="E91" s="139">
        <f>IF($O$4="sell",-1,1) * (B91*NORMDIST(I91,0,1,0)*SQRT($J$4)/365) * $P$4</f>
        <v/>
      </c>
      <c r="F91" s="139">
        <f>IF($O$4="sell",-1,1) * (-(B91*NORMDIST(I91,0,1,0)*$H$4)/(2*SQRT($J$4))/365) *$P$4</f>
        <v/>
      </c>
      <c r="G91" s="139">
        <f>IF($O$4="buy",1,-1)*( IF($K$4="call",B91*NORMDIST(I91,0,1,1) - $B$4*NORMDIST(J91,0,1,1),$B$4*NORMDIST(-J91,0,1,1) - B91*NORMDIST(-I91,0,1,1) ) - $G$4) * $P$4</f>
        <v/>
      </c>
      <c r="I91" s="140">
        <f>(LN(B91/$B$4)+($H$4^2/2)*($J$4))/($H$4*SQRT($J$4))</f>
        <v/>
      </c>
      <c r="J91" s="140">
        <f>I91 - $H$4*SQRT($J$4)</f>
        <v/>
      </c>
    </row>
    <row r="92" ht="13.5" customHeight="1" s="116">
      <c r="B92" s="144">
        <f>B63</f>
        <v/>
      </c>
      <c r="C92" s="139">
        <f>IF($O$4="sell",-1,1) *  IF($K$4="call",  NORMDIST(I92,0,1,1),  NORMDIST(I92,0,1,1)-1  ) * $P$4</f>
        <v/>
      </c>
      <c r="D92" s="139">
        <f>IF($O$4="sell",-1,1) * NORMDIST(I92,0,1,0)/(B92*$H$4*SQRT($J$4)) * $P$4</f>
        <v/>
      </c>
      <c r="E92" s="139">
        <f>IF($O$4="sell",-1,1) * (B92*NORMDIST(I92,0,1,0)*SQRT($J$4)/365) * $P$4</f>
        <v/>
      </c>
      <c r="F92" s="139">
        <f>IF($O$4="sell",-1,1) * (-(B92*NORMDIST(I92,0,1,0)*$H$4)/(2*SQRT($J$4))/365) *$P$4</f>
        <v/>
      </c>
      <c r="G92" s="139">
        <f>IF($O$4="buy",1,-1)*( IF($K$4="call",B92*NORMDIST(I92,0,1,1) - $B$4*NORMDIST(J92,0,1,1),$B$4*NORMDIST(-J92,0,1,1) - B92*NORMDIST(-I92,0,1,1) ) - $G$4) * $P$4</f>
        <v/>
      </c>
      <c r="I92" s="140">
        <f>(LN(B92/$B$4)+($H$4^2/2)*($J$4))/($H$4*SQRT($J$4))</f>
        <v/>
      </c>
      <c r="J92" s="140">
        <f>I92 - $H$4*SQRT($J$4)</f>
        <v/>
      </c>
    </row>
    <row r="93" ht="13.5" customHeight="1" s="116">
      <c r="B93" s="144">
        <f>B64</f>
        <v/>
      </c>
      <c r="C93" s="139">
        <f>IF($O$4="sell",-1,1) *  IF($K$4="call",  NORMDIST(I93,0,1,1),  NORMDIST(I93,0,1,1)-1  ) * $P$4</f>
        <v/>
      </c>
      <c r="D93" s="139">
        <f>IF($O$4="sell",-1,1) * NORMDIST(I93,0,1,0)/(B93*$H$4*SQRT($J$4)) * $P$4</f>
        <v/>
      </c>
      <c r="E93" s="139">
        <f>IF($O$4="sell",-1,1) * (B93*NORMDIST(I93,0,1,0)*SQRT($J$4)/365) * $P$4</f>
        <v/>
      </c>
      <c r="F93" s="139">
        <f>IF($O$4="sell",-1,1) * (-(B93*NORMDIST(I93,0,1,0)*$H$4)/(2*SQRT($J$4))/365) *$P$4</f>
        <v/>
      </c>
      <c r="G93" s="139">
        <f>IF($O$4="buy",1,-1)*( IF($K$4="call",B93*NORMDIST(I93,0,1,1) - $B$4*NORMDIST(J93,0,1,1),$B$4*NORMDIST(-J93,0,1,1) - B93*NORMDIST(-I93,0,1,1) ) - $G$4) * $P$4</f>
        <v/>
      </c>
      <c r="I93" s="140">
        <f>(LN(B93/$B$4)+($H$4^2/2)*($J$4))/($H$4*SQRT($J$4))</f>
        <v/>
      </c>
      <c r="J93" s="140">
        <f>I93 - $H$4*SQRT($J$4)</f>
        <v/>
      </c>
    </row>
    <row r="94" ht="13.5" customHeight="1" s="116">
      <c r="B94" s="144">
        <f>B65</f>
        <v/>
      </c>
      <c r="C94" s="139">
        <f>IF($O$4="sell",-1,1) *  IF($K$4="call",  NORMDIST(I94,0,1,1),  NORMDIST(I94,0,1,1)-1  ) * $P$4</f>
        <v/>
      </c>
      <c r="D94" s="139">
        <f>IF($O$4="sell",-1,1) * NORMDIST(I94,0,1,0)/(B94*$H$4*SQRT($J$4)) * $P$4</f>
        <v/>
      </c>
      <c r="E94" s="139">
        <f>IF($O$4="sell",-1,1) * (B94*NORMDIST(I94,0,1,0)*SQRT($J$4)/365) * $P$4</f>
        <v/>
      </c>
      <c r="F94" s="139">
        <f>IF($O$4="sell",-1,1) * (-(B94*NORMDIST(I94,0,1,0)*$H$4)/(2*SQRT($J$4))/365) *$P$4</f>
        <v/>
      </c>
      <c r="G94" s="139">
        <f>IF($O$4="buy",1,-1)*( IF($K$4="call",B94*NORMDIST(I94,0,1,1) - $B$4*NORMDIST(J94,0,1,1),$B$4*NORMDIST(-J94,0,1,1) - B94*NORMDIST(-I94,0,1,1) ) - $G$4) * $P$4</f>
        <v/>
      </c>
      <c r="I94" s="140">
        <f>(LN(B94/$B$4)+($H$4^2/2)*($J$4))/($H$4*SQRT($J$4))</f>
        <v/>
      </c>
      <c r="J94" s="140">
        <f>I94 - $H$4*SQRT($J$4)</f>
        <v/>
      </c>
    </row>
    <row r="95" ht="13.5" customHeight="1" s="116">
      <c r="B95" s="144">
        <f>B66</f>
        <v/>
      </c>
      <c r="C95" s="139">
        <f>IF($O$4="sell",-1,1) *  IF($K$4="call",  NORMDIST(I95,0,1,1),  NORMDIST(I95,0,1,1)-1  ) * $P$4</f>
        <v/>
      </c>
      <c r="D95" s="139">
        <f>IF($O$4="sell",-1,1) * NORMDIST(I95,0,1,0)/(B95*$H$4*SQRT($J$4)) * $P$4</f>
        <v/>
      </c>
      <c r="E95" s="139">
        <f>IF($O$4="sell",-1,1) * (B95*NORMDIST(I95,0,1,0)*SQRT($J$4)/365) * $P$4</f>
        <v/>
      </c>
      <c r="F95" s="139">
        <f>IF($O$4="sell",-1,1) * (-(B95*NORMDIST(I95,0,1,0)*$H$4)/(2*SQRT($J$4))/365) *$P$4</f>
        <v/>
      </c>
      <c r="G95" s="139">
        <f>IF($O$4="buy",1,-1)*( IF($K$4="call",B95*NORMDIST(I95,0,1,1) - $B$4*NORMDIST(J95,0,1,1),$B$4*NORMDIST(-J95,0,1,1) - B95*NORMDIST(-I95,0,1,1) ) - $G$4) * $P$4</f>
        <v/>
      </c>
      <c r="I95" s="140">
        <f>(LN(B95/$B$4)+($H$4^2/2)*($J$4))/($H$4*SQRT($J$4))</f>
        <v/>
      </c>
      <c r="J95" s="140">
        <f>I95 - $H$4*SQRT($J$4)</f>
        <v/>
      </c>
    </row>
    <row r="96" ht="13.5" customHeight="1" s="116">
      <c r="B96" s="144">
        <f>B67</f>
        <v/>
      </c>
      <c r="C96" s="139">
        <f>IF($O$4="sell",-1,1) *  IF($K$4="call",  NORMDIST(I96,0,1,1),  NORMDIST(I96,0,1,1)-1  ) * $P$4</f>
        <v/>
      </c>
      <c r="D96" s="139">
        <f>IF($O$4="sell",-1,1) * NORMDIST(I96,0,1,0)/(B96*$H$4*SQRT($J$4)) * $P$4</f>
        <v/>
      </c>
      <c r="E96" s="139">
        <f>IF($O$4="sell",-1,1) * (B96*NORMDIST(I96,0,1,0)*SQRT($J$4)/365) * $P$4</f>
        <v/>
      </c>
      <c r="F96" s="139">
        <f>IF($O$4="sell",-1,1) * (-(B96*NORMDIST(I96,0,1,0)*$H$4)/(2*SQRT($J$4))/365) *$P$4</f>
        <v/>
      </c>
      <c r="G96" s="139">
        <f>IF($O$4="buy",1,-1)*( IF($K$4="call",B96*NORMDIST(I96,0,1,1) - $B$4*NORMDIST(J96,0,1,1),$B$4*NORMDIST(-J96,0,1,1) - B96*NORMDIST(-I96,0,1,1) ) - $G$4) * $P$4</f>
        <v/>
      </c>
      <c r="I96" s="140">
        <f>(LN(B96/$B$4)+($H$4^2/2)*($J$4))/($H$4*SQRT($J$4))</f>
        <v/>
      </c>
      <c r="J96" s="140">
        <f>I96 - $H$4*SQRT($J$4)</f>
        <v/>
      </c>
    </row>
    <row r="97" ht="13.5" customHeight="1" s="116">
      <c r="B97" s="144">
        <f>B68</f>
        <v/>
      </c>
      <c r="C97" s="139">
        <f>IF($O$4="sell",-1,1) *  IF($K$4="call",  NORMDIST(I97,0,1,1),  NORMDIST(I97,0,1,1)-1  ) * $P$4</f>
        <v/>
      </c>
      <c r="D97" s="139">
        <f>IF($O$4="sell",-1,1) * NORMDIST(I97,0,1,0)/(B97*$H$4*SQRT($J$4)) * $P$4</f>
        <v/>
      </c>
      <c r="E97" s="139">
        <f>IF($O$4="sell",-1,1) * (B97*NORMDIST(I97,0,1,0)*SQRT($J$4)/365) * $P$4</f>
        <v/>
      </c>
      <c r="F97" s="139">
        <f>IF($O$4="sell",-1,1) * (-(B97*NORMDIST(I97,0,1,0)*$H$4)/(2*SQRT($J$4))/365) *$P$4</f>
        <v/>
      </c>
      <c r="G97" s="139">
        <f>IF($O$4="buy",1,-1)*( IF($K$4="call",B97*NORMDIST(I97,0,1,1) - $B$4*NORMDIST(J97,0,1,1),$B$4*NORMDIST(-J97,0,1,1) - B97*NORMDIST(-I97,0,1,1) ) - $G$4) * $P$4</f>
        <v/>
      </c>
      <c r="I97" s="140">
        <f>(LN(B97/$B$4)+($H$4^2/2)*($J$4))/($H$4*SQRT($J$4))</f>
        <v/>
      </c>
      <c r="J97" s="140">
        <f>I97 - $H$4*SQRT($J$4)</f>
        <v/>
      </c>
    </row>
    <row r="98" ht="13.5" customHeight="1" s="116">
      <c r="B98" s="144">
        <f>B69</f>
        <v/>
      </c>
      <c r="C98" s="139">
        <f>IF($O$4="sell",-1,1) *  IF($K$4="call",  NORMDIST(I98,0,1,1),  NORMDIST(I98,0,1,1)-1  ) * $P$4</f>
        <v/>
      </c>
      <c r="D98" s="139">
        <f>IF($O$4="sell",-1,1) * NORMDIST(I98,0,1,0)/(B98*$H$4*SQRT($J$4)) * $P$4</f>
        <v/>
      </c>
      <c r="E98" s="139">
        <f>IF($O$4="sell",-1,1) * (B98*NORMDIST(I98,0,1,0)*SQRT($J$4)/365) * $P$4</f>
        <v/>
      </c>
      <c r="F98" s="139">
        <f>IF($O$4="sell",-1,1) * (-(B98*NORMDIST(I98,0,1,0)*$H$4)/(2*SQRT($J$4))/365) *$P$4</f>
        <v/>
      </c>
      <c r="G98" s="139">
        <f>IF($O$4="buy",1,-1)*( IF($K$4="call",B98*NORMDIST(I98,0,1,1) - $B$4*NORMDIST(J98,0,1,1),$B$4*NORMDIST(-J98,0,1,1) - B98*NORMDIST(-I98,0,1,1) ) - $G$4) * $P$4</f>
        <v/>
      </c>
      <c r="I98" s="140">
        <f>(LN(B98/$B$4)+($H$4^2/2)*($J$4))/($H$4*SQRT($J$4))</f>
        <v/>
      </c>
      <c r="J98" s="140">
        <f>I98 - $H$4*SQRT($J$4)</f>
        <v/>
      </c>
    </row>
    <row r="99" ht="13.5" customHeight="1" s="116">
      <c r="B99" s="144">
        <f>B70</f>
        <v/>
      </c>
      <c r="C99" s="139">
        <f>IF($O$4="sell",-1,1) *  IF($K$4="call",  NORMDIST(I99,0,1,1),  NORMDIST(I99,0,1,1)-1  ) * $P$4</f>
        <v/>
      </c>
      <c r="D99" s="139">
        <f>IF($O$4="sell",-1,1) * NORMDIST(I99,0,1,0)/(B99*$H$4*SQRT($J$4)) * $P$4</f>
        <v/>
      </c>
      <c r="E99" s="139">
        <f>IF($O$4="sell",-1,1) * (B99*NORMDIST(I99,0,1,0)*SQRT($J$4)/365) * $P$4</f>
        <v/>
      </c>
      <c r="F99" s="139">
        <f>IF($O$4="sell",-1,1) * (-(B99*NORMDIST(I99,0,1,0)*$H$4)/(2*SQRT($J$4))/365) *$P$4</f>
        <v/>
      </c>
      <c r="G99" s="139">
        <f>IF($O$4="buy",1,-1)*( IF($K$4="call",B99*NORMDIST(I99,0,1,1) - $B$4*NORMDIST(J99,0,1,1),$B$4*NORMDIST(-J99,0,1,1) - B99*NORMDIST(-I99,0,1,1) ) - $G$4) * $P$4</f>
        <v/>
      </c>
      <c r="I99" s="140">
        <f>(LN(B99/$B$4)+($H$4^2/2)*($J$4))/($H$4*SQRT($J$4))</f>
        <v/>
      </c>
      <c r="J99" s="140">
        <f>I99 - $H$4*SQRT($J$4)</f>
        <v/>
      </c>
    </row>
    <row r="100" ht="13.5" customHeight="1" s="116">
      <c r="B100" s="144">
        <f>B71</f>
        <v/>
      </c>
      <c r="C100" s="139">
        <f>IF($O$4="sell",-1,1) *  IF($K$4="call",  NORMDIST(I100,0,1,1),  NORMDIST(I100,0,1,1)-1  ) * $P$4</f>
        <v/>
      </c>
      <c r="D100" s="139">
        <f>IF($O$4="sell",-1,1) * NORMDIST(I100,0,1,0)/(B100*$H$4*SQRT($J$4)) * $P$4</f>
        <v/>
      </c>
      <c r="E100" s="139">
        <f>IF($O$4="sell",-1,1) * (B100*NORMDIST(I100,0,1,0)*SQRT($J$4)/365) * $P$4</f>
        <v/>
      </c>
      <c r="F100" s="139">
        <f>IF($O$4="sell",-1,1) * (-(B100*NORMDIST(I100,0,1,0)*$H$4)/(2*SQRT($J$4))/365) *$P$4</f>
        <v/>
      </c>
      <c r="G100" s="139">
        <f>IF($O$4="buy",1,-1)*( IF($K$4="call",B100*NORMDIST(I100,0,1,1) - $B$4*NORMDIST(J100,0,1,1),$B$4*NORMDIST(-J100,0,1,1) - B100*NORMDIST(-I100,0,1,1) ) - $G$4) * $P$4</f>
        <v/>
      </c>
      <c r="I100" s="140">
        <f>(LN(B100/$B$4)+($H$4^2/2)*($J$4))/($H$4*SQRT($J$4))</f>
        <v/>
      </c>
      <c r="J100" s="140">
        <f>I100 - $H$4*SQRT($J$4)</f>
        <v/>
      </c>
    </row>
    <row r="101" ht="13.5" customHeight="1" s="116">
      <c r="B101" s="144">
        <f>B72</f>
        <v/>
      </c>
      <c r="C101" s="139">
        <f>IF($O$4="sell",-1,1) *  IF($K$4="call",  NORMDIST(I101,0,1,1),  NORMDIST(I101,0,1,1)-1  ) * $P$4</f>
        <v/>
      </c>
      <c r="D101" s="139">
        <f>IF($O$4="sell",-1,1) * NORMDIST(I101,0,1,0)/(B101*$H$4*SQRT($J$4)) * $P$4</f>
        <v/>
      </c>
      <c r="E101" s="139">
        <f>IF($O$4="sell",-1,1) * (B101*NORMDIST(I101,0,1,0)*SQRT($J$4)/365) * $P$4</f>
        <v/>
      </c>
      <c r="F101" s="139">
        <f>IF($O$4="sell",-1,1) * (-(B101*NORMDIST(I101,0,1,0)*$H$4)/(2*SQRT($J$4))/365) *$P$4</f>
        <v/>
      </c>
      <c r="G101" s="139">
        <f>IF($O$4="buy",1,-1)*( IF($K$4="call",B101*NORMDIST(I101,0,1,1) - $B$4*NORMDIST(J101,0,1,1),$B$4*NORMDIST(-J101,0,1,1) - B101*NORMDIST(-I101,0,1,1) ) - $G$4) * $P$4</f>
        <v/>
      </c>
      <c r="I101" s="140">
        <f>(LN(B101/$B$4)+($H$4^2/2)*($J$4))/($H$4*SQRT($J$4))</f>
        <v/>
      </c>
      <c r="J101" s="140">
        <f>I101 - $H$4*SQRT($J$4)</f>
        <v/>
      </c>
    </row>
    <row r="102" ht="13.5" customHeight="1" s="116">
      <c r="B102" s="144">
        <f>B73</f>
        <v/>
      </c>
      <c r="C102" s="139">
        <f>IF($O$4="sell",-1,1) *  IF($K$4="call",  NORMDIST(I102,0,1,1),  NORMDIST(I102,0,1,1)-1  ) * $P$4</f>
        <v/>
      </c>
      <c r="D102" s="139">
        <f>IF($O$4="sell",-1,1) * NORMDIST(I102,0,1,0)/(B102*$H$4*SQRT($J$4)) * $P$4</f>
        <v/>
      </c>
      <c r="E102" s="139">
        <f>IF($O$4="sell",-1,1) * (B102*NORMDIST(I102,0,1,0)*SQRT($J$4)/365) * $P$4</f>
        <v/>
      </c>
      <c r="F102" s="139">
        <f>IF($O$4="sell",-1,1) * (-(B102*NORMDIST(I102,0,1,0)*$H$4)/(2*SQRT($J$4))/365) *$P$4</f>
        <v/>
      </c>
      <c r="G102" s="139">
        <f>IF($O$4="buy",1,-1)*( IF($K$4="call",B102*NORMDIST(I102,0,1,1) - $B$4*NORMDIST(J102,0,1,1),$B$4*NORMDIST(-J102,0,1,1) - B102*NORMDIST(-I102,0,1,1) ) - $G$4) * $P$4</f>
        <v/>
      </c>
      <c r="I102" s="140">
        <f>(LN(B102/$B$4)+($H$4^2/2)*($J$4))/($H$4*SQRT($J$4))</f>
        <v/>
      </c>
      <c r="J102" s="140">
        <f>I102 - $H$4*SQRT($J$4)</f>
        <v/>
      </c>
    </row>
    <row r="103" ht="13.5" customHeight="1" s="116">
      <c r="B103" s="144">
        <f>B74</f>
        <v/>
      </c>
      <c r="C103" s="139">
        <f>IF($O$4="sell",-1,1) *  IF($K$4="call",  NORMDIST(I103,0,1,1),  NORMDIST(I103,0,1,1)-1  ) * $P$4</f>
        <v/>
      </c>
      <c r="D103" s="139">
        <f>IF($O$4="sell",-1,1) * NORMDIST(I103,0,1,0)/(B103*$H$4*SQRT($J$4)) * $P$4</f>
        <v/>
      </c>
      <c r="E103" s="139">
        <f>IF($O$4="sell",-1,1) * (B103*NORMDIST(I103,0,1,0)*SQRT($J$4)/365) * $P$4</f>
        <v/>
      </c>
      <c r="F103" s="139">
        <f>IF($O$4="sell",-1,1) * (-(B103*NORMDIST(I103,0,1,0)*$H$4)/(2*SQRT($J$4))/365) *$P$4</f>
        <v/>
      </c>
      <c r="G103" s="139">
        <f>IF($O$4="buy",1,-1)*( IF($K$4="call",B103*NORMDIST(I103,0,1,1) - $B$4*NORMDIST(J103,0,1,1),$B$4*NORMDIST(-J103,0,1,1) - B103*NORMDIST(-I103,0,1,1) ) - $G$4) * $P$4</f>
        <v/>
      </c>
      <c r="I103" s="140">
        <f>(LN(B103/$B$4)+($H$4^2/2)*($J$4))/($H$4*SQRT($J$4))</f>
        <v/>
      </c>
      <c r="J103" s="140">
        <f>I103 - $H$4*SQRT($J$4)</f>
        <v/>
      </c>
    </row>
    <row r="104" ht="13.5" customHeight="1" s="116">
      <c r="B104" s="145" t="n"/>
      <c r="C104" s="136" t="n"/>
      <c r="D104" s="136" t="n"/>
      <c r="E104" s="136" t="n"/>
      <c r="F104" s="136" t="n"/>
      <c r="G104" s="136" t="n"/>
      <c r="I104" s="146" t="n"/>
      <c r="J104" s="146" t="n"/>
    </row>
    <row r="105" ht="17.25" customHeight="1" s="116">
      <c r="B105" s="137" t="n"/>
      <c r="C105" s="133" t="inlineStr">
        <is>
          <t>delta</t>
        </is>
      </c>
      <c r="D105" s="133" t="inlineStr">
        <is>
          <t>gamma</t>
        </is>
      </c>
      <c r="E105" s="133" t="inlineStr">
        <is>
          <t>vega</t>
        </is>
      </c>
      <c r="F105" s="133" t="inlineStr">
        <is>
          <t>theta</t>
        </is>
      </c>
      <c r="G105" s="133" t="inlineStr">
        <is>
          <t>mark_price</t>
        </is>
      </c>
      <c r="I105" s="133" t="inlineStr">
        <is>
          <t>d1</t>
        </is>
      </c>
      <c r="J105" s="133" t="inlineStr">
        <is>
          <t>d2</t>
        </is>
      </c>
    </row>
    <row r="106" ht="13.5" customHeight="1" s="116">
      <c r="A106" s="117">
        <f>A5</f>
        <v/>
      </c>
      <c r="B106" s="144">
        <f>B77</f>
        <v/>
      </c>
      <c r="C106" s="139">
        <f>IF($O$5="sell",-1,1) *  IF($K$5="call",  NORMDIST(I106,0,1,1),  NORMDIST(I106,0,1,1)-1  ) * $P$5</f>
        <v/>
      </c>
      <c r="D106" s="139">
        <f>IF($O$5="sell",-1,1) * NORMDIST(I106,0,1,0)/(B106*$H$5*SQRT($J$5)) * $P$5</f>
        <v/>
      </c>
      <c r="E106" s="139">
        <f>IF($O$5="sell",-1,1) * (B106*NORMDIST(I106,0,1,0)*SQRT($J$5)/365) * $P$5</f>
        <v/>
      </c>
      <c r="F106" s="139">
        <f>IF($O$5="sell",-1,1) * (-(B106*NORMDIST(I106,0,1,0)*$H$5)/(2*SQRT($J$5))/365) *$P$5</f>
        <v/>
      </c>
      <c r="G106" s="139">
        <f>IF($O$5="buy",1,-1)*( IF($K$5="call",B106*NORMDIST(I106,0,1,1) - $B$5*NORMDIST(J106,0,1,1),$B$5*NORMDIST(-J106,0,1,1) - B106*NORMDIST(-I106,0,1,1) ) - $G$5) * $P$5</f>
        <v/>
      </c>
      <c r="I106" s="140">
        <f>(LN(B106/$B$5)+($H$5^2/2)*($J$5))/($H$5*SQRT($J$5))</f>
        <v/>
      </c>
      <c r="J106" s="140">
        <f>I106 - $H$5*SQRT($J$5)</f>
        <v/>
      </c>
    </row>
    <row r="107" ht="13.5" customHeight="1" s="116">
      <c r="B107" s="144">
        <f>B78</f>
        <v/>
      </c>
      <c r="C107" s="139">
        <f>IF($O$5="sell",-1,1) *  IF($K$5="call",  NORMDIST(I107,0,1,1),  NORMDIST(I107,0,1,1)-1  ) * $P$5</f>
        <v/>
      </c>
      <c r="D107" s="139">
        <f>IF($O$5="sell",-1,1) * NORMDIST(I107,0,1,0)/(B107*$H$5*SQRT($J$5)) * $P$5</f>
        <v/>
      </c>
      <c r="E107" s="139">
        <f>IF($O$5="sell",-1,1) * (B107*NORMDIST(I107,0,1,0)*SQRT($J$5)/365) * $P$5</f>
        <v/>
      </c>
      <c r="F107" s="139">
        <f>IF($O$5="sell",-1,1) * (-(B107*NORMDIST(I107,0,1,0)*$H$5)/(2*SQRT($J$5))/365) *$P$5</f>
        <v/>
      </c>
      <c r="G107" s="139">
        <f>IF($O$5="buy",1,-1)*( IF($K$5="call",B107*NORMDIST(I107,0,1,1) - $B$5*NORMDIST(J107,0,1,1),$B$5*NORMDIST(-J107,0,1,1) - B107*NORMDIST(-I107,0,1,1) ) - $G$5) * $P$5</f>
        <v/>
      </c>
      <c r="I107" s="140">
        <f>(LN(B107/$B$5)+($H$5^2/2)*($J$5))/($H$5*SQRT($J$5))</f>
        <v/>
      </c>
      <c r="J107" s="140">
        <f>I107 - $H$5*SQRT($J$5)</f>
        <v/>
      </c>
    </row>
    <row r="108" ht="13.5" customHeight="1" s="116">
      <c r="B108" s="144">
        <f>B79</f>
        <v/>
      </c>
      <c r="C108" s="139">
        <f>IF($O$5="sell",-1,1) *  IF($K$5="call",  NORMDIST(I108,0,1,1),  NORMDIST(I108,0,1,1)-1  ) * $P$5</f>
        <v/>
      </c>
      <c r="D108" s="139">
        <f>IF($O$5="sell",-1,1) * NORMDIST(I108,0,1,0)/(B108*$H$5*SQRT($J$5)) * $P$5</f>
        <v/>
      </c>
      <c r="E108" s="139">
        <f>IF($O$5="sell",-1,1) * (B108*NORMDIST(I108,0,1,0)*SQRT($J$5)/365) * $P$5</f>
        <v/>
      </c>
      <c r="F108" s="139">
        <f>IF($O$5="sell",-1,1) * (-(B108*NORMDIST(I108,0,1,0)*$H$5)/(2*SQRT($J$5))/365) *$P$5</f>
        <v/>
      </c>
      <c r="G108" s="139">
        <f>IF($O$5="buy",1,-1)*( IF($K$5="call",B108*NORMDIST(I108,0,1,1) - $B$5*NORMDIST(J108,0,1,1),$B$5*NORMDIST(-J108,0,1,1) - B108*NORMDIST(-I108,0,1,1) ) - $G$5) * $P$5</f>
        <v/>
      </c>
      <c r="I108" s="140">
        <f>(LN(B108/$B$5)+($H$5^2/2)*($J$5))/($H$5*SQRT($J$5))</f>
        <v/>
      </c>
      <c r="J108" s="140">
        <f>I108 - $H$5*SQRT($J$5)</f>
        <v/>
      </c>
    </row>
    <row r="109" ht="13.5" customHeight="1" s="116">
      <c r="B109" s="144">
        <f>B80</f>
        <v/>
      </c>
      <c r="C109" s="139">
        <f>IF($O$5="sell",-1,1) *  IF($K$5="call",  NORMDIST(I109,0,1,1),  NORMDIST(I109,0,1,1)-1  ) * $P$5</f>
        <v/>
      </c>
      <c r="D109" s="139">
        <f>IF($O$5="sell",-1,1) * NORMDIST(I109,0,1,0)/(B109*$H$5*SQRT($J$5)) * $P$5</f>
        <v/>
      </c>
      <c r="E109" s="139">
        <f>IF($O$5="sell",-1,1) * (B109*NORMDIST(I109,0,1,0)*SQRT($J$5)/365) * $P$5</f>
        <v/>
      </c>
      <c r="F109" s="139">
        <f>IF($O$5="sell",-1,1) * (-(B109*NORMDIST(I109,0,1,0)*$H$5)/(2*SQRT($J$5))/365) *$P$5</f>
        <v/>
      </c>
      <c r="G109" s="139">
        <f>IF($O$5="buy",1,-1)*( IF($K$5="call",B109*NORMDIST(I109,0,1,1) - $B$5*NORMDIST(J109,0,1,1),$B$5*NORMDIST(-J109,0,1,1) - B109*NORMDIST(-I109,0,1,1) ) - $G$5) * $P$5</f>
        <v/>
      </c>
      <c r="I109" s="140">
        <f>(LN(B109/$B$5)+($H$5^2/2)*($J$5))/($H$5*SQRT($J$5))</f>
        <v/>
      </c>
      <c r="J109" s="140">
        <f>I109 - $H$5*SQRT($J$5)</f>
        <v/>
      </c>
    </row>
    <row r="110" ht="13.5" customHeight="1" s="116">
      <c r="B110" s="144">
        <f>B81</f>
        <v/>
      </c>
      <c r="C110" s="139">
        <f>IF($O$5="sell",-1,1) *  IF($K$5="call",  NORMDIST(I110,0,1,1),  NORMDIST(I110,0,1,1)-1  ) * $P$5</f>
        <v/>
      </c>
      <c r="D110" s="139">
        <f>IF($O$5="sell",-1,1) * NORMDIST(I110,0,1,0)/(B110*$H$5*SQRT($J$5)) * $P$5</f>
        <v/>
      </c>
      <c r="E110" s="139">
        <f>IF($O$5="sell",-1,1) * (B110*NORMDIST(I110,0,1,0)*SQRT($J$5)/365) * $P$5</f>
        <v/>
      </c>
      <c r="F110" s="139">
        <f>IF($O$5="sell",-1,1) * (-(B110*NORMDIST(I110,0,1,0)*$H$5)/(2*SQRT($J$5))/365) *$P$5</f>
        <v/>
      </c>
      <c r="G110" s="139">
        <f>IF($O$5="buy",1,-1)*( IF($K$5="call",B110*NORMDIST(I110,0,1,1) - $B$5*NORMDIST(J110,0,1,1),$B$5*NORMDIST(-J110,0,1,1) - B110*NORMDIST(-I110,0,1,1) ) - $G$5) * $P$5</f>
        <v/>
      </c>
      <c r="I110" s="140">
        <f>(LN(B110/$B$5)+($H$5^2/2)*($J$5))/($H$5*SQRT($J$5))</f>
        <v/>
      </c>
      <c r="J110" s="140">
        <f>I110 - $H$5*SQRT($J$5)</f>
        <v/>
      </c>
    </row>
    <row r="111" ht="13.5" customHeight="1" s="116">
      <c r="B111" s="144">
        <f>B82</f>
        <v/>
      </c>
      <c r="C111" s="139">
        <f>IF($O$5="sell",-1,1) *  IF($K$5="call",  NORMDIST(I111,0,1,1),  NORMDIST(I111,0,1,1)-1  ) * $P$5</f>
        <v/>
      </c>
      <c r="D111" s="139">
        <f>IF($O$5="sell",-1,1) * NORMDIST(I111,0,1,0)/(B111*$H$5*SQRT($J$5)) * $P$5</f>
        <v/>
      </c>
      <c r="E111" s="139">
        <f>IF($O$5="sell",-1,1) * (B111*NORMDIST(I111,0,1,0)*SQRT($J$5)/365) * $P$5</f>
        <v/>
      </c>
      <c r="F111" s="139">
        <f>IF($O$5="sell",-1,1) * (-(B111*NORMDIST(I111,0,1,0)*$H$5)/(2*SQRT($J$5))/365) *$P$5</f>
        <v/>
      </c>
      <c r="G111" s="139">
        <f>IF($O$5="buy",1,-1)*( IF($K$5="call",B111*NORMDIST(I111,0,1,1) - $B$5*NORMDIST(J111,0,1,1),$B$5*NORMDIST(-J111,0,1,1) - B111*NORMDIST(-I111,0,1,1) ) - $G$5) * $P$5</f>
        <v/>
      </c>
      <c r="I111" s="140">
        <f>(LN(B111/$B$5)+($H$5^2/2)*($J$5))/($H$5*SQRT($J$5))</f>
        <v/>
      </c>
      <c r="J111" s="140">
        <f>I111 - $H$5*SQRT($J$5)</f>
        <v/>
      </c>
    </row>
    <row r="112" ht="13.5" customHeight="1" s="116">
      <c r="B112" s="144">
        <f>B83</f>
        <v/>
      </c>
      <c r="C112" s="139">
        <f>IF($O$5="sell",-1,1) *  IF($K$5="call",  NORMDIST(I112,0,1,1),  NORMDIST(I112,0,1,1)-1  ) * $P$5</f>
        <v/>
      </c>
      <c r="D112" s="139">
        <f>IF($O$5="sell",-1,1) * NORMDIST(I112,0,1,0)/(B112*$H$5*SQRT($J$5)) * $P$5</f>
        <v/>
      </c>
      <c r="E112" s="139">
        <f>IF($O$5="sell",-1,1) * (B112*NORMDIST(I112,0,1,0)*SQRT($J$5)/365) * $P$5</f>
        <v/>
      </c>
      <c r="F112" s="139">
        <f>IF($O$5="sell",-1,1) * (-(B112*NORMDIST(I112,0,1,0)*$H$5)/(2*SQRT($J$5))/365) *$P$5</f>
        <v/>
      </c>
      <c r="G112" s="139">
        <f>IF($O$5="buy",1,-1)*( IF($K$5="call",B112*NORMDIST(I112,0,1,1) - $B$5*NORMDIST(J112,0,1,1),$B$5*NORMDIST(-J112,0,1,1) - B112*NORMDIST(-I112,0,1,1) ) - $G$5) * $P$5</f>
        <v/>
      </c>
      <c r="I112" s="140">
        <f>(LN(B112/$B$5)+($H$5^2/2)*($J$5))/($H$5*SQRT($J$5))</f>
        <v/>
      </c>
      <c r="J112" s="140">
        <f>I112 - $H$5*SQRT($J$5)</f>
        <v/>
      </c>
    </row>
    <row r="113" ht="13.5" customHeight="1" s="116">
      <c r="B113" s="144">
        <f>B84</f>
        <v/>
      </c>
      <c r="C113" s="139">
        <f>IF($O$5="sell",-1,1) *  IF($K$5="call",  NORMDIST(I113,0,1,1),  NORMDIST(I113,0,1,1)-1  ) * $P$5</f>
        <v/>
      </c>
      <c r="D113" s="139">
        <f>IF($O$5="sell",-1,1) * NORMDIST(I113,0,1,0)/(B113*$H$5*SQRT($J$5)) * $P$5</f>
        <v/>
      </c>
      <c r="E113" s="139">
        <f>IF($O$5="sell",-1,1) * (B113*NORMDIST(I113,0,1,0)*SQRT($J$5)/365) * $P$5</f>
        <v/>
      </c>
      <c r="F113" s="139">
        <f>IF($O$5="sell",-1,1) * (-(B113*NORMDIST(I113,0,1,0)*$H$5)/(2*SQRT($J$5))/365) *$P$5</f>
        <v/>
      </c>
      <c r="G113" s="139">
        <f>IF($O$5="buy",1,-1)*( IF($K$5="call",B113*NORMDIST(I113,0,1,1) - $B$5*NORMDIST(J113,0,1,1),$B$5*NORMDIST(-J113,0,1,1) - B113*NORMDIST(-I113,0,1,1) ) - $G$5) * $P$5</f>
        <v/>
      </c>
      <c r="I113" s="140">
        <f>(LN(B113/$B$5)+($H$5^2/2)*($J$5))/($H$5*SQRT($J$5))</f>
        <v/>
      </c>
      <c r="J113" s="140">
        <f>I113 - $H$5*SQRT($J$5)</f>
        <v/>
      </c>
    </row>
    <row r="114" ht="13.5" customHeight="1" s="116">
      <c r="B114" s="144">
        <f>B85</f>
        <v/>
      </c>
      <c r="C114" s="139">
        <f>IF($O$5="sell",-1,1) *  IF($K$5="call",  NORMDIST(I114,0,1,1),  NORMDIST(I114,0,1,1)-1  ) * $P$5</f>
        <v/>
      </c>
      <c r="D114" s="139">
        <f>IF($O$5="sell",-1,1) * NORMDIST(I114,0,1,0)/(B114*$H$5*SQRT($J$5)) * $P$5</f>
        <v/>
      </c>
      <c r="E114" s="139">
        <f>IF($O$5="sell",-1,1) * (B114*NORMDIST(I114,0,1,0)*SQRT($J$5)/365) * $P$5</f>
        <v/>
      </c>
      <c r="F114" s="139">
        <f>IF($O$5="sell",-1,1) * (-(B114*NORMDIST(I114,0,1,0)*$H$5)/(2*SQRT($J$5))/365) *$P$5</f>
        <v/>
      </c>
      <c r="G114" s="139">
        <f>IF($O$5="buy",1,-1)*( IF($K$5="call",B114*NORMDIST(I114,0,1,1) - $B$5*NORMDIST(J114,0,1,1),$B$5*NORMDIST(-J114,0,1,1) - B114*NORMDIST(-I114,0,1,1) ) - $G$5) * $P$5</f>
        <v/>
      </c>
      <c r="I114" s="140">
        <f>(LN(B114/$B$5)+($H$5^2/2)*($J$5))/($H$5*SQRT($J$5))</f>
        <v/>
      </c>
      <c r="J114" s="140">
        <f>I114 - $H$5*SQRT($J$5)</f>
        <v/>
      </c>
    </row>
    <row r="115" ht="13.5" customHeight="1" s="116">
      <c r="B115" s="144">
        <f>B86</f>
        <v/>
      </c>
      <c r="C115" s="139">
        <f>IF($O$5="sell",-1,1) *  IF($K$5="call",  NORMDIST(I115,0,1,1),  NORMDIST(I115,0,1,1)-1  ) * $P$5</f>
        <v/>
      </c>
      <c r="D115" s="139">
        <f>IF($O$5="sell",-1,1) * NORMDIST(I115,0,1,0)/(B115*$H$5*SQRT($J$5)) * $P$5</f>
        <v/>
      </c>
      <c r="E115" s="139">
        <f>IF($O$5="sell",-1,1) * (B115*NORMDIST(I115,0,1,0)*SQRT($J$5)/365) * $P$5</f>
        <v/>
      </c>
      <c r="F115" s="139">
        <f>IF($O$5="sell",-1,1) * (-(B115*NORMDIST(I115,0,1,0)*$H$5)/(2*SQRT($J$5))/365) *$P$5</f>
        <v/>
      </c>
      <c r="G115" s="139">
        <f>IF($O$5="buy",1,-1)*( IF($K$5="call",B115*NORMDIST(I115,0,1,1) - $B$5*NORMDIST(J115,0,1,1),$B$5*NORMDIST(-J115,0,1,1) - B115*NORMDIST(-I115,0,1,1) ) - $G$5) * $P$5</f>
        <v/>
      </c>
      <c r="I115" s="140">
        <f>(LN(B115/$B$5)+($H$5^2/2)*($J$5))/($H$5*SQRT($J$5))</f>
        <v/>
      </c>
      <c r="J115" s="140">
        <f>I115 - $H$5*SQRT($J$5)</f>
        <v/>
      </c>
    </row>
    <row r="116" ht="13.5" customHeight="1" s="116">
      <c r="B116" s="144">
        <f>B87</f>
        <v/>
      </c>
      <c r="C116" s="139">
        <f>IF($O$5="sell",-1,1) *  IF($K$5="call",  NORMDIST(I116,0,1,1),  NORMDIST(I116,0,1,1)-1  ) * $P$5</f>
        <v/>
      </c>
      <c r="D116" s="139">
        <f>IF($O$5="sell",-1,1) * NORMDIST(I116,0,1,0)/(B116*$H$5*SQRT($J$5)) * $P$5</f>
        <v/>
      </c>
      <c r="E116" s="139">
        <f>IF($O$5="sell",-1,1) * (B116*NORMDIST(I116,0,1,0)*SQRT($J$5)/365) * $P$5</f>
        <v/>
      </c>
      <c r="F116" s="139">
        <f>IF($O$5="sell",-1,1) * (-(B116*NORMDIST(I116,0,1,0)*$H$5)/(2*SQRT($J$5))/365) *$P$5</f>
        <v/>
      </c>
      <c r="G116" s="139">
        <f>IF($O$5="buy",1,-1)*( IF($K$5="call",B116*NORMDIST(I116,0,1,1) - $B$5*NORMDIST(J116,0,1,1),$B$5*NORMDIST(-J116,0,1,1) - B116*NORMDIST(-I116,0,1,1) ) - $G$5) * $P$5</f>
        <v/>
      </c>
      <c r="I116" s="140">
        <f>(LN(B116/$B$5)+($H$5^2/2)*($J$5))/($H$5*SQRT($J$5))</f>
        <v/>
      </c>
      <c r="J116" s="140">
        <f>I116 - $H$5*SQRT($J$5)</f>
        <v/>
      </c>
    </row>
    <row r="117" ht="13.5" customHeight="1" s="116">
      <c r="B117" s="144">
        <f>B88</f>
        <v/>
      </c>
      <c r="C117" s="139">
        <f>IF($O$5="sell",-1,1) *  IF($K$5="call",  NORMDIST(I117,0,1,1),  NORMDIST(I117,0,1,1)-1  ) * $P$5</f>
        <v/>
      </c>
      <c r="D117" s="139">
        <f>IF($O$5="sell",-1,1) * NORMDIST(I117,0,1,0)/(B117*$H$5*SQRT($J$5)) * $P$5</f>
        <v/>
      </c>
      <c r="E117" s="139">
        <f>IF($O$5="sell",-1,1) * (B117*NORMDIST(I117,0,1,0)*SQRT($J$5)/365) * $P$5</f>
        <v/>
      </c>
      <c r="F117" s="139">
        <f>IF($O$5="sell",-1,1) * (-(B117*NORMDIST(I117,0,1,0)*$H$5)/(2*SQRT($J$5))/365) *$P$5</f>
        <v/>
      </c>
      <c r="G117" s="139">
        <f>IF($O$5="buy",1,-1)*( IF($K$5="call",B117*NORMDIST(I117,0,1,1) - $B$5*NORMDIST(J117,0,1,1),$B$5*NORMDIST(-J117,0,1,1) - B117*NORMDIST(-I117,0,1,1) ) - $G$5) * $P$5</f>
        <v/>
      </c>
      <c r="I117" s="140">
        <f>(LN(B117/$B$5)+($H$5^2/2)*($J$5))/($H$5*SQRT($J$5))</f>
        <v/>
      </c>
      <c r="J117" s="140">
        <f>I117 - $H$5*SQRT($J$5)</f>
        <v/>
      </c>
    </row>
    <row r="118" ht="13.5" customHeight="1" s="116">
      <c r="B118" s="144">
        <f>B89</f>
        <v/>
      </c>
      <c r="C118" s="139">
        <f>IF($O$5="sell",-1,1) *  IF($K$5="call",  NORMDIST(I118,0,1,1),  NORMDIST(I118,0,1,1)-1  ) * $P$5</f>
        <v/>
      </c>
      <c r="D118" s="139">
        <f>IF($O$5="sell",-1,1) * NORMDIST(I118,0,1,0)/(B118*$H$5*SQRT($J$5)) * $P$5</f>
        <v/>
      </c>
      <c r="E118" s="139">
        <f>IF($O$5="sell",-1,1) * (B118*NORMDIST(I118,0,1,0)*SQRT($J$5)/365) * $P$5</f>
        <v/>
      </c>
      <c r="F118" s="139">
        <f>IF($O$5="sell",-1,1) * (-(B118*NORMDIST(I118,0,1,0)*$H$5)/(2*SQRT($J$5))/365) *$P$5</f>
        <v/>
      </c>
      <c r="G118" s="139">
        <f>IF($O$5="buy",1,-1)*( IF($K$5="call",B118*NORMDIST(I118,0,1,1) - $B$5*NORMDIST(J118,0,1,1),$B$5*NORMDIST(-J118,0,1,1) - B118*NORMDIST(-I118,0,1,1) ) - $G$5) * $P$5</f>
        <v/>
      </c>
      <c r="I118" s="140">
        <f>(LN(B118/$B$5)+($H$5^2/2)*($J$5))/($H$5*SQRT($J$5))</f>
        <v/>
      </c>
      <c r="J118" s="140">
        <f>I118 - $H$5*SQRT($J$5)</f>
        <v/>
      </c>
    </row>
    <row r="119" ht="13.5" customHeight="1" s="116">
      <c r="B119" s="144">
        <f>B90</f>
        <v/>
      </c>
      <c r="C119" s="139">
        <f>IF($O$5="sell",-1,1) *  IF($K$5="call",  NORMDIST(I119,0,1,1),  NORMDIST(I119,0,1,1)-1  ) * $P$5</f>
        <v/>
      </c>
      <c r="D119" s="139">
        <f>IF($O$5="sell",-1,1) * NORMDIST(I119,0,1,0)/(B119*$H$5*SQRT($J$5)) * $P$5</f>
        <v/>
      </c>
      <c r="E119" s="139">
        <f>IF($O$5="sell",-1,1) * (B119*NORMDIST(I119,0,1,0)*SQRT($J$5)/365) * $P$5</f>
        <v/>
      </c>
      <c r="F119" s="139">
        <f>IF($O$5="sell",-1,1) * (-(B119*NORMDIST(I119,0,1,0)*$H$5)/(2*SQRT($J$5))/365) *$P$5</f>
        <v/>
      </c>
      <c r="G119" s="139">
        <f>IF($O$5="buy",1,-1)*( IF($K$5="call",B119*NORMDIST(I119,0,1,1) - $B$5*NORMDIST(J119,0,1,1),$B$5*NORMDIST(-J119,0,1,1) - B119*NORMDIST(-I119,0,1,1) ) - $G$5) * $P$5</f>
        <v/>
      </c>
      <c r="I119" s="140">
        <f>(LN(B119/$B$5)+($H$5^2/2)*($J$5))/($H$5*SQRT($J$5))</f>
        <v/>
      </c>
      <c r="J119" s="140">
        <f>I119 - $H$5*SQRT($J$5)</f>
        <v/>
      </c>
    </row>
    <row r="120" ht="13.5" customHeight="1" s="116">
      <c r="B120" s="144">
        <f>B91</f>
        <v/>
      </c>
      <c r="C120" s="139">
        <f>IF($O$5="sell",-1,1) *  IF($K$5="call",  NORMDIST(I120,0,1,1),  NORMDIST(I120,0,1,1)-1  ) * $P$5</f>
        <v/>
      </c>
      <c r="D120" s="139">
        <f>IF($O$5="sell",-1,1) * NORMDIST(I120,0,1,0)/(B120*$H$5*SQRT($J$5)) * $P$5</f>
        <v/>
      </c>
      <c r="E120" s="139">
        <f>IF($O$5="sell",-1,1) * (B120*NORMDIST(I120,0,1,0)*SQRT($J$5)/365) * $P$5</f>
        <v/>
      </c>
      <c r="F120" s="139">
        <f>IF($O$5="sell",-1,1) * (-(B120*NORMDIST(I120,0,1,0)*$H$5)/(2*SQRT($J$5))/365) *$P$5</f>
        <v/>
      </c>
      <c r="G120" s="139">
        <f>IF($O$5="buy",1,-1)*( IF($K$5="call",B120*NORMDIST(I120,0,1,1) - $B$5*NORMDIST(J120,0,1,1),$B$5*NORMDIST(-J120,0,1,1) - B120*NORMDIST(-I120,0,1,1) ) - $G$5) * $P$5</f>
        <v/>
      </c>
      <c r="I120" s="140">
        <f>(LN(B120/$B$5)+($H$5^2/2)*($J$5))/($H$5*SQRT($J$5))</f>
        <v/>
      </c>
      <c r="J120" s="140">
        <f>I120 - $H$5*SQRT($J$5)</f>
        <v/>
      </c>
    </row>
    <row r="121" ht="13.5" customHeight="1" s="116">
      <c r="B121" s="144">
        <f>B92</f>
        <v/>
      </c>
      <c r="C121" s="139">
        <f>IF($O$5="sell",-1,1) *  IF($K$5="call",  NORMDIST(I121,0,1,1),  NORMDIST(I121,0,1,1)-1  ) * $P$5</f>
        <v/>
      </c>
      <c r="D121" s="139">
        <f>IF($O$5="sell",-1,1) * NORMDIST(I121,0,1,0)/(B121*$H$5*SQRT($J$5)) * $P$5</f>
        <v/>
      </c>
      <c r="E121" s="139">
        <f>IF($O$5="sell",-1,1) * (B121*NORMDIST(I121,0,1,0)*SQRT($J$5)/365) * $P$5</f>
        <v/>
      </c>
      <c r="F121" s="139">
        <f>IF($O$5="sell",-1,1) * (-(B121*NORMDIST(I121,0,1,0)*$H$5)/(2*SQRT($J$5))/365) *$P$5</f>
        <v/>
      </c>
      <c r="G121" s="139">
        <f>IF($O$5="buy",1,-1)*( IF($K$5="call",B121*NORMDIST(I121,0,1,1) - $B$5*NORMDIST(J121,0,1,1),$B$5*NORMDIST(-J121,0,1,1) - B121*NORMDIST(-I121,0,1,1) ) - $G$5) * $P$5</f>
        <v/>
      </c>
      <c r="I121" s="140">
        <f>(LN(B121/$B$5)+($H$5^2/2)*($J$5))/($H$5*SQRT($J$5))</f>
        <v/>
      </c>
      <c r="J121" s="140">
        <f>I121 - $H$5*SQRT($J$5)</f>
        <v/>
      </c>
    </row>
    <row r="122" ht="13.5" customHeight="1" s="116">
      <c r="B122" s="144">
        <f>B93</f>
        <v/>
      </c>
      <c r="C122" s="139">
        <f>IF($O$5="sell",-1,1) *  IF($K$5="call",  NORMDIST(I122,0,1,1),  NORMDIST(I122,0,1,1)-1  ) * $P$5</f>
        <v/>
      </c>
      <c r="D122" s="139">
        <f>IF($O$5="sell",-1,1) * NORMDIST(I122,0,1,0)/(B122*$H$5*SQRT($J$5)) * $P$5</f>
        <v/>
      </c>
      <c r="E122" s="139">
        <f>IF($O$5="sell",-1,1) * (B122*NORMDIST(I122,0,1,0)*SQRT($J$5)/365) * $P$5</f>
        <v/>
      </c>
      <c r="F122" s="139">
        <f>IF($O$5="sell",-1,1) * (-(B122*NORMDIST(I122,0,1,0)*$H$5)/(2*SQRT($J$5))/365) *$P$5</f>
        <v/>
      </c>
      <c r="G122" s="139">
        <f>IF($O$5="buy",1,-1)*( IF($K$5="call",B122*NORMDIST(I122,0,1,1) - $B$5*NORMDIST(J122,0,1,1),$B$5*NORMDIST(-J122,0,1,1) - B122*NORMDIST(-I122,0,1,1) ) - $G$5) * $P$5</f>
        <v/>
      </c>
      <c r="I122" s="140">
        <f>(LN(B122/$B$5)+($H$5^2/2)*($J$5))/($H$5*SQRT($J$5))</f>
        <v/>
      </c>
      <c r="J122" s="140">
        <f>I122 - $H$5*SQRT($J$5)</f>
        <v/>
      </c>
    </row>
    <row r="123" ht="13.5" customHeight="1" s="116">
      <c r="B123" s="144">
        <f>B94</f>
        <v/>
      </c>
      <c r="C123" s="139">
        <f>IF($O$5="sell",-1,1) *  IF($K$5="call",  NORMDIST(I123,0,1,1),  NORMDIST(I123,0,1,1)-1  ) * $P$5</f>
        <v/>
      </c>
      <c r="D123" s="139">
        <f>IF($O$5="sell",-1,1) * NORMDIST(I123,0,1,0)/(B123*$H$5*SQRT($J$5)) * $P$5</f>
        <v/>
      </c>
      <c r="E123" s="139">
        <f>IF($O$5="sell",-1,1) * (B123*NORMDIST(I123,0,1,0)*SQRT($J$5)/365) * $P$5</f>
        <v/>
      </c>
      <c r="F123" s="139">
        <f>IF($O$5="sell",-1,1) * (-(B123*NORMDIST(I123,0,1,0)*$H$5)/(2*SQRT($J$5))/365) *$P$5</f>
        <v/>
      </c>
      <c r="G123" s="139">
        <f>IF($O$5="buy",1,-1)*( IF($K$5="call",B123*NORMDIST(I123,0,1,1) - $B$5*NORMDIST(J123,0,1,1),$B$5*NORMDIST(-J123,0,1,1) - B123*NORMDIST(-I123,0,1,1) ) - $G$5) * $P$5</f>
        <v/>
      </c>
      <c r="I123" s="140">
        <f>(LN(B123/$B$5)+($H$5^2/2)*($J$5))/($H$5*SQRT($J$5))</f>
        <v/>
      </c>
      <c r="J123" s="140">
        <f>I123 - $H$5*SQRT($J$5)</f>
        <v/>
      </c>
    </row>
    <row r="124" ht="13.5" customHeight="1" s="116">
      <c r="B124" s="144">
        <f>B95</f>
        <v/>
      </c>
      <c r="C124" s="139">
        <f>IF($O$5="sell",-1,1) *  IF($K$5="call",  NORMDIST(I124,0,1,1),  NORMDIST(I124,0,1,1)-1  ) * $P$5</f>
        <v/>
      </c>
      <c r="D124" s="139">
        <f>IF($O$5="sell",-1,1) * NORMDIST(I124,0,1,0)/(B124*$H$5*SQRT($J$5)) * $P$5</f>
        <v/>
      </c>
      <c r="E124" s="139">
        <f>IF($O$5="sell",-1,1) * (B124*NORMDIST(I124,0,1,0)*SQRT($J$5)/365) * $P$5</f>
        <v/>
      </c>
      <c r="F124" s="139">
        <f>IF($O$5="sell",-1,1) * (-(B124*NORMDIST(I124,0,1,0)*$H$5)/(2*SQRT($J$5))/365) *$P$5</f>
        <v/>
      </c>
      <c r="G124" s="139">
        <f>IF($O$5="buy",1,-1)*( IF($K$5="call",B124*NORMDIST(I124,0,1,1) - $B$5*NORMDIST(J124,0,1,1),$B$5*NORMDIST(-J124,0,1,1) - B124*NORMDIST(-I124,0,1,1) ) - $G$5) * $P$5</f>
        <v/>
      </c>
      <c r="I124" s="140">
        <f>(LN(B124/$B$5)+($H$5^2/2)*($J$5))/($H$5*SQRT($J$5))</f>
        <v/>
      </c>
      <c r="J124" s="140">
        <f>I124 - $H$5*SQRT($J$5)</f>
        <v/>
      </c>
    </row>
    <row r="125" ht="13.5" customHeight="1" s="116">
      <c r="B125" s="144">
        <f>B96</f>
        <v/>
      </c>
      <c r="C125" s="139">
        <f>IF($O$5="sell",-1,1) *  IF($K$5="call",  NORMDIST(I125,0,1,1),  NORMDIST(I125,0,1,1)-1  ) * $P$5</f>
        <v/>
      </c>
      <c r="D125" s="139">
        <f>IF($O$5="sell",-1,1) * NORMDIST(I125,0,1,0)/(B125*$H$5*SQRT($J$5)) * $P$5</f>
        <v/>
      </c>
      <c r="E125" s="139">
        <f>IF($O$5="sell",-1,1) * (B125*NORMDIST(I125,0,1,0)*SQRT($J$5)/365) * $P$5</f>
        <v/>
      </c>
      <c r="F125" s="139">
        <f>IF($O$5="sell",-1,1) * (-(B125*NORMDIST(I125,0,1,0)*$H$5)/(2*SQRT($J$5))/365) *$P$5</f>
        <v/>
      </c>
      <c r="G125" s="139">
        <f>IF($O$5="buy",1,-1)*( IF($K$5="call",B125*NORMDIST(I125,0,1,1) - $B$5*NORMDIST(J125,0,1,1),$B$5*NORMDIST(-J125,0,1,1) - B125*NORMDIST(-I125,0,1,1) ) - $G$5) * $P$5</f>
        <v/>
      </c>
      <c r="I125" s="140">
        <f>(LN(B125/$B$5)+($H$5^2/2)*($J$5))/($H$5*SQRT($J$5))</f>
        <v/>
      </c>
      <c r="J125" s="140">
        <f>I125 - $H$5*SQRT($J$5)</f>
        <v/>
      </c>
    </row>
    <row r="126" ht="13.5" customHeight="1" s="116">
      <c r="B126" s="144">
        <f>B97</f>
        <v/>
      </c>
      <c r="C126" s="139">
        <f>IF($O$5="sell",-1,1) *  IF($K$5="call",  NORMDIST(I126,0,1,1),  NORMDIST(I126,0,1,1)-1  ) * $P$5</f>
        <v/>
      </c>
      <c r="D126" s="139">
        <f>IF($O$5="sell",-1,1) * NORMDIST(I126,0,1,0)/(B126*$H$5*SQRT($J$5)) * $P$5</f>
        <v/>
      </c>
      <c r="E126" s="139">
        <f>IF($O$5="sell",-1,1) * (B126*NORMDIST(I126,0,1,0)*SQRT($J$5)/365) * $P$5</f>
        <v/>
      </c>
      <c r="F126" s="139">
        <f>IF($O$5="sell",-1,1) * (-(B126*NORMDIST(I126,0,1,0)*$H$5)/(2*SQRT($J$5))/365) *$P$5</f>
        <v/>
      </c>
      <c r="G126" s="139">
        <f>IF($O$5="buy",1,-1)*( IF($K$5="call",B126*NORMDIST(I126,0,1,1) - $B$5*NORMDIST(J126,0,1,1),$B$5*NORMDIST(-J126,0,1,1) - B126*NORMDIST(-I126,0,1,1) ) - $G$5) * $P$5</f>
        <v/>
      </c>
      <c r="I126" s="140">
        <f>(LN(B126/$B$5)+($H$5^2/2)*($J$5))/($H$5*SQRT($J$5))</f>
        <v/>
      </c>
      <c r="J126" s="140">
        <f>I126 - $H$5*SQRT($J$5)</f>
        <v/>
      </c>
    </row>
    <row r="127" ht="13.5" customHeight="1" s="116">
      <c r="B127" s="144">
        <f>B98</f>
        <v/>
      </c>
      <c r="C127" s="139">
        <f>IF($O$5="sell",-1,1) *  IF($K$5="call",  NORMDIST(I127,0,1,1),  NORMDIST(I127,0,1,1)-1  ) * $P$5</f>
        <v/>
      </c>
      <c r="D127" s="139">
        <f>IF($O$5="sell",-1,1) * NORMDIST(I127,0,1,0)/(B127*$H$5*SQRT($J$5)) * $P$5</f>
        <v/>
      </c>
      <c r="E127" s="139">
        <f>IF($O$5="sell",-1,1) * (B127*NORMDIST(I127,0,1,0)*SQRT($J$5)/365) * $P$5</f>
        <v/>
      </c>
      <c r="F127" s="139">
        <f>IF($O$5="sell",-1,1) * (-(B127*NORMDIST(I127,0,1,0)*$H$5)/(2*SQRT($J$5))/365) *$P$5</f>
        <v/>
      </c>
      <c r="G127" s="139">
        <f>IF($O$5="buy",1,-1)*( IF($K$5="call",B127*NORMDIST(I127,0,1,1) - $B$5*NORMDIST(J127,0,1,1),$B$5*NORMDIST(-J127,0,1,1) - B127*NORMDIST(-I127,0,1,1) ) - $G$5) * $P$5</f>
        <v/>
      </c>
      <c r="I127" s="140">
        <f>(LN(B127/$B$5)+($H$5^2/2)*($J$5))/($H$5*SQRT($J$5))</f>
        <v/>
      </c>
      <c r="J127" s="140">
        <f>I127 - $H$5*SQRT($J$5)</f>
        <v/>
      </c>
    </row>
    <row r="128" ht="13.5" customHeight="1" s="116">
      <c r="B128" s="144">
        <f>B99</f>
        <v/>
      </c>
      <c r="C128" s="139">
        <f>IF($O$5="sell",-1,1) *  IF($K$5="call",  NORMDIST(I128,0,1,1),  NORMDIST(I128,0,1,1)-1  ) * $P$5</f>
        <v/>
      </c>
      <c r="D128" s="139">
        <f>IF($O$5="sell",-1,1) * NORMDIST(I128,0,1,0)/(B128*$H$5*SQRT($J$5)) * $P$5</f>
        <v/>
      </c>
      <c r="E128" s="139">
        <f>IF($O$5="sell",-1,1) * (B128*NORMDIST(I128,0,1,0)*SQRT($J$5)/365) * $P$5</f>
        <v/>
      </c>
      <c r="F128" s="139">
        <f>IF($O$5="sell",-1,1) * (-(B128*NORMDIST(I128,0,1,0)*$H$5)/(2*SQRT($J$5))/365) *$P$5</f>
        <v/>
      </c>
      <c r="G128" s="139">
        <f>IF($O$5="buy",1,-1)*( IF($K$5="call",B128*NORMDIST(I128,0,1,1) - $B$5*NORMDIST(J128,0,1,1),$B$5*NORMDIST(-J128,0,1,1) - B128*NORMDIST(-I128,0,1,1) ) - $G$5) * $P$5</f>
        <v/>
      </c>
      <c r="I128" s="140">
        <f>(LN(B128/$B$5)+($H$5^2/2)*($J$5))/($H$5*SQRT($J$5))</f>
        <v/>
      </c>
      <c r="J128" s="140">
        <f>I128 - $H$5*SQRT($J$5)</f>
        <v/>
      </c>
    </row>
    <row r="129" ht="13.5" customHeight="1" s="116">
      <c r="B129" s="144">
        <f>B100</f>
        <v/>
      </c>
      <c r="C129" s="139">
        <f>IF($O$5="sell",-1,1) *  IF($K$5="call",  NORMDIST(I129,0,1,1),  NORMDIST(I129,0,1,1)-1  ) * $P$5</f>
        <v/>
      </c>
      <c r="D129" s="139">
        <f>IF($O$5="sell",-1,1) * NORMDIST(I129,0,1,0)/(B129*$H$5*SQRT($J$5)) * $P$5</f>
        <v/>
      </c>
      <c r="E129" s="139">
        <f>IF($O$5="sell",-1,1) * (B129*NORMDIST(I129,0,1,0)*SQRT($J$5)/365) * $P$5</f>
        <v/>
      </c>
      <c r="F129" s="139">
        <f>IF($O$5="sell",-1,1) * (-(B129*NORMDIST(I129,0,1,0)*$H$5)/(2*SQRT($J$5))/365) *$P$5</f>
        <v/>
      </c>
      <c r="G129" s="139">
        <f>IF($O$5="buy",1,-1)*( IF($K$5="call",B129*NORMDIST(I129,0,1,1) - $B$5*NORMDIST(J129,0,1,1),$B$5*NORMDIST(-J129,0,1,1) - B129*NORMDIST(-I129,0,1,1) ) - $G$5) * $P$5</f>
        <v/>
      </c>
      <c r="I129" s="140">
        <f>(LN(B129/$B$5)+($H$5^2/2)*($J$5))/($H$5*SQRT($J$5))</f>
        <v/>
      </c>
      <c r="J129" s="140">
        <f>I129 - $H$5*SQRT($J$5)</f>
        <v/>
      </c>
    </row>
    <row r="130" ht="13.5" customHeight="1" s="116">
      <c r="B130" s="144">
        <f>B101</f>
        <v/>
      </c>
      <c r="C130" s="139">
        <f>IF($O$5="sell",-1,1) *  IF($K$5="call",  NORMDIST(I130,0,1,1),  NORMDIST(I130,0,1,1)-1  ) * $P$5</f>
        <v/>
      </c>
      <c r="D130" s="139">
        <f>IF($O$5="sell",-1,1) * NORMDIST(I130,0,1,0)/(B130*$H$5*SQRT($J$5)) * $P$5</f>
        <v/>
      </c>
      <c r="E130" s="139">
        <f>IF($O$5="sell",-1,1) * (B130*NORMDIST(I130,0,1,0)*SQRT($J$5)/365) * $P$5</f>
        <v/>
      </c>
      <c r="F130" s="139">
        <f>IF($O$5="sell",-1,1) * (-(B130*NORMDIST(I130,0,1,0)*$H$5)/(2*SQRT($J$5))/365) *$P$5</f>
        <v/>
      </c>
      <c r="G130" s="139">
        <f>IF($O$5="buy",1,-1)*( IF($K$5="call",B130*NORMDIST(I130,0,1,1) - $B$5*NORMDIST(J130,0,1,1),$B$5*NORMDIST(-J130,0,1,1) - B130*NORMDIST(-I130,0,1,1) ) - $G$5) * $P$5</f>
        <v/>
      </c>
      <c r="I130" s="140">
        <f>(LN(B130/$B$5)+($H$5^2/2)*($J$5))/($H$5*SQRT($J$5))</f>
        <v/>
      </c>
      <c r="J130" s="140">
        <f>I130 - $H$5*SQRT($J$5)</f>
        <v/>
      </c>
    </row>
    <row r="131" ht="13.5" customHeight="1" s="116">
      <c r="B131" s="144">
        <f>B102</f>
        <v/>
      </c>
      <c r="C131" s="139">
        <f>IF($O$5="sell",-1,1) *  IF($K$5="call",  NORMDIST(I131,0,1,1),  NORMDIST(I131,0,1,1)-1  ) * $P$5</f>
        <v/>
      </c>
      <c r="D131" s="139">
        <f>IF($O$5="sell",-1,1) * NORMDIST(I131,0,1,0)/(B131*$H$5*SQRT($J$5)) * $P$5</f>
        <v/>
      </c>
      <c r="E131" s="139">
        <f>IF($O$5="sell",-1,1) * (B131*NORMDIST(I131,0,1,0)*SQRT($J$5)/365) * $P$5</f>
        <v/>
      </c>
      <c r="F131" s="139">
        <f>IF($O$5="sell",-1,1) * (-(B131*NORMDIST(I131,0,1,0)*$H$5)/(2*SQRT($J$5))/365) *$P$5</f>
        <v/>
      </c>
      <c r="G131" s="139">
        <f>IF($O$5="buy",1,-1)*( IF($K$5="call",B131*NORMDIST(I131,0,1,1) - $B$5*NORMDIST(J131,0,1,1),$B$5*NORMDIST(-J131,0,1,1) - B131*NORMDIST(-I131,0,1,1) ) - $G$5) * $P$5</f>
        <v/>
      </c>
      <c r="I131" s="140">
        <f>(LN(B131/$B$5)+($H$5^2/2)*($J$5))/($H$5*SQRT($J$5))</f>
        <v/>
      </c>
      <c r="J131" s="140">
        <f>I131 - $H$5*SQRT($J$5)</f>
        <v/>
      </c>
    </row>
    <row r="132" ht="13.5" customHeight="1" s="116">
      <c r="B132" s="144">
        <f>B103</f>
        <v/>
      </c>
      <c r="C132" s="139">
        <f>IF($O$5="sell",-1,1) *  IF($K$5="call",  NORMDIST(I132,0,1,1),  NORMDIST(I132,0,1,1)-1  ) * $P$5</f>
        <v/>
      </c>
      <c r="D132" s="139">
        <f>IF($O$5="sell",-1,1) * NORMDIST(I132,0,1,0)/(B132*$H$5*SQRT($J$5)) * $P$5</f>
        <v/>
      </c>
      <c r="E132" s="139">
        <f>IF($O$5="sell",-1,1) * (B132*NORMDIST(I132,0,1,0)*SQRT($J$5)/365) * $P$5</f>
        <v/>
      </c>
      <c r="F132" s="139">
        <f>IF($O$5="sell",-1,1) * (-(B132*NORMDIST(I132,0,1,0)*$H$5)/(2*SQRT($J$5))/365) *$P$5</f>
        <v/>
      </c>
      <c r="G132" s="139">
        <f>IF($O$5="buy",1,-1)*( IF($K$5="call",B132*NORMDIST(I132,0,1,1) - $B$5*NORMDIST(J132,0,1,1),$B$5*NORMDIST(-J132,0,1,1) - B132*NORMDIST(-I132,0,1,1) ) - $G$5) * $P$5</f>
        <v/>
      </c>
      <c r="I132" s="140">
        <f>(LN(B132/$B$5)+($H$5^2/2)*($J$5))/($H$5*SQRT($J$5))</f>
        <v/>
      </c>
      <c r="J132" s="140">
        <f>I132 - $H$5*SQRT($J$5)</f>
        <v/>
      </c>
    </row>
    <row r="133" ht="13.5" customHeight="1" s="116">
      <c r="B133" s="145" t="n"/>
      <c r="C133" s="136" t="n"/>
      <c r="D133" s="136" t="n"/>
      <c r="E133" s="136" t="n"/>
      <c r="F133" s="136" t="n"/>
      <c r="G133" s="136" t="n"/>
      <c r="I133" s="146" t="n"/>
      <c r="J133" s="146" t="n"/>
    </row>
    <row r="134" ht="13.5" customHeight="1" s="116">
      <c r="B134" s="145" t="n"/>
      <c r="C134" s="136" t="n"/>
      <c r="D134" s="136" t="n"/>
      <c r="E134" s="136" t="n"/>
      <c r="F134" s="136" t="n"/>
      <c r="G134" s="136" t="n"/>
      <c r="I134" s="146" t="n"/>
      <c r="J134" s="146" t="n"/>
    </row>
    <row r="135" ht="13.5" customHeight="1" s="116">
      <c r="B135" s="137" t="n"/>
      <c r="C135" s="133" t="inlineStr">
        <is>
          <t>delta</t>
        </is>
      </c>
      <c r="D135" s="133" t="inlineStr">
        <is>
          <t>gamma</t>
        </is>
      </c>
      <c r="E135" s="133" t="inlineStr">
        <is>
          <t>vega</t>
        </is>
      </c>
      <c r="F135" s="133" t="inlineStr">
        <is>
          <t>theta</t>
        </is>
      </c>
      <c r="G135" s="133" t="inlineStr">
        <is>
          <t>mark_price</t>
        </is>
      </c>
      <c r="I135" s="133" t="inlineStr">
        <is>
          <t>d1</t>
        </is>
      </c>
      <c r="J135" s="133" t="inlineStr">
        <is>
          <t>d2</t>
        </is>
      </c>
    </row>
    <row r="136" ht="13.5" customHeight="1" s="116">
      <c r="A136" s="117">
        <f>A6</f>
        <v/>
      </c>
      <c r="B136" s="144">
        <f>B106</f>
        <v/>
      </c>
      <c r="C136" s="139">
        <f>IF($O$6="sell",-1,1) *  IF($K$6="call",  NORMDIST(I136,0,1,1),  NORMDIST(I136,0,1,1)-1  ) * $P$6</f>
        <v/>
      </c>
      <c r="D136" s="139">
        <f>IF($O$6="sell",-1,1) * NORMDIST(I136,0,1,0)/(B136*$H$6*SQRT($J$6)) * $P$6</f>
        <v/>
      </c>
      <c r="E136" s="139">
        <f>IF($O$6="sell",-1,1) * (B136*NORMDIST(I136,0,1,0)*SQRT($J$6)/365) * $P$6</f>
        <v/>
      </c>
      <c r="F136" s="139">
        <f>IF($O$6="sell",-1,1) * (-(B136*NORMDIST(I136,0,1,0)*$H$6)/(2*SQRT($J$6))/365) *$P$6</f>
        <v/>
      </c>
      <c r="G136" s="139">
        <f>IF($O$6="buy",1,-1)*( IF($K$6="call",B136*NORMDIST(I136,0,1,1) - $B$6*NORMDIST(J136,0,1,1),$B$6*NORMDIST(-J136,0,1,1) - B136*NORMDIST(-I136,0,1,1) ) - $G$6) * $P$6</f>
        <v/>
      </c>
      <c r="I136" s="140">
        <f>(LN(B136/$B$6)+($H$6^2/2)*($J$6))/($H$6*SQRT($J$6))</f>
        <v/>
      </c>
      <c r="J136" s="140">
        <f>I136 - $H$6*SQRT($J$6)</f>
        <v/>
      </c>
    </row>
    <row r="137" ht="13.5" customHeight="1" s="116">
      <c r="B137" s="144">
        <f>B107</f>
        <v/>
      </c>
      <c r="C137" s="139">
        <f>IF($O$6="sell",-1,1) *  IF($K$6="call",  NORMDIST(I137,0,1,1),  NORMDIST(I137,0,1,1)-1  ) * $P$6</f>
        <v/>
      </c>
      <c r="D137" s="139">
        <f>IF($O$6="sell",-1,1) * NORMDIST(I137,0,1,0)/(B137*$H$6*SQRT($J$6)) * $P$6</f>
        <v/>
      </c>
      <c r="E137" s="139">
        <f>IF($O$6="sell",-1,1) * (B137*NORMDIST(I137,0,1,0)*SQRT($J$6)/365) * $P$6</f>
        <v/>
      </c>
      <c r="F137" s="139">
        <f>IF($O$6="sell",-1,1) * (-(B137*NORMDIST(I137,0,1,0)*$H$6)/(2*SQRT($J$6))/365) *$P$6</f>
        <v/>
      </c>
      <c r="G137" s="139">
        <f>IF($O$6="buy",1,-1)*( IF($K$6="call",B137*NORMDIST(I137,0,1,1) - $B$6*NORMDIST(J137,0,1,1),$B$6*NORMDIST(-J137,0,1,1) - B137*NORMDIST(-I137,0,1,1) ) - $G$6) * $P$6</f>
        <v/>
      </c>
      <c r="I137" s="140">
        <f>(LN(B137/$B$6)+($H$6^2/2)*($J$6))/($H$6*SQRT($J$6))</f>
        <v/>
      </c>
      <c r="J137" s="140">
        <f>I137 - $H$6*SQRT($J$6)</f>
        <v/>
      </c>
    </row>
    <row r="138" ht="13.5" customHeight="1" s="116">
      <c r="B138" s="144">
        <f>B108</f>
        <v/>
      </c>
      <c r="C138" s="139">
        <f>IF($O$6="sell",-1,1) *  IF($K$6="call",  NORMDIST(I138,0,1,1),  NORMDIST(I138,0,1,1)-1  ) * $P$6</f>
        <v/>
      </c>
      <c r="D138" s="139">
        <f>IF($O$6="sell",-1,1) * NORMDIST(I138,0,1,0)/(B138*$H$6*SQRT($J$6)) * $P$6</f>
        <v/>
      </c>
      <c r="E138" s="139">
        <f>IF($O$6="sell",-1,1) * (B138*NORMDIST(I138,0,1,0)*SQRT($J$6)/365) * $P$6</f>
        <v/>
      </c>
      <c r="F138" s="139">
        <f>IF($O$6="sell",-1,1) * (-(B138*NORMDIST(I138,0,1,0)*$H$6)/(2*SQRT($J$6))/365) *$P$6</f>
        <v/>
      </c>
      <c r="G138" s="139">
        <f>IF($O$6="buy",1,-1)*( IF($K$6="call",B138*NORMDIST(I138,0,1,1) - $B$6*NORMDIST(J138,0,1,1),$B$6*NORMDIST(-J138,0,1,1) - B138*NORMDIST(-I138,0,1,1) ) - $G$6) * $P$6</f>
        <v/>
      </c>
      <c r="I138" s="140">
        <f>(LN(B138/$B$6)+($H$6^2/2)*($J$6))/($H$6*SQRT($J$6))</f>
        <v/>
      </c>
      <c r="J138" s="140">
        <f>I138 - $H$6*SQRT($J$6)</f>
        <v/>
      </c>
    </row>
    <row r="139" ht="13.5" customHeight="1" s="116">
      <c r="B139" s="144">
        <f>B109</f>
        <v/>
      </c>
      <c r="C139" s="139">
        <f>IF($O$6="sell",-1,1) *  IF($K$6="call",  NORMDIST(I139,0,1,1),  NORMDIST(I139,0,1,1)-1  ) * $P$6</f>
        <v/>
      </c>
      <c r="D139" s="139">
        <f>IF($O$6="sell",-1,1) * NORMDIST(I139,0,1,0)/(B139*$H$6*SQRT($J$6)) * $P$6</f>
        <v/>
      </c>
      <c r="E139" s="139">
        <f>IF($O$6="sell",-1,1) * (B139*NORMDIST(I139,0,1,0)*SQRT($J$6)/365) * $P$6</f>
        <v/>
      </c>
      <c r="F139" s="139">
        <f>IF($O$6="sell",-1,1) * (-(B139*NORMDIST(I139,0,1,0)*$H$6)/(2*SQRT($J$6))/365) *$P$6</f>
        <v/>
      </c>
      <c r="G139" s="139">
        <f>IF($O$6="buy",1,-1)*( IF($K$6="call",B139*NORMDIST(I139,0,1,1) - $B$6*NORMDIST(J139,0,1,1),$B$6*NORMDIST(-J139,0,1,1) - B139*NORMDIST(-I139,0,1,1) ) - $G$6) * $P$6</f>
        <v/>
      </c>
      <c r="I139" s="140">
        <f>(LN(B139/$B$6)+($H$6^2/2)*($J$6))/($H$6*SQRT($J$6))</f>
        <v/>
      </c>
      <c r="J139" s="140">
        <f>I139 - $H$6*SQRT($J$6)</f>
        <v/>
      </c>
    </row>
    <row r="140" ht="13.5" customHeight="1" s="116">
      <c r="B140" s="144">
        <f>B110</f>
        <v/>
      </c>
      <c r="C140" s="139">
        <f>IF($O$6="sell",-1,1) *  IF($K$6="call",  NORMDIST(I140,0,1,1),  NORMDIST(I140,0,1,1)-1  ) * $P$6</f>
        <v/>
      </c>
      <c r="D140" s="139">
        <f>IF($O$6="sell",-1,1) * NORMDIST(I140,0,1,0)/(B140*$H$6*SQRT($J$6)) * $P$6</f>
        <v/>
      </c>
      <c r="E140" s="139">
        <f>IF($O$6="sell",-1,1) * (B140*NORMDIST(I140,0,1,0)*SQRT($J$6)/365) * $P$6</f>
        <v/>
      </c>
      <c r="F140" s="139">
        <f>IF($O$6="sell",-1,1) * (-(B140*NORMDIST(I140,0,1,0)*$H$6)/(2*SQRT($J$6))/365) *$P$6</f>
        <v/>
      </c>
      <c r="G140" s="139">
        <f>IF($O$6="buy",1,-1)*( IF($K$6="call",B140*NORMDIST(I140,0,1,1) - $B$6*NORMDIST(J140,0,1,1),$B$6*NORMDIST(-J140,0,1,1) - B140*NORMDIST(-I140,0,1,1) ) - $G$6) * $P$6</f>
        <v/>
      </c>
      <c r="I140" s="140">
        <f>(LN(B140/$B$6)+($H$6^2/2)*($J$6))/($H$6*SQRT($J$6))</f>
        <v/>
      </c>
      <c r="J140" s="140">
        <f>I140 - $H$6*SQRT($J$6)</f>
        <v/>
      </c>
    </row>
    <row r="141" ht="13.5" customHeight="1" s="116">
      <c r="B141" s="144">
        <f>B111</f>
        <v/>
      </c>
      <c r="C141" s="139">
        <f>IF($O$6="sell",-1,1) *  IF($K$6="call",  NORMDIST(I141,0,1,1),  NORMDIST(I141,0,1,1)-1  ) * $P$6</f>
        <v/>
      </c>
      <c r="D141" s="139">
        <f>IF($O$6="sell",-1,1) * NORMDIST(I141,0,1,0)/(B141*$H$6*SQRT($J$6)) * $P$6</f>
        <v/>
      </c>
      <c r="E141" s="139">
        <f>IF($O$6="sell",-1,1) * (B141*NORMDIST(I141,0,1,0)*SQRT($J$6)/365) * $P$6</f>
        <v/>
      </c>
      <c r="F141" s="139">
        <f>IF($O$6="sell",-1,1) * (-(B141*NORMDIST(I141,0,1,0)*$H$6)/(2*SQRT($J$6))/365) *$P$6</f>
        <v/>
      </c>
      <c r="G141" s="139">
        <f>IF($O$6="buy",1,-1)*( IF($K$6="call",B141*NORMDIST(I141,0,1,1) - $B$6*NORMDIST(J141,0,1,1),$B$6*NORMDIST(-J141,0,1,1) - B141*NORMDIST(-I141,0,1,1) ) - $G$6) * $P$6</f>
        <v/>
      </c>
      <c r="I141" s="140">
        <f>(LN(B141/$B$6)+($H$6^2/2)*($J$6))/($H$6*SQRT($J$6))</f>
        <v/>
      </c>
      <c r="J141" s="140">
        <f>I141 - $H$6*SQRT($J$6)</f>
        <v/>
      </c>
    </row>
    <row r="142" ht="13.5" customHeight="1" s="116">
      <c r="B142" s="144">
        <f>B112</f>
        <v/>
      </c>
      <c r="C142" s="139">
        <f>IF($O$6="sell",-1,1) *  IF($K$6="call",  NORMDIST(I142,0,1,1),  NORMDIST(I142,0,1,1)-1  ) * $P$6</f>
        <v/>
      </c>
      <c r="D142" s="139">
        <f>IF($O$6="sell",-1,1) * NORMDIST(I142,0,1,0)/(B142*$H$6*SQRT($J$6)) * $P$6</f>
        <v/>
      </c>
      <c r="E142" s="139">
        <f>IF($O$6="sell",-1,1) * (B142*NORMDIST(I142,0,1,0)*SQRT($J$6)/365) * $P$6</f>
        <v/>
      </c>
      <c r="F142" s="139">
        <f>IF($O$6="sell",-1,1) * (-(B142*NORMDIST(I142,0,1,0)*$H$6)/(2*SQRT($J$6))/365) *$P$6</f>
        <v/>
      </c>
      <c r="G142" s="139">
        <f>IF($O$6="buy",1,-1)*( IF($K$6="call",B142*NORMDIST(I142,0,1,1) - $B$6*NORMDIST(J142,0,1,1),$B$6*NORMDIST(-J142,0,1,1) - B142*NORMDIST(-I142,0,1,1) ) - $G$6) * $P$6</f>
        <v/>
      </c>
      <c r="I142" s="140">
        <f>(LN(B142/$B$6)+($H$6^2/2)*($J$6))/($H$6*SQRT($J$6))</f>
        <v/>
      </c>
      <c r="J142" s="140">
        <f>I142 - $H$6*SQRT($J$6)</f>
        <v/>
      </c>
    </row>
    <row r="143" ht="13.5" customHeight="1" s="116">
      <c r="B143" s="144">
        <f>B113</f>
        <v/>
      </c>
      <c r="C143" s="139">
        <f>IF($O$6="sell",-1,1) *  IF($K$6="call",  NORMDIST(I143,0,1,1),  NORMDIST(I143,0,1,1)-1  ) * $P$6</f>
        <v/>
      </c>
      <c r="D143" s="139">
        <f>IF($O$6="sell",-1,1) * NORMDIST(I143,0,1,0)/(B143*$H$6*SQRT($J$6)) * $P$6</f>
        <v/>
      </c>
      <c r="E143" s="139">
        <f>IF($O$6="sell",-1,1) * (B143*NORMDIST(I143,0,1,0)*SQRT($J$6)/365) * $P$6</f>
        <v/>
      </c>
      <c r="F143" s="139">
        <f>IF($O$6="sell",-1,1) * (-(B143*NORMDIST(I143,0,1,0)*$H$6)/(2*SQRT($J$6))/365) *$P$6</f>
        <v/>
      </c>
      <c r="G143" s="139">
        <f>IF($O$6="buy",1,-1)*( IF($K$6="call",B143*NORMDIST(I143,0,1,1) - $B$6*NORMDIST(J143,0,1,1),$B$6*NORMDIST(-J143,0,1,1) - B143*NORMDIST(-I143,0,1,1) ) - $G$6) * $P$6</f>
        <v/>
      </c>
      <c r="I143" s="140">
        <f>(LN(B143/$B$6)+($H$6^2/2)*($J$6))/($H$6*SQRT($J$6))</f>
        <v/>
      </c>
      <c r="J143" s="140">
        <f>I143 - $H$6*SQRT($J$6)</f>
        <v/>
      </c>
    </row>
    <row r="144" ht="13.5" customHeight="1" s="116">
      <c r="B144" s="144">
        <f>B114</f>
        <v/>
      </c>
      <c r="C144" s="139">
        <f>IF($O$6="sell",-1,1) *  IF($K$6="call",  NORMDIST(I144,0,1,1),  NORMDIST(I144,0,1,1)-1  ) * $P$6</f>
        <v/>
      </c>
      <c r="D144" s="139">
        <f>IF($O$6="sell",-1,1) * NORMDIST(I144,0,1,0)/(B144*$H$6*SQRT($J$6)) * $P$6</f>
        <v/>
      </c>
      <c r="E144" s="139">
        <f>IF($O$6="sell",-1,1) * (B144*NORMDIST(I144,0,1,0)*SQRT($J$6)/365) * $P$6</f>
        <v/>
      </c>
      <c r="F144" s="139">
        <f>IF($O$6="sell",-1,1) * (-(B144*NORMDIST(I144,0,1,0)*$H$6)/(2*SQRT($J$6))/365) *$P$6</f>
        <v/>
      </c>
      <c r="G144" s="139">
        <f>IF($O$6="buy",1,-1)*( IF($K$6="call",B144*NORMDIST(I144,0,1,1) - $B$6*NORMDIST(J144,0,1,1),$B$6*NORMDIST(-J144,0,1,1) - B144*NORMDIST(-I144,0,1,1) ) - $G$6) * $P$6</f>
        <v/>
      </c>
      <c r="I144" s="140">
        <f>(LN(B144/$B$6)+($H$6^2/2)*($J$6))/($H$6*SQRT($J$6))</f>
        <v/>
      </c>
      <c r="J144" s="140">
        <f>I144 - $H$6*SQRT($J$6)</f>
        <v/>
      </c>
    </row>
    <row r="145" ht="13.5" customHeight="1" s="116">
      <c r="B145" s="144">
        <f>B115</f>
        <v/>
      </c>
      <c r="C145" s="139">
        <f>IF($O$6="sell",-1,1) *  IF($K$6="call",  NORMDIST(I145,0,1,1),  NORMDIST(I145,0,1,1)-1  ) * $P$6</f>
        <v/>
      </c>
      <c r="D145" s="139">
        <f>IF($O$6="sell",-1,1) * NORMDIST(I145,0,1,0)/(B145*$H$6*SQRT($J$6)) * $P$6</f>
        <v/>
      </c>
      <c r="E145" s="139">
        <f>IF($O$6="sell",-1,1) * (B145*NORMDIST(I145,0,1,0)*SQRT($J$6)/365) * $P$6</f>
        <v/>
      </c>
      <c r="F145" s="139">
        <f>IF($O$6="sell",-1,1) * (-(B145*NORMDIST(I145,0,1,0)*$H$6)/(2*SQRT($J$6))/365) *$P$6</f>
        <v/>
      </c>
      <c r="G145" s="139">
        <f>IF($O$6="buy",1,-1)*( IF($K$6="call",B145*NORMDIST(I145,0,1,1) - $B$6*NORMDIST(J145,0,1,1),$B$6*NORMDIST(-J145,0,1,1) - B145*NORMDIST(-I145,0,1,1) ) - $G$6) * $P$6</f>
        <v/>
      </c>
      <c r="I145" s="140">
        <f>(LN(B145/$B$6)+($H$6^2/2)*($J$6))/($H$6*SQRT($J$6))</f>
        <v/>
      </c>
      <c r="J145" s="140">
        <f>I145 - $H$6*SQRT($J$6)</f>
        <v/>
      </c>
    </row>
    <row r="146" ht="13.5" customHeight="1" s="116">
      <c r="B146" s="144">
        <f>B116</f>
        <v/>
      </c>
      <c r="C146" s="139">
        <f>IF($O$6="sell",-1,1) *  IF($K$6="call",  NORMDIST(I146,0,1,1),  NORMDIST(I146,0,1,1)-1  ) * $P$6</f>
        <v/>
      </c>
      <c r="D146" s="139">
        <f>IF($O$6="sell",-1,1) * NORMDIST(I146,0,1,0)/(B146*$H$6*SQRT($J$6)) * $P$6</f>
        <v/>
      </c>
      <c r="E146" s="139">
        <f>IF($O$6="sell",-1,1) * (B146*NORMDIST(I146,0,1,0)*SQRT($J$6)/365) * $P$6</f>
        <v/>
      </c>
      <c r="F146" s="139">
        <f>IF($O$6="sell",-1,1) * (-(B146*NORMDIST(I146,0,1,0)*$H$6)/(2*SQRT($J$6))/365) *$P$6</f>
        <v/>
      </c>
      <c r="G146" s="139">
        <f>IF($O$6="buy",1,-1)*( IF($K$6="call",B146*NORMDIST(I146,0,1,1) - $B$6*NORMDIST(J146,0,1,1),$B$6*NORMDIST(-J146,0,1,1) - B146*NORMDIST(-I146,0,1,1) ) - $G$6) * $P$6</f>
        <v/>
      </c>
      <c r="I146" s="140">
        <f>(LN(B146/$B$6)+($H$6^2/2)*($J$6))/($H$6*SQRT($J$6))</f>
        <v/>
      </c>
      <c r="J146" s="140">
        <f>I146 - $H$6*SQRT($J$6)</f>
        <v/>
      </c>
    </row>
    <row r="147" ht="13.5" customHeight="1" s="116">
      <c r="B147" s="144">
        <f>B117</f>
        <v/>
      </c>
      <c r="C147" s="139">
        <f>IF($O$6="sell",-1,1) *  IF($K$6="call",  NORMDIST(I147,0,1,1),  NORMDIST(I147,0,1,1)-1  ) * $P$6</f>
        <v/>
      </c>
      <c r="D147" s="139">
        <f>IF($O$6="sell",-1,1) * NORMDIST(I147,0,1,0)/(B147*$H$6*SQRT($J$6)) * $P$6</f>
        <v/>
      </c>
      <c r="E147" s="139">
        <f>IF($O$6="sell",-1,1) * (B147*NORMDIST(I147,0,1,0)*SQRT($J$6)/365) * $P$6</f>
        <v/>
      </c>
      <c r="F147" s="139">
        <f>IF($O$6="sell",-1,1) * (-(B147*NORMDIST(I147,0,1,0)*$H$6)/(2*SQRT($J$6))/365) *$P$6</f>
        <v/>
      </c>
      <c r="G147" s="139">
        <f>IF($O$6="buy",1,-1)*( IF($K$6="call",B147*NORMDIST(I147,0,1,1) - $B$6*NORMDIST(J147,0,1,1),$B$6*NORMDIST(-J147,0,1,1) - B147*NORMDIST(-I147,0,1,1) ) - $G$6) * $P$6</f>
        <v/>
      </c>
      <c r="I147" s="140">
        <f>(LN(B147/$B$6)+($H$6^2/2)*($J$6))/($H$6*SQRT($J$6))</f>
        <v/>
      </c>
      <c r="J147" s="140">
        <f>I147 - $H$6*SQRT($J$6)</f>
        <v/>
      </c>
    </row>
    <row r="148" ht="13.5" customHeight="1" s="116">
      <c r="B148" s="144">
        <f>B118</f>
        <v/>
      </c>
      <c r="C148" s="139">
        <f>IF($O$6="sell",-1,1) *  IF($K$6="call",  NORMDIST(I148,0,1,1),  NORMDIST(I148,0,1,1)-1  ) * $P$6</f>
        <v/>
      </c>
      <c r="D148" s="139">
        <f>IF($O$6="sell",-1,1) * NORMDIST(I148,0,1,0)/(B148*$H$6*SQRT($J$6)) * $P$6</f>
        <v/>
      </c>
      <c r="E148" s="139">
        <f>IF($O$6="sell",-1,1) * (B148*NORMDIST(I148,0,1,0)*SQRT($J$6)/365) * $P$6</f>
        <v/>
      </c>
      <c r="F148" s="139">
        <f>IF($O$6="sell",-1,1) * (-(B148*NORMDIST(I148,0,1,0)*$H$6)/(2*SQRT($J$6))/365) *$P$6</f>
        <v/>
      </c>
      <c r="G148" s="139">
        <f>IF($O$6="buy",1,-1)*( IF($K$6="call",B148*NORMDIST(I148,0,1,1) - $B$6*NORMDIST(J148,0,1,1),$B$6*NORMDIST(-J148,0,1,1) - B148*NORMDIST(-I148,0,1,1) ) - $G$6) * $P$6</f>
        <v/>
      </c>
      <c r="I148" s="140">
        <f>(LN(B148/$B$6)+($H$6^2/2)*($J$6))/($H$6*SQRT($J$6))</f>
        <v/>
      </c>
      <c r="J148" s="140">
        <f>I148 - $H$6*SQRT($J$6)</f>
        <v/>
      </c>
    </row>
    <row r="149" ht="13.5" customHeight="1" s="116">
      <c r="B149" s="144">
        <f>B119</f>
        <v/>
      </c>
      <c r="C149" s="139">
        <f>IF($O$6="sell",-1,1) *  IF($K$6="call",  NORMDIST(I149,0,1,1),  NORMDIST(I149,0,1,1)-1  ) * $P$6</f>
        <v/>
      </c>
      <c r="D149" s="139">
        <f>IF($O$6="sell",-1,1) * NORMDIST(I149,0,1,0)/(B149*$H$6*SQRT($J$6)) * $P$6</f>
        <v/>
      </c>
      <c r="E149" s="139">
        <f>IF($O$6="sell",-1,1) * (B149*NORMDIST(I149,0,1,0)*SQRT($J$6)/365) * $P$6</f>
        <v/>
      </c>
      <c r="F149" s="139">
        <f>IF($O$6="sell",-1,1) * (-(B149*NORMDIST(I149,0,1,0)*$H$6)/(2*SQRT($J$6))/365) *$P$6</f>
        <v/>
      </c>
      <c r="G149" s="139">
        <f>IF($O$6="buy",1,-1)*( IF($K$6="call",B149*NORMDIST(I149,0,1,1) - $B$6*NORMDIST(J149,0,1,1),$B$6*NORMDIST(-J149,0,1,1) - B149*NORMDIST(-I149,0,1,1) ) - $G$6) * $P$6</f>
        <v/>
      </c>
      <c r="I149" s="140">
        <f>(LN(B149/$B$6)+($H$6^2/2)*($J$6))/($H$6*SQRT($J$6))</f>
        <v/>
      </c>
      <c r="J149" s="140">
        <f>I149 - $H$6*SQRT($J$6)</f>
        <v/>
      </c>
    </row>
    <row r="150" ht="13.5" customHeight="1" s="116">
      <c r="B150" s="144">
        <f>B120</f>
        <v/>
      </c>
      <c r="C150" s="139">
        <f>IF($O$6="sell",-1,1) *  IF($K$6="call",  NORMDIST(I150,0,1,1),  NORMDIST(I150,0,1,1)-1  ) * $P$6</f>
        <v/>
      </c>
      <c r="D150" s="139">
        <f>IF($O$6="sell",-1,1) * NORMDIST(I150,0,1,0)/(B150*$H$6*SQRT($J$6)) * $P$6</f>
        <v/>
      </c>
      <c r="E150" s="139">
        <f>IF($O$6="sell",-1,1) * (B150*NORMDIST(I150,0,1,0)*SQRT($J$6)/365) * $P$6</f>
        <v/>
      </c>
      <c r="F150" s="139">
        <f>IF($O$6="sell",-1,1) * (-(B150*NORMDIST(I150,0,1,0)*$H$6)/(2*SQRT($J$6))/365) *$P$6</f>
        <v/>
      </c>
      <c r="G150" s="139">
        <f>IF($O$6="buy",1,-1)*( IF($K$6="call",B150*NORMDIST(I150,0,1,1) - $B$6*NORMDIST(J150,0,1,1),$B$6*NORMDIST(-J150,0,1,1) - B150*NORMDIST(-I150,0,1,1) ) - $G$6) * $P$6</f>
        <v/>
      </c>
      <c r="I150" s="140">
        <f>(LN(B150/$B$6)+($H$6^2/2)*($J$6))/($H$6*SQRT($J$6))</f>
        <v/>
      </c>
      <c r="J150" s="140">
        <f>I150 - $H$6*SQRT($J$6)</f>
        <v/>
      </c>
    </row>
    <row r="151" ht="13.5" customHeight="1" s="116">
      <c r="B151" s="144">
        <f>B121</f>
        <v/>
      </c>
      <c r="C151" s="139">
        <f>IF($O$6="sell",-1,1) *  IF($K$6="call",  NORMDIST(I151,0,1,1),  NORMDIST(I151,0,1,1)-1  ) * $P$6</f>
        <v/>
      </c>
      <c r="D151" s="139">
        <f>IF($O$6="sell",-1,1) * NORMDIST(I151,0,1,0)/(B151*$H$6*SQRT($J$6)) * $P$6</f>
        <v/>
      </c>
      <c r="E151" s="139">
        <f>IF($O$6="sell",-1,1) * (B151*NORMDIST(I151,0,1,0)*SQRT($J$6)/365) * $P$6</f>
        <v/>
      </c>
      <c r="F151" s="139">
        <f>IF($O$6="sell",-1,1) * (-(B151*NORMDIST(I151,0,1,0)*$H$6)/(2*SQRT($J$6))/365) *$P$6</f>
        <v/>
      </c>
      <c r="G151" s="139">
        <f>IF($O$6="buy",1,-1)*( IF($K$6="call",B151*NORMDIST(I151,0,1,1) - $B$6*NORMDIST(J151,0,1,1),$B$6*NORMDIST(-J151,0,1,1) - B151*NORMDIST(-I151,0,1,1) ) - $G$6) * $P$6</f>
        <v/>
      </c>
      <c r="I151" s="140">
        <f>(LN(B151/$B$6)+($H$6^2/2)*($J$6))/($H$6*SQRT($J$6))</f>
        <v/>
      </c>
      <c r="J151" s="140">
        <f>I151 - $H$6*SQRT($J$6)</f>
        <v/>
      </c>
    </row>
    <row r="152" ht="13.5" customHeight="1" s="116">
      <c r="B152" s="144">
        <f>B122</f>
        <v/>
      </c>
      <c r="C152" s="139">
        <f>IF($O$6="sell",-1,1) *  IF($K$6="call",  NORMDIST(I152,0,1,1),  NORMDIST(I152,0,1,1)-1  ) * $P$6</f>
        <v/>
      </c>
      <c r="D152" s="139">
        <f>IF($O$6="sell",-1,1) * NORMDIST(I152,0,1,0)/(B152*$H$6*SQRT($J$6)) * $P$6</f>
        <v/>
      </c>
      <c r="E152" s="139">
        <f>IF($O$6="sell",-1,1) * (B152*NORMDIST(I152,0,1,0)*SQRT($J$6)/365) * $P$6</f>
        <v/>
      </c>
      <c r="F152" s="139">
        <f>IF($O$6="sell",-1,1) * (-(B152*NORMDIST(I152,0,1,0)*$H$6)/(2*SQRT($J$6))/365) *$P$6</f>
        <v/>
      </c>
      <c r="G152" s="139">
        <f>IF($O$6="buy",1,-1)*( IF($K$6="call",B152*NORMDIST(I152,0,1,1) - $B$6*NORMDIST(J152,0,1,1),$B$6*NORMDIST(-J152,0,1,1) - B152*NORMDIST(-I152,0,1,1) ) - $G$6) * $P$6</f>
        <v/>
      </c>
      <c r="I152" s="140">
        <f>(LN(B152/$B$6)+($H$6^2/2)*($J$6))/($H$6*SQRT($J$6))</f>
        <v/>
      </c>
      <c r="J152" s="140">
        <f>I152 - $H$6*SQRT($J$6)</f>
        <v/>
      </c>
    </row>
    <row r="153" ht="13.5" customHeight="1" s="116">
      <c r="B153" s="144">
        <f>B123</f>
        <v/>
      </c>
      <c r="C153" s="139">
        <f>IF($O$6="sell",-1,1) *  IF($K$6="call",  NORMDIST(I153,0,1,1),  NORMDIST(I153,0,1,1)-1  ) * $P$6</f>
        <v/>
      </c>
      <c r="D153" s="139">
        <f>IF($O$6="sell",-1,1) * NORMDIST(I153,0,1,0)/(B153*$H$6*SQRT($J$6)) * $P$6</f>
        <v/>
      </c>
      <c r="E153" s="139">
        <f>IF($O$6="sell",-1,1) * (B153*NORMDIST(I153,0,1,0)*SQRT($J$6)/365) * $P$6</f>
        <v/>
      </c>
      <c r="F153" s="139">
        <f>IF($O$6="sell",-1,1) * (-(B153*NORMDIST(I153,0,1,0)*$H$6)/(2*SQRT($J$6))/365) *$P$6</f>
        <v/>
      </c>
      <c r="G153" s="139">
        <f>IF($O$6="buy",1,-1)*( IF($K$6="call",B153*NORMDIST(I153,0,1,1) - $B$6*NORMDIST(J153,0,1,1),$B$6*NORMDIST(-J153,0,1,1) - B153*NORMDIST(-I153,0,1,1) ) - $G$6) * $P$6</f>
        <v/>
      </c>
      <c r="I153" s="140">
        <f>(LN(B153/$B$6)+($H$6^2/2)*($J$6))/($H$6*SQRT($J$6))</f>
        <v/>
      </c>
      <c r="J153" s="140">
        <f>I153 - $H$6*SQRT($J$6)</f>
        <v/>
      </c>
    </row>
    <row r="154" ht="13.5" customHeight="1" s="116">
      <c r="B154" s="144">
        <f>B124</f>
        <v/>
      </c>
      <c r="C154" s="139">
        <f>IF($O$6="sell",-1,1) *  IF($K$6="call",  NORMDIST(I154,0,1,1),  NORMDIST(I154,0,1,1)-1  ) * $P$6</f>
        <v/>
      </c>
      <c r="D154" s="139">
        <f>IF($O$6="sell",-1,1) * NORMDIST(I154,0,1,0)/(B154*$H$6*SQRT($J$6)) * $P$6</f>
        <v/>
      </c>
      <c r="E154" s="139">
        <f>IF($O$6="sell",-1,1) * (B154*NORMDIST(I154,0,1,0)*SQRT($J$6)/365) * $P$6</f>
        <v/>
      </c>
      <c r="F154" s="139">
        <f>IF($O$6="sell",-1,1) * (-(B154*NORMDIST(I154,0,1,0)*$H$6)/(2*SQRT($J$6))/365) *$P$6</f>
        <v/>
      </c>
      <c r="G154" s="139">
        <f>IF($O$6="buy",1,-1)*( IF($K$6="call",B154*NORMDIST(I154,0,1,1) - $B$6*NORMDIST(J154,0,1,1),$B$6*NORMDIST(-J154,0,1,1) - B154*NORMDIST(-I154,0,1,1) ) - $G$6) * $P$6</f>
        <v/>
      </c>
      <c r="I154" s="140">
        <f>(LN(B154/$B$6)+($H$6^2/2)*($J$6))/($H$6*SQRT($J$6))</f>
        <v/>
      </c>
      <c r="J154" s="140">
        <f>I154 - $H$6*SQRT($J$6)</f>
        <v/>
      </c>
    </row>
    <row r="155" ht="13.5" customHeight="1" s="116">
      <c r="B155" s="144">
        <f>B125</f>
        <v/>
      </c>
      <c r="C155" s="139">
        <f>IF($O$6="sell",-1,1) *  IF($K$6="call",  NORMDIST(I155,0,1,1),  NORMDIST(I155,0,1,1)-1  ) * $P$6</f>
        <v/>
      </c>
      <c r="D155" s="139">
        <f>IF($O$6="sell",-1,1) * NORMDIST(I155,0,1,0)/(B155*$H$6*SQRT($J$6)) * $P$6</f>
        <v/>
      </c>
      <c r="E155" s="139">
        <f>IF($O$6="sell",-1,1) * (B155*NORMDIST(I155,0,1,0)*SQRT($J$6)/365) * $P$6</f>
        <v/>
      </c>
      <c r="F155" s="139">
        <f>IF($O$6="sell",-1,1) * (-(B155*NORMDIST(I155,0,1,0)*$H$6)/(2*SQRT($J$6))/365) *$P$6</f>
        <v/>
      </c>
      <c r="G155" s="139">
        <f>IF($O$6="buy",1,-1)*( IF($K$6="call",B155*NORMDIST(I155,0,1,1) - $B$6*NORMDIST(J155,0,1,1),$B$6*NORMDIST(-J155,0,1,1) - B155*NORMDIST(-I155,0,1,1) ) - $G$6) * $P$6</f>
        <v/>
      </c>
      <c r="I155" s="140">
        <f>(LN(B155/$B$6)+($H$6^2/2)*($J$6))/($H$6*SQRT($J$6))</f>
        <v/>
      </c>
      <c r="J155" s="140">
        <f>I155 - $H$6*SQRT($J$6)</f>
        <v/>
      </c>
    </row>
    <row r="156" ht="13.5" customHeight="1" s="116">
      <c r="B156" s="144">
        <f>B126</f>
        <v/>
      </c>
      <c r="C156" s="139">
        <f>IF($O$6="sell",-1,1) *  IF($K$6="call",  NORMDIST(I156,0,1,1),  NORMDIST(I156,0,1,1)-1  ) * $P$6</f>
        <v/>
      </c>
      <c r="D156" s="139">
        <f>IF($O$6="sell",-1,1) * NORMDIST(I156,0,1,0)/(B156*$H$6*SQRT($J$6)) * $P$6</f>
        <v/>
      </c>
      <c r="E156" s="139">
        <f>IF($O$6="sell",-1,1) * (B156*NORMDIST(I156,0,1,0)*SQRT($J$6)/365) * $P$6</f>
        <v/>
      </c>
      <c r="F156" s="139">
        <f>IF($O$6="sell",-1,1) * (-(B156*NORMDIST(I156,0,1,0)*$H$6)/(2*SQRT($J$6))/365) *$P$6</f>
        <v/>
      </c>
      <c r="G156" s="139">
        <f>IF($O$6="buy",1,-1)*( IF($K$6="call",B156*NORMDIST(I156,0,1,1) - $B$6*NORMDIST(J156,0,1,1),$B$6*NORMDIST(-J156,0,1,1) - B156*NORMDIST(-I156,0,1,1) ) - $G$6) * $P$6</f>
        <v/>
      </c>
      <c r="I156" s="140">
        <f>(LN(B156/$B$6)+($H$6^2/2)*($J$6))/($H$6*SQRT($J$6))</f>
        <v/>
      </c>
      <c r="J156" s="140">
        <f>I156 - $H$6*SQRT($J$6)</f>
        <v/>
      </c>
    </row>
    <row r="157" ht="13.5" customHeight="1" s="116">
      <c r="B157" s="144">
        <f>B127</f>
        <v/>
      </c>
      <c r="C157" s="139">
        <f>IF($O$6="sell",-1,1) *  IF($K$6="call",  NORMDIST(I157,0,1,1),  NORMDIST(I157,0,1,1)-1  ) * $P$6</f>
        <v/>
      </c>
      <c r="D157" s="139">
        <f>IF($O$6="sell",-1,1) * NORMDIST(I157,0,1,0)/(B157*$H$6*SQRT($J$6)) * $P$6</f>
        <v/>
      </c>
      <c r="E157" s="139">
        <f>IF($O$6="sell",-1,1) * (B157*NORMDIST(I157,0,1,0)*SQRT($J$6)/365) * $P$6</f>
        <v/>
      </c>
      <c r="F157" s="139">
        <f>IF($O$6="sell",-1,1) * (-(B157*NORMDIST(I157,0,1,0)*$H$6)/(2*SQRT($J$6))/365) *$P$6</f>
        <v/>
      </c>
      <c r="G157" s="139">
        <f>IF($O$6="buy",1,-1)*( IF($K$6="call",B157*NORMDIST(I157,0,1,1) - $B$6*NORMDIST(J157,0,1,1),$B$6*NORMDIST(-J157,0,1,1) - B157*NORMDIST(-I157,0,1,1) ) - $G$6) * $P$6</f>
        <v/>
      </c>
      <c r="I157" s="140">
        <f>(LN(B157/$B$6)+($H$6^2/2)*($J$6))/($H$6*SQRT($J$6))</f>
        <v/>
      </c>
      <c r="J157" s="140">
        <f>I157 - $H$6*SQRT($J$6)</f>
        <v/>
      </c>
    </row>
    <row r="158" ht="13.5" customHeight="1" s="116">
      <c r="B158" s="144">
        <f>B128</f>
        <v/>
      </c>
      <c r="C158" s="139">
        <f>IF($O$6="sell",-1,1) *  IF($K$6="call",  NORMDIST(I158,0,1,1),  NORMDIST(I158,0,1,1)-1  ) * $P$6</f>
        <v/>
      </c>
      <c r="D158" s="139">
        <f>IF($O$6="sell",-1,1) * NORMDIST(I158,0,1,0)/(B158*$H$6*SQRT($J$6)) * $P$6</f>
        <v/>
      </c>
      <c r="E158" s="139">
        <f>IF($O$6="sell",-1,1) * (B158*NORMDIST(I158,0,1,0)*SQRT($J$6)/365) * $P$6</f>
        <v/>
      </c>
      <c r="F158" s="139">
        <f>IF($O$6="sell",-1,1) * (-(B158*NORMDIST(I158,0,1,0)*$H$6)/(2*SQRT($J$6))/365) *$P$6</f>
        <v/>
      </c>
      <c r="G158" s="139">
        <f>IF($O$6="buy",1,-1)*( IF($K$6="call",B158*NORMDIST(I158,0,1,1) - $B$6*NORMDIST(J158,0,1,1),$B$6*NORMDIST(-J158,0,1,1) - B158*NORMDIST(-I158,0,1,1) ) - $G$6) * $P$6</f>
        <v/>
      </c>
      <c r="I158" s="140">
        <f>(LN(B158/$B$6)+($H$6^2/2)*($J$6))/($H$6*SQRT($J$6))</f>
        <v/>
      </c>
      <c r="J158" s="140">
        <f>I158 - $H$6*SQRT($J$6)</f>
        <v/>
      </c>
    </row>
    <row r="159" ht="13.5" customHeight="1" s="116">
      <c r="B159" s="144">
        <f>B129</f>
        <v/>
      </c>
      <c r="C159" s="139">
        <f>IF($O$6="sell",-1,1) *  IF($K$6="call",  NORMDIST(I159,0,1,1),  NORMDIST(I159,0,1,1)-1  ) * $P$6</f>
        <v/>
      </c>
      <c r="D159" s="139">
        <f>IF($O$6="sell",-1,1) * NORMDIST(I159,0,1,0)/(B159*$H$6*SQRT($J$6)) * $P$6</f>
        <v/>
      </c>
      <c r="E159" s="139">
        <f>IF($O$6="sell",-1,1) * (B159*NORMDIST(I159,0,1,0)*SQRT($J$6)/365) * $P$6</f>
        <v/>
      </c>
      <c r="F159" s="139">
        <f>IF($O$6="sell",-1,1) * (-(B159*NORMDIST(I159,0,1,0)*$H$6)/(2*SQRT($J$6))/365) *$P$6</f>
        <v/>
      </c>
      <c r="G159" s="139">
        <f>IF($O$6="buy",1,-1)*( IF($K$6="call",B159*NORMDIST(I159,0,1,1) - $B$6*NORMDIST(J159,0,1,1),$B$6*NORMDIST(-J159,0,1,1) - B159*NORMDIST(-I159,0,1,1) ) - $G$6) * $P$6</f>
        <v/>
      </c>
      <c r="I159" s="140">
        <f>(LN(B159/$B$6)+($H$6^2/2)*($J$6))/($H$6*SQRT($J$6))</f>
        <v/>
      </c>
      <c r="J159" s="140">
        <f>I159 - $H$6*SQRT($J$6)</f>
        <v/>
      </c>
    </row>
    <row r="160" ht="13.5" customHeight="1" s="116">
      <c r="B160" s="144">
        <f>B130</f>
        <v/>
      </c>
      <c r="C160" s="139">
        <f>IF($O$6="sell",-1,1) *  IF($K$6="call",  NORMDIST(I160,0,1,1),  NORMDIST(I160,0,1,1)-1  ) * $P$6</f>
        <v/>
      </c>
      <c r="D160" s="139">
        <f>IF($O$6="sell",-1,1) * NORMDIST(I160,0,1,0)/(B160*$H$6*SQRT($J$6)) * $P$6</f>
        <v/>
      </c>
      <c r="E160" s="139">
        <f>IF($O$6="sell",-1,1) * (B160*NORMDIST(I160,0,1,0)*SQRT($J$6)/365) * $P$6</f>
        <v/>
      </c>
      <c r="F160" s="139">
        <f>IF($O$6="sell",-1,1) * (-(B160*NORMDIST(I160,0,1,0)*$H$6)/(2*SQRT($J$6))/365) *$P$6</f>
        <v/>
      </c>
      <c r="G160" s="139">
        <f>IF($O$6="buy",1,-1)*( IF($K$6="call",B160*NORMDIST(I160,0,1,1) - $B$6*NORMDIST(J160,0,1,1),$B$6*NORMDIST(-J160,0,1,1) - B160*NORMDIST(-I160,0,1,1) ) - $G$6) * $P$6</f>
        <v/>
      </c>
      <c r="I160" s="140">
        <f>(LN(B160/$B$6)+($H$6^2/2)*($J$6))/($H$6*SQRT($J$6))</f>
        <v/>
      </c>
      <c r="J160" s="140">
        <f>I160 - $H$6*SQRT($J$6)</f>
        <v/>
      </c>
    </row>
    <row r="161" ht="13.5" customHeight="1" s="116">
      <c r="B161" s="144">
        <f>B131</f>
        <v/>
      </c>
      <c r="C161" s="139">
        <f>IF($O$6="sell",-1,1) *  IF($K$6="call",  NORMDIST(I161,0,1,1),  NORMDIST(I161,0,1,1)-1  ) * $P$6</f>
        <v/>
      </c>
      <c r="D161" s="139">
        <f>IF($O$6="sell",-1,1) * NORMDIST(I161,0,1,0)/(B161*$H$6*SQRT($J$6)) * $P$6</f>
        <v/>
      </c>
      <c r="E161" s="139">
        <f>IF($O$6="sell",-1,1) * (B161*NORMDIST(I161,0,1,0)*SQRT($J$6)/365) * $P$6</f>
        <v/>
      </c>
      <c r="F161" s="139">
        <f>IF($O$6="sell",-1,1) * (-(B161*NORMDIST(I161,0,1,0)*$H$6)/(2*SQRT($J$6))/365) *$P$6</f>
        <v/>
      </c>
      <c r="G161" s="139">
        <f>IF($O$6="buy",1,-1)*( IF($K$6="call",B161*NORMDIST(I161,0,1,1) - $B$6*NORMDIST(J161,0,1,1),$B$6*NORMDIST(-J161,0,1,1) - B161*NORMDIST(-I161,0,1,1) ) - $G$6) * $P$6</f>
        <v/>
      </c>
      <c r="I161" s="140">
        <f>(LN(B161/$B$6)+($H$6^2/2)*($J$6))/($H$6*SQRT($J$6))</f>
        <v/>
      </c>
      <c r="J161" s="140">
        <f>I161 - $H$6*SQRT($J$6)</f>
        <v/>
      </c>
    </row>
    <row r="162" ht="13.5" customHeight="1" s="116">
      <c r="B162" s="144">
        <f>B132</f>
        <v/>
      </c>
      <c r="C162" s="139">
        <f>IF($O$6="sell",-1,1) *  IF($K$6="call",  NORMDIST(I162,0,1,1),  NORMDIST(I162,0,1,1)-1  ) * $P$6</f>
        <v/>
      </c>
      <c r="D162" s="139">
        <f>IF($O$6="sell",-1,1) * NORMDIST(I162,0,1,0)/(B162*$H$6*SQRT($J$6)) * $P$6</f>
        <v/>
      </c>
      <c r="E162" s="139">
        <f>IF($O$6="sell",-1,1) * (B162*NORMDIST(I162,0,1,0)*SQRT($J$6)/365) * $P$6</f>
        <v/>
      </c>
      <c r="F162" s="139">
        <f>IF($O$6="sell",-1,1) * (-(B162*NORMDIST(I162,0,1,0)*$H$6)/(2*SQRT($J$6))/365) *$P$6</f>
        <v/>
      </c>
      <c r="G162" s="139">
        <f>IF($O$6="buy",1,-1)*( IF($K$6="call",B162*NORMDIST(I162,0,1,1) - $B$6*NORMDIST(J162,0,1,1),$B$6*NORMDIST(-J162,0,1,1) - B162*NORMDIST(-I162,0,1,1) ) - $G$6) * $P$6</f>
        <v/>
      </c>
      <c r="I162" s="140">
        <f>(LN(B162/$B$6)+($H$6^2/2)*($J$6))/($H$6*SQRT($J$6))</f>
        <v/>
      </c>
      <c r="J162" s="140">
        <f>I162 - $H$6*SQRT($J$6)</f>
        <v/>
      </c>
    </row>
    <row r="163" ht="13.5" customHeight="1" s="116">
      <c r="B163" s="145" t="n"/>
      <c r="C163" s="136" t="n"/>
      <c r="D163" s="136" t="n"/>
      <c r="E163" s="136" t="n"/>
      <c r="F163" s="136" t="n"/>
      <c r="G163" s="136" t="n"/>
      <c r="I163" s="146" t="n"/>
      <c r="J163" s="146" t="n"/>
    </row>
    <row r="164" ht="13.5" customHeight="1" s="116">
      <c r="B164" s="145" t="n"/>
      <c r="C164" s="136" t="n"/>
      <c r="D164" s="136" t="n"/>
      <c r="E164" s="136" t="n"/>
      <c r="F164" s="136" t="n"/>
      <c r="G164" s="136" t="n"/>
      <c r="I164" s="146" t="n"/>
      <c r="J164" s="146" t="n"/>
    </row>
    <row r="165" ht="13.5" customHeight="1" s="116">
      <c r="B165" s="137" t="n"/>
      <c r="C165" s="133" t="inlineStr">
        <is>
          <t>delta</t>
        </is>
      </c>
      <c r="D165" s="133" t="inlineStr">
        <is>
          <t>gamma</t>
        </is>
      </c>
      <c r="E165" s="133" t="inlineStr">
        <is>
          <t>vega</t>
        </is>
      </c>
      <c r="F165" s="133" t="inlineStr">
        <is>
          <t>theta</t>
        </is>
      </c>
      <c r="G165" s="133" t="inlineStr">
        <is>
          <t>mark_price</t>
        </is>
      </c>
      <c r="I165" s="133" t="inlineStr">
        <is>
          <t>d1</t>
        </is>
      </c>
      <c r="J165" s="133" t="inlineStr">
        <is>
          <t>d2</t>
        </is>
      </c>
    </row>
    <row r="166" ht="13.5" customHeight="1" s="116">
      <c r="A166" s="117">
        <f>A7</f>
        <v/>
      </c>
      <c r="B166" s="144">
        <f>B136</f>
        <v/>
      </c>
      <c r="C166" s="139">
        <f>IF($O$7="sell",-1,1) *  IF($K$7="call",  NORMDIST(I166,0,1,1),  NORMDIST(I166,0,1,1)-1  ) * $P$7</f>
        <v/>
      </c>
      <c r="D166" s="139">
        <f>IF($O$7="sell",-1,1) * NORMDIST(I166,0,1,0)/(B166*$H$7*SQRT($J$7)) * $P$7</f>
        <v/>
      </c>
      <c r="E166" s="139">
        <f>IF($O$7="sell",-1,1) * (B166*NORMDIST(I166,0,1,0)*SQRT($J$7)/365) * $P$7</f>
        <v/>
      </c>
      <c r="F166" s="139">
        <f>IF($O$7="sell",-1,1) * (-(B166*NORMDIST(I166,0,1,0)*$H$7)/(2*SQRT($J$7))/365) *$P$7</f>
        <v/>
      </c>
      <c r="G166" s="139">
        <f>IF($O$7="buy",1,-1)*( IF($K$7="call",B166*NORMDIST(I166,0,1,1) - $B$7*NORMDIST(J166,0,1,1),$B$7*NORMDIST(-J166,0,1,1) - B166*NORMDIST(-I166,0,1,1) ) - $G$7) * $P$7</f>
        <v/>
      </c>
      <c r="I166" s="140">
        <f>(LN(B166/$B$7)+($H$7^2/2)*($J$7))/($H$7*SQRT($J$7))</f>
        <v/>
      </c>
      <c r="J166" s="140">
        <f>I166 - $H$7*SQRT($J$7)</f>
        <v/>
      </c>
    </row>
    <row r="167" ht="13.5" customHeight="1" s="116">
      <c r="B167" s="144">
        <f>B137</f>
        <v/>
      </c>
      <c r="C167" s="139">
        <f>IF($O$7="sell",-1,1) *  IF($K$7="call",  NORMDIST(I167,0,1,1),  NORMDIST(I167,0,1,1)-1  ) * $P$7</f>
        <v/>
      </c>
      <c r="D167" s="139">
        <f>IF($O$7="sell",-1,1) * NORMDIST(I167,0,1,0)/(B167*$H$7*SQRT($J$7)) * $P$7</f>
        <v/>
      </c>
      <c r="E167" s="139">
        <f>IF($O$7="sell",-1,1) * (B167*NORMDIST(I167,0,1,0)*SQRT($J$7)/365) * $P$7</f>
        <v/>
      </c>
      <c r="F167" s="139">
        <f>IF($O$7="sell",-1,1) * (-(B167*NORMDIST(I167,0,1,0)*$H$7)/(2*SQRT($J$7))/365) *$P$7</f>
        <v/>
      </c>
      <c r="G167" s="139">
        <f>IF($O$7="buy",1,-1)*( IF($K$7="call",B167*NORMDIST(I167,0,1,1) - $B$7*NORMDIST(J167,0,1,1),$B$7*NORMDIST(-J167,0,1,1) - B167*NORMDIST(-I167,0,1,1) ) - $G$7) * $P$7</f>
        <v/>
      </c>
      <c r="I167" s="140">
        <f>(LN(B167/$B$7)+($H$7^2/2)*($J$7))/($H$7*SQRT($J$7))</f>
        <v/>
      </c>
      <c r="J167" s="140">
        <f>I167 - $H$7*SQRT($J$7)</f>
        <v/>
      </c>
    </row>
    <row r="168" ht="13.5" customHeight="1" s="116">
      <c r="B168" s="144">
        <f>B138</f>
        <v/>
      </c>
      <c r="C168" s="139">
        <f>IF($O$7="sell",-1,1) *  IF($K$7="call",  NORMDIST(I168,0,1,1),  NORMDIST(I168,0,1,1)-1  ) * $P$7</f>
        <v/>
      </c>
      <c r="D168" s="139">
        <f>IF($O$7="sell",-1,1) * NORMDIST(I168,0,1,0)/(B168*$H$7*SQRT($J$7)) * $P$7</f>
        <v/>
      </c>
      <c r="E168" s="139">
        <f>IF($O$7="sell",-1,1) * (B168*NORMDIST(I168,0,1,0)*SQRT($J$7)/365) * $P$7</f>
        <v/>
      </c>
      <c r="F168" s="139">
        <f>IF($O$7="sell",-1,1) * (-(B168*NORMDIST(I168,0,1,0)*$H$7)/(2*SQRT($J$7))/365) *$P$7</f>
        <v/>
      </c>
      <c r="G168" s="139">
        <f>IF($O$7="buy",1,-1)*( IF($K$7="call",B168*NORMDIST(I168,0,1,1) - $B$7*NORMDIST(J168,0,1,1),$B$7*NORMDIST(-J168,0,1,1) - B168*NORMDIST(-I168,0,1,1) ) - $G$7) * $P$7</f>
        <v/>
      </c>
      <c r="I168" s="140">
        <f>(LN(B168/$B$7)+($H$7^2/2)*($J$7))/($H$7*SQRT($J$7))</f>
        <v/>
      </c>
      <c r="J168" s="140">
        <f>I168 - $H$7*SQRT($J$7)</f>
        <v/>
      </c>
    </row>
    <row r="169" ht="13.5" customHeight="1" s="116">
      <c r="B169" s="144">
        <f>B139</f>
        <v/>
      </c>
      <c r="C169" s="139">
        <f>IF($O$7="sell",-1,1) *  IF($K$7="call",  NORMDIST(I169,0,1,1),  NORMDIST(I169,0,1,1)-1  ) * $P$7</f>
        <v/>
      </c>
      <c r="D169" s="139">
        <f>IF($O$7="sell",-1,1) * NORMDIST(I169,0,1,0)/(B169*$H$7*SQRT($J$7)) * $P$7</f>
        <v/>
      </c>
      <c r="E169" s="139">
        <f>IF($O$7="sell",-1,1) * (B169*NORMDIST(I169,0,1,0)*SQRT($J$7)/365) * $P$7</f>
        <v/>
      </c>
      <c r="F169" s="139">
        <f>IF($O$7="sell",-1,1) * (-(B169*NORMDIST(I169,0,1,0)*$H$7)/(2*SQRT($J$7))/365) *$P$7</f>
        <v/>
      </c>
      <c r="G169" s="139">
        <f>IF($O$7="buy",1,-1)*( IF($K$7="call",B169*NORMDIST(I169,0,1,1) - $B$7*NORMDIST(J169,0,1,1),$B$7*NORMDIST(-J169,0,1,1) - B169*NORMDIST(-I169,0,1,1) ) - $G$7) * $P$7</f>
        <v/>
      </c>
      <c r="I169" s="140">
        <f>(LN(B169/$B$7)+($H$7^2/2)*($J$7))/($H$7*SQRT($J$7))</f>
        <v/>
      </c>
      <c r="J169" s="140">
        <f>I169 - $H$7*SQRT($J$7)</f>
        <v/>
      </c>
    </row>
    <row r="170" ht="13.5" customHeight="1" s="116">
      <c r="B170" s="144">
        <f>B140</f>
        <v/>
      </c>
      <c r="C170" s="139">
        <f>IF($O$7="sell",-1,1) *  IF($K$7="call",  NORMDIST(I170,0,1,1),  NORMDIST(I170,0,1,1)-1  ) * $P$7</f>
        <v/>
      </c>
      <c r="D170" s="139">
        <f>IF($O$7="sell",-1,1) * NORMDIST(I170,0,1,0)/(B170*$H$7*SQRT($J$7)) * $P$7</f>
        <v/>
      </c>
      <c r="E170" s="139">
        <f>IF($O$7="sell",-1,1) * (B170*NORMDIST(I170,0,1,0)*SQRT($J$7)/365) * $P$7</f>
        <v/>
      </c>
      <c r="F170" s="139">
        <f>IF($O$7="sell",-1,1) * (-(B170*NORMDIST(I170,0,1,0)*$H$7)/(2*SQRT($J$7))/365) *$P$7</f>
        <v/>
      </c>
      <c r="G170" s="139">
        <f>IF($O$7="buy",1,-1)*( IF($K$7="call",B170*NORMDIST(I170,0,1,1) - $B$7*NORMDIST(J170,0,1,1),$B$7*NORMDIST(-J170,0,1,1) - B170*NORMDIST(-I170,0,1,1) ) - $G$7) * $P$7</f>
        <v/>
      </c>
      <c r="I170" s="140">
        <f>(LN(B170/$B$7)+($H$7^2/2)*($J$7))/($H$7*SQRT($J$7))</f>
        <v/>
      </c>
      <c r="J170" s="140">
        <f>I170 - $H$7*SQRT($J$7)</f>
        <v/>
      </c>
    </row>
    <row r="171" ht="13.5" customHeight="1" s="116">
      <c r="B171" s="144">
        <f>B141</f>
        <v/>
      </c>
      <c r="C171" s="139">
        <f>IF($O$7="sell",-1,1) *  IF($K$7="call",  NORMDIST(I171,0,1,1),  NORMDIST(I171,0,1,1)-1  ) * $P$7</f>
        <v/>
      </c>
      <c r="D171" s="139">
        <f>IF($O$7="sell",-1,1) * NORMDIST(I171,0,1,0)/(B171*$H$7*SQRT($J$7)) * $P$7</f>
        <v/>
      </c>
      <c r="E171" s="139">
        <f>IF($O$7="sell",-1,1) * (B171*NORMDIST(I171,0,1,0)*SQRT($J$7)/365) * $P$7</f>
        <v/>
      </c>
      <c r="F171" s="139">
        <f>IF($O$7="sell",-1,1) * (-(B171*NORMDIST(I171,0,1,0)*$H$7)/(2*SQRT($J$7))/365) *$P$7</f>
        <v/>
      </c>
      <c r="G171" s="139">
        <f>IF($O$7="buy",1,-1)*( IF($K$7="call",B171*NORMDIST(I171,0,1,1) - $B$7*NORMDIST(J171,0,1,1),$B$7*NORMDIST(-J171,0,1,1) - B171*NORMDIST(-I171,0,1,1) ) - $G$7) * $P$7</f>
        <v/>
      </c>
      <c r="I171" s="140">
        <f>(LN(B171/$B$7)+($H$7^2/2)*($J$7))/($H$7*SQRT($J$7))</f>
        <v/>
      </c>
      <c r="J171" s="140">
        <f>I171 - $H$7*SQRT($J$7)</f>
        <v/>
      </c>
    </row>
    <row r="172" ht="13.5" customHeight="1" s="116">
      <c r="B172" s="144">
        <f>B142</f>
        <v/>
      </c>
      <c r="C172" s="139">
        <f>IF($O$7="sell",-1,1) *  IF($K$7="call",  NORMDIST(I172,0,1,1),  NORMDIST(I172,0,1,1)-1  ) * $P$7</f>
        <v/>
      </c>
      <c r="D172" s="139">
        <f>IF($O$7="sell",-1,1) * NORMDIST(I172,0,1,0)/(B172*$H$7*SQRT($J$7)) * $P$7</f>
        <v/>
      </c>
      <c r="E172" s="139">
        <f>IF($O$7="sell",-1,1) * (B172*NORMDIST(I172,0,1,0)*SQRT($J$7)/365) * $P$7</f>
        <v/>
      </c>
      <c r="F172" s="139">
        <f>IF($O$7="sell",-1,1) * (-(B172*NORMDIST(I172,0,1,0)*$H$7)/(2*SQRT($J$7))/365) *$P$7</f>
        <v/>
      </c>
      <c r="G172" s="139">
        <f>IF($O$7="buy",1,-1)*( IF($K$7="call",B172*NORMDIST(I172,0,1,1) - $B$7*NORMDIST(J172,0,1,1),$B$7*NORMDIST(-J172,0,1,1) - B172*NORMDIST(-I172,0,1,1) ) - $G$7) * $P$7</f>
        <v/>
      </c>
      <c r="I172" s="140">
        <f>(LN(B172/$B$7)+($H$7^2/2)*($J$7))/($H$7*SQRT($J$7))</f>
        <v/>
      </c>
      <c r="J172" s="140">
        <f>I172 - $H$7*SQRT($J$7)</f>
        <v/>
      </c>
    </row>
    <row r="173" ht="13.5" customHeight="1" s="116">
      <c r="B173" s="144">
        <f>B143</f>
        <v/>
      </c>
      <c r="C173" s="139">
        <f>IF($O$7="sell",-1,1) *  IF($K$7="call",  NORMDIST(I173,0,1,1),  NORMDIST(I173,0,1,1)-1  ) * $P$7</f>
        <v/>
      </c>
      <c r="D173" s="139">
        <f>IF($O$7="sell",-1,1) * NORMDIST(I173,0,1,0)/(B173*$H$7*SQRT($J$7)) * $P$7</f>
        <v/>
      </c>
      <c r="E173" s="139">
        <f>IF($O$7="sell",-1,1) * (B173*NORMDIST(I173,0,1,0)*SQRT($J$7)/365) * $P$7</f>
        <v/>
      </c>
      <c r="F173" s="139">
        <f>IF($O$7="sell",-1,1) * (-(B173*NORMDIST(I173,0,1,0)*$H$7)/(2*SQRT($J$7))/365) *$P$7</f>
        <v/>
      </c>
      <c r="G173" s="139">
        <f>IF($O$7="buy",1,-1)*( IF($K$7="call",B173*NORMDIST(I173,0,1,1) - $B$7*NORMDIST(J173,0,1,1),$B$7*NORMDIST(-J173,0,1,1) - B173*NORMDIST(-I173,0,1,1) ) - $G$7) * $P$7</f>
        <v/>
      </c>
      <c r="I173" s="140">
        <f>(LN(B173/$B$7)+($H$7^2/2)*($J$7))/($H$7*SQRT($J$7))</f>
        <v/>
      </c>
      <c r="J173" s="140">
        <f>I173 - $H$7*SQRT($J$7)</f>
        <v/>
      </c>
    </row>
    <row r="174" ht="13.5" customHeight="1" s="116">
      <c r="B174" s="144">
        <f>B144</f>
        <v/>
      </c>
      <c r="C174" s="139">
        <f>IF($O$7="sell",-1,1) *  IF($K$7="call",  NORMDIST(I174,0,1,1),  NORMDIST(I174,0,1,1)-1  ) * $P$7</f>
        <v/>
      </c>
      <c r="D174" s="139">
        <f>IF($O$7="sell",-1,1) * NORMDIST(I174,0,1,0)/(B174*$H$7*SQRT($J$7)) * $P$7</f>
        <v/>
      </c>
      <c r="E174" s="139">
        <f>IF($O$7="sell",-1,1) * (B174*NORMDIST(I174,0,1,0)*SQRT($J$7)/365) * $P$7</f>
        <v/>
      </c>
      <c r="F174" s="139">
        <f>IF($O$7="sell",-1,1) * (-(B174*NORMDIST(I174,0,1,0)*$H$7)/(2*SQRT($J$7))/365) *$P$7</f>
        <v/>
      </c>
      <c r="G174" s="139">
        <f>IF($O$7="buy",1,-1)*( IF($K$7="call",B174*NORMDIST(I174,0,1,1) - $B$7*NORMDIST(J174,0,1,1),$B$7*NORMDIST(-J174,0,1,1) - B174*NORMDIST(-I174,0,1,1) ) - $G$7) * $P$7</f>
        <v/>
      </c>
      <c r="I174" s="140">
        <f>(LN(B174/$B$7)+($H$7^2/2)*($J$7))/($H$7*SQRT($J$7))</f>
        <v/>
      </c>
      <c r="J174" s="140">
        <f>I174 - $H$7*SQRT($J$7)</f>
        <v/>
      </c>
    </row>
    <row r="175" ht="13.5" customHeight="1" s="116">
      <c r="B175" s="144">
        <f>B145</f>
        <v/>
      </c>
      <c r="C175" s="139">
        <f>IF($O$7="sell",-1,1) *  IF($K$7="call",  NORMDIST(I175,0,1,1),  NORMDIST(I175,0,1,1)-1  ) * $P$7</f>
        <v/>
      </c>
      <c r="D175" s="139">
        <f>IF($O$7="sell",-1,1) * NORMDIST(I175,0,1,0)/(B175*$H$7*SQRT($J$7)) * $P$7</f>
        <v/>
      </c>
      <c r="E175" s="139">
        <f>IF($O$7="sell",-1,1) * (B175*NORMDIST(I175,0,1,0)*SQRT($J$7)/365) * $P$7</f>
        <v/>
      </c>
      <c r="F175" s="139">
        <f>IF($O$7="sell",-1,1) * (-(B175*NORMDIST(I175,0,1,0)*$H$7)/(2*SQRT($J$7))/365) *$P$7</f>
        <v/>
      </c>
      <c r="G175" s="139">
        <f>IF($O$7="buy",1,-1)*( IF($K$7="call",B175*NORMDIST(I175,0,1,1) - $B$7*NORMDIST(J175,0,1,1),$B$7*NORMDIST(-J175,0,1,1) - B175*NORMDIST(-I175,0,1,1) ) - $G$7) * $P$7</f>
        <v/>
      </c>
      <c r="I175" s="140">
        <f>(LN(B175/$B$7)+($H$7^2/2)*($J$7))/($H$7*SQRT($J$7))</f>
        <v/>
      </c>
      <c r="J175" s="140">
        <f>I175 - $H$7*SQRT($J$7)</f>
        <v/>
      </c>
    </row>
    <row r="176" ht="13.5" customHeight="1" s="116">
      <c r="B176" s="144">
        <f>B146</f>
        <v/>
      </c>
      <c r="C176" s="139">
        <f>IF($O$7="sell",-1,1) *  IF($K$7="call",  NORMDIST(I176,0,1,1),  NORMDIST(I176,0,1,1)-1  ) * $P$7</f>
        <v/>
      </c>
      <c r="D176" s="139">
        <f>IF($O$7="sell",-1,1) * NORMDIST(I176,0,1,0)/(B176*$H$7*SQRT($J$7)) * $P$7</f>
        <v/>
      </c>
      <c r="E176" s="139">
        <f>IF($O$7="sell",-1,1) * (B176*NORMDIST(I176,0,1,0)*SQRT($J$7)/365) * $P$7</f>
        <v/>
      </c>
      <c r="F176" s="139">
        <f>IF($O$7="sell",-1,1) * (-(B176*NORMDIST(I176,0,1,0)*$H$7)/(2*SQRT($J$7))/365) *$P$7</f>
        <v/>
      </c>
      <c r="G176" s="139">
        <f>IF($O$7="buy",1,-1)*( IF($K$7="call",B176*NORMDIST(I176,0,1,1) - $B$7*NORMDIST(J176,0,1,1),$B$7*NORMDIST(-J176,0,1,1) - B176*NORMDIST(-I176,0,1,1) ) - $G$7) * $P$7</f>
        <v/>
      </c>
      <c r="I176" s="140">
        <f>(LN(B176/$B$7)+($H$7^2/2)*($J$7))/($H$7*SQRT($J$7))</f>
        <v/>
      </c>
      <c r="J176" s="140">
        <f>I176 - $H$7*SQRT($J$7)</f>
        <v/>
      </c>
    </row>
    <row r="177" ht="13.5" customHeight="1" s="116">
      <c r="B177" s="144">
        <f>B147</f>
        <v/>
      </c>
      <c r="C177" s="139">
        <f>IF($O$7="sell",-1,1) *  IF($K$7="call",  NORMDIST(I177,0,1,1),  NORMDIST(I177,0,1,1)-1  ) * $P$7</f>
        <v/>
      </c>
      <c r="D177" s="139">
        <f>IF($O$7="sell",-1,1) * NORMDIST(I177,0,1,0)/(B177*$H$7*SQRT($J$7)) * $P$7</f>
        <v/>
      </c>
      <c r="E177" s="139">
        <f>IF($O$7="sell",-1,1) * (B177*NORMDIST(I177,0,1,0)*SQRT($J$7)/365) * $P$7</f>
        <v/>
      </c>
      <c r="F177" s="139">
        <f>IF($O$7="sell",-1,1) * (-(B177*NORMDIST(I177,0,1,0)*$H$7)/(2*SQRT($J$7))/365) *$P$7</f>
        <v/>
      </c>
      <c r="G177" s="139">
        <f>IF($O$7="buy",1,-1)*( IF($K$7="call",B177*NORMDIST(I177,0,1,1) - $B$7*NORMDIST(J177,0,1,1),$B$7*NORMDIST(-J177,0,1,1) - B177*NORMDIST(-I177,0,1,1) ) - $G$7) * $P$7</f>
        <v/>
      </c>
      <c r="I177" s="140">
        <f>(LN(B177/$B$7)+($H$7^2/2)*($J$7))/($H$7*SQRT($J$7))</f>
        <v/>
      </c>
      <c r="J177" s="140">
        <f>I177 - $H$7*SQRT($J$7)</f>
        <v/>
      </c>
    </row>
    <row r="178" ht="13.5" customHeight="1" s="116">
      <c r="B178" s="144">
        <f>B148</f>
        <v/>
      </c>
      <c r="C178" s="139">
        <f>IF($O$7="sell",-1,1) *  IF($K$7="call",  NORMDIST(I178,0,1,1),  NORMDIST(I178,0,1,1)-1  ) * $P$7</f>
        <v/>
      </c>
      <c r="D178" s="139">
        <f>IF($O$7="sell",-1,1) * NORMDIST(I178,0,1,0)/(B178*$H$7*SQRT($J$7)) * $P$7</f>
        <v/>
      </c>
      <c r="E178" s="139">
        <f>IF($O$7="sell",-1,1) * (B178*NORMDIST(I178,0,1,0)*SQRT($J$7)/365) * $P$7</f>
        <v/>
      </c>
      <c r="F178" s="139">
        <f>IF($O$7="sell",-1,1) * (-(B178*NORMDIST(I178,0,1,0)*$H$7)/(2*SQRT($J$7))/365) *$P$7</f>
        <v/>
      </c>
      <c r="G178" s="139">
        <f>IF($O$7="buy",1,-1)*( IF($K$7="call",B178*NORMDIST(I178,0,1,1) - $B$7*NORMDIST(J178,0,1,1),$B$7*NORMDIST(-J178,0,1,1) - B178*NORMDIST(-I178,0,1,1) ) - $G$7) * $P$7</f>
        <v/>
      </c>
      <c r="I178" s="140">
        <f>(LN(B178/$B$7)+($H$7^2/2)*($J$7))/($H$7*SQRT($J$7))</f>
        <v/>
      </c>
      <c r="J178" s="140">
        <f>I178 - $H$7*SQRT($J$7)</f>
        <v/>
      </c>
    </row>
    <row r="179" ht="13.5" customHeight="1" s="116">
      <c r="B179" s="144">
        <f>B149</f>
        <v/>
      </c>
      <c r="C179" s="139">
        <f>IF($O$7="sell",-1,1) *  IF($K$7="call",  NORMDIST(I179,0,1,1),  NORMDIST(I179,0,1,1)-1  ) * $P$7</f>
        <v/>
      </c>
      <c r="D179" s="139">
        <f>IF($O$7="sell",-1,1) * NORMDIST(I179,0,1,0)/(B179*$H$7*SQRT($J$7)) * $P$7</f>
        <v/>
      </c>
      <c r="E179" s="139">
        <f>IF($O$7="sell",-1,1) * (B179*NORMDIST(I179,0,1,0)*SQRT($J$7)/365) * $P$7</f>
        <v/>
      </c>
      <c r="F179" s="139">
        <f>IF($O$7="sell",-1,1) * (-(B179*NORMDIST(I179,0,1,0)*$H$7)/(2*SQRT($J$7))/365) *$P$7</f>
        <v/>
      </c>
      <c r="G179" s="139">
        <f>IF($O$7="buy",1,-1)*( IF($K$7="call",B179*NORMDIST(I179,0,1,1) - $B$7*NORMDIST(J179,0,1,1),$B$7*NORMDIST(-J179,0,1,1) - B179*NORMDIST(-I179,0,1,1) ) - $G$7) * $P$7</f>
        <v/>
      </c>
      <c r="I179" s="140">
        <f>(LN(B179/$B$7)+($H$7^2/2)*($J$7))/($H$7*SQRT($J$7))</f>
        <v/>
      </c>
      <c r="J179" s="140">
        <f>I179 - $H$7*SQRT($J$7)</f>
        <v/>
      </c>
    </row>
    <row r="180" ht="13.5" customHeight="1" s="116">
      <c r="B180" s="144">
        <f>B150</f>
        <v/>
      </c>
      <c r="C180" s="139">
        <f>IF($O$7="sell",-1,1) *  IF($K$7="call",  NORMDIST(I180,0,1,1),  NORMDIST(I180,0,1,1)-1  ) * $P$7</f>
        <v/>
      </c>
      <c r="D180" s="139">
        <f>IF($O$7="sell",-1,1) * NORMDIST(I180,0,1,0)/(B180*$H$7*SQRT($J$7)) * $P$7</f>
        <v/>
      </c>
      <c r="E180" s="139">
        <f>IF($O$7="sell",-1,1) * (B180*NORMDIST(I180,0,1,0)*SQRT($J$7)/365) * $P$7</f>
        <v/>
      </c>
      <c r="F180" s="139">
        <f>IF($O$7="sell",-1,1) * (-(B180*NORMDIST(I180,0,1,0)*$H$7)/(2*SQRT($J$7))/365) *$P$7</f>
        <v/>
      </c>
      <c r="G180" s="139">
        <f>IF($O$7="buy",1,-1)*( IF($K$7="call",B180*NORMDIST(I180,0,1,1) - $B$7*NORMDIST(J180,0,1,1),$B$7*NORMDIST(-J180,0,1,1) - B180*NORMDIST(-I180,0,1,1) ) - $G$7) * $P$7</f>
        <v/>
      </c>
      <c r="I180" s="140">
        <f>(LN(B180/$B$7)+($H$7^2/2)*($J$7))/($H$7*SQRT($J$7))</f>
        <v/>
      </c>
      <c r="J180" s="140">
        <f>I180 - $H$7*SQRT($J$7)</f>
        <v/>
      </c>
    </row>
    <row r="181" ht="13.5" customHeight="1" s="116">
      <c r="B181" s="144">
        <f>B151</f>
        <v/>
      </c>
      <c r="C181" s="139">
        <f>IF($O$7="sell",-1,1) *  IF($K$7="call",  NORMDIST(I181,0,1,1),  NORMDIST(I181,0,1,1)-1  ) * $P$7</f>
        <v/>
      </c>
      <c r="D181" s="139">
        <f>IF($O$7="sell",-1,1) * NORMDIST(I181,0,1,0)/(B181*$H$7*SQRT($J$7)) * $P$7</f>
        <v/>
      </c>
      <c r="E181" s="139">
        <f>IF($O$7="sell",-1,1) * (B181*NORMDIST(I181,0,1,0)*SQRT($J$7)/365) * $P$7</f>
        <v/>
      </c>
      <c r="F181" s="139">
        <f>IF($O$7="sell",-1,1) * (-(B181*NORMDIST(I181,0,1,0)*$H$7)/(2*SQRT($J$7))/365) *$P$7</f>
        <v/>
      </c>
      <c r="G181" s="139">
        <f>IF($O$7="buy",1,-1)*( IF($K$7="call",B181*NORMDIST(I181,0,1,1) - $B$7*NORMDIST(J181,0,1,1),$B$7*NORMDIST(-J181,0,1,1) - B181*NORMDIST(-I181,0,1,1) ) - $G$7) * $P$7</f>
        <v/>
      </c>
      <c r="I181" s="140">
        <f>(LN(B181/$B$7)+($H$7^2/2)*($J$7))/($H$7*SQRT($J$7))</f>
        <v/>
      </c>
      <c r="J181" s="140">
        <f>I181 - $H$7*SQRT($J$7)</f>
        <v/>
      </c>
    </row>
    <row r="182" ht="13.5" customHeight="1" s="116">
      <c r="B182" s="144">
        <f>B152</f>
        <v/>
      </c>
      <c r="C182" s="139">
        <f>IF($O$7="sell",-1,1) *  IF($K$7="call",  NORMDIST(I182,0,1,1),  NORMDIST(I182,0,1,1)-1  ) * $P$7</f>
        <v/>
      </c>
      <c r="D182" s="139">
        <f>IF($O$7="sell",-1,1) * NORMDIST(I182,0,1,0)/(B182*$H$7*SQRT($J$7)) * $P$7</f>
        <v/>
      </c>
      <c r="E182" s="139">
        <f>IF($O$7="sell",-1,1) * (B182*NORMDIST(I182,0,1,0)*SQRT($J$7)/365) * $P$7</f>
        <v/>
      </c>
      <c r="F182" s="139">
        <f>IF($O$7="sell",-1,1) * (-(B182*NORMDIST(I182,0,1,0)*$H$7)/(2*SQRT($J$7))/365) *$P$7</f>
        <v/>
      </c>
      <c r="G182" s="139">
        <f>IF($O$7="buy",1,-1)*( IF($K$7="call",B182*NORMDIST(I182,0,1,1) - $B$7*NORMDIST(J182,0,1,1),$B$7*NORMDIST(-J182,0,1,1) - B182*NORMDIST(-I182,0,1,1) ) - $G$7) * $P$7</f>
        <v/>
      </c>
      <c r="I182" s="140">
        <f>(LN(B182/$B$7)+($H$7^2/2)*($J$7))/($H$7*SQRT($J$7))</f>
        <v/>
      </c>
      <c r="J182" s="140">
        <f>I182 - $H$7*SQRT($J$7)</f>
        <v/>
      </c>
    </row>
    <row r="183" ht="13.5" customHeight="1" s="116">
      <c r="B183" s="144">
        <f>B153</f>
        <v/>
      </c>
      <c r="C183" s="139">
        <f>IF($O$7="sell",-1,1) *  IF($K$7="call",  NORMDIST(I183,0,1,1),  NORMDIST(I183,0,1,1)-1  ) * $P$7</f>
        <v/>
      </c>
      <c r="D183" s="139">
        <f>IF($O$7="sell",-1,1) * NORMDIST(I183,0,1,0)/(B183*$H$7*SQRT($J$7)) * $P$7</f>
        <v/>
      </c>
      <c r="E183" s="139">
        <f>IF($O$7="sell",-1,1) * (B183*NORMDIST(I183,0,1,0)*SQRT($J$7)/365) * $P$7</f>
        <v/>
      </c>
      <c r="F183" s="139">
        <f>IF($O$7="sell",-1,1) * (-(B183*NORMDIST(I183,0,1,0)*$H$7)/(2*SQRT($J$7))/365) *$P$7</f>
        <v/>
      </c>
      <c r="G183" s="139">
        <f>IF($O$7="buy",1,-1)*( IF($K$7="call",B183*NORMDIST(I183,0,1,1) - $B$7*NORMDIST(J183,0,1,1),$B$7*NORMDIST(-J183,0,1,1) - B183*NORMDIST(-I183,0,1,1) ) - $G$7) * $P$7</f>
        <v/>
      </c>
      <c r="I183" s="140">
        <f>(LN(B183/$B$7)+($H$7^2/2)*($J$7))/($H$7*SQRT($J$7))</f>
        <v/>
      </c>
      <c r="J183" s="140">
        <f>I183 - $H$7*SQRT($J$7)</f>
        <v/>
      </c>
    </row>
    <row r="184" ht="13.5" customHeight="1" s="116">
      <c r="B184" s="144">
        <f>B154</f>
        <v/>
      </c>
      <c r="C184" s="139">
        <f>IF($O$7="sell",-1,1) *  IF($K$7="call",  NORMDIST(I184,0,1,1),  NORMDIST(I184,0,1,1)-1  ) * $P$7</f>
        <v/>
      </c>
      <c r="D184" s="139">
        <f>IF($O$7="sell",-1,1) * NORMDIST(I184,0,1,0)/(B184*$H$7*SQRT($J$7)) * $P$7</f>
        <v/>
      </c>
      <c r="E184" s="139">
        <f>IF($O$7="sell",-1,1) * (B184*NORMDIST(I184,0,1,0)*SQRT($J$7)/365) * $P$7</f>
        <v/>
      </c>
      <c r="F184" s="139">
        <f>IF($O$7="sell",-1,1) * (-(B184*NORMDIST(I184,0,1,0)*$H$7)/(2*SQRT($J$7))/365) *$P$7</f>
        <v/>
      </c>
      <c r="G184" s="139">
        <f>IF($O$7="buy",1,-1)*( IF($K$7="call",B184*NORMDIST(I184,0,1,1) - $B$7*NORMDIST(J184,0,1,1),$B$7*NORMDIST(-J184,0,1,1) - B184*NORMDIST(-I184,0,1,1) ) - $G$7) * $P$7</f>
        <v/>
      </c>
      <c r="I184" s="140">
        <f>(LN(B184/$B$7)+($H$7^2/2)*($J$7))/($H$7*SQRT($J$7))</f>
        <v/>
      </c>
      <c r="J184" s="140">
        <f>I184 - $H$7*SQRT($J$7)</f>
        <v/>
      </c>
    </row>
    <row r="185" ht="13.5" customHeight="1" s="116">
      <c r="B185" s="144">
        <f>B155</f>
        <v/>
      </c>
      <c r="C185" s="139">
        <f>IF($O$7="sell",-1,1) *  IF($K$7="call",  NORMDIST(I185,0,1,1),  NORMDIST(I185,0,1,1)-1  ) * $P$7</f>
        <v/>
      </c>
      <c r="D185" s="139">
        <f>IF($O$7="sell",-1,1) * NORMDIST(I185,0,1,0)/(B185*$H$7*SQRT($J$7)) * $P$7</f>
        <v/>
      </c>
      <c r="E185" s="139">
        <f>IF($O$7="sell",-1,1) * (B185*NORMDIST(I185,0,1,0)*SQRT($J$7)/365) * $P$7</f>
        <v/>
      </c>
      <c r="F185" s="139">
        <f>IF($O$7="sell",-1,1) * (-(B185*NORMDIST(I185,0,1,0)*$H$7)/(2*SQRT($J$7))/365) *$P$7</f>
        <v/>
      </c>
      <c r="G185" s="139">
        <f>IF($O$7="buy",1,-1)*( IF($K$7="call",B185*NORMDIST(I185,0,1,1) - $B$7*NORMDIST(J185,0,1,1),$B$7*NORMDIST(-J185,0,1,1) - B185*NORMDIST(-I185,0,1,1) ) - $G$7) * $P$7</f>
        <v/>
      </c>
      <c r="I185" s="140">
        <f>(LN(B185/$B$7)+($H$7^2/2)*($J$7))/($H$7*SQRT($J$7))</f>
        <v/>
      </c>
      <c r="J185" s="140">
        <f>I185 - $H$7*SQRT($J$7)</f>
        <v/>
      </c>
    </row>
    <row r="186" ht="13.5" customHeight="1" s="116">
      <c r="B186" s="144">
        <f>B156</f>
        <v/>
      </c>
      <c r="C186" s="139">
        <f>IF($O$7="sell",-1,1) *  IF($K$7="call",  NORMDIST(I186,0,1,1),  NORMDIST(I186,0,1,1)-1  ) * $P$7</f>
        <v/>
      </c>
      <c r="D186" s="139">
        <f>IF($O$7="sell",-1,1) * NORMDIST(I186,0,1,0)/(B186*$H$7*SQRT($J$7)) * $P$7</f>
        <v/>
      </c>
      <c r="E186" s="139">
        <f>IF($O$7="sell",-1,1) * (B186*NORMDIST(I186,0,1,0)*SQRT($J$7)/365) * $P$7</f>
        <v/>
      </c>
      <c r="F186" s="139">
        <f>IF($O$7="sell",-1,1) * (-(B186*NORMDIST(I186,0,1,0)*$H$7)/(2*SQRT($J$7))/365) *$P$7</f>
        <v/>
      </c>
      <c r="G186" s="139">
        <f>IF($O$7="buy",1,-1)*( IF($K$7="call",B186*NORMDIST(I186,0,1,1) - $B$7*NORMDIST(J186,0,1,1),$B$7*NORMDIST(-J186,0,1,1) - B186*NORMDIST(-I186,0,1,1) ) - $G$7) * $P$7</f>
        <v/>
      </c>
      <c r="I186" s="140">
        <f>(LN(B186/$B$7)+($H$7^2/2)*($J$7))/($H$7*SQRT($J$7))</f>
        <v/>
      </c>
      <c r="J186" s="140">
        <f>I186 - $H$7*SQRT($J$7)</f>
        <v/>
      </c>
    </row>
    <row r="187" ht="13.5" customHeight="1" s="116">
      <c r="B187" s="144">
        <f>B157</f>
        <v/>
      </c>
      <c r="C187" s="139">
        <f>IF($O$7="sell",-1,1) *  IF($K$7="call",  NORMDIST(I187,0,1,1),  NORMDIST(I187,0,1,1)-1  ) * $P$7</f>
        <v/>
      </c>
      <c r="D187" s="139">
        <f>IF($O$7="sell",-1,1) * NORMDIST(I187,0,1,0)/(B187*$H$7*SQRT($J$7)) * $P$7</f>
        <v/>
      </c>
      <c r="E187" s="139">
        <f>IF($O$7="sell",-1,1) * (B187*NORMDIST(I187,0,1,0)*SQRT($J$7)/365) * $P$7</f>
        <v/>
      </c>
      <c r="F187" s="139">
        <f>IF($O$7="sell",-1,1) * (-(B187*NORMDIST(I187,0,1,0)*$H$7)/(2*SQRT($J$7))/365) *$P$7</f>
        <v/>
      </c>
      <c r="G187" s="139">
        <f>IF($O$7="buy",1,-1)*( IF($K$7="call",B187*NORMDIST(I187,0,1,1) - $B$7*NORMDIST(J187,0,1,1),$B$7*NORMDIST(-J187,0,1,1) - B187*NORMDIST(-I187,0,1,1) ) - $G$7) * $P$7</f>
        <v/>
      </c>
      <c r="I187" s="140">
        <f>(LN(B187/$B$7)+($H$7^2/2)*($J$7))/($H$7*SQRT($J$7))</f>
        <v/>
      </c>
      <c r="J187" s="140">
        <f>I187 - $H$7*SQRT($J$7)</f>
        <v/>
      </c>
    </row>
    <row r="188" ht="13.5" customHeight="1" s="116">
      <c r="B188" s="144">
        <f>B158</f>
        <v/>
      </c>
      <c r="C188" s="139">
        <f>IF($O$7="sell",-1,1) *  IF($K$7="call",  NORMDIST(I188,0,1,1),  NORMDIST(I188,0,1,1)-1  ) * $P$7</f>
        <v/>
      </c>
      <c r="D188" s="139">
        <f>IF($O$7="sell",-1,1) * NORMDIST(I188,0,1,0)/(B188*$H$7*SQRT($J$7)) * $P$7</f>
        <v/>
      </c>
      <c r="E188" s="139">
        <f>IF($O$7="sell",-1,1) * (B188*NORMDIST(I188,0,1,0)*SQRT($J$7)/365) * $P$7</f>
        <v/>
      </c>
      <c r="F188" s="139">
        <f>IF($O$7="sell",-1,1) * (-(B188*NORMDIST(I188,0,1,0)*$H$7)/(2*SQRT($J$7))/365) *$P$7</f>
        <v/>
      </c>
      <c r="G188" s="139">
        <f>IF($O$7="buy",1,-1)*( IF($K$7="call",B188*NORMDIST(I188,0,1,1) - $B$7*NORMDIST(J188,0,1,1),$B$7*NORMDIST(-J188,0,1,1) - B188*NORMDIST(-I188,0,1,1) ) - $G$7) * $P$7</f>
        <v/>
      </c>
      <c r="I188" s="140">
        <f>(LN(B188/$B$7)+($H$7^2/2)*($J$7))/($H$7*SQRT($J$7))</f>
        <v/>
      </c>
      <c r="J188" s="140">
        <f>I188 - $H$7*SQRT($J$7)</f>
        <v/>
      </c>
    </row>
    <row r="189" ht="13.5" customHeight="1" s="116">
      <c r="B189" s="144">
        <f>B159</f>
        <v/>
      </c>
      <c r="C189" s="139">
        <f>IF($O$7="sell",-1,1) *  IF($K$7="call",  NORMDIST(I189,0,1,1),  NORMDIST(I189,0,1,1)-1  ) * $P$7</f>
        <v/>
      </c>
      <c r="D189" s="139">
        <f>IF($O$7="sell",-1,1) * NORMDIST(I189,0,1,0)/(B189*$H$7*SQRT($J$7)) * $P$7</f>
        <v/>
      </c>
      <c r="E189" s="139">
        <f>IF($O$7="sell",-1,1) * (B189*NORMDIST(I189,0,1,0)*SQRT($J$7)/365) * $P$7</f>
        <v/>
      </c>
      <c r="F189" s="139">
        <f>IF($O$7="sell",-1,1) * (-(B189*NORMDIST(I189,0,1,0)*$H$7)/(2*SQRT($J$7))/365) *$P$7</f>
        <v/>
      </c>
      <c r="G189" s="139">
        <f>IF($O$7="buy",1,-1)*( IF($K$7="call",B189*NORMDIST(I189,0,1,1) - $B$7*NORMDIST(J189,0,1,1),$B$7*NORMDIST(-J189,0,1,1) - B189*NORMDIST(-I189,0,1,1) ) - $G$7) * $P$7</f>
        <v/>
      </c>
      <c r="I189" s="140">
        <f>(LN(B189/$B$7)+($H$7^2/2)*($J$7))/($H$7*SQRT($J$7))</f>
        <v/>
      </c>
      <c r="J189" s="140">
        <f>I189 - $H$7*SQRT($J$7)</f>
        <v/>
      </c>
    </row>
    <row r="190" ht="13.5" customHeight="1" s="116">
      <c r="B190" s="144">
        <f>B160</f>
        <v/>
      </c>
      <c r="C190" s="139">
        <f>IF($O$7="sell",-1,1) *  IF($K$7="call",  NORMDIST(I190,0,1,1),  NORMDIST(I190,0,1,1)-1  ) * $P$7</f>
        <v/>
      </c>
      <c r="D190" s="139">
        <f>IF($O$7="sell",-1,1) * NORMDIST(I190,0,1,0)/(B190*$H$7*SQRT($J$7)) * $P$7</f>
        <v/>
      </c>
      <c r="E190" s="139">
        <f>IF($O$7="sell",-1,1) * (B190*NORMDIST(I190,0,1,0)*SQRT($J$7)/365) * $P$7</f>
        <v/>
      </c>
      <c r="F190" s="139">
        <f>IF($O$7="sell",-1,1) * (-(B190*NORMDIST(I190,0,1,0)*$H$7)/(2*SQRT($J$7))/365) *$P$7</f>
        <v/>
      </c>
      <c r="G190" s="139">
        <f>IF($O$7="buy",1,-1)*( IF($K$7="call",B190*NORMDIST(I190,0,1,1) - $B$7*NORMDIST(J190,0,1,1),$B$7*NORMDIST(-J190,0,1,1) - B190*NORMDIST(-I190,0,1,1) ) - $G$7) * $P$7</f>
        <v/>
      </c>
      <c r="I190" s="140">
        <f>(LN(B190/$B$7)+($H$7^2/2)*($J$7))/($H$7*SQRT($J$7))</f>
        <v/>
      </c>
      <c r="J190" s="140">
        <f>I190 - $H$7*SQRT($J$7)</f>
        <v/>
      </c>
    </row>
    <row r="191" ht="13.5" customHeight="1" s="116">
      <c r="B191" s="144">
        <f>B161</f>
        <v/>
      </c>
      <c r="C191" s="139">
        <f>IF($O$7="sell",-1,1) *  IF($K$7="call",  NORMDIST(I191,0,1,1),  NORMDIST(I191,0,1,1)-1  ) * $P$7</f>
        <v/>
      </c>
      <c r="D191" s="139">
        <f>IF($O$7="sell",-1,1) * NORMDIST(I191,0,1,0)/(B191*$H$7*SQRT($J$7)) * $P$7</f>
        <v/>
      </c>
      <c r="E191" s="139">
        <f>IF($O$7="sell",-1,1) * (B191*NORMDIST(I191,0,1,0)*SQRT($J$7)/365) * $P$7</f>
        <v/>
      </c>
      <c r="F191" s="139">
        <f>IF($O$7="sell",-1,1) * (-(B191*NORMDIST(I191,0,1,0)*$H$7)/(2*SQRT($J$7))/365) *$P$7</f>
        <v/>
      </c>
      <c r="G191" s="139">
        <f>IF($O$7="buy",1,-1)*( IF($K$7="call",B191*NORMDIST(I191,0,1,1) - $B$7*NORMDIST(J191,0,1,1),$B$7*NORMDIST(-J191,0,1,1) - B191*NORMDIST(-I191,0,1,1) ) - $G$7) * $P$7</f>
        <v/>
      </c>
      <c r="I191" s="140">
        <f>(LN(B191/$B$7)+($H$7^2/2)*($J$7))/($H$7*SQRT($J$7))</f>
        <v/>
      </c>
      <c r="J191" s="140">
        <f>I191 - $H$7*SQRT($J$7)</f>
        <v/>
      </c>
    </row>
    <row r="192" ht="13.5" customHeight="1" s="116">
      <c r="B192" s="144">
        <f>B162</f>
        <v/>
      </c>
      <c r="C192" s="139">
        <f>IF($O$7="sell",-1,1) *  IF($K$7="call",  NORMDIST(I192,0,1,1),  NORMDIST(I192,0,1,1)-1  ) * $P$7</f>
        <v/>
      </c>
      <c r="D192" s="139">
        <f>IF($O$7="sell",-1,1) * NORMDIST(I192,0,1,0)/(B192*$H$7*SQRT($J$7)) * $P$7</f>
        <v/>
      </c>
      <c r="E192" s="139">
        <f>IF($O$7="sell",-1,1) * (B192*NORMDIST(I192,0,1,0)*SQRT($J$7)/365) * $P$7</f>
        <v/>
      </c>
      <c r="F192" s="139">
        <f>IF($O$7="sell",-1,1) * (-(B192*NORMDIST(I192,0,1,0)*$H$7)/(2*SQRT($J$7))/365) *$P$7</f>
        <v/>
      </c>
      <c r="G192" s="139">
        <f>IF($O$7="buy",1,-1)*( IF($K$7="call",B192*NORMDIST(I192,0,1,1) - $B$7*NORMDIST(J192,0,1,1),$B$7*NORMDIST(-J192,0,1,1) - B192*NORMDIST(-I192,0,1,1) ) - $G$7) * $P$7</f>
        <v/>
      </c>
      <c r="I192" s="140">
        <f>(LN(B192/$B$7)+($H$7^2/2)*($J$7))/($H$7*SQRT($J$7))</f>
        <v/>
      </c>
      <c r="J192" s="140">
        <f>I192 - $H$7*SQRT($J$7)</f>
        <v/>
      </c>
    </row>
    <row r="193" ht="13.5" customHeight="1" s="116">
      <c r="B193" s="145" t="n"/>
      <c r="C193" s="136" t="n"/>
      <c r="D193" s="136" t="n"/>
      <c r="E193" s="136" t="n"/>
      <c r="F193" s="136" t="n"/>
      <c r="G193" s="136" t="n"/>
      <c r="I193" s="146" t="n"/>
      <c r="J193" s="146" t="n"/>
    </row>
    <row r="194" ht="13.5" customHeight="1" s="116">
      <c r="B194" s="145" t="n"/>
      <c r="C194" s="136" t="n"/>
      <c r="D194" s="136" t="n"/>
      <c r="E194" s="136" t="n"/>
      <c r="F194" s="136" t="n"/>
      <c r="G194" s="136" t="n"/>
      <c r="I194" s="146" t="n"/>
      <c r="J194" s="146" t="n"/>
    </row>
    <row r="195" ht="13.5" customHeight="1" s="116">
      <c r="B195" s="137" t="n"/>
      <c r="C195" s="133" t="inlineStr">
        <is>
          <t>delta</t>
        </is>
      </c>
      <c r="D195" s="133" t="inlineStr">
        <is>
          <t>gamma</t>
        </is>
      </c>
      <c r="E195" s="133" t="inlineStr">
        <is>
          <t>vega</t>
        </is>
      </c>
      <c r="F195" s="133" t="inlineStr">
        <is>
          <t>theta</t>
        </is>
      </c>
      <c r="G195" s="133" t="inlineStr">
        <is>
          <t>mark_price</t>
        </is>
      </c>
      <c r="I195" s="133" t="inlineStr">
        <is>
          <t>d1</t>
        </is>
      </c>
      <c r="J195" s="133" t="inlineStr">
        <is>
          <t>d2</t>
        </is>
      </c>
    </row>
    <row r="196" ht="13.5" customHeight="1" s="116">
      <c r="A196" s="117">
        <f>A8</f>
        <v/>
      </c>
      <c r="B196" s="144">
        <f>B166</f>
        <v/>
      </c>
      <c r="C196" s="139">
        <f>IF($O$8="sell",-1,1) *  IF($K$8="call",  NORMDIST(I196,0,1,1),  NORMDIST(I196,0,1,1)-1  ) * $P$8</f>
        <v/>
      </c>
      <c r="D196" s="139">
        <f>IF($O$8="sell",-1,1) * NORMDIST(I196,0,1,0)/(B196*$H$8*SQRT($J$8)) * $P$8</f>
        <v/>
      </c>
      <c r="E196" s="139">
        <f>IF($O$8="sell",-1,1) * (B196*NORMDIST(I196,0,1,0)*SQRT($J$8)/365) * $P$8</f>
        <v/>
      </c>
      <c r="F196" s="139">
        <f>IF($O$8="sell",-1,1) * (-(B196*NORMDIST(I196,0,1,0)*$H$8)/(2*SQRT($J$8))/365) *$P$8</f>
        <v/>
      </c>
      <c r="G196" s="139">
        <f>IF($O$8="buy",1,-1)*( IF($K$8="call",B196*NORMDIST(I196,0,1,1) - $B$8*NORMDIST(J196,0,1,1),$B$8*NORMDIST(-J196,0,1,1) - B196*NORMDIST(-I196,0,1,1) ) - $G$8) * $P$8</f>
        <v/>
      </c>
      <c r="I196" s="140">
        <f>(LN(B196/$B$8)+($H$8^2/2)*($J$8))/($H$8*SQRT($J$8))</f>
        <v/>
      </c>
      <c r="J196" s="140">
        <f>I196 - $H$8*SQRT($J$8)</f>
        <v/>
      </c>
    </row>
    <row r="197" ht="13.5" customHeight="1" s="116">
      <c r="B197" s="144">
        <f>B167</f>
        <v/>
      </c>
      <c r="C197" s="139">
        <f>IF($O$8="sell",-1,1) *  IF($K$8="call",  NORMDIST(I197,0,1,1),  NORMDIST(I197,0,1,1)-1  ) * $P$8</f>
        <v/>
      </c>
      <c r="D197" s="139">
        <f>IF($O$8="sell",-1,1) * NORMDIST(I197,0,1,0)/(B197*$H$8*SQRT($J$8)) * $P$8</f>
        <v/>
      </c>
      <c r="E197" s="139">
        <f>IF($O$8="sell",-1,1) * (B197*NORMDIST(I197,0,1,0)*SQRT($J$8)/365) * $P$8</f>
        <v/>
      </c>
      <c r="F197" s="139">
        <f>IF($O$8="sell",-1,1) * (-(B197*NORMDIST(I197,0,1,0)*$H$8)/(2*SQRT($J$8))/365) *$P$8</f>
        <v/>
      </c>
      <c r="G197" s="139">
        <f>IF($O$8="buy",1,-1)*( IF($K$8="call",B197*NORMDIST(I197,0,1,1) - $B$8*NORMDIST(J197,0,1,1),$B$8*NORMDIST(-J197,0,1,1) - B197*NORMDIST(-I197,0,1,1) ) - $G$8) * $P$8</f>
        <v/>
      </c>
      <c r="I197" s="140">
        <f>(LN(B197/$B$8)+($H$8^2/2)*($J$8))/($H$8*SQRT($J$8))</f>
        <v/>
      </c>
      <c r="J197" s="140">
        <f>I197 - $H$8*SQRT($J$8)</f>
        <v/>
      </c>
    </row>
    <row r="198" ht="13.5" customHeight="1" s="116">
      <c r="B198" s="144">
        <f>B168</f>
        <v/>
      </c>
      <c r="C198" s="139">
        <f>IF($O$8="sell",-1,1) *  IF($K$8="call",  NORMDIST(I198,0,1,1),  NORMDIST(I198,0,1,1)-1  ) * $P$8</f>
        <v/>
      </c>
      <c r="D198" s="139">
        <f>IF($O$8="sell",-1,1) * NORMDIST(I198,0,1,0)/(B198*$H$8*SQRT($J$8)) * $P$8</f>
        <v/>
      </c>
      <c r="E198" s="139">
        <f>IF($O$8="sell",-1,1) * (B198*NORMDIST(I198,0,1,0)*SQRT($J$8)/365) * $P$8</f>
        <v/>
      </c>
      <c r="F198" s="139">
        <f>IF($O$8="sell",-1,1) * (-(B198*NORMDIST(I198,0,1,0)*$H$8)/(2*SQRT($J$8))/365) *$P$8</f>
        <v/>
      </c>
      <c r="G198" s="139">
        <f>IF($O$8="buy",1,-1)*( IF($K$8="call",B198*NORMDIST(I198,0,1,1) - $B$8*NORMDIST(J198,0,1,1),$B$8*NORMDIST(-J198,0,1,1) - B198*NORMDIST(-I198,0,1,1) ) - $G$8) * $P$8</f>
        <v/>
      </c>
      <c r="I198" s="140">
        <f>(LN(B198/$B$8)+($H$8^2/2)*($J$8))/($H$8*SQRT($J$8))</f>
        <v/>
      </c>
      <c r="J198" s="140">
        <f>I198 - $H$8*SQRT($J$8)</f>
        <v/>
      </c>
    </row>
    <row r="199" ht="13.5" customHeight="1" s="116">
      <c r="B199" s="144">
        <f>B169</f>
        <v/>
      </c>
      <c r="C199" s="139">
        <f>IF($O$8="sell",-1,1) *  IF($K$8="call",  NORMDIST(I199,0,1,1),  NORMDIST(I199,0,1,1)-1  ) * $P$8</f>
        <v/>
      </c>
      <c r="D199" s="139">
        <f>IF($O$8="sell",-1,1) * NORMDIST(I199,0,1,0)/(B199*$H$8*SQRT($J$8)) * $P$8</f>
        <v/>
      </c>
      <c r="E199" s="139">
        <f>IF($O$8="sell",-1,1) * (B199*NORMDIST(I199,0,1,0)*SQRT($J$8)/365) * $P$8</f>
        <v/>
      </c>
      <c r="F199" s="139">
        <f>IF($O$8="sell",-1,1) * (-(B199*NORMDIST(I199,0,1,0)*$H$8)/(2*SQRT($J$8))/365) *$P$8</f>
        <v/>
      </c>
      <c r="G199" s="139">
        <f>IF($O$8="buy",1,-1)*( IF($K$8="call",B199*NORMDIST(I199,0,1,1) - $B$8*NORMDIST(J199,0,1,1),$B$8*NORMDIST(-J199,0,1,1) - B199*NORMDIST(-I199,0,1,1) ) - $G$8) * $P$8</f>
        <v/>
      </c>
      <c r="I199" s="140">
        <f>(LN(B199/$B$8)+($H$8^2/2)*($J$8))/($H$8*SQRT($J$8))</f>
        <v/>
      </c>
      <c r="J199" s="140">
        <f>I199 - $H$8*SQRT($J$8)</f>
        <v/>
      </c>
    </row>
    <row r="200" ht="13.5" customHeight="1" s="116">
      <c r="B200" s="144">
        <f>B170</f>
        <v/>
      </c>
      <c r="C200" s="139">
        <f>IF($O$8="sell",-1,1) *  IF($K$8="call",  NORMDIST(I200,0,1,1),  NORMDIST(I200,0,1,1)-1  ) * $P$8</f>
        <v/>
      </c>
      <c r="D200" s="139">
        <f>IF($O$8="sell",-1,1) * NORMDIST(I200,0,1,0)/(B200*$H$8*SQRT($J$8)) * $P$8</f>
        <v/>
      </c>
      <c r="E200" s="139">
        <f>IF($O$8="sell",-1,1) * (B200*NORMDIST(I200,0,1,0)*SQRT($J$8)/365) * $P$8</f>
        <v/>
      </c>
      <c r="F200" s="139">
        <f>IF($O$8="sell",-1,1) * (-(B200*NORMDIST(I200,0,1,0)*$H$8)/(2*SQRT($J$8))/365) *$P$8</f>
        <v/>
      </c>
      <c r="G200" s="139">
        <f>IF($O$8="buy",1,-1)*( IF($K$8="call",B200*NORMDIST(I200,0,1,1) - $B$8*NORMDIST(J200,0,1,1),$B$8*NORMDIST(-J200,0,1,1) - B200*NORMDIST(-I200,0,1,1) ) - $G$8) * $P$8</f>
        <v/>
      </c>
      <c r="I200" s="140">
        <f>(LN(B200/$B$8)+($H$8^2/2)*($J$8))/($H$8*SQRT($J$8))</f>
        <v/>
      </c>
      <c r="J200" s="140">
        <f>I200 - $H$8*SQRT($J$8)</f>
        <v/>
      </c>
    </row>
    <row r="201" ht="13.5" customHeight="1" s="116">
      <c r="B201" s="144">
        <f>B171</f>
        <v/>
      </c>
      <c r="C201" s="139">
        <f>IF($O$8="sell",-1,1) *  IF($K$8="call",  NORMDIST(I201,0,1,1),  NORMDIST(I201,0,1,1)-1  ) * $P$8</f>
        <v/>
      </c>
      <c r="D201" s="139">
        <f>IF($O$8="sell",-1,1) * NORMDIST(I201,0,1,0)/(B201*$H$8*SQRT($J$8)) * $P$8</f>
        <v/>
      </c>
      <c r="E201" s="139">
        <f>IF($O$8="sell",-1,1) * (B201*NORMDIST(I201,0,1,0)*SQRT($J$8)/365) * $P$8</f>
        <v/>
      </c>
      <c r="F201" s="139">
        <f>IF($O$8="sell",-1,1) * (-(B201*NORMDIST(I201,0,1,0)*$H$8)/(2*SQRT($J$8))/365) *$P$8</f>
        <v/>
      </c>
      <c r="G201" s="139">
        <f>IF($O$8="buy",1,-1)*( IF($K$8="call",B201*NORMDIST(I201,0,1,1) - $B$8*NORMDIST(J201,0,1,1),$B$8*NORMDIST(-J201,0,1,1) - B201*NORMDIST(-I201,0,1,1) ) - $G$8) * $P$8</f>
        <v/>
      </c>
      <c r="I201" s="140">
        <f>(LN(B201/$B$8)+($H$8^2/2)*($J$8))/($H$8*SQRT($J$8))</f>
        <v/>
      </c>
      <c r="J201" s="140">
        <f>I201 - $H$8*SQRT($J$8)</f>
        <v/>
      </c>
    </row>
    <row r="202" ht="13.5" customHeight="1" s="116">
      <c r="B202" s="144">
        <f>B172</f>
        <v/>
      </c>
      <c r="C202" s="139">
        <f>IF($O$8="sell",-1,1) *  IF($K$8="call",  NORMDIST(I202,0,1,1),  NORMDIST(I202,0,1,1)-1  ) * $P$8</f>
        <v/>
      </c>
      <c r="D202" s="139">
        <f>IF($O$8="sell",-1,1) * NORMDIST(I202,0,1,0)/(B202*$H$8*SQRT($J$8)) * $P$8</f>
        <v/>
      </c>
      <c r="E202" s="139">
        <f>IF($O$8="sell",-1,1) * (B202*NORMDIST(I202,0,1,0)*SQRT($J$8)/365) * $P$8</f>
        <v/>
      </c>
      <c r="F202" s="139">
        <f>IF($O$8="sell",-1,1) * (-(B202*NORMDIST(I202,0,1,0)*$H$8)/(2*SQRT($J$8))/365) *$P$8</f>
        <v/>
      </c>
      <c r="G202" s="139">
        <f>IF($O$8="buy",1,-1)*( IF($K$8="call",B202*NORMDIST(I202,0,1,1) - $B$8*NORMDIST(J202,0,1,1),$B$8*NORMDIST(-J202,0,1,1) - B202*NORMDIST(-I202,0,1,1) ) - $G$8) * $P$8</f>
        <v/>
      </c>
      <c r="I202" s="140">
        <f>(LN(B202/$B$8)+($H$8^2/2)*($J$8))/($H$8*SQRT($J$8))</f>
        <v/>
      </c>
      <c r="J202" s="140">
        <f>I202 - $H$8*SQRT($J$8)</f>
        <v/>
      </c>
    </row>
    <row r="203" ht="13.5" customHeight="1" s="116">
      <c r="B203" s="144">
        <f>B173</f>
        <v/>
      </c>
      <c r="C203" s="139">
        <f>IF($O$8="sell",-1,1) *  IF($K$8="call",  NORMDIST(I203,0,1,1),  NORMDIST(I203,0,1,1)-1  ) * $P$8</f>
        <v/>
      </c>
      <c r="D203" s="139">
        <f>IF($O$8="sell",-1,1) * NORMDIST(I203,0,1,0)/(B203*$H$8*SQRT($J$8)) * $P$8</f>
        <v/>
      </c>
      <c r="E203" s="139">
        <f>IF($O$8="sell",-1,1) * (B203*NORMDIST(I203,0,1,0)*SQRT($J$8)/365) * $P$8</f>
        <v/>
      </c>
      <c r="F203" s="139">
        <f>IF($O$8="sell",-1,1) * (-(B203*NORMDIST(I203,0,1,0)*$H$8)/(2*SQRT($J$8))/365) *$P$8</f>
        <v/>
      </c>
      <c r="G203" s="139">
        <f>IF($O$8="buy",1,-1)*( IF($K$8="call",B203*NORMDIST(I203,0,1,1) - $B$8*NORMDIST(J203,0,1,1),$B$8*NORMDIST(-J203,0,1,1) - B203*NORMDIST(-I203,0,1,1) ) - $G$8) * $P$8</f>
        <v/>
      </c>
      <c r="I203" s="140">
        <f>(LN(B203/$B$8)+($H$8^2/2)*($J$8))/($H$8*SQRT($J$8))</f>
        <v/>
      </c>
      <c r="J203" s="140">
        <f>I203 - $H$8*SQRT($J$8)</f>
        <v/>
      </c>
    </row>
    <row r="204" ht="13.5" customHeight="1" s="116">
      <c r="B204" s="144">
        <f>B174</f>
        <v/>
      </c>
      <c r="C204" s="139">
        <f>IF($O$8="sell",-1,1) *  IF($K$8="call",  NORMDIST(I204,0,1,1),  NORMDIST(I204,0,1,1)-1  ) * $P$8</f>
        <v/>
      </c>
      <c r="D204" s="139">
        <f>IF($O$8="sell",-1,1) * NORMDIST(I204,0,1,0)/(B204*$H$8*SQRT($J$8)) * $P$8</f>
        <v/>
      </c>
      <c r="E204" s="139">
        <f>IF($O$8="sell",-1,1) * (B204*NORMDIST(I204,0,1,0)*SQRT($J$8)/365) * $P$8</f>
        <v/>
      </c>
      <c r="F204" s="139">
        <f>IF($O$8="sell",-1,1) * (-(B204*NORMDIST(I204,0,1,0)*$H$8)/(2*SQRT($J$8))/365) *$P$8</f>
        <v/>
      </c>
      <c r="G204" s="139">
        <f>IF($O$8="buy",1,-1)*( IF($K$8="call",B204*NORMDIST(I204,0,1,1) - $B$8*NORMDIST(J204,0,1,1),$B$8*NORMDIST(-J204,0,1,1) - B204*NORMDIST(-I204,0,1,1) ) - $G$8) * $P$8</f>
        <v/>
      </c>
      <c r="I204" s="140">
        <f>(LN(B204/$B$8)+($H$8^2/2)*($J$8))/($H$8*SQRT($J$8))</f>
        <v/>
      </c>
      <c r="J204" s="140">
        <f>I204 - $H$8*SQRT($J$8)</f>
        <v/>
      </c>
    </row>
    <row r="205" ht="13.5" customHeight="1" s="116">
      <c r="B205" s="144">
        <f>B175</f>
        <v/>
      </c>
      <c r="C205" s="139">
        <f>IF($O$8="sell",-1,1) *  IF($K$8="call",  NORMDIST(I205,0,1,1),  NORMDIST(I205,0,1,1)-1  ) * $P$8</f>
        <v/>
      </c>
      <c r="D205" s="139">
        <f>IF($O$8="sell",-1,1) * NORMDIST(I205,0,1,0)/(B205*$H$8*SQRT($J$8)) * $P$8</f>
        <v/>
      </c>
      <c r="E205" s="139">
        <f>IF($O$8="sell",-1,1) * (B205*NORMDIST(I205,0,1,0)*SQRT($J$8)/365) * $P$8</f>
        <v/>
      </c>
      <c r="F205" s="139">
        <f>IF($O$8="sell",-1,1) * (-(B205*NORMDIST(I205,0,1,0)*$H$8)/(2*SQRT($J$8))/365) *$P$8</f>
        <v/>
      </c>
      <c r="G205" s="139">
        <f>IF($O$8="buy",1,-1)*( IF($K$8="call",B205*NORMDIST(I205,0,1,1) - $B$8*NORMDIST(J205,0,1,1),$B$8*NORMDIST(-J205,0,1,1) - B205*NORMDIST(-I205,0,1,1) ) - $G$8) * $P$8</f>
        <v/>
      </c>
      <c r="I205" s="140">
        <f>(LN(B205/$B$8)+($H$8^2/2)*($J$8))/($H$8*SQRT($J$8))</f>
        <v/>
      </c>
      <c r="J205" s="140">
        <f>I205 - $H$8*SQRT($J$8)</f>
        <v/>
      </c>
    </row>
    <row r="206" ht="13.5" customHeight="1" s="116">
      <c r="B206" s="144">
        <f>B176</f>
        <v/>
      </c>
      <c r="C206" s="139">
        <f>IF($O$8="sell",-1,1) *  IF($K$8="call",  NORMDIST(I206,0,1,1),  NORMDIST(I206,0,1,1)-1  ) * $P$8</f>
        <v/>
      </c>
      <c r="D206" s="139">
        <f>IF($O$8="sell",-1,1) * NORMDIST(I206,0,1,0)/(B206*$H$8*SQRT($J$8)) * $P$8</f>
        <v/>
      </c>
      <c r="E206" s="139">
        <f>IF($O$8="sell",-1,1) * (B206*NORMDIST(I206,0,1,0)*SQRT($J$8)/365) * $P$8</f>
        <v/>
      </c>
      <c r="F206" s="139">
        <f>IF($O$8="sell",-1,1) * (-(B206*NORMDIST(I206,0,1,0)*$H$8)/(2*SQRT($J$8))/365) *$P$8</f>
        <v/>
      </c>
      <c r="G206" s="139">
        <f>IF($O$8="buy",1,-1)*( IF($K$8="call",B206*NORMDIST(I206,0,1,1) - $B$8*NORMDIST(J206,0,1,1),$B$8*NORMDIST(-J206,0,1,1) - B206*NORMDIST(-I206,0,1,1) ) - $G$8) * $P$8</f>
        <v/>
      </c>
      <c r="I206" s="140">
        <f>(LN(B206/$B$8)+($H$8^2/2)*($J$8))/($H$8*SQRT($J$8))</f>
        <v/>
      </c>
      <c r="J206" s="140">
        <f>I206 - $H$8*SQRT($J$8)</f>
        <v/>
      </c>
    </row>
    <row r="207" ht="13.5" customHeight="1" s="116">
      <c r="B207" s="144">
        <f>B177</f>
        <v/>
      </c>
      <c r="C207" s="139">
        <f>IF($O$8="sell",-1,1) *  IF($K$8="call",  NORMDIST(I207,0,1,1),  NORMDIST(I207,0,1,1)-1  ) * $P$8</f>
        <v/>
      </c>
      <c r="D207" s="139">
        <f>IF($O$8="sell",-1,1) * NORMDIST(I207,0,1,0)/(B207*$H$8*SQRT($J$8)) * $P$8</f>
        <v/>
      </c>
      <c r="E207" s="139">
        <f>IF($O$8="sell",-1,1) * (B207*NORMDIST(I207,0,1,0)*SQRT($J$8)/365) * $P$8</f>
        <v/>
      </c>
      <c r="F207" s="139">
        <f>IF($O$8="sell",-1,1) * (-(B207*NORMDIST(I207,0,1,0)*$H$8)/(2*SQRT($J$8))/365) *$P$8</f>
        <v/>
      </c>
      <c r="G207" s="139">
        <f>IF($O$8="buy",1,-1)*( IF($K$8="call",B207*NORMDIST(I207,0,1,1) - $B$8*NORMDIST(J207,0,1,1),$B$8*NORMDIST(-J207,0,1,1) - B207*NORMDIST(-I207,0,1,1) ) - $G$8) * $P$8</f>
        <v/>
      </c>
      <c r="I207" s="140">
        <f>(LN(B207/$B$8)+($H$8^2/2)*($J$8))/($H$8*SQRT($J$8))</f>
        <v/>
      </c>
      <c r="J207" s="140">
        <f>I207 - $H$8*SQRT($J$8)</f>
        <v/>
      </c>
    </row>
    <row r="208" ht="13.5" customHeight="1" s="116">
      <c r="B208" s="144">
        <f>B178</f>
        <v/>
      </c>
      <c r="C208" s="139">
        <f>IF($O$8="sell",-1,1) *  IF($K$8="call",  NORMDIST(I208,0,1,1),  NORMDIST(I208,0,1,1)-1  ) * $P$8</f>
        <v/>
      </c>
      <c r="D208" s="139">
        <f>IF($O$8="sell",-1,1) * NORMDIST(I208,0,1,0)/(B208*$H$8*SQRT($J$8)) * $P$8</f>
        <v/>
      </c>
      <c r="E208" s="139">
        <f>IF($O$8="sell",-1,1) * (B208*NORMDIST(I208,0,1,0)*SQRT($J$8)/365) * $P$8</f>
        <v/>
      </c>
      <c r="F208" s="139">
        <f>IF($O$8="sell",-1,1) * (-(B208*NORMDIST(I208,0,1,0)*$H$8)/(2*SQRT($J$8))/365) *$P$8</f>
        <v/>
      </c>
      <c r="G208" s="139">
        <f>IF($O$8="buy",1,-1)*( IF($K$8="call",B208*NORMDIST(I208,0,1,1) - $B$8*NORMDIST(J208,0,1,1),$B$8*NORMDIST(-J208,0,1,1) - B208*NORMDIST(-I208,0,1,1) ) - $G$8) * $P$8</f>
        <v/>
      </c>
      <c r="I208" s="140">
        <f>(LN(B208/$B$8)+($H$8^2/2)*($J$8))/($H$8*SQRT($J$8))</f>
        <v/>
      </c>
      <c r="J208" s="140">
        <f>I208 - $H$8*SQRT($J$8)</f>
        <v/>
      </c>
    </row>
    <row r="209" ht="13.5" customHeight="1" s="116">
      <c r="B209" s="144">
        <f>B179</f>
        <v/>
      </c>
      <c r="C209" s="139">
        <f>IF($O$8="sell",-1,1) *  IF($K$8="call",  NORMDIST(I209,0,1,1),  NORMDIST(I209,0,1,1)-1  ) * $P$8</f>
        <v/>
      </c>
      <c r="D209" s="139">
        <f>IF($O$8="sell",-1,1) * NORMDIST(I209,0,1,0)/(B209*$H$8*SQRT($J$8)) * $P$8</f>
        <v/>
      </c>
      <c r="E209" s="139">
        <f>IF($O$8="sell",-1,1) * (B209*NORMDIST(I209,0,1,0)*SQRT($J$8)/365) * $P$8</f>
        <v/>
      </c>
      <c r="F209" s="139">
        <f>IF($O$8="sell",-1,1) * (-(B209*NORMDIST(I209,0,1,0)*$H$8)/(2*SQRT($J$8))/365) *$P$8</f>
        <v/>
      </c>
      <c r="G209" s="139">
        <f>IF($O$8="buy",1,-1)*( IF($K$8="call",B209*NORMDIST(I209,0,1,1) - $B$8*NORMDIST(J209,0,1,1),$B$8*NORMDIST(-J209,0,1,1) - B209*NORMDIST(-I209,0,1,1) ) - $G$8) * $P$8</f>
        <v/>
      </c>
      <c r="I209" s="140">
        <f>(LN(B209/$B$8)+($H$8^2/2)*($J$8))/($H$8*SQRT($J$8))</f>
        <v/>
      </c>
      <c r="J209" s="140">
        <f>I209 - $H$8*SQRT($J$8)</f>
        <v/>
      </c>
    </row>
    <row r="210" ht="13.5" customHeight="1" s="116">
      <c r="B210" s="144">
        <f>B180</f>
        <v/>
      </c>
      <c r="C210" s="139">
        <f>IF($O$8="sell",-1,1) *  IF($K$8="call",  NORMDIST(I210,0,1,1),  NORMDIST(I210,0,1,1)-1  ) * $P$8</f>
        <v/>
      </c>
      <c r="D210" s="139">
        <f>IF($O$8="sell",-1,1) * NORMDIST(I210,0,1,0)/(B210*$H$8*SQRT($J$8)) * $P$8</f>
        <v/>
      </c>
      <c r="E210" s="139">
        <f>IF($O$8="sell",-1,1) * (B210*NORMDIST(I210,0,1,0)*SQRT($J$8)/365) * $P$8</f>
        <v/>
      </c>
      <c r="F210" s="139">
        <f>IF($O$8="sell",-1,1) * (-(B210*NORMDIST(I210,0,1,0)*$H$8)/(2*SQRT($J$8))/365) *$P$8</f>
        <v/>
      </c>
      <c r="G210" s="139">
        <f>IF($O$8="buy",1,-1)*( IF($K$8="call",B210*NORMDIST(I210,0,1,1) - $B$8*NORMDIST(J210,0,1,1),$B$8*NORMDIST(-J210,0,1,1) - B210*NORMDIST(-I210,0,1,1) ) - $G$8) * $P$8</f>
        <v/>
      </c>
      <c r="I210" s="140">
        <f>(LN(B210/$B$8)+($H$8^2/2)*($J$8))/($H$8*SQRT($J$8))</f>
        <v/>
      </c>
      <c r="J210" s="140">
        <f>I210 - $H$8*SQRT($J$8)</f>
        <v/>
      </c>
    </row>
    <row r="211" ht="13.5" customHeight="1" s="116">
      <c r="B211" s="144">
        <f>B181</f>
        <v/>
      </c>
      <c r="C211" s="139">
        <f>IF($O$8="sell",-1,1) *  IF($K$8="call",  NORMDIST(I211,0,1,1),  NORMDIST(I211,0,1,1)-1  ) * $P$8</f>
        <v/>
      </c>
      <c r="D211" s="139">
        <f>IF($O$8="sell",-1,1) * NORMDIST(I211,0,1,0)/(B211*$H$8*SQRT($J$8)) * $P$8</f>
        <v/>
      </c>
      <c r="E211" s="139">
        <f>IF($O$8="sell",-1,1) * (B211*NORMDIST(I211,0,1,0)*SQRT($J$8)/365) * $P$8</f>
        <v/>
      </c>
      <c r="F211" s="139">
        <f>IF($O$8="sell",-1,1) * (-(B211*NORMDIST(I211,0,1,0)*$H$8)/(2*SQRT($J$8))/365) *$P$8</f>
        <v/>
      </c>
      <c r="G211" s="139">
        <f>IF($O$8="buy",1,-1)*( IF($K$8="call",B211*NORMDIST(I211,0,1,1) - $B$8*NORMDIST(J211,0,1,1),$B$8*NORMDIST(-J211,0,1,1) - B211*NORMDIST(-I211,0,1,1) ) - $G$8) * $P$8</f>
        <v/>
      </c>
      <c r="I211" s="140">
        <f>(LN(B211/$B$8)+($H$8^2/2)*($J$8))/($H$8*SQRT($J$8))</f>
        <v/>
      </c>
      <c r="J211" s="140">
        <f>I211 - $H$8*SQRT($J$8)</f>
        <v/>
      </c>
    </row>
    <row r="212" ht="13.5" customHeight="1" s="116">
      <c r="B212" s="144">
        <f>B182</f>
        <v/>
      </c>
      <c r="C212" s="139">
        <f>IF($O$8="sell",-1,1) *  IF($K$8="call",  NORMDIST(I212,0,1,1),  NORMDIST(I212,0,1,1)-1  ) * $P$8</f>
        <v/>
      </c>
      <c r="D212" s="139">
        <f>IF($O$8="sell",-1,1) * NORMDIST(I212,0,1,0)/(B212*$H$8*SQRT($J$8)) * $P$8</f>
        <v/>
      </c>
      <c r="E212" s="139">
        <f>IF($O$8="sell",-1,1) * (B212*NORMDIST(I212,0,1,0)*SQRT($J$8)/365) * $P$8</f>
        <v/>
      </c>
      <c r="F212" s="139">
        <f>IF($O$8="sell",-1,1) * (-(B212*NORMDIST(I212,0,1,0)*$H$8)/(2*SQRT($J$8))/365) *$P$8</f>
        <v/>
      </c>
      <c r="G212" s="139">
        <f>IF($O$8="buy",1,-1)*( IF($K$8="call",B212*NORMDIST(I212,0,1,1) - $B$8*NORMDIST(J212,0,1,1),$B$8*NORMDIST(-J212,0,1,1) - B212*NORMDIST(-I212,0,1,1) ) - $G$8) * $P$8</f>
        <v/>
      </c>
      <c r="I212" s="140">
        <f>(LN(B212/$B$8)+($H$8^2/2)*($J$8))/($H$8*SQRT($J$8))</f>
        <v/>
      </c>
      <c r="J212" s="140">
        <f>I212 - $H$8*SQRT($J$8)</f>
        <v/>
      </c>
    </row>
    <row r="213" ht="13.5" customHeight="1" s="116">
      <c r="B213" s="144">
        <f>B183</f>
        <v/>
      </c>
      <c r="C213" s="139">
        <f>IF($O$8="sell",-1,1) *  IF($K$8="call",  NORMDIST(I213,0,1,1),  NORMDIST(I213,0,1,1)-1  ) * $P$8</f>
        <v/>
      </c>
      <c r="D213" s="139">
        <f>IF($O$8="sell",-1,1) * NORMDIST(I213,0,1,0)/(B213*$H$8*SQRT($J$8)) * $P$8</f>
        <v/>
      </c>
      <c r="E213" s="139">
        <f>IF($O$8="sell",-1,1) * (B213*NORMDIST(I213,0,1,0)*SQRT($J$8)/365) * $P$8</f>
        <v/>
      </c>
      <c r="F213" s="139">
        <f>IF($O$8="sell",-1,1) * (-(B213*NORMDIST(I213,0,1,0)*$H$8)/(2*SQRT($J$8))/365) *$P$8</f>
        <v/>
      </c>
      <c r="G213" s="139">
        <f>IF($O$8="buy",1,-1)*( IF($K$8="call",B213*NORMDIST(I213,0,1,1) - $B$8*NORMDIST(J213,0,1,1),$B$8*NORMDIST(-J213,0,1,1) - B213*NORMDIST(-I213,0,1,1) ) - $G$8) * $P$8</f>
        <v/>
      </c>
      <c r="I213" s="140">
        <f>(LN(B213/$B$8)+($H$8^2/2)*($J$8))/($H$8*SQRT($J$8))</f>
        <v/>
      </c>
      <c r="J213" s="140">
        <f>I213 - $H$8*SQRT($J$8)</f>
        <v/>
      </c>
    </row>
    <row r="214" ht="13.5" customHeight="1" s="116">
      <c r="B214" s="144">
        <f>B184</f>
        <v/>
      </c>
      <c r="C214" s="139">
        <f>IF($O$8="sell",-1,1) *  IF($K$8="call",  NORMDIST(I214,0,1,1),  NORMDIST(I214,0,1,1)-1  ) * $P$8</f>
        <v/>
      </c>
      <c r="D214" s="139">
        <f>IF($O$8="sell",-1,1) * NORMDIST(I214,0,1,0)/(B214*$H$8*SQRT($J$8)) * $P$8</f>
        <v/>
      </c>
      <c r="E214" s="139">
        <f>IF($O$8="sell",-1,1) * (B214*NORMDIST(I214,0,1,0)*SQRT($J$8)/365) * $P$8</f>
        <v/>
      </c>
      <c r="F214" s="139">
        <f>IF($O$8="sell",-1,1) * (-(B214*NORMDIST(I214,0,1,0)*$H$8)/(2*SQRT($J$8))/365) *$P$8</f>
        <v/>
      </c>
      <c r="G214" s="139">
        <f>IF($O$8="buy",1,-1)*( IF($K$8="call",B214*NORMDIST(I214,0,1,1) - $B$8*NORMDIST(J214,0,1,1),$B$8*NORMDIST(-J214,0,1,1) - B214*NORMDIST(-I214,0,1,1) ) - $G$8) * $P$8</f>
        <v/>
      </c>
      <c r="I214" s="140">
        <f>(LN(B214/$B$8)+($H$8^2/2)*($J$8))/($H$8*SQRT($J$8))</f>
        <v/>
      </c>
      <c r="J214" s="140">
        <f>I214 - $H$8*SQRT($J$8)</f>
        <v/>
      </c>
    </row>
    <row r="215" ht="13.5" customHeight="1" s="116">
      <c r="B215" s="144">
        <f>B185</f>
        <v/>
      </c>
      <c r="C215" s="139">
        <f>IF($O$8="sell",-1,1) *  IF($K$8="call",  NORMDIST(I215,0,1,1),  NORMDIST(I215,0,1,1)-1  ) * $P$8</f>
        <v/>
      </c>
      <c r="D215" s="139">
        <f>IF($O$8="sell",-1,1) * NORMDIST(I215,0,1,0)/(B215*$H$8*SQRT($J$8)) * $P$8</f>
        <v/>
      </c>
      <c r="E215" s="139">
        <f>IF($O$8="sell",-1,1) * (B215*NORMDIST(I215,0,1,0)*SQRT($J$8)/365) * $P$8</f>
        <v/>
      </c>
      <c r="F215" s="139">
        <f>IF($O$8="sell",-1,1) * (-(B215*NORMDIST(I215,0,1,0)*$H$8)/(2*SQRT($J$8))/365) *$P$8</f>
        <v/>
      </c>
      <c r="G215" s="139">
        <f>IF($O$8="buy",1,-1)*( IF($K$8="call",B215*NORMDIST(I215,0,1,1) - $B$8*NORMDIST(J215,0,1,1),$B$8*NORMDIST(-J215,0,1,1) - B215*NORMDIST(-I215,0,1,1) ) - $G$8) * $P$8</f>
        <v/>
      </c>
      <c r="I215" s="140">
        <f>(LN(B215/$B$8)+($H$8^2/2)*($J$8))/($H$8*SQRT($J$8))</f>
        <v/>
      </c>
      <c r="J215" s="140">
        <f>I215 - $H$8*SQRT($J$8)</f>
        <v/>
      </c>
    </row>
    <row r="216" ht="13.5" customHeight="1" s="116">
      <c r="B216" s="144">
        <f>B186</f>
        <v/>
      </c>
      <c r="C216" s="139">
        <f>IF($O$8="sell",-1,1) *  IF($K$8="call",  NORMDIST(I216,0,1,1),  NORMDIST(I216,0,1,1)-1  ) * $P$8</f>
        <v/>
      </c>
      <c r="D216" s="139">
        <f>IF($O$8="sell",-1,1) * NORMDIST(I216,0,1,0)/(B216*$H$8*SQRT($J$8)) * $P$8</f>
        <v/>
      </c>
      <c r="E216" s="139">
        <f>IF($O$8="sell",-1,1) * (B216*NORMDIST(I216,0,1,0)*SQRT($J$8)/365) * $P$8</f>
        <v/>
      </c>
      <c r="F216" s="139">
        <f>IF($O$8="sell",-1,1) * (-(B216*NORMDIST(I216,0,1,0)*$H$8)/(2*SQRT($J$8))/365) *$P$8</f>
        <v/>
      </c>
      <c r="G216" s="139">
        <f>IF($O$8="buy",1,-1)*( IF($K$8="call",B216*NORMDIST(I216,0,1,1) - $B$8*NORMDIST(J216,0,1,1),$B$8*NORMDIST(-J216,0,1,1) - B216*NORMDIST(-I216,0,1,1) ) - $G$8) * $P$8</f>
        <v/>
      </c>
      <c r="I216" s="140">
        <f>(LN(B216/$B$8)+($H$8^2/2)*($J$8))/($H$8*SQRT($J$8))</f>
        <v/>
      </c>
      <c r="J216" s="140">
        <f>I216 - $H$8*SQRT($J$8)</f>
        <v/>
      </c>
    </row>
    <row r="217" ht="13.5" customHeight="1" s="116">
      <c r="B217" s="144">
        <f>B187</f>
        <v/>
      </c>
      <c r="C217" s="139">
        <f>IF($O$8="sell",-1,1) *  IF($K$8="call",  NORMDIST(I217,0,1,1),  NORMDIST(I217,0,1,1)-1  ) * $P$8</f>
        <v/>
      </c>
      <c r="D217" s="139">
        <f>IF($O$8="sell",-1,1) * NORMDIST(I217,0,1,0)/(B217*$H$8*SQRT($J$8)) * $P$8</f>
        <v/>
      </c>
      <c r="E217" s="139">
        <f>IF($O$8="sell",-1,1) * (B217*NORMDIST(I217,0,1,0)*SQRT($J$8)/365) * $P$8</f>
        <v/>
      </c>
      <c r="F217" s="139">
        <f>IF($O$8="sell",-1,1) * (-(B217*NORMDIST(I217,0,1,0)*$H$8)/(2*SQRT($J$8))/365) *$P$8</f>
        <v/>
      </c>
      <c r="G217" s="139">
        <f>IF($O$8="buy",1,-1)*( IF($K$8="call",B217*NORMDIST(I217,0,1,1) - $B$8*NORMDIST(J217,0,1,1),$B$8*NORMDIST(-J217,0,1,1) - B217*NORMDIST(-I217,0,1,1) ) - $G$8) * $P$8</f>
        <v/>
      </c>
      <c r="I217" s="140">
        <f>(LN(B217/$B$8)+($H$8^2/2)*($J$8))/($H$8*SQRT($J$8))</f>
        <v/>
      </c>
      <c r="J217" s="140">
        <f>I217 - $H$8*SQRT($J$8)</f>
        <v/>
      </c>
    </row>
    <row r="218" ht="13.5" customHeight="1" s="116">
      <c r="B218" s="144">
        <f>B188</f>
        <v/>
      </c>
      <c r="C218" s="139">
        <f>IF($O$8="sell",-1,1) *  IF($K$8="call",  NORMDIST(I218,0,1,1),  NORMDIST(I218,0,1,1)-1  ) * $P$8</f>
        <v/>
      </c>
      <c r="D218" s="139">
        <f>IF($O$8="sell",-1,1) * NORMDIST(I218,0,1,0)/(B218*$H$8*SQRT($J$8)) * $P$8</f>
        <v/>
      </c>
      <c r="E218" s="139">
        <f>IF($O$8="sell",-1,1) * (B218*NORMDIST(I218,0,1,0)*SQRT($J$8)/365) * $P$8</f>
        <v/>
      </c>
      <c r="F218" s="139">
        <f>IF($O$8="sell",-1,1) * (-(B218*NORMDIST(I218,0,1,0)*$H$8)/(2*SQRT($J$8))/365) *$P$8</f>
        <v/>
      </c>
      <c r="G218" s="139">
        <f>IF($O$8="buy",1,-1)*( IF($K$8="call",B218*NORMDIST(I218,0,1,1) - $B$8*NORMDIST(J218,0,1,1),$B$8*NORMDIST(-J218,0,1,1) - B218*NORMDIST(-I218,0,1,1) ) - $G$8) * $P$8</f>
        <v/>
      </c>
      <c r="I218" s="140">
        <f>(LN(B218/$B$8)+($H$8^2/2)*($J$8))/($H$8*SQRT($J$8))</f>
        <v/>
      </c>
      <c r="J218" s="140">
        <f>I218 - $H$8*SQRT($J$8)</f>
        <v/>
      </c>
    </row>
    <row r="219" ht="13.5" customHeight="1" s="116">
      <c r="B219" s="144">
        <f>B189</f>
        <v/>
      </c>
      <c r="C219" s="139">
        <f>IF($O$8="sell",-1,1) *  IF($K$8="call",  NORMDIST(I219,0,1,1),  NORMDIST(I219,0,1,1)-1  ) * $P$8</f>
        <v/>
      </c>
      <c r="D219" s="139">
        <f>IF($O$8="sell",-1,1) * NORMDIST(I219,0,1,0)/(B219*$H$8*SQRT($J$8)) * $P$8</f>
        <v/>
      </c>
      <c r="E219" s="139">
        <f>IF($O$8="sell",-1,1) * (B219*NORMDIST(I219,0,1,0)*SQRT($J$8)/365) * $P$8</f>
        <v/>
      </c>
      <c r="F219" s="139">
        <f>IF($O$8="sell",-1,1) * (-(B219*NORMDIST(I219,0,1,0)*$H$8)/(2*SQRT($J$8))/365) *$P$8</f>
        <v/>
      </c>
      <c r="G219" s="139">
        <f>IF($O$8="buy",1,-1)*( IF($K$8="call",B219*NORMDIST(I219,0,1,1) - $B$8*NORMDIST(J219,0,1,1),$B$8*NORMDIST(-J219,0,1,1) - B219*NORMDIST(-I219,0,1,1) ) - $G$8) * $P$8</f>
        <v/>
      </c>
      <c r="I219" s="140">
        <f>(LN(B219/$B$8)+($H$8^2/2)*($J$8))/($H$8*SQRT($J$8))</f>
        <v/>
      </c>
      <c r="J219" s="140">
        <f>I219 - $H$8*SQRT($J$8)</f>
        <v/>
      </c>
    </row>
    <row r="220" ht="13.5" customHeight="1" s="116">
      <c r="B220" s="144">
        <f>B190</f>
        <v/>
      </c>
      <c r="C220" s="139">
        <f>IF($O$8="sell",-1,1) *  IF($K$8="call",  NORMDIST(I220,0,1,1),  NORMDIST(I220,0,1,1)-1  ) * $P$8</f>
        <v/>
      </c>
      <c r="D220" s="139">
        <f>IF($O$8="sell",-1,1) * NORMDIST(I220,0,1,0)/(B220*$H$8*SQRT($J$8)) * $P$8</f>
        <v/>
      </c>
      <c r="E220" s="139">
        <f>IF($O$8="sell",-1,1) * (B220*NORMDIST(I220,0,1,0)*SQRT($J$8)/365) * $P$8</f>
        <v/>
      </c>
      <c r="F220" s="139">
        <f>IF($O$8="sell",-1,1) * (-(B220*NORMDIST(I220,0,1,0)*$H$8)/(2*SQRT($J$8))/365) *$P$8</f>
        <v/>
      </c>
      <c r="G220" s="139">
        <f>IF($O$8="buy",1,-1)*( IF($K$8="call",B220*NORMDIST(I220,0,1,1) - $B$8*NORMDIST(J220,0,1,1),$B$8*NORMDIST(-J220,0,1,1) - B220*NORMDIST(-I220,0,1,1) ) - $G$8) * $P$8</f>
        <v/>
      </c>
      <c r="I220" s="140">
        <f>(LN(B220/$B$8)+($H$8^2/2)*($J$8))/($H$8*SQRT($J$8))</f>
        <v/>
      </c>
      <c r="J220" s="140">
        <f>I220 - $H$8*SQRT($J$8)</f>
        <v/>
      </c>
    </row>
    <row r="221" ht="13.5" customHeight="1" s="116">
      <c r="B221" s="144">
        <f>B191</f>
        <v/>
      </c>
      <c r="C221" s="139">
        <f>IF($O$8="sell",-1,1) *  IF($K$8="call",  NORMDIST(I221,0,1,1),  NORMDIST(I221,0,1,1)-1  ) * $P$8</f>
        <v/>
      </c>
      <c r="D221" s="139">
        <f>IF($O$8="sell",-1,1) * NORMDIST(I221,0,1,0)/(B221*$H$8*SQRT($J$8)) * $P$8</f>
        <v/>
      </c>
      <c r="E221" s="139">
        <f>IF($O$8="sell",-1,1) * (B221*NORMDIST(I221,0,1,0)*SQRT($J$8)/365) * $P$8</f>
        <v/>
      </c>
      <c r="F221" s="139">
        <f>IF($O$8="sell",-1,1) * (-(B221*NORMDIST(I221,0,1,0)*$H$8)/(2*SQRT($J$8))/365) *$P$8</f>
        <v/>
      </c>
      <c r="G221" s="139">
        <f>IF($O$8="buy",1,-1)*( IF($K$8="call",B221*NORMDIST(I221,0,1,1) - $B$8*NORMDIST(J221,0,1,1),$B$8*NORMDIST(-J221,0,1,1) - B221*NORMDIST(-I221,0,1,1) ) - $G$8) * $P$8</f>
        <v/>
      </c>
      <c r="I221" s="140">
        <f>(LN(B221/$B$8)+($H$8^2/2)*($J$8))/($H$8*SQRT($J$8))</f>
        <v/>
      </c>
      <c r="J221" s="140">
        <f>I221 - $H$8*SQRT($J$8)</f>
        <v/>
      </c>
    </row>
    <row r="222" ht="13.5" customHeight="1" s="116">
      <c r="B222" s="144">
        <f>B192</f>
        <v/>
      </c>
      <c r="C222" s="139">
        <f>IF($O$8="sell",-1,1) *  IF($K$8="call",  NORMDIST(I222,0,1,1),  NORMDIST(I222,0,1,1)-1  ) * $P$8</f>
        <v/>
      </c>
      <c r="D222" s="139">
        <f>IF($O$8="sell",-1,1) * NORMDIST(I222,0,1,0)/(B222*$H$8*SQRT($J$8)) * $P$8</f>
        <v/>
      </c>
      <c r="E222" s="139">
        <f>IF($O$8="sell",-1,1) * (B222*NORMDIST(I222,0,1,0)*SQRT($J$8)/365) * $P$8</f>
        <v/>
      </c>
      <c r="F222" s="139">
        <f>IF($O$8="sell",-1,1) * (-(B222*NORMDIST(I222,0,1,0)*$H$8)/(2*SQRT($J$8))/365) *$P$8</f>
        <v/>
      </c>
      <c r="G222" s="139">
        <f>IF($O$8="buy",1,-1)*( IF($K$8="call",B222*NORMDIST(I222,0,1,1) - $B$8*NORMDIST(J222,0,1,1),$B$8*NORMDIST(-J222,0,1,1) - B222*NORMDIST(-I222,0,1,1) ) - $G$8) * $P$8</f>
        <v/>
      </c>
      <c r="I222" s="140">
        <f>(LN(B222/$B$8)+($H$8^2/2)*($J$8))/($H$8*SQRT($J$8))</f>
        <v/>
      </c>
      <c r="J222" s="140">
        <f>I222 - $H$8*SQRT($J$8)</f>
        <v/>
      </c>
    </row>
    <row r="223" ht="13.5" customHeight="1" s="116">
      <c r="B223" s="145" t="n"/>
      <c r="C223" s="136" t="n"/>
      <c r="D223" s="136" t="n"/>
      <c r="E223" s="136" t="n"/>
      <c r="F223" s="136" t="n"/>
      <c r="G223" s="136" t="n"/>
      <c r="I223" s="146" t="n"/>
      <c r="J223" s="146" t="n"/>
    </row>
    <row r="224" ht="13.5" customHeight="1" s="116">
      <c r="B224" s="145" t="n"/>
      <c r="C224" s="136" t="n"/>
      <c r="D224" s="136" t="n"/>
      <c r="E224" s="136" t="n"/>
      <c r="F224" s="136" t="n"/>
      <c r="G224" s="136" t="n"/>
      <c r="I224" s="146" t="n"/>
      <c r="J224" s="146" t="n"/>
    </row>
    <row r="225" ht="13.5" customHeight="1" s="116">
      <c r="B225" s="137" t="n"/>
      <c r="C225" s="133" t="inlineStr">
        <is>
          <t>delta</t>
        </is>
      </c>
      <c r="D225" s="133" t="inlineStr">
        <is>
          <t>gamma</t>
        </is>
      </c>
      <c r="E225" s="133" t="inlineStr">
        <is>
          <t>vega</t>
        </is>
      </c>
      <c r="F225" s="133" t="inlineStr">
        <is>
          <t>theta</t>
        </is>
      </c>
      <c r="G225" s="133" t="inlineStr">
        <is>
          <t>mark_price</t>
        </is>
      </c>
      <c r="I225" s="133" t="inlineStr">
        <is>
          <t>d1</t>
        </is>
      </c>
      <c r="J225" s="133" t="inlineStr">
        <is>
          <t>d2</t>
        </is>
      </c>
    </row>
    <row r="226" ht="13.5" customHeight="1" s="116">
      <c r="A226" s="117">
        <f>A9</f>
        <v/>
      </c>
      <c r="B226" s="144">
        <f>B196</f>
        <v/>
      </c>
      <c r="C226" s="139">
        <f>IF($O$9="sell",-1,1) *  IF($K$9="call",  NORMDIST(I226,0,1,1),  NORMDIST(I226,0,1,1)-1  ) * $P$9</f>
        <v/>
      </c>
      <c r="D226" s="139">
        <f>IF($O$9="sell",-1,1) * NORMDIST(I226,0,1,0)/(B226*$H$9*SQRT($J$9)) * $P$9</f>
        <v/>
      </c>
      <c r="E226" s="139">
        <f>IF($O$9="sell",-1,1) * (B226*NORMDIST(I226,0,1,0)*SQRT($J$9)/365) * $P$9</f>
        <v/>
      </c>
      <c r="F226" s="139">
        <f>IF($O$9="sell",-1,1) * (-(B226*NORMDIST(I226,0,1,0)*$H$9)/(2*SQRT($J$9))/365) *$P$9</f>
        <v/>
      </c>
      <c r="G226" s="139">
        <f>IF($O$9="buy",1,-1)*( IF($K$9="call",B226*NORMDIST(I226,0,1,1) - $B$9*NORMDIST(J226,0,1,1),$B$9*NORMDIST(-J226,0,1,1) - B226*NORMDIST(-I226,0,1,1) ) - $G$9) * $P$9</f>
        <v/>
      </c>
      <c r="I226" s="140">
        <f>(LN(B226/$B$9)+($H$9^2/2)*($J$9))/($H$9*SQRT($J$9))</f>
        <v/>
      </c>
      <c r="J226" s="140">
        <f>I226 - $H$9*SQRT($J$9)</f>
        <v/>
      </c>
    </row>
    <row r="227" ht="13.5" customHeight="1" s="116">
      <c r="B227" s="144">
        <f>B197</f>
        <v/>
      </c>
      <c r="C227" s="139">
        <f>IF($O$9="sell",-1,1) *  IF($K$9="call",  NORMDIST(I227,0,1,1),  NORMDIST(I227,0,1,1)-1  ) * $P$9</f>
        <v/>
      </c>
      <c r="D227" s="139">
        <f>IF($O$9="sell",-1,1) * NORMDIST(I227,0,1,0)/(B227*$H$9*SQRT($J$9)) * $P$9</f>
        <v/>
      </c>
      <c r="E227" s="139">
        <f>IF($O$9="sell",-1,1) * (B227*NORMDIST(I227,0,1,0)*SQRT($J$9)/365) * $P$9</f>
        <v/>
      </c>
      <c r="F227" s="139">
        <f>IF($O$9="sell",-1,1) * (-(B227*NORMDIST(I227,0,1,0)*$H$9)/(2*SQRT($J$9))/365) *$P$9</f>
        <v/>
      </c>
      <c r="G227" s="139">
        <f>IF($O$9="buy",1,-1)*( IF($K$9="call",B227*NORMDIST(I227,0,1,1) - $B$9*NORMDIST(J227,0,1,1),$B$9*NORMDIST(-J227,0,1,1) - B227*NORMDIST(-I227,0,1,1) ) - $G$9) * $P$9</f>
        <v/>
      </c>
      <c r="I227" s="140">
        <f>(LN(B227/$B$9)+($H$9^2/2)*($J$9))/($H$9*SQRT($J$9))</f>
        <v/>
      </c>
      <c r="J227" s="140">
        <f>I227 - $H$9*SQRT($J$9)</f>
        <v/>
      </c>
    </row>
    <row r="228" ht="13.5" customHeight="1" s="116">
      <c r="B228" s="144">
        <f>B198</f>
        <v/>
      </c>
      <c r="C228" s="139">
        <f>IF($O$9="sell",-1,1) *  IF($K$9="call",  NORMDIST(I228,0,1,1),  NORMDIST(I228,0,1,1)-1  ) * $P$9</f>
        <v/>
      </c>
      <c r="D228" s="139">
        <f>IF($O$9="sell",-1,1) * NORMDIST(I228,0,1,0)/(B228*$H$9*SQRT($J$9)) * $P$9</f>
        <v/>
      </c>
      <c r="E228" s="139">
        <f>IF($O$9="sell",-1,1) * (B228*NORMDIST(I228,0,1,0)*SQRT($J$9)/365) * $P$9</f>
        <v/>
      </c>
      <c r="F228" s="139">
        <f>IF($O$9="sell",-1,1) * (-(B228*NORMDIST(I228,0,1,0)*$H$9)/(2*SQRT($J$9))/365) *$P$9</f>
        <v/>
      </c>
      <c r="G228" s="139">
        <f>IF($O$9="buy",1,-1)*( IF($K$9="call",B228*NORMDIST(I228,0,1,1) - $B$9*NORMDIST(J228,0,1,1),$B$9*NORMDIST(-J228,0,1,1) - B228*NORMDIST(-I228,0,1,1) ) - $G$9) * $P$9</f>
        <v/>
      </c>
      <c r="I228" s="140">
        <f>(LN(B228/$B$9)+($H$9^2/2)*($J$9))/($H$9*SQRT($J$9))</f>
        <v/>
      </c>
      <c r="J228" s="140">
        <f>I228 - $H$9*SQRT($J$9)</f>
        <v/>
      </c>
    </row>
    <row r="229" ht="13.5" customHeight="1" s="116">
      <c r="B229" s="144">
        <f>B199</f>
        <v/>
      </c>
      <c r="C229" s="139">
        <f>IF($O$9="sell",-1,1) *  IF($K$9="call",  NORMDIST(I229,0,1,1),  NORMDIST(I229,0,1,1)-1  ) * $P$9</f>
        <v/>
      </c>
      <c r="D229" s="139">
        <f>IF($O$9="sell",-1,1) * NORMDIST(I229,0,1,0)/(B229*$H$9*SQRT($J$9)) * $P$9</f>
        <v/>
      </c>
      <c r="E229" s="139">
        <f>IF($O$9="sell",-1,1) * (B229*NORMDIST(I229,0,1,0)*SQRT($J$9)/365) * $P$9</f>
        <v/>
      </c>
      <c r="F229" s="139">
        <f>IF($O$9="sell",-1,1) * (-(B229*NORMDIST(I229,0,1,0)*$H$9)/(2*SQRT($J$9))/365) *$P$9</f>
        <v/>
      </c>
      <c r="G229" s="139">
        <f>IF($O$9="buy",1,-1)*( IF($K$9="call",B229*NORMDIST(I229,0,1,1) - $B$9*NORMDIST(J229,0,1,1),$B$9*NORMDIST(-J229,0,1,1) - B229*NORMDIST(-I229,0,1,1) ) - $G$9) * $P$9</f>
        <v/>
      </c>
      <c r="I229" s="140">
        <f>(LN(B229/$B$9)+($H$9^2/2)*($J$9))/($H$9*SQRT($J$9))</f>
        <v/>
      </c>
      <c r="J229" s="140">
        <f>I229 - $H$9*SQRT($J$9)</f>
        <v/>
      </c>
    </row>
    <row r="230" ht="13.5" customHeight="1" s="116">
      <c r="B230" s="144">
        <f>B200</f>
        <v/>
      </c>
      <c r="C230" s="139">
        <f>IF($O$9="sell",-1,1) *  IF($K$9="call",  NORMDIST(I230,0,1,1),  NORMDIST(I230,0,1,1)-1  ) * $P$9</f>
        <v/>
      </c>
      <c r="D230" s="139">
        <f>IF($O$9="sell",-1,1) * NORMDIST(I230,0,1,0)/(B230*$H$9*SQRT($J$9)) * $P$9</f>
        <v/>
      </c>
      <c r="E230" s="139">
        <f>IF($O$9="sell",-1,1) * (B230*NORMDIST(I230,0,1,0)*SQRT($J$9)/365) * $P$9</f>
        <v/>
      </c>
      <c r="F230" s="139">
        <f>IF($O$9="sell",-1,1) * (-(B230*NORMDIST(I230,0,1,0)*$H$9)/(2*SQRT($J$9))/365) *$P$9</f>
        <v/>
      </c>
      <c r="G230" s="139">
        <f>IF($O$9="buy",1,-1)*( IF($K$9="call",B230*NORMDIST(I230,0,1,1) - $B$9*NORMDIST(J230,0,1,1),$B$9*NORMDIST(-J230,0,1,1) - B230*NORMDIST(-I230,0,1,1) ) - $G$9) * $P$9</f>
        <v/>
      </c>
      <c r="I230" s="140">
        <f>(LN(B230/$B$9)+($H$9^2/2)*($J$9))/($H$9*SQRT($J$9))</f>
        <v/>
      </c>
      <c r="J230" s="140">
        <f>I230 - $H$9*SQRT($J$9)</f>
        <v/>
      </c>
    </row>
    <row r="231" ht="13.5" customHeight="1" s="116">
      <c r="B231" s="144">
        <f>B201</f>
        <v/>
      </c>
      <c r="C231" s="139">
        <f>IF($O$9="sell",-1,1) *  IF($K$9="call",  NORMDIST(I231,0,1,1),  NORMDIST(I231,0,1,1)-1  ) * $P$9</f>
        <v/>
      </c>
      <c r="D231" s="139">
        <f>IF($O$9="sell",-1,1) * NORMDIST(I231,0,1,0)/(B231*$H$9*SQRT($J$9)) * $P$9</f>
        <v/>
      </c>
      <c r="E231" s="139">
        <f>IF($O$9="sell",-1,1) * (B231*NORMDIST(I231,0,1,0)*SQRT($J$9)/365) * $P$9</f>
        <v/>
      </c>
      <c r="F231" s="139">
        <f>IF($O$9="sell",-1,1) * (-(B231*NORMDIST(I231,0,1,0)*$H$9)/(2*SQRT($J$9))/365) *$P$9</f>
        <v/>
      </c>
      <c r="G231" s="139">
        <f>IF($O$9="buy",1,-1)*( IF($K$9="call",B231*NORMDIST(I231,0,1,1) - $B$9*NORMDIST(J231,0,1,1),$B$9*NORMDIST(-J231,0,1,1) - B231*NORMDIST(-I231,0,1,1) ) - $G$9) * $P$9</f>
        <v/>
      </c>
      <c r="I231" s="140">
        <f>(LN(B231/$B$9)+($H$9^2/2)*($J$9))/($H$9*SQRT($J$9))</f>
        <v/>
      </c>
      <c r="J231" s="140">
        <f>I231 - $H$9*SQRT($J$9)</f>
        <v/>
      </c>
    </row>
    <row r="232" ht="13.5" customHeight="1" s="116">
      <c r="B232" s="144">
        <f>B202</f>
        <v/>
      </c>
      <c r="C232" s="139">
        <f>IF($O$9="sell",-1,1) *  IF($K$9="call",  NORMDIST(I232,0,1,1),  NORMDIST(I232,0,1,1)-1  ) * $P$9</f>
        <v/>
      </c>
      <c r="D232" s="139">
        <f>IF($O$9="sell",-1,1) * NORMDIST(I232,0,1,0)/(B232*$H$9*SQRT($J$9)) * $P$9</f>
        <v/>
      </c>
      <c r="E232" s="139">
        <f>IF($O$9="sell",-1,1) * (B232*NORMDIST(I232,0,1,0)*SQRT($J$9)/365) * $P$9</f>
        <v/>
      </c>
      <c r="F232" s="139">
        <f>IF($O$9="sell",-1,1) * (-(B232*NORMDIST(I232,0,1,0)*$H$9)/(2*SQRT($J$9))/365) *$P$9</f>
        <v/>
      </c>
      <c r="G232" s="139">
        <f>IF($O$9="buy",1,-1)*( IF($K$9="call",B232*NORMDIST(I232,0,1,1) - $B$9*NORMDIST(J232,0,1,1),$B$9*NORMDIST(-J232,0,1,1) - B232*NORMDIST(-I232,0,1,1) ) - $G$9) * $P$9</f>
        <v/>
      </c>
      <c r="I232" s="140">
        <f>(LN(B232/$B$9)+($H$9^2/2)*($J$9))/($H$9*SQRT($J$9))</f>
        <v/>
      </c>
      <c r="J232" s="140">
        <f>I232 - $H$9*SQRT($J$9)</f>
        <v/>
      </c>
    </row>
    <row r="233" ht="13.5" customHeight="1" s="116">
      <c r="B233" s="144">
        <f>B203</f>
        <v/>
      </c>
      <c r="C233" s="139">
        <f>IF($O$9="sell",-1,1) *  IF($K$9="call",  NORMDIST(I233,0,1,1),  NORMDIST(I233,0,1,1)-1  ) * $P$9</f>
        <v/>
      </c>
      <c r="D233" s="139">
        <f>IF($O$9="sell",-1,1) * NORMDIST(I233,0,1,0)/(B233*$H$9*SQRT($J$9)) * $P$9</f>
        <v/>
      </c>
      <c r="E233" s="139">
        <f>IF($O$9="sell",-1,1) * (B233*NORMDIST(I233,0,1,0)*SQRT($J$9)/365) * $P$9</f>
        <v/>
      </c>
      <c r="F233" s="139">
        <f>IF($O$9="sell",-1,1) * (-(B233*NORMDIST(I233,0,1,0)*$H$9)/(2*SQRT($J$9))/365) *$P$9</f>
        <v/>
      </c>
      <c r="G233" s="139">
        <f>IF($O$9="buy",1,-1)*( IF($K$9="call",B233*NORMDIST(I233,0,1,1) - $B$9*NORMDIST(J233,0,1,1),$B$9*NORMDIST(-J233,0,1,1) - B233*NORMDIST(-I233,0,1,1) ) - $G$9) * $P$9</f>
        <v/>
      </c>
      <c r="I233" s="140">
        <f>(LN(B233/$B$9)+($H$9^2/2)*($J$9))/($H$9*SQRT($J$9))</f>
        <v/>
      </c>
      <c r="J233" s="140">
        <f>I233 - $H$9*SQRT($J$9)</f>
        <v/>
      </c>
    </row>
    <row r="234" ht="13.5" customHeight="1" s="116">
      <c r="B234" s="144">
        <f>B204</f>
        <v/>
      </c>
      <c r="C234" s="139">
        <f>IF($O$9="sell",-1,1) *  IF($K$9="call",  NORMDIST(I234,0,1,1),  NORMDIST(I234,0,1,1)-1  ) * $P$9</f>
        <v/>
      </c>
      <c r="D234" s="139">
        <f>IF($O$9="sell",-1,1) * NORMDIST(I234,0,1,0)/(B234*$H$9*SQRT($J$9)) * $P$9</f>
        <v/>
      </c>
      <c r="E234" s="139">
        <f>IF($O$9="sell",-1,1) * (B234*NORMDIST(I234,0,1,0)*SQRT($J$9)/365) * $P$9</f>
        <v/>
      </c>
      <c r="F234" s="139">
        <f>IF($O$9="sell",-1,1) * (-(B234*NORMDIST(I234,0,1,0)*$H$9)/(2*SQRT($J$9))/365) *$P$9</f>
        <v/>
      </c>
      <c r="G234" s="139">
        <f>IF($O$9="buy",1,-1)*( IF($K$9="call",B234*NORMDIST(I234,0,1,1) - $B$9*NORMDIST(J234,0,1,1),$B$9*NORMDIST(-J234,0,1,1) - B234*NORMDIST(-I234,0,1,1) ) - $G$9) * $P$9</f>
        <v/>
      </c>
      <c r="I234" s="140">
        <f>(LN(B234/$B$9)+($H$9^2/2)*($J$9))/($H$9*SQRT($J$9))</f>
        <v/>
      </c>
      <c r="J234" s="140">
        <f>I234 - $H$9*SQRT($J$9)</f>
        <v/>
      </c>
    </row>
    <row r="235" ht="13.5" customHeight="1" s="116">
      <c r="B235" s="144">
        <f>B205</f>
        <v/>
      </c>
      <c r="C235" s="139">
        <f>IF($O$9="sell",-1,1) *  IF($K$9="call",  NORMDIST(I235,0,1,1),  NORMDIST(I235,0,1,1)-1  ) * $P$9</f>
        <v/>
      </c>
      <c r="D235" s="139">
        <f>IF($O$9="sell",-1,1) * NORMDIST(I235,0,1,0)/(B235*$H$9*SQRT($J$9)) * $P$9</f>
        <v/>
      </c>
      <c r="E235" s="139">
        <f>IF($O$9="sell",-1,1) * (B235*NORMDIST(I235,0,1,0)*SQRT($J$9)/365) * $P$9</f>
        <v/>
      </c>
      <c r="F235" s="139">
        <f>IF($O$9="sell",-1,1) * (-(B235*NORMDIST(I235,0,1,0)*$H$9)/(2*SQRT($J$9))/365) *$P$9</f>
        <v/>
      </c>
      <c r="G235" s="139">
        <f>IF($O$9="buy",1,-1)*( IF($K$9="call",B235*NORMDIST(I235,0,1,1) - $B$9*NORMDIST(J235,0,1,1),$B$9*NORMDIST(-J235,0,1,1) - B235*NORMDIST(-I235,0,1,1) ) - $G$9) * $P$9</f>
        <v/>
      </c>
      <c r="I235" s="140">
        <f>(LN(B235/$B$9)+($H$9^2/2)*($J$9))/($H$9*SQRT($J$9))</f>
        <v/>
      </c>
      <c r="J235" s="140">
        <f>I235 - $H$9*SQRT($J$9)</f>
        <v/>
      </c>
    </row>
    <row r="236" ht="13.5" customHeight="1" s="116">
      <c r="B236" s="144">
        <f>B206</f>
        <v/>
      </c>
      <c r="C236" s="139">
        <f>IF($O$9="sell",-1,1) *  IF($K$9="call",  NORMDIST(I236,0,1,1),  NORMDIST(I236,0,1,1)-1  ) * $P$9</f>
        <v/>
      </c>
      <c r="D236" s="139">
        <f>IF($O$9="sell",-1,1) * NORMDIST(I236,0,1,0)/(B236*$H$9*SQRT($J$9)) * $P$9</f>
        <v/>
      </c>
      <c r="E236" s="139">
        <f>IF($O$9="sell",-1,1) * (B236*NORMDIST(I236,0,1,0)*SQRT($J$9)/365) * $P$9</f>
        <v/>
      </c>
      <c r="F236" s="139">
        <f>IF($O$9="sell",-1,1) * (-(B236*NORMDIST(I236,0,1,0)*$H$9)/(2*SQRT($J$9))/365) *$P$9</f>
        <v/>
      </c>
      <c r="G236" s="139">
        <f>IF($O$9="buy",1,-1)*( IF($K$9="call",B236*NORMDIST(I236,0,1,1) - $B$9*NORMDIST(J236,0,1,1),$B$9*NORMDIST(-J236,0,1,1) - B236*NORMDIST(-I236,0,1,1) ) - $G$9) * $P$9</f>
        <v/>
      </c>
      <c r="I236" s="140">
        <f>(LN(B236/$B$9)+($H$9^2/2)*($J$9))/($H$9*SQRT($J$9))</f>
        <v/>
      </c>
      <c r="J236" s="140">
        <f>I236 - $H$9*SQRT($J$9)</f>
        <v/>
      </c>
    </row>
    <row r="237" ht="13.5" customHeight="1" s="116">
      <c r="B237" s="144">
        <f>B207</f>
        <v/>
      </c>
      <c r="C237" s="139">
        <f>IF($O$9="sell",-1,1) *  IF($K$9="call",  NORMDIST(I237,0,1,1),  NORMDIST(I237,0,1,1)-1  ) * $P$9</f>
        <v/>
      </c>
      <c r="D237" s="139">
        <f>IF($O$9="sell",-1,1) * NORMDIST(I237,0,1,0)/(B237*$H$9*SQRT($J$9)) * $P$9</f>
        <v/>
      </c>
      <c r="E237" s="139">
        <f>IF($O$9="sell",-1,1) * (B237*NORMDIST(I237,0,1,0)*SQRT($J$9)/365) * $P$9</f>
        <v/>
      </c>
      <c r="F237" s="139">
        <f>IF($O$9="sell",-1,1) * (-(B237*NORMDIST(I237,0,1,0)*$H$9)/(2*SQRT($J$9))/365) *$P$9</f>
        <v/>
      </c>
      <c r="G237" s="139">
        <f>IF($O$9="buy",1,-1)*( IF($K$9="call",B237*NORMDIST(I237,0,1,1) - $B$9*NORMDIST(J237,0,1,1),$B$9*NORMDIST(-J237,0,1,1) - B237*NORMDIST(-I237,0,1,1) ) - $G$9) * $P$9</f>
        <v/>
      </c>
      <c r="I237" s="140">
        <f>(LN(B237/$B$9)+($H$9^2/2)*($J$9))/($H$9*SQRT($J$9))</f>
        <v/>
      </c>
      <c r="J237" s="140">
        <f>I237 - $H$9*SQRT($J$9)</f>
        <v/>
      </c>
    </row>
    <row r="238" ht="13.5" customHeight="1" s="116">
      <c r="B238" s="144">
        <f>B208</f>
        <v/>
      </c>
      <c r="C238" s="139">
        <f>IF($O$9="sell",-1,1) *  IF($K$9="call",  NORMDIST(I238,0,1,1),  NORMDIST(I238,0,1,1)-1  ) * $P$9</f>
        <v/>
      </c>
      <c r="D238" s="139">
        <f>IF($O$9="sell",-1,1) * NORMDIST(I238,0,1,0)/(B238*$H$9*SQRT($J$9)) * $P$9</f>
        <v/>
      </c>
      <c r="E238" s="139">
        <f>IF($O$9="sell",-1,1) * (B238*NORMDIST(I238,0,1,0)*SQRT($J$9)/365) * $P$9</f>
        <v/>
      </c>
      <c r="F238" s="139">
        <f>IF($O$9="sell",-1,1) * (-(B238*NORMDIST(I238,0,1,0)*$H$9)/(2*SQRT($J$9))/365) *$P$9</f>
        <v/>
      </c>
      <c r="G238" s="139">
        <f>IF($O$9="buy",1,-1)*( IF($K$9="call",B238*NORMDIST(I238,0,1,1) - $B$9*NORMDIST(J238,0,1,1),$B$9*NORMDIST(-J238,0,1,1) - B238*NORMDIST(-I238,0,1,1) ) - $G$9) * $P$9</f>
        <v/>
      </c>
      <c r="I238" s="140">
        <f>(LN(B238/$B$9)+($H$9^2/2)*($J$9))/($H$9*SQRT($J$9))</f>
        <v/>
      </c>
      <c r="J238" s="140">
        <f>I238 - $H$9*SQRT($J$9)</f>
        <v/>
      </c>
    </row>
    <row r="239" ht="13.5" customHeight="1" s="116">
      <c r="B239" s="144">
        <f>B209</f>
        <v/>
      </c>
      <c r="C239" s="139">
        <f>IF($O$9="sell",-1,1) *  IF($K$9="call",  NORMDIST(I239,0,1,1),  NORMDIST(I239,0,1,1)-1  ) * $P$9</f>
        <v/>
      </c>
      <c r="D239" s="139">
        <f>IF($O$9="sell",-1,1) * NORMDIST(I239,0,1,0)/(B239*$H$9*SQRT($J$9)) * $P$9</f>
        <v/>
      </c>
      <c r="E239" s="139">
        <f>IF($O$9="sell",-1,1) * (B239*NORMDIST(I239,0,1,0)*SQRT($J$9)/365) * $P$9</f>
        <v/>
      </c>
      <c r="F239" s="139">
        <f>IF($O$9="sell",-1,1) * (-(B239*NORMDIST(I239,0,1,0)*$H$9)/(2*SQRT($J$9))/365) *$P$9</f>
        <v/>
      </c>
      <c r="G239" s="139">
        <f>IF($O$9="buy",1,-1)*( IF($K$9="call",B239*NORMDIST(I239,0,1,1) - $B$9*NORMDIST(J239,0,1,1),$B$9*NORMDIST(-J239,0,1,1) - B239*NORMDIST(-I239,0,1,1) ) - $G$9) * $P$9</f>
        <v/>
      </c>
      <c r="I239" s="140">
        <f>(LN(B239/$B$9)+($H$9^2/2)*($J$9))/($H$9*SQRT($J$9))</f>
        <v/>
      </c>
      <c r="J239" s="140">
        <f>I239 - $H$9*SQRT($J$9)</f>
        <v/>
      </c>
    </row>
    <row r="240" ht="13.5" customHeight="1" s="116">
      <c r="B240" s="144">
        <f>B210</f>
        <v/>
      </c>
      <c r="C240" s="139">
        <f>IF($O$9="sell",-1,1) *  IF($K$9="call",  NORMDIST(I240,0,1,1),  NORMDIST(I240,0,1,1)-1  ) * $P$9</f>
        <v/>
      </c>
      <c r="D240" s="139">
        <f>IF($O$9="sell",-1,1) * NORMDIST(I240,0,1,0)/(B240*$H$9*SQRT($J$9)) * $P$9</f>
        <v/>
      </c>
      <c r="E240" s="139">
        <f>IF($O$9="sell",-1,1) * (B240*NORMDIST(I240,0,1,0)*SQRT($J$9)/365) * $P$9</f>
        <v/>
      </c>
      <c r="F240" s="139">
        <f>IF($O$9="sell",-1,1) * (-(B240*NORMDIST(I240,0,1,0)*$H$9)/(2*SQRT($J$9))/365) *$P$9</f>
        <v/>
      </c>
      <c r="G240" s="139">
        <f>IF($O$9="buy",1,-1)*( IF($K$9="call",B240*NORMDIST(I240,0,1,1) - $B$9*NORMDIST(J240,0,1,1),$B$9*NORMDIST(-J240,0,1,1) - B240*NORMDIST(-I240,0,1,1) ) - $G$9) * $P$9</f>
        <v/>
      </c>
      <c r="I240" s="140">
        <f>(LN(B240/$B$9)+($H$9^2/2)*($J$9))/($H$9*SQRT($J$9))</f>
        <v/>
      </c>
      <c r="J240" s="140">
        <f>I240 - $H$9*SQRT($J$9)</f>
        <v/>
      </c>
    </row>
    <row r="241" ht="13.5" customHeight="1" s="116">
      <c r="B241" s="144">
        <f>B211</f>
        <v/>
      </c>
      <c r="C241" s="139">
        <f>IF($O$9="sell",-1,1) *  IF($K$9="call",  NORMDIST(I241,0,1,1),  NORMDIST(I241,0,1,1)-1  ) * $P$9</f>
        <v/>
      </c>
      <c r="D241" s="139">
        <f>IF($O$9="sell",-1,1) * NORMDIST(I241,0,1,0)/(B241*$H$9*SQRT($J$9)) * $P$9</f>
        <v/>
      </c>
      <c r="E241" s="139">
        <f>IF($O$9="sell",-1,1) * (B241*NORMDIST(I241,0,1,0)*SQRT($J$9)/365) * $P$9</f>
        <v/>
      </c>
      <c r="F241" s="139">
        <f>IF($O$9="sell",-1,1) * (-(B241*NORMDIST(I241,0,1,0)*$H$9)/(2*SQRT($J$9))/365) *$P$9</f>
        <v/>
      </c>
      <c r="G241" s="139">
        <f>IF($O$9="buy",1,-1)*( IF($K$9="call",B241*NORMDIST(I241,0,1,1) - $B$9*NORMDIST(J241,0,1,1),$B$9*NORMDIST(-J241,0,1,1) - B241*NORMDIST(-I241,0,1,1) ) - $G$9) * $P$9</f>
        <v/>
      </c>
      <c r="I241" s="140">
        <f>(LN(B241/$B$9)+($H$9^2/2)*($J$9))/($H$9*SQRT($J$9))</f>
        <v/>
      </c>
      <c r="J241" s="140">
        <f>I241 - $H$9*SQRT($J$9)</f>
        <v/>
      </c>
    </row>
    <row r="242" ht="13.5" customHeight="1" s="116">
      <c r="B242" s="144">
        <f>B212</f>
        <v/>
      </c>
      <c r="C242" s="139">
        <f>IF($O$9="sell",-1,1) *  IF($K$9="call",  NORMDIST(I242,0,1,1),  NORMDIST(I242,0,1,1)-1  ) * $P$9</f>
        <v/>
      </c>
      <c r="D242" s="139">
        <f>IF($O$9="sell",-1,1) * NORMDIST(I242,0,1,0)/(B242*$H$9*SQRT($J$9)) * $P$9</f>
        <v/>
      </c>
      <c r="E242" s="139">
        <f>IF($O$9="sell",-1,1) * (B242*NORMDIST(I242,0,1,0)*SQRT($J$9)/365) * $P$9</f>
        <v/>
      </c>
      <c r="F242" s="139">
        <f>IF($O$9="sell",-1,1) * (-(B242*NORMDIST(I242,0,1,0)*$H$9)/(2*SQRT($J$9))/365) *$P$9</f>
        <v/>
      </c>
      <c r="G242" s="139">
        <f>IF($O$9="buy",1,-1)*( IF($K$9="call",B242*NORMDIST(I242,0,1,1) - $B$9*NORMDIST(J242,0,1,1),$B$9*NORMDIST(-J242,0,1,1) - B242*NORMDIST(-I242,0,1,1) ) - $G$9) * $P$9</f>
        <v/>
      </c>
      <c r="I242" s="140">
        <f>(LN(B242/$B$9)+($H$9^2/2)*($J$9))/($H$9*SQRT($J$9))</f>
        <v/>
      </c>
      <c r="J242" s="140">
        <f>I242 - $H$9*SQRT($J$9)</f>
        <v/>
      </c>
    </row>
    <row r="243" ht="13.5" customHeight="1" s="116">
      <c r="B243" s="144">
        <f>B213</f>
        <v/>
      </c>
      <c r="C243" s="139">
        <f>IF($O$9="sell",-1,1) *  IF($K$9="call",  NORMDIST(I243,0,1,1),  NORMDIST(I243,0,1,1)-1  ) * $P$9</f>
        <v/>
      </c>
      <c r="D243" s="139">
        <f>IF($O$9="sell",-1,1) * NORMDIST(I243,0,1,0)/(B243*$H$9*SQRT($J$9)) * $P$9</f>
        <v/>
      </c>
      <c r="E243" s="139">
        <f>IF($O$9="sell",-1,1) * (B243*NORMDIST(I243,0,1,0)*SQRT($J$9)/365) * $P$9</f>
        <v/>
      </c>
      <c r="F243" s="139">
        <f>IF($O$9="sell",-1,1) * (-(B243*NORMDIST(I243,0,1,0)*$H$9)/(2*SQRT($J$9))/365) *$P$9</f>
        <v/>
      </c>
      <c r="G243" s="139">
        <f>IF($O$9="buy",1,-1)*( IF($K$9="call",B243*NORMDIST(I243,0,1,1) - $B$9*NORMDIST(J243,0,1,1),$B$9*NORMDIST(-J243,0,1,1) - B243*NORMDIST(-I243,0,1,1) ) - $G$9) * $P$9</f>
        <v/>
      </c>
      <c r="I243" s="140">
        <f>(LN(B243/$B$9)+($H$9^2/2)*($J$9))/($H$9*SQRT($J$9))</f>
        <v/>
      </c>
      <c r="J243" s="140">
        <f>I243 - $H$9*SQRT($J$9)</f>
        <v/>
      </c>
    </row>
    <row r="244" ht="13.5" customHeight="1" s="116">
      <c r="B244" s="144">
        <f>B214</f>
        <v/>
      </c>
      <c r="C244" s="139">
        <f>IF($O$9="sell",-1,1) *  IF($K$9="call",  NORMDIST(I244,0,1,1),  NORMDIST(I244,0,1,1)-1  ) * $P$9</f>
        <v/>
      </c>
      <c r="D244" s="139">
        <f>IF($O$9="sell",-1,1) * NORMDIST(I244,0,1,0)/(B244*$H$9*SQRT($J$9)) * $P$9</f>
        <v/>
      </c>
      <c r="E244" s="139">
        <f>IF($O$9="sell",-1,1) * (B244*NORMDIST(I244,0,1,0)*SQRT($J$9)/365) * $P$9</f>
        <v/>
      </c>
      <c r="F244" s="139">
        <f>IF($O$9="sell",-1,1) * (-(B244*NORMDIST(I244,0,1,0)*$H$9)/(2*SQRT($J$9))/365) *$P$9</f>
        <v/>
      </c>
      <c r="G244" s="139">
        <f>IF($O$9="buy",1,-1)*( IF($K$9="call",B244*NORMDIST(I244,0,1,1) - $B$9*NORMDIST(J244,0,1,1),$B$9*NORMDIST(-J244,0,1,1) - B244*NORMDIST(-I244,0,1,1) ) - $G$9) * $P$9</f>
        <v/>
      </c>
      <c r="I244" s="140">
        <f>(LN(B244/$B$9)+($H$9^2/2)*($J$9))/($H$9*SQRT($J$9))</f>
        <v/>
      </c>
      <c r="J244" s="140">
        <f>I244 - $H$9*SQRT($J$9)</f>
        <v/>
      </c>
    </row>
    <row r="245" ht="13.5" customHeight="1" s="116">
      <c r="B245" s="144">
        <f>B215</f>
        <v/>
      </c>
      <c r="C245" s="139">
        <f>IF($O$9="sell",-1,1) *  IF($K$9="call",  NORMDIST(I245,0,1,1),  NORMDIST(I245,0,1,1)-1  ) * $P$9</f>
        <v/>
      </c>
      <c r="D245" s="139">
        <f>IF($O$9="sell",-1,1) * NORMDIST(I245,0,1,0)/(B245*$H$9*SQRT($J$9)) * $P$9</f>
        <v/>
      </c>
      <c r="E245" s="139">
        <f>IF($O$9="sell",-1,1) * (B245*NORMDIST(I245,0,1,0)*SQRT($J$9)/365) * $P$9</f>
        <v/>
      </c>
      <c r="F245" s="139">
        <f>IF($O$9="sell",-1,1) * (-(B245*NORMDIST(I245,0,1,0)*$H$9)/(2*SQRT($J$9))/365) *$P$9</f>
        <v/>
      </c>
      <c r="G245" s="139">
        <f>IF($O$9="buy",1,-1)*( IF($K$9="call",B245*NORMDIST(I245,0,1,1) - $B$9*NORMDIST(J245,0,1,1),$B$9*NORMDIST(-J245,0,1,1) - B245*NORMDIST(-I245,0,1,1) ) - $G$9) * $P$9</f>
        <v/>
      </c>
      <c r="I245" s="140">
        <f>(LN(B245/$B$9)+($H$9^2/2)*($J$9))/($H$9*SQRT($J$9))</f>
        <v/>
      </c>
      <c r="J245" s="140">
        <f>I245 - $H$9*SQRT($J$9)</f>
        <v/>
      </c>
    </row>
    <row r="246" ht="13.5" customHeight="1" s="116">
      <c r="B246" s="144">
        <f>B216</f>
        <v/>
      </c>
      <c r="C246" s="139">
        <f>IF($O$9="sell",-1,1) *  IF($K$9="call",  NORMDIST(I246,0,1,1),  NORMDIST(I246,0,1,1)-1  ) * $P$9</f>
        <v/>
      </c>
      <c r="D246" s="139">
        <f>IF($O$9="sell",-1,1) * NORMDIST(I246,0,1,0)/(B246*$H$9*SQRT($J$9)) * $P$9</f>
        <v/>
      </c>
      <c r="E246" s="139">
        <f>IF($O$9="sell",-1,1) * (B246*NORMDIST(I246,0,1,0)*SQRT($J$9)/365) * $P$9</f>
        <v/>
      </c>
      <c r="F246" s="139">
        <f>IF($O$9="sell",-1,1) * (-(B246*NORMDIST(I246,0,1,0)*$H$9)/(2*SQRT($J$9))/365) *$P$9</f>
        <v/>
      </c>
      <c r="G246" s="139">
        <f>IF($O$9="buy",1,-1)*( IF($K$9="call",B246*NORMDIST(I246,0,1,1) - $B$9*NORMDIST(J246,0,1,1),$B$9*NORMDIST(-J246,0,1,1) - B246*NORMDIST(-I246,0,1,1) ) - $G$9) * $P$9</f>
        <v/>
      </c>
      <c r="I246" s="140">
        <f>(LN(B246/$B$9)+($H$9^2/2)*($J$9))/($H$9*SQRT($J$9))</f>
        <v/>
      </c>
      <c r="J246" s="140">
        <f>I246 - $H$9*SQRT($J$9)</f>
        <v/>
      </c>
    </row>
    <row r="247" ht="13.5" customHeight="1" s="116">
      <c r="B247" s="144">
        <f>B217</f>
        <v/>
      </c>
      <c r="C247" s="139">
        <f>IF($O$9="sell",-1,1) *  IF($K$9="call",  NORMDIST(I247,0,1,1),  NORMDIST(I247,0,1,1)-1  ) * $P$9</f>
        <v/>
      </c>
      <c r="D247" s="139">
        <f>IF($O$9="sell",-1,1) * NORMDIST(I247,0,1,0)/(B247*$H$9*SQRT($J$9)) * $P$9</f>
        <v/>
      </c>
      <c r="E247" s="139">
        <f>IF($O$9="sell",-1,1) * (B247*NORMDIST(I247,0,1,0)*SQRT($J$9)/365) * $P$9</f>
        <v/>
      </c>
      <c r="F247" s="139">
        <f>IF($O$9="sell",-1,1) * (-(B247*NORMDIST(I247,0,1,0)*$H$9)/(2*SQRT($J$9))/365) *$P$9</f>
        <v/>
      </c>
      <c r="G247" s="139">
        <f>IF($O$9="buy",1,-1)*( IF($K$9="call",B247*NORMDIST(I247,0,1,1) - $B$9*NORMDIST(J247,0,1,1),$B$9*NORMDIST(-J247,0,1,1) - B247*NORMDIST(-I247,0,1,1) ) - $G$9) * $P$9</f>
        <v/>
      </c>
      <c r="I247" s="140">
        <f>(LN(B247/$B$9)+($H$9^2/2)*($J$9))/($H$9*SQRT($J$9))</f>
        <v/>
      </c>
      <c r="J247" s="140">
        <f>I247 - $H$9*SQRT($J$9)</f>
        <v/>
      </c>
    </row>
    <row r="248" ht="13.5" customHeight="1" s="116">
      <c r="B248" s="144">
        <f>B218</f>
        <v/>
      </c>
      <c r="C248" s="139">
        <f>IF($O$9="sell",-1,1) *  IF($K$9="call",  NORMDIST(I248,0,1,1),  NORMDIST(I248,0,1,1)-1  ) * $P$9</f>
        <v/>
      </c>
      <c r="D248" s="139">
        <f>IF($O$9="sell",-1,1) * NORMDIST(I248,0,1,0)/(B248*$H$9*SQRT($J$9)) * $P$9</f>
        <v/>
      </c>
      <c r="E248" s="139">
        <f>IF($O$9="sell",-1,1) * (B248*NORMDIST(I248,0,1,0)*SQRT($J$9)/365) * $P$9</f>
        <v/>
      </c>
      <c r="F248" s="139">
        <f>IF($O$9="sell",-1,1) * (-(B248*NORMDIST(I248,0,1,0)*$H$9)/(2*SQRT($J$9))/365) *$P$9</f>
        <v/>
      </c>
      <c r="G248" s="139">
        <f>IF($O$9="buy",1,-1)*( IF($K$9="call",B248*NORMDIST(I248,0,1,1) - $B$9*NORMDIST(J248,0,1,1),$B$9*NORMDIST(-J248,0,1,1) - B248*NORMDIST(-I248,0,1,1) ) - $G$9) * $P$9</f>
        <v/>
      </c>
      <c r="I248" s="140">
        <f>(LN(B248/$B$9)+($H$9^2/2)*($J$9))/($H$9*SQRT($J$9))</f>
        <v/>
      </c>
      <c r="J248" s="140">
        <f>I248 - $H$9*SQRT($J$9)</f>
        <v/>
      </c>
    </row>
    <row r="249" ht="13.5" customHeight="1" s="116">
      <c r="B249" s="144">
        <f>B219</f>
        <v/>
      </c>
      <c r="C249" s="139">
        <f>IF($O$9="sell",-1,1) *  IF($K$9="call",  NORMDIST(I249,0,1,1),  NORMDIST(I249,0,1,1)-1  ) * $P$9</f>
        <v/>
      </c>
      <c r="D249" s="139">
        <f>IF($O$9="sell",-1,1) * NORMDIST(I249,0,1,0)/(B249*$H$9*SQRT($J$9)) * $P$9</f>
        <v/>
      </c>
      <c r="E249" s="139">
        <f>IF($O$9="sell",-1,1) * (B249*NORMDIST(I249,0,1,0)*SQRT($J$9)/365) * $P$9</f>
        <v/>
      </c>
      <c r="F249" s="139">
        <f>IF($O$9="sell",-1,1) * (-(B249*NORMDIST(I249,0,1,0)*$H$9)/(2*SQRT($J$9))/365) *$P$9</f>
        <v/>
      </c>
      <c r="G249" s="139">
        <f>IF($O$9="buy",1,-1)*( IF($K$9="call",B249*NORMDIST(I249,0,1,1) - $B$9*NORMDIST(J249,0,1,1),$B$9*NORMDIST(-J249,0,1,1) - B249*NORMDIST(-I249,0,1,1) ) - $G$9) * $P$9</f>
        <v/>
      </c>
      <c r="I249" s="140">
        <f>(LN(B249/$B$9)+($H$9^2/2)*($J$9))/($H$9*SQRT($J$9))</f>
        <v/>
      </c>
      <c r="J249" s="140">
        <f>I249 - $H$9*SQRT($J$9)</f>
        <v/>
      </c>
    </row>
    <row r="250" ht="13.5" customHeight="1" s="116">
      <c r="B250" s="144">
        <f>B220</f>
        <v/>
      </c>
      <c r="C250" s="139">
        <f>IF($O$9="sell",-1,1) *  IF($K$9="call",  NORMDIST(I250,0,1,1),  NORMDIST(I250,0,1,1)-1  ) * $P$9</f>
        <v/>
      </c>
      <c r="D250" s="139">
        <f>IF($O$9="sell",-1,1) * NORMDIST(I250,0,1,0)/(B250*$H$9*SQRT($J$9)) * $P$9</f>
        <v/>
      </c>
      <c r="E250" s="139">
        <f>IF($O$9="sell",-1,1) * (B250*NORMDIST(I250,0,1,0)*SQRT($J$9)/365) * $P$9</f>
        <v/>
      </c>
      <c r="F250" s="139">
        <f>IF($O$9="sell",-1,1) * (-(B250*NORMDIST(I250,0,1,0)*$H$9)/(2*SQRT($J$9))/365) *$P$9</f>
        <v/>
      </c>
      <c r="G250" s="139">
        <f>IF($O$9="buy",1,-1)*( IF($K$9="call",B250*NORMDIST(I250,0,1,1) - $B$9*NORMDIST(J250,0,1,1),$B$9*NORMDIST(-J250,0,1,1) - B250*NORMDIST(-I250,0,1,1) ) - $G$9) * $P$9</f>
        <v/>
      </c>
      <c r="I250" s="140">
        <f>(LN(B250/$B$9)+($H$9^2/2)*($J$9))/($H$9*SQRT($J$9))</f>
        <v/>
      </c>
      <c r="J250" s="140">
        <f>I250 - $H$9*SQRT($J$9)</f>
        <v/>
      </c>
    </row>
    <row r="251" ht="13.5" customHeight="1" s="116">
      <c r="B251" s="144">
        <f>B221</f>
        <v/>
      </c>
      <c r="C251" s="139">
        <f>IF($O$9="sell",-1,1) *  IF($K$9="call",  NORMDIST(I251,0,1,1),  NORMDIST(I251,0,1,1)-1  ) * $P$9</f>
        <v/>
      </c>
      <c r="D251" s="139">
        <f>IF($O$9="sell",-1,1) * NORMDIST(I251,0,1,0)/(B251*$H$9*SQRT($J$9)) * $P$9</f>
        <v/>
      </c>
      <c r="E251" s="139">
        <f>IF($O$9="sell",-1,1) * (B251*NORMDIST(I251,0,1,0)*SQRT($J$9)/365) * $P$9</f>
        <v/>
      </c>
      <c r="F251" s="139">
        <f>IF($O$9="sell",-1,1) * (-(B251*NORMDIST(I251,0,1,0)*$H$9)/(2*SQRT($J$9))/365) *$P$9</f>
        <v/>
      </c>
      <c r="G251" s="139">
        <f>IF($O$9="buy",1,-1)*( IF($K$9="call",B251*NORMDIST(I251,0,1,1) - $B$9*NORMDIST(J251,0,1,1),$B$9*NORMDIST(-J251,0,1,1) - B251*NORMDIST(-I251,0,1,1) ) - $G$9) * $P$9</f>
        <v/>
      </c>
      <c r="I251" s="140">
        <f>(LN(B251/$B$9)+($H$9^2/2)*($J$9))/($H$9*SQRT($J$9))</f>
        <v/>
      </c>
      <c r="J251" s="140">
        <f>I251 - $H$9*SQRT($J$9)</f>
        <v/>
      </c>
    </row>
    <row r="252" ht="13.5" customHeight="1" s="116">
      <c r="B252" s="144">
        <f>B222</f>
        <v/>
      </c>
      <c r="C252" s="139">
        <f>IF($O$9="sell",-1,1) *  IF($K$9="call",  NORMDIST(I252,0,1,1),  NORMDIST(I252,0,1,1)-1  ) * $P$9</f>
        <v/>
      </c>
      <c r="D252" s="139">
        <f>IF($O$9="sell",-1,1) * NORMDIST(I252,0,1,0)/(B252*$H$9*SQRT($J$9)) * $P$9</f>
        <v/>
      </c>
      <c r="E252" s="139">
        <f>IF($O$9="sell",-1,1) * (B252*NORMDIST(I252,0,1,0)*SQRT($J$9)/365) * $P$9</f>
        <v/>
      </c>
      <c r="F252" s="139">
        <f>IF($O$9="sell",-1,1) * (-(B252*NORMDIST(I252,0,1,0)*$H$9)/(2*SQRT($J$9))/365) *$P$9</f>
        <v/>
      </c>
      <c r="G252" s="139">
        <f>IF($O$9="buy",1,-1)*( IF($K$9="call",B252*NORMDIST(I252,0,1,1) - $B$9*NORMDIST(J252,0,1,1),$B$9*NORMDIST(-J252,0,1,1) - B252*NORMDIST(-I252,0,1,1) ) - $G$9) * $P$9</f>
        <v/>
      </c>
      <c r="I252" s="140">
        <f>(LN(B252/$B$9)+($H$9^2/2)*($J$9))/($H$9*SQRT($J$9))</f>
        <v/>
      </c>
      <c r="J252" s="140">
        <f>I252 - $H$9*SQRT($J$9)</f>
        <v/>
      </c>
    </row>
    <row r="253" ht="13.5" customHeight="1" s="116">
      <c r="B253" s="145" t="n"/>
      <c r="C253" s="136" t="n"/>
      <c r="D253" s="136" t="n"/>
      <c r="E253" s="136" t="n"/>
      <c r="F253" s="136" t="n"/>
      <c r="G253" s="136" t="n"/>
      <c r="I253" s="146" t="n"/>
      <c r="J253" s="146" t="n"/>
    </row>
    <row r="254" ht="13.5" customHeight="1" s="116">
      <c r="B254" s="145" t="n"/>
      <c r="C254" s="136" t="n"/>
      <c r="D254" s="136" t="n"/>
      <c r="E254" s="136" t="n"/>
      <c r="F254" s="136" t="n"/>
      <c r="G254" s="136" t="n"/>
      <c r="I254" s="146" t="n"/>
      <c r="J254" s="146" t="n"/>
    </row>
    <row r="255" ht="13.5" customHeight="1" s="116">
      <c r="B255" s="137" t="n"/>
      <c r="C255" s="133" t="inlineStr">
        <is>
          <t>delta</t>
        </is>
      </c>
      <c r="D255" s="133" t="inlineStr">
        <is>
          <t>gamma</t>
        </is>
      </c>
      <c r="E255" s="133" t="inlineStr">
        <is>
          <t>vega</t>
        </is>
      </c>
      <c r="F255" s="133" t="inlineStr">
        <is>
          <t>theta</t>
        </is>
      </c>
      <c r="G255" s="133" t="inlineStr">
        <is>
          <t>mark_price</t>
        </is>
      </c>
      <c r="I255" s="133" t="inlineStr">
        <is>
          <t>d1</t>
        </is>
      </c>
      <c r="J255" s="133" t="inlineStr">
        <is>
          <t>d2</t>
        </is>
      </c>
    </row>
    <row r="256" ht="13.5" customHeight="1" s="116">
      <c r="A256" s="117">
        <f>A10</f>
        <v/>
      </c>
      <c r="B256" s="144">
        <f>B226</f>
        <v/>
      </c>
      <c r="C256" s="139">
        <f>IF($O$10="sell",-1,1) *  IF($K$10="call",  NORMDIST(I256,0,1,1),  NORMDIST(I256,0,1,1)-1  ) * $P$10</f>
        <v/>
      </c>
      <c r="D256" s="139">
        <f>IF($O$10="sell",-1,1) * NORMDIST(I256,0,1,0)/(B256*$H$10*SQRT($J$10)) * $P$10</f>
        <v/>
      </c>
      <c r="E256" s="139">
        <f>IF($O$10="sell",-1,1) * (B256*NORMDIST(I256,0,1,0)*SQRT($J$10)/365) * $P$10</f>
        <v/>
      </c>
      <c r="F256" s="139">
        <f>IF($O$10="sell",-1,1) * (-(B256*NORMDIST(I256,0,1,0)*$H$10)/(2*SQRT($J$10))/365) *$P$10</f>
        <v/>
      </c>
      <c r="G256" s="139">
        <f>IF($O$10="buy",1,-1)*( IF($K$10="call",B256*NORMDIST(I256,0,1,1) - $B$10*NORMDIST(J256,0,1,1),$B$10*NORMDIST(-J256,0,1,1) - B256*NORMDIST(-I256,0,1,1) ) - $G$10) * $P$10</f>
        <v/>
      </c>
      <c r="I256" s="140">
        <f>(LN(B256/$B$10)+($H$10^2/2)*($J$10))/($H$10*SQRT($J$10))</f>
        <v/>
      </c>
      <c r="J256" s="140">
        <f>I256 - $H$10*SQRT($J$10)</f>
        <v/>
      </c>
    </row>
    <row r="257" ht="13.5" customHeight="1" s="116">
      <c r="B257" s="144">
        <f>B227</f>
        <v/>
      </c>
      <c r="C257" s="139">
        <f>IF($O$10="sell",-1,1) *  IF($K$10="call",  NORMDIST(I257,0,1,1),  NORMDIST(I257,0,1,1)-1  ) * $P$10</f>
        <v/>
      </c>
      <c r="D257" s="139">
        <f>IF($O$10="sell",-1,1) * NORMDIST(I257,0,1,0)/(B257*$H$10*SQRT($J$10)) * $P$10</f>
        <v/>
      </c>
      <c r="E257" s="139">
        <f>IF($O$10="sell",-1,1) * (B257*NORMDIST(I257,0,1,0)*SQRT($J$10)/365) * $P$10</f>
        <v/>
      </c>
      <c r="F257" s="139">
        <f>IF($O$10="sell",-1,1) * (-(B257*NORMDIST(I257,0,1,0)*$H$10)/(2*SQRT($J$10))/365) *$P$10</f>
        <v/>
      </c>
      <c r="G257" s="139">
        <f>IF($O$10="buy",1,-1)*( IF($K$10="call",B257*NORMDIST(I257,0,1,1) - $B$10*NORMDIST(J257,0,1,1),$B$10*NORMDIST(-J257,0,1,1) - B257*NORMDIST(-I257,0,1,1) ) - $G$10) * $P$10</f>
        <v/>
      </c>
      <c r="I257" s="140">
        <f>(LN(B257/$B$10)+($H$10^2/2)*($J$10))/($H$10*SQRT($J$10))</f>
        <v/>
      </c>
      <c r="J257" s="140">
        <f>I257 - $H$10*SQRT($J$10)</f>
        <v/>
      </c>
    </row>
    <row r="258" ht="13.5" customHeight="1" s="116">
      <c r="B258" s="144">
        <f>B228</f>
        <v/>
      </c>
      <c r="C258" s="139">
        <f>IF($O$10="sell",-1,1) *  IF($K$10="call",  NORMDIST(I258,0,1,1),  NORMDIST(I258,0,1,1)-1  ) * $P$10</f>
        <v/>
      </c>
      <c r="D258" s="139">
        <f>IF($O$10="sell",-1,1) * NORMDIST(I258,0,1,0)/(B258*$H$10*SQRT($J$10)) * $P$10</f>
        <v/>
      </c>
      <c r="E258" s="139">
        <f>IF($O$10="sell",-1,1) * (B258*NORMDIST(I258,0,1,0)*SQRT($J$10)/365) * $P$10</f>
        <v/>
      </c>
      <c r="F258" s="139">
        <f>IF($O$10="sell",-1,1) * (-(B258*NORMDIST(I258,0,1,0)*$H$10)/(2*SQRT($J$10))/365) *$P$10</f>
        <v/>
      </c>
      <c r="G258" s="139">
        <f>IF($O$10="buy",1,-1)*( IF($K$10="call",B258*NORMDIST(I258,0,1,1) - $B$10*NORMDIST(J258,0,1,1),$B$10*NORMDIST(-J258,0,1,1) - B258*NORMDIST(-I258,0,1,1) ) - $G$10) * $P$10</f>
        <v/>
      </c>
      <c r="I258" s="140">
        <f>(LN(B258/$B$10)+($H$10^2/2)*($J$10))/($H$10*SQRT($J$10))</f>
        <v/>
      </c>
      <c r="J258" s="140">
        <f>I258 - $H$10*SQRT($J$10)</f>
        <v/>
      </c>
    </row>
    <row r="259" ht="13.5" customHeight="1" s="116">
      <c r="B259" s="144">
        <f>B229</f>
        <v/>
      </c>
      <c r="C259" s="139">
        <f>IF($O$10="sell",-1,1) *  IF($K$10="call",  NORMDIST(I259,0,1,1),  NORMDIST(I259,0,1,1)-1  ) * $P$10</f>
        <v/>
      </c>
      <c r="D259" s="139">
        <f>IF($O$10="sell",-1,1) * NORMDIST(I259,0,1,0)/(B259*$H$10*SQRT($J$10)) * $P$10</f>
        <v/>
      </c>
      <c r="E259" s="139">
        <f>IF($O$10="sell",-1,1) * (B259*NORMDIST(I259,0,1,0)*SQRT($J$10)/365) * $P$10</f>
        <v/>
      </c>
      <c r="F259" s="139">
        <f>IF($O$10="sell",-1,1) * (-(B259*NORMDIST(I259,0,1,0)*$H$10)/(2*SQRT($J$10))/365) *$P$10</f>
        <v/>
      </c>
      <c r="G259" s="139">
        <f>IF($O$10="buy",1,-1)*( IF($K$10="call",B259*NORMDIST(I259,0,1,1) - $B$10*NORMDIST(J259,0,1,1),$B$10*NORMDIST(-J259,0,1,1) - B259*NORMDIST(-I259,0,1,1) ) - $G$10) * $P$10</f>
        <v/>
      </c>
      <c r="I259" s="140">
        <f>(LN(B259/$B$10)+($H$10^2/2)*($J$10))/($H$10*SQRT($J$10))</f>
        <v/>
      </c>
      <c r="J259" s="140">
        <f>I259 - $H$10*SQRT($J$10)</f>
        <v/>
      </c>
    </row>
    <row r="260" ht="13.5" customHeight="1" s="116">
      <c r="B260" s="144">
        <f>B230</f>
        <v/>
      </c>
      <c r="C260" s="139">
        <f>IF($O$10="sell",-1,1) *  IF($K$10="call",  NORMDIST(I260,0,1,1),  NORMDIST(I260,0,1,1)-1  ) * $P$10</f>
        <v/>
      </c>
      <c r="D260" s="139">
        <f>IF($O$10="sell",-1,1) * NORMDIST(I260,0,1,0)/(B260*$H$10*SQRT($J$10)) * $P$10</f>
        <v/>
      </c>
      <c r="E260" s="139">
        <f>IF($O$10="sell",-1,1) * (B260*NORMDIST(I260,0,1,0)*SQRT($J$10)/365) * $P$10</f>
        <v/>
      </c>
      <c r="F260" s="139">
        <f>IF($O$10="sell",-1,1) * (-(B260*NORMDIST(I260,0,1,0)*$H$10)/(2*SQRT($J$10))/365) *$P$10</f>
        <v/>
      </c>
      <c r="G260" s="139">
        <f>IF($O$10="buy",1,-1)*( IF($K$10="call",B260*NORMDIST(I260,0,1,1) - $B$10*NORMDIST(J260,0,1,1),$B$10*NORMDIST(-J260,0,1,1) - B260*NORMDIST(-I260,0,1,1) ) - $G$10) * $P$10</f>
        <v/>
      </c>
      <c r="I260" s="140">
        <f>(LN(B260/$B$10)+($H$10^2/2)*($J$10))/($H$10*SQRT($J$10))</f>
        <v/>
      </c>
      <c r="J260" s="140">
        <f>I260 - $H$10*SQRT($J$10)</f>
        <v/>
      </c>
    </row>
    <row r="261" ht="13.5" customHeight="1" s="116">
      <c r="B261" s="144">
        <f>B231</f>
        <v/>
      </c>
      <c r="C261" s="139">
        <f>IF($O$10="sell",-1,1) *  IF($K$10="call",  NORMDIST(I261,0,1,1),  NORMDIST(I261,0,1,1)-1  ) * $P$10</f>
        <v/>
      </c>
      <c r="D261" s="139">
        <f>IF($O$10="sell",-1,1) * NORMDIST(I261,0,1,0)/(B261*$H$10*SQRT($J$10)) * $P$10</f>
        <v/>
      </c>
      <c r="E261" s="139">
        <f>IF($O$10="sell",-1,1) * (B261*NORMDIST(I261,0,1,0)*SQRT($J$10)/365) * $P$10</f>
        <v/>
      </c>
      <c r="F261" s="139">
        <f>IF($O$10="sell",-1,1) * (-(B261*NORMDIST(I261,0,1,0)*$H$10)/(2*SQRT($J$10))/365) *$P$10</f>
        <v/>
      </c>
      <c r="G261" s="139">
        <f>IF($O$10="buy",1,-1)*( IF($K$10="call",B261*NORMDIST(I261,0,1,1) - $B$10*NORMDIST(J261,0,1,1),$B$10*NORMDIST(-J261,0,1,1) - B261*NORMDIST(-I261,0,1,1) ) - $G$10) * $P$10</f>
        <v/>
      </c>
      <c r="I261" s="140">
        <f>(LN(B261/$B$10)+($H$10^2/2)*($J$10))/($H$10*SQRT($J$10))</f>
        <v/>
      </c>
      <c r="J261" s="140">
        <f>I261 - $H$10*SQRT($J$10)</f>
        <v/>
      </c>
    </row>
    <row r="262" ht="13.5" customHeight="1" s="116">
      <c r="B262" s="144">
        <f>B232</f>
        <v/>
      </c>
      <c r="C262" s="139">
        <f>IF($O$10="sell",-1,1) *  IF($K$10="call",  NORMDIST(I262,0,1,1),  NORMDIST(I262,0,1,1)-1  ) * $P$10</f>
        <v/>
      </c>
      <c r="D262" s="139">
        <f>IF($O$10="sell",-1,1) * NORMDIST(I262,0,1,0)/(B262*$H$10*SQRT($J$10)) * $P$10</f>
        <v/>
      </c>
      <c r="E262" s="139">
        <f>IF($O$10="sell",-1,1) * (B262*NORMDIST(I262,0,1,0)*SQRT($J$10)/365) * $P$10</f>
        <v/>
      </c>
      <c r="F262" s="139">
        <f>IF($O$10="sell",-1,1) * (-(B262*NORMDIST(I262,0,1,0)*$H$10)/(2*SQRT($J$10))/365) *$P$10</f>
        <v/>
      </c>
      <c r="G262" s="139">
        <f>IF($O$10="buy",1,-1)*( IF($K$10="call",B262*NORMDIST(I262,0,1,1) - $B$10*NORMDIST(J262,0,1,1),$B$10*NORMDIST(-J262,0,1,1) - B262*NORMDIST(-I262,0,1,1) ) - $G$10) * $P$10</f>
        <v/>
      </c>
      <c r="I262" s="140">
        <f>(LN(B262/$B$10)+($H$10^2/2)*($J$10))/($H$10*SQRT($J$10))</f>
        <v/>
      </c>
      <c r="J262" s="140">
        <f>I262 - $H$10*SQRT($J$10)</f>
        <v/>
      </c>
    </row>
    <row r="263" ht="13.5" customHeight="1" s="116">
      <c r="B263" s="144">
        <f>B233</f>
        <v/>
      </c>
      <c r="C263" s="139">
        <f>IF($O$10="sell",-1,1) *  IF($K$10="call",  NORMDIST(I263,0,1,1),  NORMDIST(I263,0,1,1)-1  ) * $P$10</f>
        <v/>
      </c>
      <c r="D263" s="139">
        <f>IF($O$10="sell",-1,1) * NORMDIST(I263,0,1,0)/(B263*$H$10*SQRT($J$10)) * $P$10</f>
        <v/>
      </c>
      <c r="E263" s="139">
        <f>IF($O$10="sell",-1,1) * (B263*NORMDIST(I263,0,1,0)*SQRT($J$10)/365) * $P$10</f>
        <v/>
      </c>
      <c r="F263" s="139">
        <f>IF($O$10="sell",-1,1) * (-(B263*NORMDIST(I263,0,1,0)*$H$10)/(2*SQRT($J$10))/365) *$P$10</f>
        <v/>
      </c>
      <c r="G263" s="139">
        <f>IF($O$10="buy",1,-1)*( IF($K$10="call",B263*NORMDIST(I263,0,1,1) - $B$10*NORMDIST(J263,0,1,1),$B$10*NORMDIST(-J263,0,1,1) - B263*NORMDIST(-I263,0,1,1) ) - $G$10) * $P$10</f>
        <v/>
      </c>
      <c r="I263" s="140">
        <f>(LN(B263/$B$10)+($H$10^2/2)*($J$10))/($H$10*SQRT($J$10))</f>
        <v/>
      </c>
      <c r="J263" s="140">
        <f>I263 - $H$10*SQRT($J$10)</f>
        <v/>
      </c>
    </row>
    <row r="264" ht="13.5" customHeight="1" s="116">
      <c r="B264" s="144">
        <f>B234</f>
        <v/>
      </c>
      <c r="C264" s="139">
        <f>IF($O$10="sell",-1,1) *  IF($K$10="call",  NORMDIST(I264,0,1,1),  NORMDIST(I264,0,1,1)-1  ) * $P$10</f>
        <v/>
      </c>
      <c r="D264" s="139">
        <f>IF($O$10="sell",-1,1) * NORMDIST(I264,0,1,0)/(B264*$H$10*SQRT($J$10)) * $P$10</f>
        <v/>
      </c>
      <c r="E264" s="139">
        <f>IF($O$10="sell",-1,1) * (B264*NORMDIST(I264,0,1,0)*SQRT($J$10)/365) * $P$10</f>
        <v/>
      </c>
      <c r="F264" s="139">
        <f>IF($O$10="sell",-1,1) * (-(B264*NORMDIST(I264,0,1,0)*$H$10)/(2*SQRT($J$10))/365) *$P$10</f>
        <v/>
      </c>
      <c r="G264" s="139">
        <f>IF($O$10="buy",1,-1)*( IF($K$10="call",B264*NORMDIST(I264,0,1,1) - $B$10*NORMDIST(J264,0,1,1),$B$10*NORMDIST(-J264,0,1,1) - B264*NORMDIST(-I264,0,1,1) ) - $G$10) * $P$10</f>
        <v/>
      </c>
      <c r="I264" s="140">
        <f>(LN(B264/$B$10)+($H$10^2/2)*($J$10))/($H$10*SQRT($J$10))</f>
        <v/>
      </c>
      <c r="J264" s="140">
        <f>I264 - $H$10*SQRT($J$10)</f>
        <v/>
      </c>
    </row>
    <row r="265" ht="13.5" customHeight="1" s="116">
      <c r="B265" s="144">
        <f>B235</f>
        <v/>
      </c>
      <c r="C265" s="139">
        <f>IF($O$10="sell",-1,1) *  IF($K$10="call",  NORMDIST(I265,0,1,1),  NORMDIST(I265,0,1,1)-1  ) * $P$10</f>
        <v/>
      </c>
      <c r="D265" s="139">
        <f>IF($O$10="sell",-1,1) * NORMDIST(I265,0,1,0)/(B265*$H$10*SQRT($J$10)) * $P$10</f>
        <v/>
      </c>
      <c r="E265" s="139">
        <f>IF($O$10="sell",-1,1) * (B265*NORMDIST(I265,0,1,0)*SQRT($J$10)/365) * $P$10</f>
        <v/>
      </c>
      <c r="F265" s="139">
        <f>IF($O$10="sell",-1,1) * (-(B265*NORMDIST(I265,0,1,0)*$H$10)/(2*SQRT($J$10))/365) *$P$10</f>
        <v/>
      </c>
      <c r="G265" s="139">
        <f>IF($O$10="buy",1,-1)*( IF($K$10="call",B265*NORMDIST(I265,0,1,1) - $B$10*NORMDIST(J265,0,1,1),$B$10*NORMDIST(-J265,0,1,1) - B265*NORMDIST(-I265,0,1,1) ) - $G$10) * $P$10</f>
        <v/>
      </c>
      <c r="I265" s="140">
        <f>(LN(B265/$B$10)+($H$10^2/2)*($J$10))/($H$10*SQRT($J$10))</f>
        <v/>
      </c>
      <c r="J265" s="140">
        <f>I265 - $H$10*SQRT($J$10)</f>
        <v/>
      </c>
    </row>
    <row r="266" ht="13.5" customHeight="1" s="116">
      <c r="B266" s="144">
        <f>B236</f>
        <v/>
      </c>
      <c r="C266" s="139">
        <f>IF($O$10="sell",-1,1) *  IF($K$10="call",  NORMDIST(I266,0,1,1),  NORMDIST(I266,0,1,1)-1  ) * $P$10</f>
        <v/>
      </c>
      <c r="D266" s="139">
        <f>IF($O$10="sell",-1,1) * NORMDIST(I266,0,1,0)/(B266*$H$10*SQRT($J$10)) * $P$10</f>
        <v/>
      </c>
      <c r="E266" s="139">
        <f>IF($O$10="sell",-1,1) * (B266*NORMDIST(I266,0,1,0)*SQRT($J$10)/365) * $P$10</f>
        <v/>
      </c>
      <c r="F266" s="139">
        <f>IF($O$10="sell",-1,1) * (-(B266*NORMDIST(I266,0,1,0)*$H$10)/(2*SQRT($J$10))/365) *$P$10</f>
        <v/>
      </c>
      <c r="G266" s="139">
        <f>IF($O$10="buy",1,-1)*( IF($K$10="call",B266*NORMDIST(I266,0,1,1) - $B$10*NORMDIST(J266,0,1,1),$B$10*NORMDIST(-J266,0,1,1) - B266*NORMDIST(-I266,0,1,1) ) - $G$10) * $P$10</f>
        <v/>
      </c>
      <c r="I266" s="140">
        <f>(LN(B266/$B$10)+($H$10^2/2)*($J$10))/($H$10*SQRT($J$10))</f>
        <v/>
      </c>
      <c r="J266" s="140">
        <f>I266 - $H$10*SQRT($J$10)</f>
        <v/>
      </c>
    </row>
    <row r="267" ht="13.5" customHeight="1" s="116">
      <c r="B267" s="144">
        <f>B237</f>
        <v/>
      </c>
      <c r="C267" s="139">
        <f>IF($O$10="sell",-1,1) *  IF($K$10="call",  NORMDIST(I267,0,1,1),  NORMDIST(I267,0,1,1)-1  ) * $P$10</f>
        <v/>
      </c>
      <c r="D267" s="139">
        <f>IF($O$10="sell",-1,1) * NORMDIST(I267,0,1,0)/(B267*$H$10*SQRT($J$10)) * $P$10</f>
        <v/>
      </c>
      <c r="E267" s="139">
        <f>IF($O$10="sell",-1,1) * (B267*NORMDIST(I267,0,1,0)*SQRT($J$10)/365) * $P$10</f>
        <v/>
      </c>
      <c r="F267" s="139">
        <f>IF($O$10="sell",-1,1) * (-(B267*NORMDIST(I267,0,1,0)*$H$10)/(2*SQRT($J$10))/365) *$P$10</f>
        <v/>
      </c>
      <c r="G267" s="139">
        <f>IF($O$10="buy",1,-1)*( IF($K$10="call",B267*NORMDIST(I267,0,1,1) - $B$10*NORMDIST(J267,0,1,1),$B$10*NORMDIST(-J267,0,1,1) - B267*NORMDIST(-I267,0,1,1) ) - $G$10) * $P$10</f>
        <v/>
      </c>
      <c r="I267" s="140">
        <f>(LN(B267/$B$10)+($H$10^2/2)*($J$10))/($H$10*SQRT($J$10))</f>
        <v/>
      </c>
      <c r="J267" s="140">
        <f>I267 - $H$10*SQRT($J$10)</f>
        <v/>
      </c>
    </row>
    <row r="268" ht="13.5" customHeight="1" s="116">
      <c r="B268" s="144">
        <f>B238</f>
        <v/>
      </c>
      <c r="C268" s="139">
        <f>IF($O$10="sell",-1,1) *  IF($K$10="call",  NORMDIST(I268,0,1,1),  NORMDIST(I268,0,1,1)-1  ) * $P$10</f>
        <v/>
      </c>
      <c r="D268" s="139">
        <f>IF($O$10="sell",-1,1) * NORMDIST(I268,0,1,0)/(B268*$H$10*SQRT($J$10)) * $P$10</f>
        <v/>
      </c>
      <c r="E268" s="139">
        <f>IF($O$10="sell",-1,1) * (B268*NORMDIST(I268,0,1,0)*SQRT($J$10)/365) * $P$10</f>
        <v/>
      </c>
      <c r="F268" s="139">
        <f>IF($O$10="sell",-1,1) * (-(B268*NORMDIST(I268,0,1,0)*$H$10)/(2*SQRT($J$10))/365) *$P$10</f>
        <v/>
      </c>
      <c r="G268" s="139">
        <f>IF($O$10="buy",1,-1)*( IF($K$10="call",B268*NORMDIST(I268,0,1,1) - $B$10*NORMDIST(J268,0,1,1),$B$10*NORMDIST(-J268,0,1,1) - B268*NORMDIST(-I268,0,1,1) ) - $G$10) * $P$10</f>
        <v/>
      </c>
      <c r="I268" s="140">
        <f>(LN(B268/$B$10)+($H$10^2/2)*($J$10))/($H$10*SQRT($J$10))</f>
        <v/>
      </c>
      <c r="J268" s="140">
        <f>I268 - $H$10*SQRT($J$10)</f>
        <v/>
      </c>
    </row>
    <row r="269" ht="13.5" customHeight="1" s="116">
      <c r="B269" s="144">
        <f>B239</f>
        <v/>
      </c>
      <c r="C269" s="139">
        <f>IF($O$10="sell",-1,1) *  IF($K$10="call",  NORMDIST(I269,0,1,1),  NORMDIST(I269,0,1,1)-1  ) * $P$10</f>
        <v/>
      </c>
      <c r="D269" s="139">
        <f>IF($O$10="sell",-1,1) * NORMDIST(I269,0,1,0)/(B269*$H$10*SQRT($J$10)) * $P$10</f>
        <v/>
      </c>
      <c r="E269" s="139">
        <f>IF($O$10="sell",-1,1) * (B269*NORMDIST(I269,0,1,0)*SQRT($J$10)/365) * $P$10</f>
        <v/>
      </c>
      <c r="F269" s="139">
        <f>IF($O$10="sell",-1,1) * (-(B269*NORMDIST(I269,0,1,0)*$H$10)/(2*SQRT($J$10))/365) *$P$10</f>
        <v/>
      </c>
      <c r="G269" s="139">
        <f>IF($O$10="buy",1,-1)*( IF($K$10="call",B269*NORMDIST(I269,0,1,1) - $B$10*NORMDIST(J269,0,1,1),$B$10*NORMDIST(-J269,0,1,1) - B269*NORMDIST(-I269,0,1,1) ) - $G$10) * $P$10</f>
        <v/>
      </c>
      <c r="I269" s="140">
        <f>(LN(B269/$B$10)+($H$10^2/2)*($J$10))/($H$10*SQRT($J$10))</f>
        <v/>
      </c>
      <c r="J269" s="140">
        <f>I269 - $H$10*SQRT($J$10)</f>
        <v/>
      </c>
    </row>
    <row r="270" ht="13.5" customHeight="1" s="116">
      <c r="B270" s="144">
        <f>B240</f>
        <v/>
      </c>
      <c r="C270" s="139">
        <f>IF($O$10="sell",-1,1) *  IF($K$10="call",  NORMDIST(I270,0,1,1),  NORMDIST(I270,0,1,1)-1  ) * $P$10</f>
        <v/>
      </c>
      <c r="D270" s="139">
        <f>IF($O$10="sell",-1,1) * NORMDIST(I270,0,1,0)/(B270*$H$10*SQRT($J$10)) * $P$10</f>
        <v/>
      </c>
      <c r="E270" s="139">
        <f>IF($O$10="sell",-1,1) * (B270*NORMDIST(I270,0,1,0)*SQRT($J$10)/365) * $P$10</f>
        <v/>
      </c>
      <c r="F270" s="139">
        <f>IF($O$10="sell",-1,1) * (-(B270*NORMDIST(I270,0,1,0)*$H$10)/(2*SQRT($J$10))/365) *$P$10</f>
        <v/>
      </c>
      <c r="G270" s="139">
        <f>IF($O$10="buy",1,-1)*( IF($K$10="call",B270*NORMDIST(I270,0,1,1) - $B$10*NORMDIST(J270,0,1,1),$B$10*NORMDIST(-J270,0,1,1) - B270*NORMDIST(-I270,0,1,1) ) - $G$10) * $P$10</f>
        <v/>
      </c>
      <c r="I270" s="140">
        <f>(LN(B270/$B$10)+($H$10^2/2)*($J$10))/($H$10*SQRT($J$10))</f>
        <v/>
      </c>
      <c r="J270" s="140">
        <f>I270 - $H$10*SQRT($J$10)</f>
        <v/>
      </c>
    </row>
    <row r="271" ht="13.5" customHeight="1" s="116">
      <c r="B271" s="144">
        <f>B241</f>
        <v/>
      </c>
      <c r="C271" s="139">
        <f>IF($O$10="sell",-1,1) *  IF($K$10="call",  NORMDIST(I271,0,1,1),  NORMDIST(I271,0,1,1)-1  ) * $P$10</f>
        <v/>
      </c>
      <c r="D271" s="139">
        <f>IF($O$10="sell",-1,1) * NORMDIST(I271,0,1,0)/(B271*$H$10*SQRT($J$10)) * $P$10</f>
        <v/>
      </c>
      <c r="E271" s="139">
        <f>IF($O$10="sell",-1,1) * (B271*NORMDIST(I271,0,1,0)*SQRT($J$10)/365) * $P$10</f>
        <v/>
      </c>
      <c r="F271" s="139">
        <f>IF($O$10="sell",-1,1) * (-(B271*NORMDIST(I271,0,1,0)*$H$10)/(2*SQRT($J$10))/365) *$P$10</f>
        <v/>
      </c>
      <c r="G271" s="139">
        <f>IF($O$10="buy",1,-1)*( IF($K$10="call",B271*NORMDIST(I271,0,1,1) - $B$10*NORMDIST(J271,0,1,1),$B$10*NORMDIST(-J271,0,1,1) - B271*NORMDIST(-I271,0,1,1) ) - $G$10) * $P$10</f>
        <v/>
      </c>
      <c r="I271" s="140">
        <f>(LN(B271/$B$10)+($H$10^2/2)*($J$10))/($H$10*SQRT($J$10))</f>
        <v/>
      </c>
      <c r="J271" s="140">
        <f>I271 - $H$10*SQRT($J$10)</f>
        <v/>
      </c>
    </row>
    <row r="272" ht="13.5" customHeight="1" s="116">
      <c r="B272" s="144">
        <f>B242</f>
        <v/>
      </c>
      <c r="C272" s="139">
        <f>IF($O$10="sell",-1,1) *  IF($K$10="call",  NORMDIST(I272,0,1,1),  NORMDIST(I272,0,1,1)-1  ) * $P$10</f>
        <v/>
      </c>
      <c r="D272" s="139">
        <f>IF($O$10="sell",-1,1) * NORMDIST(I272,0,1,0)/(B272*$H$10*SQRT($J$10)) * $P$10</f>
        <v/>
      </c>
      <c r="E272" s="139">
        <f>IF($O$10="sell",-1,1) * (B272*NORMDIST(I272,0,1,0)*SQRT($J$10)/365) * $P$10</f>
        <v/>
      </c>
      <c r="F272" s="139">
        <f>IF($O$10="sell",-1,1) * (-(B272*NORMDIST(I272,0,1,0)*$H$10)/(2*SQRT($J$10))/365) *$P$10</f>
        <v/>
      </c>
      <c r="G272" s="139">
        <f>IF($O$10="buy",1,-1)*( IF($K$10="call",B272*NORMDIST(I272,0,1,1) - $B$10*NORMDIST(J272,0,1,1),$B$10*NORMDIST(-J272,0,1,1) - B272*NORMDIST(-I272,0,1,1) ) - $G$10) * $P$10</f>
        <v/>
      </c>
      <c r="I272" s="140">
        <f>(LN(B272/$B$10)+($H$10^2/2)*($J$10))/($H$10*SQRT($J$10))</f>
        <v/>
      </c>
      <c r="J272" s="140">
        <f>I272 - $H$10*SQRT($J$10)</f>
        <v/>
      </c>
    </row>
    <row r="273" ht="13.5" customHeight="1" s="116">
      <c r="B273" s="144">
        <f>B243</f>
        <v/>
      </c>
      <c r="C273" s="139">
        <f>IF($O$10="sell",-1,1) *  IF($K$10="call",  NORMDIST(I273,0,1,1),  NORMDIST(I273,0,1,1)-1  ) * $P$10</f>
        <v/>
      </c>
      <c r="D273" s="139">
        <f>IF($O$10="sell",-1,1) * NORMDIST(I273,0,1,0)/(B273*$H$10*SQRT($J$10)) * $P$10</f>
        <v/>
      </c>
      <c r="E273" s="139">
        <f>IF($O$10="sell",-1,1) * (B273*NORMDIST(I273,0,1,0)*SQRT($J$10)/365) * $P$10</f>
        <v/>
      </c>
      <c r="F273" s="139">
        <f>IF($O$10="sell",-1,1) * (-(B273*NORMDIST(I273,0,1,0)*$H$10)/(2*SQRT($J$10))/365) *$P$10</f>
        <v/>
      </c>
      <c r="G273" s="139">
        <f>IF($O$10="buy",1,-1)*( IF($K$10="call",B273*NORMDIST(I273,0,1,1) - $B$10*NORMDIST(J273,0,1,1),$B$10*NORMDIST(-J273,0,1,1) - B273*NORMDIST(-I273,0,1,1) ) - $G$10) * $P$10</f>
        <v/>
      </c>
      <c r="I273" s="140">
        <f>(LN(B273/$B$10)+($H$10^2/2)*($J$10))/($H$10*SQRT($J$10))</f>
        <v/>
      </c>
      <c r="J273" s="140">
        <f>I273 - $H$10*SQRT($J$10)</f>
        <v/>
      </c>
    </row>
    <row r="274" ht="13.5" customHeight="1" s="116">
      <c r="B274" s="144">
        <f>B244</f>
        <v/>
      </c>
      <c r="C274" s="139">
        <f>IF($O$10="sell",-1,1) *  IF($K$10="call",  NORMDIST(I274,0,1,1),  NORMDIST(I274,0,1,1)-1  ) * $P$10</f>
        <v/>
      </c>
      <c r="D274" s="139">
        <f>IF($O$10="sell",-1,1) * NORMDIST(I274,0,1,0)/(B274*$H$10*SQRT($J$10)) * $P$10</f>
        <v/>
      </c>
      <c r="E274" s="139">
        <f>IF($O$10="sell",-1,1) * (B274*NORMDIST(I274,0,1,0)*SQRT($J$10)/365) * $P$10</f>
        <v/>
      </c>
      <c r="F274" s="139">
        <f>IF($O$10="sell",-1,1) * (-(B274*NORMDIST(I274,0,1,0)*$H$10)/(2*SQRT($J$10))/365) *$P$10</f>
        <v/>
      </c>
      <c r="G274" s="139">
        <f>IF($O$10="buy",1,-1)*( IF($K$10="call",B274*NORMDIST(I274,0,1,1) - $B$10*NORMDIST(J274,0,1,1),$B$10*NORMDIST(-J274,0,1,1) - B274*NORMDIST(-I274,0,1,1) ) - $G$10) * $P$10</f>
        <v/>
      </c>
      <c r="I274" s="140">
        <f>(LN(B274/$B$10)+($H$10^2/2)*($J$10))/($H$10*SQRT($J$10))</f>
        <v/>
      </c>
      <c r="J274" s="140">
        <f>I274 - $H$10*SQRT($J$10)</f>
        <v/>
      </c>
    </row>
    <row r="275" ht="13.5" customHeight="1" s="116">
      <c r="B275" s="144">
        <f>B245</f>
        <v/>
      </c>
      <c r="C275" s="139">
        <f>IF($O$10="sell",-1,1) *  IF($K$10="call",  NORMDIST(I275,0,1,1),  NORMDIST(I275,0,1,1)-1  ) * $P$10</f>
        <v/>
      </c>
      <c r="D275" s="139">
        <f>IF($O$10="sell",-1,1) * NORMDIST(I275,0,1,0)/(B275*$H$10*SQRT($J$10)) * $P$10</f>
        <v/>
      </c>
      <c r="E275" s="139">
        <f>IF($O$10="sell",-1,1) * (B275*NORMDIST(I275,0,1,0)*SQRT($J$10)/365) * $P$10</f>
        <v/>
      </c>
      <c r="F275" s="139">
        <f>IF($O$10="sell",-1,1) * (-(B275*NORMDIST(I275,0,1,0)*$H$10)/(2*SQRT($J$10))/365) *$P$10</f>
        <v/>
      </c>
      <c r="G275" s="139">
        <f>IF($O$10="buy",1,-1)*( IF($K$10="call",B275*NORMDIST(I275,0,1,1) - $B$10*NORMDIST(J275,0,1,1),$B$10*NORMDIST(-J275,0,1,1) - B275*NORMDIST(-I275,0,1,1) ) - $G$10) * $P$10</f>
        <v/>
      </c>
      <c r="I275" s="140">
        <f>(LN(B275/$B$10)+($H$10^2/2)*($J$10))/($H$10*SQRT($J$10))</f>
        <v/>
      </c>
      <c r="J275" s="140">
        <f>I275 - $H$10*SQRT($J$10)</f>
        <v/>
      </c>
    </row>
    <row r="276" ht="13.5" customHeight="1" s="116">
      <c r="B276" s="144">
        <f>B246</f>
        <v/>
      </c>
      <c r="C276" s="139">
        <f>IF($O$10="sell",-1,1) *  IF($K$10="call",  NORMDIST(I276,0,1,1),  NORMDIST(I276,0,1,1)-1  ) * $P$10</f>
        <v/>
      </c>
      <c r="D276" s="139">
        <f>IF($O$10="sell",-1,1) * NORMDIST(I276,0,1,0)/(B276*$H$10*SQRT($J$10)) * $P$10</f>
        <v/>
      </c>
      <c r="E276" s="139">
        <f>IF($O$10="sell",-1,1) * (B276*NORMDIST(I276,0,1,0)*SQRT($J$10)/365) * $P$10</f>
        <v/>
      </c>
      <c r="F276" s="139">
        <f>IF($O$10="sell",-1,1) * (-(B276*NORMDIST(I276,0,1,0)*$H$10)/(2*SQRT($J$10))/365) *$P$10</f>
        <v/>
      </c>
      <c r="G276" s="139">
        <f>IF($O$10="buy",1,-1)*( IF($K$10="call",B276*NORMDIST(I276,0,1,1) - $B$10*NORMDIST(J276,0,1,1),$B$10*NORMDIST(-J276,0,1,1) - B276*NORMDIST(-I276,0,1,1) ) - $G$10) * $P$10</f>
        <v/>
      </c>
      <c r="I276" s="140">
        <f>(LN(B276/$B$10)+($H$10^2/2)*($J$10))/($H$10*SQRT($J$10))</f>
        <v/>
      </c>
      <c r="J276" s="140">
        <f>I276 - $H$10*SQRT($J$10)</f>
        <v/>
      </c>
    </row>
    <row r="277" ht="13.5" customHeight="1" s="116">
      <c r="B277" s="144">
        <f>B247</f>
        <v/>
      </c>
      <c r="C277" s="139">
        <f>IF($O$10="sell",-1,1) *  IF($K$10="call",  NORMDIST(I277,0,1,1),  NORMDIST(I277,0,1,1)-1  ) * $P$10</f>
        <v/>
      </c>
      <c r="D277" s="139">
        <f>IF($O$10="sell",-1,1) * NORMDIST(I277,0,1,0)/(B277*$H$10*SQRT($J$10)) * $P$10</f>
        <v/>
      </c>
      <c r="E277" s="139">
        <f>IF($O$10="sell",-1,1) * (B277*NORMDIST(I277,0,1,0)*SQRT($J$10)/365) * $P$10</f>
        <v/>
      </c>
      <c r="F277" s="139">
        <f>IF($O$10="sell",-1,1) * (-(B277*NORMDIST(I277,0,1,0)*$H$10)/(2*SQRT($J$10))/365) *$P$10</f>
        <v/>
      </c>
      <c r="G277" s="139">
        <f>IF($O$10="buy",1,-1)*( IF($K$10="call",B277*NORMDIST(I277,0,1,1) - $B$10*NORMDIST(J277,0,1,1),$B$10*NORMDIST(-J277,0,1,1) - B277*NORMDIST(-I277,0,1,1) ) - $G$10) * $P$10</f>
        <v/>
      </c>
      <c r="I277" s="140">
        <f>(LN(B277/$B$10)+($H$10^2/2)*($J$10))/($H$10*SQRT($J$10))</f>
        <v/>
      </c>
      <c r="J277" s="140">
        <f>I277 - $H$10*SQRT($J$10)</f>
        <v/>
      </c>
    </row>
    <row r="278" ht="13.5" customHeight="1" s="116">
      <c r="B278" s="144">
        <f>B248</f>
        <v/>
      </c>
      <c r="C278" s="139">
        <f>IF($O$10="sell",-1,1) *  IF($K$10="call",  NORMDIST(I278,0,1,1),  NORMDIST(I278,0,1,1)-1  ) * $P$10</f>
        <v/>
      </c>
      <c r="D278" s="139">
        <f>IF($O$10="sell",-1,1) * NORMDIST(I278,0,1,0)/(B278*$H$10*SQRT($J$10)) * $P$10</f>
        <v/>
      </c>
      <c r="E278" s="139">
        <f>IF($O$10="sell",-1,1) * (B278*NORMDIST(I278,0,1,0)*SQRT($J$10)/365) * $P$10</f>
        <v/>
      </c>
      <c r="F278" s="139">
        <f>IF($O$10="sell",-1,1) * (-(B278*NORMDIST(I278,0,1,0)*$H$10)/(2*SQRT($J$10))/365) *$P$10</f>
        <v/>
      </c>
      <c r="G278" s="139">
        <f>IF($O$10="buy",1,-1)*( IF($K$10="call",B278*NORMDIST(I278,0,1,1) - $B$10*NORMDIST(J278,0,1,1),$B$10*NORMDIST(-J278,0,1,1) - B278*NORMDIST(-I278,0,1,1) ) - $G$10) * $P$10</f>
        <v/>
      </c>
      <c r="I278" s="140">
        <f>(LN(B278/$B$10)+($H$10^2/2)*($J$10))/($H$10*SQRT($J$10))</f>
        <v/>
      </c>
      <c r="J278" s="140">
        <f>I278 - $H$10*SQRT($J$10)</f>
        <v/>
      </c>
    </row>
    <row r="279" ht="13.5" customHeight="1" s="116">
      <c r="B279" s="144">
        <f>B249</f>
        <v/>
      </c>
      <c r="C279" s="139">
        <f>IF($O$10="sell",-1,1) *  IF($K$10="call",  NORMDIST(I279,0,1,1),  NORMDIST(I279,0,1,1)-1  ) * $P$10</f>
        <v/>
      </c>
      <c r="D279" s="139">
        <f>IF($O$10="sell",-1,1) * NORMDIST(I279,0,1,0)/(B279*$H$10*SQRT($J$10)) * $P$10</f>
        <v/>
      </c>
      <c r="E279" s="139">
        <f>IF($O$10="sell",-1,1) * (B279*NORMDIST(I279,0,1,0)*SQRT($J$10)/365) * $P$10</f>
        <v/>
      </c>
      <c r="F279" s="139">
        <f>IF($O$10="sell",-1,1) * (-(B279*NORMDIST(I279,0,1,0)*$H$10)/(2*SQRT($J$10))/365) *$P$10</f>
        <v/>
      </c>
      <c r="G279" s="139">
        <f>IF($O$10="buy",1,-1)*( IF($K$10="call",B279*NORMDIST(I279,0,1,1) - $B$10*NORMDIST(J279,0,1,1),$B$10*NORMDIST(-J279,0,1,1) - B279*NORMDIST(-I279,0,1,1) ) - $G$10) * $P$10</f>
        <v/>
      </c>
      <c r="I279" s="140">
        <f>(LN(B279/$B$10)+($H$10^2/2)*($J$10))/($H$10*SQRT($J$10))</f>
        <v/>
      </c>
      <c r="J279" s="140">
        <f>I279 - $H$10*SQRT($J$10)</f>
        <v/>
      </c>
    </row>
    <row r="280" ht="13.5" customHeight="1" s="116">
      <c r="B280" s="144">
        <f>B250</f>
        <v/>
      </c>
      <c r="C280" s="139">
        <f>IF($O$10="sell",-1,1) *  IF($K$10="call",  NORMDIST(I280,0,1,1),  NORMDIST(I280,0,1,1)-1  ) * $P$10</f>
        <v/>
      </c>
      <c r="D280" s="139">
        <f>IF($O$10="sell",-1,1) * NORMDIST(I280,0,1,0)/(B280*$H$10*SQRT($J$10)) * $P$10</f>
        <v/>
      </c>
      <c r="E280" s="139">
        <f>IF($O$10="sell",-1,1) * (B280*NORMDIST(I280,0,1,0)*SQRT($J$10)/365) * $P$10</f>
        <v/>
      </c>
      <c r="F280" s="139">
        <f>IF($O$10="sell",-1,1) * (-(B280*NORMDIST(I280,0,1,0)*$H$10)/(2*SQRT($J$10))/365) *$P$10</f>
        <v/>
      </c>
      <c r="G280" s="139">
        <f>IF($O$10="buy",1,-1)*( IF($K$10="call",B280*NORMDIST(I280,0,1,1) - $B$10*NORMDIST(J280,0,1,1),$B$10*NORMDIST(-J280,0,1,1) - B280*NORMDIST(-I280,0,1,1) ) - $G$10) * $P$10</f>
        <v/>
      </c>
      <c r="I280" s="140">
        <f>(LN(B280/$B$10)+($H$10^2/2)*($J$10))/($H$10*SQRT($J$10))</f>
        <v/>
      </c>
      <c r="J280" s="140">
        <f>I280 - $H$10*SQRT($J$10)</f>
        <v/>
      </c>
    </row>
    <row r="281" ht="13.5" customHeight="1" s="116">
      <c r="B281" s="144">
        <f>B251</f>
        <v/>
      </c>
      <c r="C281" s="139">
        <f>IF($O$10="sell",-1,1) *  IF($K$10="call",  NORMDIST(I281,0,1,1),  NORMDIST(I281,0,1,1)-1  ) * $P$10</f>
        <v/>
      </c>
      <c r="D281" s="139">
        <f>IF($O$10="sell",-1,1) * NORMDIST(I281,0,1,0)/(B281*$H$10*SQRT($J$10)) * $P$10</f>
        <v/>
      </c>
      <c r="E281" s="139">
        <f>IF($O$10="sell",-1,1) * (B281*NORMDIST(I281,0,1,0)*SQRT($J$10)/365) * $P$10</f>
        <v/>
      </c>
      <c r="F281" s="139">
        <f>IF($O$10="sell",-1,1) * (-(B281*NORMDIST(I281,0,1,0)*$H$10)/(2*SQRT($J$10))/365) *$P$10</f>
        <v/>
      </c>
      <c r="G281" s="139">
        <f>IF($O$10="buy",1,-1)*( IF($K$10="call",B281*NORMDIST(I281,0,1,1) - $B$10*NORMDIST(J281,0,1,1),$B$10*NORMDIST(-J281,0,1,1) - B281*NORMDIST(-I281,0,1,1) ) - $G$10) * $P$10</f>
        <v/>
      </c>
      <c r="I281" s="140">
        <f>(LN(B281/$B$10)+($H$10^2/2)*($J$10))/($H$10*SQRT($J$10))</f>
        <v/>
      </c>
      <c r="J281" s="140">
        <f>I281 - $H$10*SQRT($J$10)</f>
        <v/>
      </c>
    </row>
    <row r="282" ht="13.5" customHeight="1" s="116">
      <c r="B282" s="144">
        <f>B252</f>
        <v/>
      </c>
      <c r="C282" s="139">
        <f>IF($O$10="sell",-1,1) *  IF($K$10="call",  NORMDIST(I282,0,1,1),  NORMDIST(I282,0,1,1)-1  ) * $P$10</f>
        <v/>
      </c>
      <c r="D282" s="139">
        <f>IF($O$10="sell",-1,1) * NORMDIST(I282,0,1,0)/(B282*$H$10*SQRT($J$10)) * $P$10</f>
        <v/>
      </c>
      <c r="E282" s="139">
        <f>IF($O$10="sell",-1,1) * (B282*NORMDIST(I282,0,1,0)*SQRT($J$10)/365) * $P$10</f>
        <v/>
      </c>
      <c r="F282" s="139">
        <f>IF($O$10="sell",-1,1) * (-(B282*NORMDIST(I282,0,1,0)*$H$10)/(2*SQRT($J$10))/365) *$P$10</f>
        <v/>
      </c>
      <c r="G282" s="139">
        <f>IF($O$10="buy",1,-1)*( IF($K$10="call",B282*NORMDIST(I282,0,1,1) - $B$10*NORMDIST(J282,0,1,1),$B$10*NORMDIST(-J282,0,1,1) - B282*NORMDIST(-I282,0,1,1) ) - $G$10) * $P$10</f>
        <v/>
      </c>
      <c r="I282" s="140">
        <f>(LN(B282/$B$10)+($H$10^2/2)*($J$10))/($H$10*SQRT($J$10))</f>
        <v/>
      </c>
      <c r="J282" s="140">
        <f>I282 - $H$10*SQRT($J$10)</f>
        <v/>
      </c>
    </row>
    <row r="283" ht="13.5" customHeight="1" s="116">
      <c r="B283" s="145" t="n"/>
      <c r="C283" s="136" t="n"/>
      <c r="D283" s="136" t="n"/>
      <c r="E283" s="136" t="n"/>
      <c r="F283" s="136" t="n"/>
      <c r="G283" s="136" t="n"/>
      <c r="I283" s="146" t="n"/>
      <c r="J283" s="146" t="n"/>
    </row>
    <row r="284" ht="13.5" customHeight="1" s="116">
      <c r="B284" s="145" t="n"/>
      <c r="C284" s="136" t="n"/>
      <c r="D284" s="136" t="n"/>
      <c r="E284" s="136" t="n"/>
      <c r="F284" s="136" t="n"/>
      <c r="G284" s="136" t="n"/>
      <c r="I284" s="146" t="n"/>
      <c r="J284" s="146" t="n"/>
    </row>
    <row r="285" ht="13.5" customHeight="1" s="116">
      <c r="B285" s="137" t="n"/>
      <c r="C285" s="133" t="inlineStr">
        <is>
          <t>delta</t>
        </is>
      </c>
      <c r="D285" s="133" t="inlineStr">
        <is>
          <t>gamma</t>
        </is>
      </c>
      <c r="E285" s="133" t="inlineStr">
        <is>
          <t>vega</t>
        </is>
      </c>
      <c r="F285" s="133" t="inlineStr">
        <is>
          <t>theta</t>
        </is>
      </c>
      <c r="G285" s="133" t="inlineStr">
        <is>
          <t>mark_price</t>
        </is>
      </c>
      <c r="I285" s="133" t="inlineStr">
        <is>
          <t>d1</t>
        </is>
      </c>
      <c r="J285" s="133" t="inlineStr">
        <is>
          <t>d2</t>
        </is>
      </c>
    </row>
    <row r="286" ht="13.5" customHeight="1" s="116">
      <c r="A286" s="117">
        <f>A11</f>
        <v/>
      </c>
      <c r="B286" s="144">
        <f>B256</f>
        <v/>
      </c>
      <c r="C286" s="139">
        <f>IF($O$11="sell",-1,1) *  IF($K$11="call",  NORMDIST(I286,0,1,1),  NORMDIST(I286,0,1,1)-1  ) * $P$11</f>
        <v/>
      </c>
      <c r="D286" s="139">
        <f>IF($O$11="sell",-1,1) * NORMDIST(I286,0,1,0)/(B286*$H$11*SQRT($J$11)) * $P$11</f>
        <v/>
      </c>
      <c r="E286" s="139">
        <f>IF($O$11="sell",-1,1) * (B286*NORMDIST(I286,0,1,0)*SQRT($J$11)/365) * $P$11</f>
        <v/>
      </c>
      <c r="F286" s="139">
        <f>IF($O$11="sell",-1,1) * (-(B286*NORMDIST(I286,0,1,0)*$H$11)/(2*SQRT($J$11))/365) *$P$11</f>
        <v/>
      </c>
      <c r="G286" s="139">
        <f>IF($O$11="buy",1,-1)*( IF($K$11="call",B286*NORMDIST(I286,0,1,1) - $B$11*NORMDIST(J286,0,1,1),$B$11*NORMDIST(-J286,0,1,1) - B286*NORMDIST(-I286,0,1,1) ) - $G$11) * $P$11</f>
        <v/>
      </c>
      <c r="I286" s="140">
        <f>(LN(B286/$B$11)+($H$11^2/2)*($J$11))/($H$11*SQRT($J$11))</f>
        <v/>
      </c>
      <c r="J286" s="140">
        <f>I286 - $H$11*SQRT($J$11)</f>
        <v/>
      </c>
    </row>
    <row r="287" ht="13.5" customHeight="1" s="116">
      <c r="B287" s="144">
        <f>B257</f>
        <v/>
      </c>
      <c r="C287" s="139">
        <f>IF($O$11="sell",-1,1) *  IF($K$11="call",  NORMDIST(I287,0,1,1),  NORMDIST(I287,0,1,1)-1  ) * $P$11</f>
        <v/>
      </c>
      <c r="D287" s="139">
        <f>IF($O$11="sell",-1,1) * NORMDIST(I287,0,1,0)/(B287*$H$11*SQRT($J$11)) * $P$11</f>
        <v/>
      </c>
      <c r="E287" s="139">
        <f>IF($O$11="sell",-1,1) * (B287*NORMDIST(I287,0,1,0)*SQRT($J$11)/365) * $P$11</f>
        <v/>
      </c>
      <c r="F287" s="139">
        <f>IF($O$11="sell",-1,1) * (-(B287*NORMDIST(I287,0,1,0)*$H$11)/(2*SQRT($J$11))/365) *$P$11</f>
        <v/>
      </c>
      <c r="G287" s="139">
        <f>IF($O$11="buy",1,-1)*( IF($K$11="call",B287*NORMDIST(I287,0,1,1) - $B$11*NORMDIST(J287,0,1,1),$B$11*NORMDIST(-J287,0,1,1) - B287*NORMDIST(-I287,0,1,1) ) - $G$11) * $P$11</f>
        <v/>
      </c>
      <c r="I287" s="140">
        <f>(LN(B287/$B$11)+($H$11^2/2)*($J$11))/($H$11*SQRT($J$11))</f>
        <v/>
      </c>
      <c r="J287" s="140">
        <f>I287 - $H$11*SQRT($J$11)</f>
        <v/>
      </c>
    </row>
    <row r="288" ht="13.5" customHeight="1" s="116">
      <c r="B288" s="144">
        <f>B258</f>
        <v/>
      </c>
      <c r="C288" s="139">
        <f>IF($O$11="sell",-1,1) *  IF($K$11="call",  NORMDIST(I288,0,1,1),  NORMDIST(I288,0,1,1)-1  ) * $P$11</f>
        <v/>
      </c>
      <c r="D288" s="139">
        <f>IF($O$11="sell",-1,1) * NORMDIST(I288,0,1,0)/(B288*$H$11*SQRT($J$11)) * $P$11</f>
        <v/>
      </c>
      <c r="E288" s="139">
        <f>IF($O$11="sell",-1,1) * (B288*NORMDIST(I288,0,1,0)*SQRT($J$11)/365) * $P$11</f>
        <v/>
      </c>
      <c r="F288" s="139">
        <f>IF($O$11="sell",-1,1) * (-(B288*NORMDIST(I288,0,1,0)*$H$11)/(2*SQRT($J$11))/365) *$P$11</f>
        <v/>
      </c>
      <c r="G288" s="139">
        <f>IF($O$11="buy",1,-1)*( IF($K$11="call",B288*NORMDIST(I288,0,1,1) - $B$11*NORMDIST(J288,0,1,1),$B$11*NORMDIST(-J288,0,1,1) - B288*NORMDIST(-I288,0,1,1) ) - $G$11) * $P$11</f>
        <v/>
      </c>
      <c r="I288" s="140">
        <f>(LN(B288/$B$11)+($H$11^2/2)*($J$11))/($H$11*SQRT($J$11))</f>
        <v/>
      </c>
      <c r="J288" s="140">
        <f>I288 - $H$11*SQRT($J$11)</f>
        <v/>
      </c>
    </row>
    <row r="289" ht="13.5" customHeight="1" s="116">
      <c r="B289" s="144">
        <f>B259</f>
        <v/>
      </c>
      <c r="C289" s="139">
        <f>IF($O$11="sell",-1,1) *  IF($K$11="call",  NORMDIST(I289,0,1,1),  NORMDIST(I289,0,1,1)-1  ) * $P$11</f>
        <v/>
      </c>
      <c r="D289" s="139">
        <f>IF($O$11="sell",-1,1) * NORMDIST(I289,0,1,0)/(B289*$H$11*SQRT($J$11)) * $P$11</f>
        <v/>
      </c>
      <c r="E289" s="139">
        <f>IF($O$11="sell",-1,1) * (B289*NORMDIST(I289,0,1,0)*SQRT($J$11)/365) * $P$11</f>
        <v/>
      </c>
      <c r="F289" s="139">
        <f>IF($O$11="sell",-1,1) * (-(B289*NORMDIST(I289,0,1,0)*$H$11)/(2*SQRT($J$11))/365) *$P$11</f>
        <v/>
      </c>
      <c r="G289" s="139">
        <f>IF($O$11="buy",1,-1)*( IF($K$11="call",B289*NORMDIST(I289,0,1,1) - $B$11*NORMDIST(J289,0,1,1),$B$11*NORMDIST(-J289,0,1,1) - B289*NORMDIST(-I289,0,1,1) ) - $G$11) * $P$11</f>
        <v/>
      </c>
      <c r="I289" s="140">
        <f>(LN(B289/$B$11)+($H$11^2/2)*($J$11))/($H$11*SQRT($J$11))</f>
        <v/>
      </c>
      <c r="J289" s="140">
        <f>I289 - $H$11*SQRT($J$11)</f>
        <v/>
      </c>
    </row>
    <row r="290" ht="13.5" customHeight="1" s="116">
      <c r="B290" s="144">
        <f>B260</f>
        <v/>
      </c>
      <c r="C290" s="139">
        <f>IF($O$11="sell",-1,1) *  IF($K$11="call",  NORMDIST(I290,0,1,1),  NORMDIST(I290,0,1,1)-1  ) * $P$11</f>
        <v/>
      </c>
      <c r="D290" s="139">
        <f>IF($O$11="sell",-1,1) * NORMDIST(I290,0,1,0)/(B290*$H$11*SQRT($J$11)) * $P$11</f>
        <v/>
      </c>
      <c r="E290" s="139">
        <f>IF($O$11="sell",-1,1) * (B290*NORMDIST(I290,0,1,0)*SQRT($J$11)/365) * $P$11</f>
        <v/>
      </c>
      <c r="F290" s="139">
        <f>IF($O$11="sell",-1,1) * (-(B290*NORMDIST(I290,0,1,0)*$H$11)/(2*SQRT($J$11))/365) *$P$11</f>
        <v/>
      </c>
      <c r="G290" s="139">
        <f>IF($O$11="buy",1,-1)*( IF($K$11="call",B290*NORMDIST(I290,0,1,1) - $B$11*NORMDIST(J290,0,1,1),$B$11*NORMDIST(-J290,0,1,1) - B290*NORMDIST(-I290,0,1,1) ) - $G$11) * $P$11</f>
        <v/>
      </c>
      <c r="I290" s="140">
        <f>(LN(B290/$B$11)+($H$11^2/2)*($J$11))/($H$11*SQRT($J$11))</f>
        <v/>
      </c>
      <c r="J290" s="140">
        <f>I290 - $H$11*SQRT($J$11)</f>
        <v/>
      </c>
    </row>
    <row r="291" ht="13.5" customHeight="1" s="116">
      <c r="B291" s="144">
        <f>B261</f>
        <v/>
      </c>
      <c r="C291" s="139">
        <f>IF($O$11="sell",-1,1) *  IF($K$11="call",  NORMDIST(I291,0,1,1),  NORMDIST(I291,0,1,1)-1  ) * $P$11</f>
        <v/>
      </c>
      <c r="D291" s="139">
        <f>IF($O$11="sell",-1,1) * NORMDIST(I291,0,1,0)/(B291*$H$11*SQRT($J$11)) * $P$11</f>
        <v/>
      </c>
      <c r="E291" s="139">
        <f>IF($O$11="sell",-1,1) * (B291*NORMDIST(I291,0,1,0)*SQRT($J$11)/365) * $P$11</f>
        <v/>
      </c>
      <c r="F291" s="139">
        <f>IF($O$11="sell",-1,1) * (-(B291*NORMDIST(I291,0,1,0)*$H$11)/(2*SQRT($J$11))/365) *$P$11</f>
        <v/>
      </c>
      <c r="G291" s="139">
        <f>IF($O$11="buy",1,-1)*( IF($K$11="call",B291*NORMDIST(I291,0,1,1) - $B$11*NORMDIST(J291,0,1,1),$B$11*NORMDIST(-J291,0,1,1) - B291*NORMDIST(-I291,0,1,1) ) - $G$11) * $P$11</f>
        <v/>
      </c>
      <c r="I291" s="140">
        <f>(LN(B291/$B$11)+($H$11^2/2)*($J$11))/($H$11*SQRT($J$11))</f>
        <v/>
      </c>
      <c r="J291" s="140">
        <f>I291 - $H$11*SQRT($J$11)</f>
        <v/>
      </c>
    </row>
    <row r="292" ht="13.5" customHeight="1" s="116">
      <c r="B292" s="144">
        <f>B262</f>
        <v/>
      </c>
      <c r="C292" s="139">
        <f>IF($O$11="sell",-1,1) *  IF($K$11="call",  NORMDIST(I292,0,1,1),  NORMDIST(I292,0,1,1)-1  ) * $P$11</f>
        <v/>
      </c>
      <c r="D292" s="139">
        <f>IF($O$11="sell",-1,1) * NORMDIST(I292,0,1,0)/(B292*$H$11*SQRT($J$11)) * $P$11</f>
        <v/>
      </c>
      <c r="E292" s="139">
        <f>IF($O$11="sell",-1,1) * (B292*NORMDIST(I292,0,1,0)*SQRT($J$11)/365) * $P$11</f>
        <v/>
      </c>
      <c r="F292" s="139">
        <f>IF($O$11="sell",-1,1) * (-(B292*NORMDIST(I292,0,1,0)*$H$11)/(2*SQRT($J$11))/365) *$P$11</f>
        <v/>
      </c>
      <c r="G292" s="139">
        <f>IF($O$11="buy",1,-1)*( IF($K$11="call",B292*NORMDIST(I292,0,1,1) - $B$11*NORMDIST(J292,0,1,1),$B$11*NORMDIST(-J292,0,1,1) - B292*NORMDIST(-I292,0,1,1) ) - $G$11) * $P$11</f>
        <v/>
      </c>
      <c r="I292" s="140">
        <f>(LN(B292/$B$11)+($H$11^2/2)*($J$11))/($H$11*SQRT($J$11))</f>
        <v/>
      </c>
      <c r="J292" s="140">
        <f>I292 - $H$11*SQRT($J$11)</f>
        <v/>
      </c>
    </row>
    <row r="293" ht="13.5" customHeight="1" s="116">
      <c r="B293" s="144">
        <f>B263</f>
        <v/>
      </c>
      <c r="C293" s="139">
        <f>IF($O$11="sell",-1,1) *  IF($K$11="call",  NORMDIST(I293,0,1,1),  NORMDIST(I293,0,1,1)-1  ) * $P$11</f>
        <v/>
      </c>
      <c r="D293" s="139">
        <f>IF($O$11="sell",-1,1) * NORMDIST(I293,0,1,0)/(B293*$H$11*SQRT($J$11)) * $P$11</f>
        <v/>
      </c>
      <c r="E293" s="139">
        <f>IF($O$11="sell",-1,1) * (B293*NORMDIST(I293,0,1,0)*SQRT($J$11)/365) * $P$11</f>
        <v/>
      </c>
      <c r="F293" s="139">
        <f>IF($O$11="sell",-1,1) * (-(B293*NORMDIST(I293,0,1,0)*$H$11)/(2*SQRT($J$11))/365) *$P$11</f>
        <v/>
      </c>
      <c r="G293" s="139">
        <f>IF($O$11="buy",1,-1)*( IF($K$11="call",B293*NORMDIST(I293,0,1,1) - $B$11*NORMDIST(J293,0,1,1),$B$11*NORMDIST(-J293,0,1,1) - B293*NORMDIST(-I293,0,1,1) ) - $G$11) * $P$11</f>
        <v/>
      </c>
      <c r="I293" s="140">
        <f>(LN(B293/$B$11)+($H$11^2/2)*($J$11))/($H$11*SQRT($J$11))</f>
        <v/>
      </c>
      <c r="J293" s="140">
        <f>I293 - $H$11*SQRT($J$11)</f>
        <v/>
      </c>
    </row>
    <row r="294" ht="13.5" customHeight="1" s="116">
      <c r="B294" s="144">
        <f>B264</f>
        <v/>
      </c>
      <c r="C294" s="139">
        <f>IF($O$11="sell",-1,1) *  IF($K$11="call",  NORMDIST(I294,0,1,1),  NORMDIST(I294,0,1,1)-1  ) * $P$11</f>
        <v/>
      </c>
      <c r="D294" s="139">
        <f>IF($O$11="sell",-1,1) * NORMDIST(I294,0,1,0)/(B294*$H$11*SQRT($J$11)) * $P$11</f>
        <v/>
      </c>
      <c r="E294" s="139">
        <f>IF($O$11="sell",-1,1) * (B294*NORMDIST(I294,0,1,0)*SQRT($J$11)/365) * $P$11</f>
        <v/>
      </c>
      <c r="F294" s="139">
        <f>IF($O$11="sell",-1,1) * (-(B294*NORMDIST(I294,0,1,0)*$H$11)/(2*SQRT($J$11))/365) *$P$11</f>
        <v/>
      </c>
      <c r="G294" s="139">
        <f>IF($O$11="buy",1,-1)*( IF($K$11="call",B294*NORMDIST(I294,0,1,1) - $B$11*NORMDIST(J294,0,1,1),$B$11*NORMDIST(-J294,0,1,1) - B294*NORMDIST(-I294,0,1,1) ) - $G$11) * $P$11</f>
        <v/>
      </c>
      <c r="I294" s="140">
        <f>(LN(B294/$B$11)+($H$11^2/2)*($J$11))/($H$11*SQRT($J$11))</f>
        <v/>
      </c>
      <c r="J294" s="140">
        <f>I294 - $H$11*SQRT($J$11)</f>
        <v/>
      </c>
    </row>
    <row r="295" ht="13.5" customHeight="1" s="116">
      <c r="B295" s="144">
        <f>B265</f>
        <v/>
      </c>
      <c r="C295" s="139">
        <f>IF($O$11="sell",-1,1) *  IF($K$11="call",  NORMDIST(I295,0,1,1),  NORMDIST(I295,0,1,1)-1  ) * $P$11</f>
        <v/>
      </c>
      <c r="D295" s="139">
        <f>IF($O$11="sell",-1,1) * NORMDIST(I295,0,1,0)/(B295*$H$11*SQRT($J$11)) * $P$11</f>
        <v/>
      </c>
      <c r="E295" s="139">
        <f>IF($O$11="sell",-1,1) * (B295*NORMDIST(I295,0,1,0)*SQRT($J$11)/365) * $P$11</f>
        <v/>
      </c>
      <c r="F295" s="139">
        <f>IF($O$11="sell",-1,1) * (-(B295*NORMDIST(I295,0,1,0)*$H$11)/(2*SQRT($J$11))/365) *$P$11</f>
        <v/>
      </c>
      <c r="G295" s="139">
        <f>IF($O$11="buy",1,-1)*( IF($K$11="call",B295*NORMDIST(I295,0,1,1) - $B$11*NORMDIST(J295,0,1,1),$B$11*NORMDIST(-J295,0,1,1) - B295*NORMDIST(-I295,0,1,1) ) - $G$11) * $P$11</f>
        <v/>
      </c>
      <c r="I295" s="140">
        <f>(LN(B295/$B$11)+($H$11^2/2)*($J$11))/($H$11*SQRT($J$11))</f>
        <v/>
      </c>
      <c r="J295" s="140">
        <f>I295 - $H$11*SQRT($J$11)</f>
        <v/>
      </c>
    </row>
    <row r="296" ht="13.5" customHeight="1" s="116">
      <c r="B296" s="144">
        <f>B266</f>
        <v/>
      </c>
      <c r="C296" s="139">
        <f>IF($O$11="sell",-1,1) *  IF($K$11="call",  NORMDIST(I296,0,1,1),  NORMDIST(I296,0,1,1)-1  ) * $P$11</f>
        <v/>
      </c>
      <c r="D296" s="139">
        <f>IF($O$11="sell",-1,1) * NORMDIST(I296,0,1,0)/(B296*$H$11*SQRT($J$11)) * $P$11</f>
        <v/>
      </c>
      <c r="E296" s="139">
        <f>IF($O$11="sell",-1,1) * (B296*NORMDIST(I296,0,1,0)*SQRT($J$11)/365) * $P$11</f>
        <v/>
      </c>
      <c r="F296" s="139">
        <f>IF($O$11="sell",-1,1) * (-(B296*NORMDIST(I296,0,1,0)*$H$11)/(2*SQRT($J$11))/365) *$P$11</f>
        <v/>
      </c>
      <c r="G296" s="139">
        <f>IF($O$11="buy",1,-1)*( IF($K$11="call",B296*NORMDIST(I296,0,1,1) - $B$11*NORMDIST(J296,0,1,1),$B$11*NORMDIST(-J296,0,1,1) - B296*NORMDIST(-I296,0,1,1) ) - $G$11) * $P$11</f>
        <v/>
      </c>
      <c r="I296" s="140">
        <f>(LN(B296/$B$11)+($H$11^2/2)*($J$11))/($H$11*SQRT($J$11))</f>
        <v/>
      </c>
      <c r="J296" s="140">
        <f>I296 - $H$11*SQRT($J$11)</f>
        <v/>
      </c>
    </row>
    <row r="297" ht="13.5" customHeight="1" s="116">
      <c r="B297" s="144">
        <f>B267</f>
        <v/>
      </c>
      <c r="C297" s="139">
        <f>IF($O$11="sell",-1,1) *  IF($K$11="call",  NORMDIST(I297,0,1,1),  NORMDIST(I297,0,1,1)-1  ) * $P$11</f>
        <v/>
      </c>
      <c r="D297" s="139">
        <f>IF($O$11="sell",-1,1) * NORMDIST(I297,0,1,0)/(B297*$H$11*SQRT($J$11)) * $P$11</f>
        <v/>
      </c>
      <c r="E297" s="139">
        <f>IF($O$11="sell",-1,1) * (B297*NORMDIST(I297,0,1,0)*SQRT($J$11)/365) * $P$11</f>
        <v/>
      </c>
      <c r="F297" s="139">
        <f>IF($O$11="sell",-1,1) * (-(B297*NORMDIST(I297,0,1,0)*$H$11)/(2*SQRT($J$11))/365) *$P$11</f>
        <v/>
      </c>
      <c r="G297" s="139">
        <f>IF($O$11="buy",1,-1)*( IF($K$11="call",B297*NORMDIST(I297,0,1,1) - $B$11*NORMDIST(J297,0,1,1),$B$11*NORMDIST(-J297,0,1,1) - B297*NORMDIST(-I297,0,1,1) ) - $G$11) * $P$11</f>
        <v/>
      </c>
      <c r="I297" s="140">
        <f>(LN(B297/$B$11)+($H$11^2/2)*($J$11))/($H$11*SQRT($J$11))</f>
        <v/>
      </c>
      <c r="J297" s="140">
        <f>I297 - $H$11*SQRT($J$11)</f>
        <v/>
      </c>
    </row>
    <row r="298" ht="13.5" customHeight="1" s="116">
      <c r="B298" s="144">
        <f>B268</f>
        <v/>
      </c>
      <c r="C298" s="139">
        <f>IF($O$11="sell",-1,1) *  IF($K$11="call",  NORMDIST(I298,0,1,1),  NORMDIST(I298,0,1,1)-1  ) * $P$11</f>
        <v/>
      </c>
      <c r="D298" s="139">
        <f>IF($O$11="sell",-1,1) * NORMDIST(I298,0,1,0)/(B298*$H$11*SQRT($J$11)) * $P$11</f>
        <v/>
      </c>
      <c r="E298" s="139">
        <f>IF($O$11="sell",-1,1) * (B298*NORMDIST(I298,0,1,0)*SQRT($J$11)/365) * $P$11</f>
        <v/>
      </c>
      <c r="F298" s="139">
        <f>IF($O$11="sell",-1,1) * (-(B298*NORMDIST(I298,0,1,0)*$H$11)/(2*SQRT($J$11))/365) *$P$11</f>
        <v/>
      </c>
      <c r="G298" s="139">
        <f>IF($O$11="buy",1,-1)*( IF($K$11="call",B298*NORMDIST(I298,0,1,1) - $B$11*NORMDIST(J298,0,1,1),$B$11*NORMDIST(-J298,0,1,1) - B298*NORMDIST(-I298,0,1,1) ) - $G$11) * $P$11</f>
        <v/>
      </c>
      <c r="I298" s="140">
        <f>(LN(B298/$B$11)+($H$11^2/2)*($J$11))/($H$11*SQRT($J$11))</f>
        <v/>
      </c>
      <c r="J298" s="140">
        <f>I298 - $H$11*SQRT($J$11)</f>
        <v/>
      </c>
    </row>
    <row r="299" ht="13.5" customHeight="1" s="116">
      <c r="B299" s="144">
        <f>B269</f>
        <v/>
      </c>
      <c r="C299" s="139">
        <f>IF($O$11="sell",-1,1) *  IF($K$11="call",  NORMDIST(I299,0,1,1),  NORMDIST(I299,0,1,1)-1  ) * $P$11</f>
        <v/>
      </c>
      <c r="D299" s="139">
        <f>IF($O$11="sell",-1,1) * NORMDIST(I299,0,1,0)/(B299*$H$11*SQRT($J$11)) * $P$11</f>
        <v/>
      </c>
      <c r="E299" s="139">
        <f>IF($O$11="sell",-1,1) * (B299*NORMDIST(I299,0,1,0)*SQRT($J$11)/365) * $P$11</f>
        <v/>
      </c>
      <c r="F299" s="139">
        <f>IF($O$11="sell",-1,1) * (-(B299*NORMDIST(I299,0,1,0)*$H$11)/(2*SQRT($J$11))/365) *$P$11</f>
        <v/>
      </c>
      <c r="G299" s="139">
        <f>IF($O$11="buy",1,-1)*( IF($K$11="call",B299*NORMDIST(I299,0,1,1) - $B$11*NORMDIST(J299,0,1,1),$B$11*NORMDIST(-J299,0,1,1) - B299*NORMDIST(-I299,0,1,1) ) - $G$11) * $P$11</f>
        <v/>
      </c>
      <c r="I299" s="140">
        <f>(LN(B299/$B$11)+($H$11^2/2)*($J$11))/($H$11*SQRT($J$11))</f>
        <v/>
      </c>
      <c r="J299" s="140">
        <f>I299 - $H$11*SQRT($J$11)</f>
        <v/>
      </c>
    </row>
    <row r="300" ht="13.5" customHeight="1" s="116">
      <c r="B300" s="144">
        <f>B270</f>
        <v/>
      </c>
      <c r="C300" s="139">
        <f>IF($O$11="sell",-1,1) *  IF($K$11="call",  NORMDIST(I300,0,1,1),  NORMDIST(I300,0,1,1)-1  ) * $P$11</f>
        <v/>
      </c>
      <c r="D300" s="139">
        <f>IF($O$11="sell",-1,1) * NORMDIST(I300,0,1,0)/(B300*$H$11*SQRT($J$11)) * $P$11</f>
        <v/>
      </c>
      <c r="E300" s="139">
        <f>IF($O$11="sell",-1,1) * (B300*NORMDIST(I300,0,1,0)*SQRT($J$11)/365) * $P$11</f>
        <v/>
      </c>
      <c r="F300" s="139">
        <f>IF($O$11="sell",-1,1) * (-(B300*NORMDIST(I300,0,1,0)*$H$11)/(2*SQRT($J$11))/365) *$P$11</f>
        <v/>
      </c>
      <c r="G300" s="139">
        <f>IF($O$11="buy",1,-1)*( IF($K$11="call",B300*NORMDIST(I300,0,1,1) - $B$11*NORMDIST(J300,0,1,1),$B$11*NORMDIST(-J300,0,1,1) - B300*NORMDIST(-I300,0,1,1) ) - $G$11) * $P$11</f>
        <v/>
      </c>
      <c r="I300" s="140">
        <f>(LN(B300/$B$11)+($H$11^2/2)*($J$11))/($H$11*SQRT($J$11))</f>
        <v/>
      </c>
      <c r="J300" s="140">
        <f>I300 - $H$11*SQRT($J$11)</f>
        <v/>
      </c>
    </row>
    <row r="301" ht="13.5" customHeight="1" s="116">
      <c r="B301" s="144">
        <f>B271</f>
        <v/>
      </c>
      <c r="C301" s="139">
        <f>IF($O$11="sell",-1,1) *  IF($K$11="call",  NORMDIST(I301,0,1,1),  NORMDIST(I301,0,1,1)-1  ) * $P$11</f>
        <v/>
      </c>
      <c r="D301" s="139">
        <f>IF($O$11="sell",-1,1) * NORMDIST(I301,0,1,0)/(B301*$H$11*SQRT($J$11)) * $P$11</f>
        <v/>
      </c>
      <c r="E301" s="139">
        <f>IF($O$11="sell",-1,1) * (B301*NORMDIST(I301,0,1,0)*SQRT($J$11)/365) * $P$11</f>
        <v/>
      </c>
      <c r="F301" s="139">
        <f>IF($O$11="sell",-1,1) * (-(B301*NORMDIST(I301,0,1,0)*$H$11)/(2*SQRT($J$11))/365) *$P$11</f>
        <v/>
      </c>
      <c r="G301" s="139">
        <f>IF($O$11="buy",1,-1)*( IF($K$11="call",B301*NORMDIST(I301,0,1,1) - $B$11*NORMDIST(J301,0,1,1),$B$11*NORMDIST(-J301,0,1,1) - B301*NORMDIST(-I301,0,1,1) ) - $G$11) * $P$11</f>
        <v/>
      </c>
      <c r="I301" s="140">
        <f>(LN(B301/$B$11)+($H$11^2/2)*($J$11))/($H$11*SQRT($J$11))</f>
        <v/>
      </c>
      <c r="J301" s="140">
        <f>I301 - $H$11*SQRT($J$11)</f>
        <v/>
      </c>
    </row>
    <row r="302" ht="13.5" customHeight="1" s="116">
      <c r="B302" s="144">
        <f>B272</f>
        <v/>
      </c>
      <c r="C302" s="139">
        <f>IF($O$11="sell",-1,1) *  IF($K$11="call",  NORMDIST(I302,0,1,1),  NORMDIST(I302,0,1,1)-1  ) * $P$11</f>
        <v/>
      </c>
      <c r="D302" s="139">
        <f>IF($O$11="sell",-1,1) * NORMDIST(I302,0,1,0)/(B302*$H$11*SQRT($J$11)) * $P$11</f>
        <v/>
      </c>
      <c r="E302" s="139">
        <f>IF($O$11="sell",-1,1) * (B302*NORMDIST(I302,0,1,0)*SQRT($J$11)/365) * $P$11</f>
        <v/>
      </c>
      <c r="F302" s="139">
        <f>IF($O$11="sell",-1,1) * (-(B302*NORMDIST(I302,0,1,0)*$H$11)/(2*SQRT($J$11))/365) *$P$11</f>
        <v/>
      </c>
      <c r="G302" s="139">
        <f>IF($O$11="buy",1,-1)*( IF($K$11="call",B302*NORMDIST(I302,0,1,1) - $B$11*NORMDIST(J302,0,1,1),$B$11*NORMDIST(-J302,0,1,1) - B302*NORMDIST(-I302,0,1,1) ) - $G$11) * $P$11</f>
        <v/>
      </c>
      <c r="I302" s="140">
        <f>(LN(B302/$B$11)+($H$11^2/2)*($J$11))/($H$11*SQRT($J$11))</f>
        <v/>
      </c>
      <c r="J302" s="140">
        <f>I302 - $H$11*SQRT($J$11)</f>
        <v/>
      </c>
    </row>
    <row r="303" ht="13.5" customHeight="1" s="116">
      <c r="B303" s="144">
        <f>B273</f>
        <v/>
      </c>
      <c r="C303" s="139">
        <f>IF($O$11="sell",-1,1) *  IF($K$11="call",  NORMDIST(I303,0,1,1),  NORMDIST(I303,0,1,1)-1  ) * $P$11</f>
        <v/>
      </c>
      <c r="D303" s="139">
        <f>IF($O$11="sell",-1,1) * NORMDIST(I303,0,1,0)/(B303*$H$11*SQRT($J$11)) * $P$11</f>
        <v/>
      </c>
      <c r="E303" s="139">
        <f>IF($O$11="sell",-1,1) * (B303*NORMDIST(I303,0,1,0)*SQRT($J$11)/365) * $P$11</f>
        <v/>
      </c>
      <c r="F303" s="139">
        <f>IF($O$11="sell",-1,1) * (-(B303*NORMDIST(I303,0,1,0)*$H$11)/(2*SQRT($J$11))/365) *$P$11</f>
        <v/>
      </c>
      <c r="G303" s="139">
        <f>IF($O$11="buy",1,-1)*( IF($K$11="call",B303*NORMDIST(I303,0,1,1) - $B$11*NORMDIST(J303,0,1,1),$B$11*NORMDIST(-J303,0,1,1) - B303*NORMDIST(-I303,0,1,1) ) - $G$11) * $P$11</f>
        <v/>
      </c>
      <c r="I303" s="140">
        <f>(LN(B303/$B$11)+($H$11^2/2)*($J$11))/($H$11*SQRT($J$11))</f>
        <v/>
      </c>
      <c r="J303" s="140">
        <f>I303 - $H$11*SQRT($J$11)</f>
        <v/>
      </c>
    </row>
    <row r="304" ht="13.5" customHeight="1" s="116">
      <c r="B304" s="144">
        <f>B274</f>
        <v/>
      </c>
      <c r="C304" s="139">
        <f>IF($O$11="sell",-1,1) *  IF($K$11="call",  NORMDIST(I304,0,1,1),  NORMDIST(I304,0,1,1)-1  ) * $P$11</f>
        <v/>
      </c>
      <c r="D304" s="139">
        <f>IF($O$11="sell",-1,1) * NORMDIST(I304,0,1,0)/(B304*$H$11*SQRT($J$11)) * $P$11</f>
        <v/>
      </c>
      <c r="E304" s="139">
        <f>IF($O$11="sell",-1,1) * (B304*NORMDIST(I304,0,1,0)*SQRT($J$11)/365) * $P$11</f>
        <v/>
      </c>
      <c r="F304" s="139">
        <f>IF($O$11="sell",-1,1) * (-(B304*NORMDIST(I304,0,1,0)*$H$11)/(2*SQRT($J$11))/365) *$P$11</f>
        <v/>
      </c>
      <c r="G304" s="139">
        <f>IF($O$11="buy",1,-1)*( IF($K$11="call",B304*NORMDIST(I304,0,1,1) - $B$11*NORMDIST(J304,0,1,1),$B$11*NORMDIST(-J304,0,1,1) - B304*NORMDIST(-I304,0,1,1) ) - $G$11) * $P$11</f>
        <v/>
      </c>
      <c r="I304" s="140">
        <f>(LN(B304/$B$11)+($H$11^2/2)*($J$11))/($H$11*SQRT($J$11))</f>
        <v/>
      </c>
      <c r="J304" s="140">
        <f>I304 - $H$11*SQRT($J$11)</f>
        <v/>
      </c>
    </row>
    <row r="305" ht="13.5" customHeight="1" s="116">
      <c r="B305" s="144">
        <f>B275</f>
        <v/>
      </c>
      <c r="C305" s="139">
        <f>IF($O$11="sell",-1,1) *  IF($K$11="call",  NORMDIST(I305,0,1,1),  NORMDIST(I305,0,1,1)-1  ) * $P$11</f>
        <v/>
      </c>
      <c r="D305" s="139">
        <f>IF($O$11="sell",-1,1) * NORMDIST(I305,0,1,0)/(B305*$H$11*SQRT($J$11)) * $P$11</f>
        <v/>
      </c>
      <c r="E305" s="139">
        <f>IF($O$11="sell",-1,1) * (B305*NORMDIST(I305,0,1,0)*SQRT($J$11)/365) * $P$11</f>
        <v/>
      </c>
      <c r="F305" s="139">
        <f>IF($O$11="sell",-1,1) * (-(B305*NORMDIST(I305,0,1,0)*$H$11)/(2*SQRT($J$11))/365) *$P$11</f>
        <v/>
      </c>
      <c r="G305" s="139">
        <f>IF($O$11="buy",1,-1)*( IF($K$11="call",B305*NORMDIST(I305,0,1,1) - $B$11*NORMDIST(J305,0,1,1),$B$11*NORMDIST(-J305,0,1,1) - B305*NORMDIST(-I305,0,1,1) ) - $G$11) * $P$11</f>
        <v/>
      </c>
      <c r="I305" s="140">
        <f>(LN(B305/$B$11)+($H$11^2/2)*($J$11))/($H$11*SQRT($J$11))</f>
        <v/>
      </c>
      <c r="J305" s="140">
        <f>I305 - $H$11*SQRT($J$11)</f>
        <v/>
      </c>
    </row>
    <row r="306" ht="13.5" customHeight="1" s="116">
      <c r="B306" s="144">
        <f>B276</f>
        <v/>
      </c>
      <c r="C306" s="139">
        <f>IF($O$11="sell",-1,1) *  IF($K$11="call",  NORMDIST(I306,0,1,1),  NORMDIST(I306,0,1,1)-1  ) * $P$11</f>
        <v/>
      </c>
      <c r="D306" s="139">
        <f>IF($O$11="sell",-1,1) * NORMDIST(I306,0,1,0)/(B306*$H$11*SQRT($J$11)) * $P$11</f>
        <v/>
      </c>
      <c r="E306" s="139">
        <f>IF($O$11="sell",-1,1) * (B306*NORMDIST(I306,0,1,0)*SQRT($J$11)/365) * $P$11</f>
        <v/>
      </c>
      <c r="F306" s="139">
        <f>IF($O$11="sell",-1,1) * (-(B306*NORMDIST(I306,0,1,0)*$H$11)/(2*SQRT($J$11))/365) *$P$11</f>
        <v/>
      </c>
      <c r="G306" s="139">
        <f>IF($O$11="buy",1,-1)*( IF($K$11="call",B306*NORMDIST(I306,0,1,1) - $B$11*NORMDIST(J306,0,1,1),$B$11*NORMDIST(-J306,0,1,1) - B306*NORMDIST(-I306,0,1,1) ) - $G$11) * $P$11</f>
        <v/>
      </c>
      <c r="I306" s="140">
        <f>(LN(B306/$B$11)+($H$11^2/2)*($J$11))/($H$11*SQRT($J$11))</f>
        <v/>
      </c>
      <c r="J306" s="140">
        <f>I306 - $H$11*SQRT($J$11)</f>
        <v/>
      </c>
    </row>
    <row r="307" ht="13.5" customHeight="1" s="116">
      <c r="B307" s="144">
        <f>B277</f>
        <v/>
      </c>
      <c r="C307" s="139">
        <f>IF($O$11="sell",-1,1) *  IF($K$11="call",  NORMDIST(I307,0,1,1),  NORMDIST(I307,0,1,1)-1  ) * $P$11</f>
        <v/>
      </c>
      <c r="D307" s="139">
        <f>IF($O$11="sell",-1,1) * NORMDIST(I307,0,1,0)/(B307*$H$11*SQRT($J$11)) * $P$11</f>
        <v/>
      </c>
      <c r="E307" s="139">
        <f>IF($O$11="sell",-1,1) * (B307*NORMDIST(I307,0,1,0)*SQRT($J$11)/365) * $P$11</f>
        <v/>
      </c>
      <c r="F307" s="139">
        <f>IF($O$11="sell",-1,1) * (-(B307*NORMDIST(I307,0,1,0)*$H$11)/(2*SQRT($J$11))/365) *$P$11</f>
        <v/>
      </c>
      <c r="G307" s="139">
        <f>IF($O$11="buy",1,-1)*( IF($K$11="call",B307*NORMDIST(I307,0,1,1) - $B$11*NORMDIST(J307,0,1,1),$B$11*NORMDIST(-J307,0,1,1) - B307*NORMDIST(-I307,0,1,1) ) - $G$11) * $P$11</f>
        <v/>
      </c>
      <c r="I307" s="140">
        <f>(LN(B307/$B$11)+($H$11^2/2)*($J$11))/($H$11*SQRT($J$11))</f>
        <v/>
      </c>
      <c r="J307" s="140">
        <f>I307 - $H$11*SQRT($J$11)</f>
        <v/>
      </c>
    </row>
    <row r="308" ht="13.5" customHeight="1" s="116">
      <c r="B308" s="144">
        <f>B278</f>
        <v/>
      </c>
      <c r="C308" s="139">
        <f>IF($O$11="sell",-1,1) *  IF($K$11="call",  NORMDIST(I308,0,1,1),  NORMDIST(I308,0,1,1)-1  ) * $P$11</f>
        <v/>
      </c>
      <c r="D308" s="139">
        <f>IF($O$11="sell",-1,1) * NORMDIST(I308,0,1,0)/(B308*$H$11*SQRT($J$11)) * $P$11</f>
        <v/>
      </c>
      <c r="E308" s="139">
        <f>IF($O$11="sell",-1,1) * (B308*NORMDIST(I308,0,1,0)*SQRT($J$11)/365) * $P$11</f>
        <v/>
      </c>
      <c r="F308" s="139">
        <f>IF($O$11="sell",-1,1) * (-(B308*NORMDIST(I308,0,1,0)*$H$11)/(2*SQRT($J$11))/365) *$P$11</f>
        <v/>
      </c>
      <c r="G308" s="139">
        <f>IF($O$11="buy",1,-1)*( IF($K$11="call",B308*NORMDIST(I308,0,1,1) - $B$11*NORMDIST(J308,0,1,1),$B$11*NORMDIST(-J308,0,1,1) - B308*NORMDIST(-I308,0,1,1) ) - $G$11) * $P$11</f>
        <v/>
      </c>
      <c r="I308" s="140">
        <f>(LN(B308/$B$11)+($H$11^2/2)*($J$11))/($H$11*SQRT($J$11))</f>
        <v/>
      </c>
      <c r="J308" s="140">
        <f>I308 - $H$11*SQRT($J$11)</f>
        <v/>
      </c>
    </row>
    <row r="309" ht="13.5" customHeight="1" s="116">
      <c r="B309" s="144">
        <f>B279</f>
        <v/>
      </c>
      <c r="C309" s="139">
        <f>IF($O$11="sell",-1,1) *  IF($K$11="call",  NORMDIST(I309,0,1,1),  NORMDIST(I309,0,1,1)-1  ) * $P$11</f>
        <v/>
      </c>
      <c r="D309" s="139">
        <f>IF($O$11="sell",-1,1) * NORMDIST(I309,0,1,0)/(B309*$H$11*SQRT($J$11)) * $P$11</f>
        <v/>
      </c>
      <c r="E309" s="139">
        <f>IF($O$11="sell",-1,1) * (B309*NORMDIST(I309,0,1,0)*SQRT($J$11)/365) * $P$11</f>
        <v/>
      </c>
      <c r="F309" s="139">
        <f>IF($O$11="sell",-1,1) * (-(B309*NORMDIST(I309,0,1,0)*$H$11)/(2*SQRT($J$11))/365) *$P$11</f>
        <v/>
      </c>
      <c r="G309" s="139">
        <f>IF($O$11="buy",1,-1)*( IF($K$11="call",B309*NORMDIST(I309,0,1,1) - $B$11*NORMDIST(J309,0,1,1),$B$11*NORMDIST(-J309,0,1,1) - B309*NORMDIST(-I309,0,1,1) ) - $G$11) * $P$11</f>
        <v/>
      </c>
      <c r="I309" s="140">
        <f>(LN(B309/$B$11)+($H$11^2/2)*($J$11))/($H$11*SQRT($J$11))</f>
        <v/>
      </c>
      <c r="J309" s="140">
        <f>I309 - $H$11*SQRT($J$11)</f>
        <v/>
      </c>
    </row>
    <row r="310" ht="13.5" customHeight="1" s="116">
      <c r="B310" s="144">
        <f>B280</f>
        <v/>
      </c>
      <c r="C310" s="139">
        <f>IF($O$11="sell",-1,1) *  IF($K$11="call",  NORMDIST(I310,0,1,1),  NORMDIST(I310,0,1,1)-1  ) * $P$11</f>
        <v/>
      </c>
      <c r="D310" s="139">
        <f>IF($O$11="sell",-1,1) * NORMDIST(I310,0,1,0)/(B310*$H$11*SQRT($J$11)) * $P$11</f>
        <v/>
      </c>
      <c r="E310" s="139">
        <f>IF($O$11="sell",-1,1) * (B310*NORMDIST(I310,0,1,0)*SQRT($J$11)/365) * $P$11</f>
        <v/>
      </c>
      <c r="F310" s="139">
        <f>IF($O$11="sell",-1,1) * (-(B310*NORMDIST(I310,0,1,0)*$H$11)/(2*SQRT($J$11))/365) *$P$11</f>
        <v/>
      </c>
      <c r="G310" s="139">
        <f>IF($O$11="buy",1,-1)*( IF($K$11="call",B310*NORMDIST(I310,0,1,1) - $B$11*NORMDIST(J310,0,1,1),$B$11*NORMDIST(-J310,0,1,1) - B310*NORMDIST(-I310,0,1,1) ) - $G$11) * $P$11</f>
        <v/>
      </c>
      <c r="I310" s="140">
        <f>(LN(B310/$B$11)+($H$11^2/2)*($J$11))/($H$11*SQRT($J$11))</f>
        <v/>
      </c>
      <c r="J310" s="140">
        <f>I310 - $H$11*SQRT($J$11)</f>
        <v/>
      </c>
    </row>
    <row r="311" ht="13.5" customHeight="1" s="116">
      <c r="B311" s="144">
        <f>B281</f>
        <v/>
      </c>
      <c r="C311" s="139">
        <f>IF($O$11="sell",-1,1) *  IF($K$11="call",  NORMDIST(I311,0,1,1),  NORMDIST(I311,0,1,1)-1  ) * $P$11</f>
        <v/>
      </c>
      <c r="D311" s="139">
        <f>IF($O$11="sell",-1,1) * NORMDIST(I311,0,1,0)/(B311*$H$11*SQRT($J$11)) * $P$11</f>
        <v/>
      </c>
      <c r="E311" s="139">
        <f>IF($O$11="sell",-1,1) * (B311*NORMDIST(I311,0,1,0)*SQRT($J$11)/365) * $P$11</f>
        <v/>
      </c>
      <c r="F311" s="139">
        <f>IF($O$11="sell",-1,1) * (-(B311*NORMDIST(I311,0,1,0)*$H$11)/(2*SQRT($J$11))/365) *$P$11</f>
        <v/>
      </c>
      <c r="G311" s="139">
        <f>IF($O$11="buy",1,-1)*( IF($K$11="call",B311*NORMDIST(I311,0,1,1) - $B$11*NORMDIST(J311,0,1,1),$B$11*NORMDIST(-J311,0,1,1) - B311*NORMDIST(-I311,0,1,1) ) - $G$11) * $P$11</f>
        <v/>
      </c>
      <c r="I311" s="140">
        <f>(LN(B311/$B$11)+($H$11^2/2)*($J$11))/($H$11*SQRT($J$11))</f>
        <v/>
      </c>
      <c r="J311" s="140">
        <f>I311 - $H$11*SQRT($J$11)</f>
        <v/>
      </c>
    </row>
    <row r="312" ht="13.5" customHeight="1" s="116">
      <c r="B312" s="144">
        <f>B282</f>
        <v/>
      </c>
      <c r="C312" s="139">
        <f>IF($O$11="sell",-1,1) *  IF($K$11="call",  NORMDIST(I312,0,1,1),  NORMDIST(I312,0,1,1)-1  ) * $P$11</f>
        <v/>
      </c>
      <c r="D312" s="139">
        <f>IF($O$11="sell",-1,1) * NORMDIST(I312,0,1,0)/(B312*$H$11*SQRT($J$11)) * $P$11</f>
        <v/>
      </c>
      <c r="E312" s="139">
        <f>IF($O$11="sell",-1,1) * (B312*NORMDIST(I312,0,1,0)*SQRT($J$11)/365) * $P$11</f>
        <v/>
      </c>
      <c r="F312" s="139">
        <f>IF($O$11="sell",-1,1) * (-(B312*NORMDIST(I312,0,1,0)*$H$11)/(2*SQRT($J$11))/365) *$P$11</f>
        <v/>
      </c>
      <c r="G312" s="139">
        <f>IF($O$11="buy",1,-1)*( IF($K$11="call",B312*NORMDIST(I312,0,1,1) - $B$11*NORMDIST(J312,0,1,1),$B$11*NORMDIST(-J312,0,1,1) - B312*NORMDIST(-I312,0,1,1) ) - $G$11) * $P$11</f>
        <v/>
      </c>
      <c r="I312" s="140">
        <f>(LN(B312/$B$11)+($H$11^2/2)*($J$11))/($H$11*SQRT($J$11))</f>
        <v/>
      </c>
      <c r="J312" s="140">
        <f>I312 - $H$11*SQRT($J$11)</f>
        <v/>
      </c>
    </row>
    <row r="313" ht="13.5" customHeight="1" s="116">
      <c r="B313" s="145" t="n"/>
      <c r="C313" s="136" t="n"/>
      <c r="D313" s="136" t="n"/>
      <c r="E313" s="136" t="n"/>
      <c r="F313" s="136" t="n"/>
      <c r="G313" s="136" t="n"/>
      <c r="I313" s="146" t="n"/>
      <c r="J313" s="146" t="n"/>
    </row>
    <row r="314" ht="13.5" customHeight="1" s="116">
      <c r="B314" s="145" t="n"/>
      <c r="C314" s="136" t="n"/>
      <c r="D314" s="136" t="n"/>
      <c r="E314" s="136" t="n"/>
      <c r="F314" s="136" t="n"/>
      <c r="G314" s="136" t="n"/>
      <c r="I314" s="146" t="n"/>
      <c r="J314" s="146" t="n"/>
    </row>
    <row r="315" ht="13.5" customHeight="1" s="116">
      <c r="B315" s="137" t="n"/>
      <c r="C315" s="133" t="inlineStr">
        <is>
          <t>delta</t>
        </is>
      </c>
      <c r="D315" s="133" t="inlineStr">
        <is>
          <t>gamma</t>
        </is>
      </c>
      <c r="E315" s="133" t="inlineStr">
        <is>
          <t>vega</t>
        </is>
      </c>
      <c r="F315" s="133" t="inlineStr">
        <is>
          <t>theta</t>
        </is>
      </c>
      <c r="G315" s="133" t="inlineStr">
        <is>
          <t>mark_price</t>
        </is>
      </c>
      <c r="I315" s="133" t="inlineStr">
        <is>
          <t>d1</t>
        </is>
      </c>
      <c r="J315" s="133" t="inlineStr">
        <is>
          <t>d2</t>
        </is>
      </c>
    </row>
    <row r="316" ht="13.5" customHeight="1" s="116">
      <c r="A316" s="117">
        <f>A12</f>
        <v/>
      </c>
      <c r="B316" s="144">
        <f>B286</f>
        <v/>
      </c>
      <c r="C316" s="139">
        <f>IF($O$12="sell",-1,1) *  IF($K$12="call",  NORMDIST(I316,0,1,1),  NORMDIST(I316,0,1,1)-1  ) * $P$12</f>
        <v/>
      </c>
      <c r="D316" s="139">
        <f>IF($O$12="sell",-1,1) * NORMDIST(I316,0,1,0)/(B316*$H$12*SQRT($J$12)) * $P$12</f>
        <v/>
      </c>
      <c r="E316" s="139">
        <f>IF($O$12="sell",-1,1) * (B316*NORMDIST(I316,0,1,0)*SQRT($J$12)/365) * $P$12</f>
        <v/>
      </c>
      <c r="F316" s="139">
        <f>IF($O$12="sell",-1,1) * (-(B316*NORMDIST(I316,0,1,0)*$H$12)/(2*SQRT($J$12))/365) *$P$12</f>
        <v/>
      </c>
      <c r="G316" s="139">
        <f>IF($O$12="buy",1,-1)*( IF($K$12="call",B316*NORMDIST(I316,0,1,1) - $B$12*NORMDIST(J316,0,1,1),$B$12*NORMDIST(-J316,0,1,1) - B316*NORMDIST(-I316,0,1,1) ) - $G$12) * $P$12</f>
        <v/>
      </c>
      <c r="I316" s="140">
        <f>(LN(B316/$B$12)+($H$12^2/2)*($J$12))/($H$12*SQRT($J$12))</f>
        <v/>
      </c>
      <c r="J316" s="140">
        <f>I316 - $H$12*SQRT($J$12)</f>
        <v/>
      </c>
    </row>
    <row r="317" ht="13.5" customHeight="1" s="116">
      <c r="B317" s="144">
        <f>B287</f>
        <v/>
      </c>
      <c r="C317" s="139">
        <f>IF($O$12="sell",-1,1) *  IF($K$12="call",  NORMDIST(I317,0,1,1),  NORMDIST(I317,0,1,1)-1  ) * $P$12</f>
        <v/>
      </c>
      <c r="D317" s="139">
        <f>IF($O$12="sell",-1,1) * NORMDIST(I317,0,1,0)/(B317*$H$12*SQRT($J$12)) * $P$12</f>
        <v/>
      </c>
      <c r="E317" s="139">
        <f>IF($O$12="sell",-1,1) * (B317*NORMDIST(I317,0,1,0)*SQRT($J$12)/365) * $P$12</f>
        <v/>
      </c>
      <c r="F317" s="139">
        <f>IF($O$12="sell",-1,1) * (-(B317*NORMDIST(I317,0,1,0)*$H$12)/(2*SQRT($J$12))/365) *$P$12</f>
        <v/>
      </c>
      <c r="G317" s="139">
        <f>IF($O$12="buy",1,-1)*( IF($K$12="call",B317*NORMDIST(I317,0,1,1) - $B$12*NORMDIST(J317,0,1,1),$B$12*NORMDIST(-J317,0,1,1) - B317*NORMDIST(-I317,0,1,1) ) - $G$12) * $P$12</f>
        <v/>
      </c>
      <c r="I317" s="140">
        <f>(LN(B317/$B$12)+($H$12^2/2)*($J$12))/($H$12*SQRT($J$12))</f>
        <v/>
      </c>
      <c r="J317" s="140">
        <f>I317 - $H$12*SQRT($J$12)</f>
        <v/>
      </c>
    </row>
    <row r="318" ht="13.5" customHeight="1" s="116">
      <c r="B318" s="144">
        <f>B288</f>
        <v/>
      </c>
      <c r="C318" s="139">
        <f>IF($O$12="sell",-1,1) *  IF($K$12="call",  NORMDIST(I318,0,1,1),  NORMDIST(I318,0,1,1)-1  ) * $P$12</f>
        <v/>
      </c>
      <c r="D318" s="139">
        <f>IF($O$12="sell",-1,1) * NORMDIST(I318,0,1,0)/(B318*$H$12*SQRT($J$12)) * $P$12</f>
        <v/>
      </c>
      <c r="E318" s="139">
        <f>IF($O$12="sell",-1,1) * (B318*NORMDIST(I318,0,1,0)*SQRT($J$12)/365) * $P$12</f>
        <v/>
      </c>
      <c r="F318" s="139">
        <f>IF($O$12="sell",-1,1) * (-(B318*NORMDIST(I318,0,1,0)*$H$12)/(2*SQRT($J$12))/365) *$P$12</f>
        <v/>
      </c>
      <c r="G318" s="139">
        <f>IF($O$12="buy",1,-1)*( IF($K$12="call",B318*NORMDIST(I318,0,1,1) - $B$12*NORMDIST(J318,0,1,1),$B$12*NORMDIST(-J318,0,1,1) - B318*NORMDIST(-I318,0,1,1) ) - $G$12) * $P$12</f>
        <v/>
      </c>
      <c r="I318" s="140">
        <f>(LN(B318/$B$12)+($H$12^2/2)*($J$12))/($H$12*SQRT($J$12))</f>
        <v/>
      </c>
      <c r="J318" s="140">
        <f>I318 - $H$12*SQRT($J$12)</f>
        <v/>
      </c>
    </row>
    <row r="319" ht="13.5" customHeight="1" s="116">
      <c r="B319" s="144">
        <f>B289</f>
        <v/>
      </c>
      <c r="C319" s="139">
        <f>IF($O$12="sell",-1,1) *  IF($K$12="call",  NORMDIST(I319,0,1,1),  NORMDIST(I319,0,1,1)-1  ) * $P$12</f>
        <v/>
      </c>
      <c r="D319" s="139">
        <f>IF($O$12="sell",-1,1) * NORMDIST(I319,0,1,0)/(B319*$H$12*SQRT($J$12)) * $P$12</f>
        <v/>
      </c>
      <c r="E319" s="139">
        <f>IF($O$12="sell",-1,1) * (B319*NORMDIST(I319,0,1,0)*SQRT($J$12)/365) * $P$12</f>
        <v/>
      </c>
      <c r="F319" s="139">
        <f>IF($O$12="sell",-1,1) * (-(B319*NORMDIST(I319,0,1,0)*$H$12)/(2*SQRT($J$12))/365) *$P$12</f>
        <v/>
      </c>
      <c r="G319" s="139">
        <f>IF($O$12="buy",1,-1)*( IF($K$12="call",B319*NORMDIST(I319,0,1,1) - $B$12*NORMDIST(J319,0,1,1),$B$12*NORMDIST(-J319,0,1,1) - B319*NORMDIST(-I319,0,1,1) ) - $G$12) * $P$12</f>
        <v/>
      </c>
      <c r="I319" s="140">
        <f>(LN(B319/$B$12)+($H$12^2/2)*($J$12))/($H$12*SQRT($J$12))</f>
        <v/>
      </c>
      <c r="J319" s="140">
        <f>I319 - $H$12*SQRT($J$12)</f>
        <v/>
      </c>
    </row>
    <row r="320" ht="13.5" customHeight="1" s="116">
      <c r="B320" s="144">
        <f>B290</f>
        <v/>
      </c>
      <c r="C320" s="139">
        <f>IF($O$12="sell",-1,1) *  IF($K$12="call",  NORMDIST(I320,0,1,1),  NORMDIST(I320,0,1,1)-1  ) * $P$12</f>
        <v/>
      </c>
      <c r="D320" s="139">
        <f>IF($O$12="sell",-1,1) * NORMDIST(I320,0,1,0)/(B320*$H$12*SQRT($J$12)) * $P$12</f>
        <v/>
      </c>
      <c r="E320" s="139">
        <f>IF($O$12="sell",-1,1) * (B320*NORMDIST(I320,0,1,0)*SQRT($J$12)/365) * $P$12</f>
        <v/>
      </c>
      <c r="F320" s="139">
        <f>IF($O$12="sell",-1,1) * (-(B320*NORMDIST(I320,0,1,0)*$H$12)/(2*SQRT($J$12))/365) *$P$12</f>
        <v/>
      </c>
      <c r="G320" s="139">
        <f>IF($O$12="buy",1,-1)*( IF($K$12="call",B320*NORMDIST(I320,0,1,1) - $B$12*NORMDIST(J320,0,1,1),$B$12*NORMDIST(-J320,0,1,1) - B320*NORMDIST(-I320,0,1,1) ) - $G$12) * $P$12</f>
        <v/>
      </c>
      <c r="I320" s="140">
        <f>(LN(B320/$B$12)+($H$12^2/2)*($J$12))/($H$12*SQRT($J$12))</f>
        <v/>
      </c>
      <c r="J320" s="140">
        <f>I320 - $H$12*SQRT($J$12)</f>
        <v/>
      </c>
    </row>
    <row r="321" ht="13.5" customHeight="1" s="116">
      <c r="B321" s="144">
        <f>B291</f>
        <v/>
      </c>
      <c r="C321" s="139">
        <f>IF($O$12="sell",-1,1) *  IF($K$12="call",  NORMDIST(I321,0,1,1),  NORMDIST(I321,0,1,1)-1  ) * $P$12</f>
        <v/>
      </c>
      <c r="D321" s="139">
        <f>IF($O$12="sell",-1,1) * NORMDIST(I321,0,1,0)/(B321*$H$12*SQRT($J$12)) * $P$12</f>
        <v/>
      </c>
      <c r="E321" s="139">
        <f>IF($O$12="sell",-1,1) * (B321*NORMDIST(I321,0,1,0)*SQRT($J$12)/365) * $P$12</f>
        <v/>
      </c>
      <c r="F321" s="139">
        <f>IF($O$12="sell",-1,1) * (-(B321*NORMDIST(I321,0,1,0)*$H$12)/(2*SQRT($J$12))/365) *$P$12</f>
        <v/>
      </c>
      <c r="G321" s="139">
        <f>IF($O$12="buy",1,-1)*( IF($K$12="call",B321*NORMDIST(I321,0,1,1) - $B$12*NORMDIST(J321,0,1,1),$B$12*NORMDIST(-J321,0,1,1) - B321*NORMDIST(-I321,0,1,1) ) - $G$12) * $P$12</f>
        <v/>
      </c>
      <c r="I321" s="140">
        <f>(LN(B321/$B$12)+($H$12^2/2)*($J$12))/($H$12*SQRT($J$12))</f>
        <v/>
      </c>
      <c r="J321" s="140">
        <f>I321 - $H$12*SQRT($J$12)</f>
        <v/>
      </c>
    </row>
    <row r="322" ht="13.5" customHeight="1" s="116">
      <c r="B322" s="144">
        <f>B292</f>
        <v/>
      </c>
      <c r="C322" s="139">
        <f>IF($O$12="sell",-1,1) *  IF($K$12="call",  NORMDIST(I322,0,1,1),  NORMDIST(I322,0,1,1)-1  ) * $P$12</f>
        <v/>
      </c>
      <c r="D322" s="139">
        <f>IF($O$12="sell",-1,1) * NORMDIST(I322,0,1,0)/(B322*$H$12*SQRT($J$12)) * $P$12</f>
        <v/>
      </c>
      <c r="E322" s="139">
        <f>IF($O$12="sell",-1,1) * (B322*NORMDIST(I322,0,1,0)*SQRT($J$12)/365) * $P$12</f>
        <v/>
      </c>
      <c r="F322" s="139">
        <f>IF($O$12="sell",-1,1) * (-(B322*NORMDIST(I322,0,1,0)*$H$12)/(2*SQRT($J$12))/365) *$P$12</f>
        <v/>
      </c>
      <c r="G322" s="139">
        <f>IF($O$12="buy",1,-1)*( IF($K$12="call",B322*NORMDIST(I322,0,1,1) - $B$12*NORMDIST(J322,0,1,1),$B$12*NORMDIST(-J322,0,1,1) - B322*NORMDIST(-I322,0,1,1) ) - $G$12) * $P$12</f>
        <v/>
      </c>
      <c r="I322" s="140">
        <f>(LN(B322/$B$12)+($H$12^2/2)*($J$12))/($H$12*SQRT($J$12))</f>
        <v/>
      </c>
      <c r="J322" s="140">
        <f>I322 - $H$12*SQRT($J$12)</f>
        <v/>
      </c>
    </row>
    <row r="323" ht="13.5" customHeight="1" s="116">
      <c r="B323" s="144">
        <f>B293</f>
        <v/>
      </c>
      <c r="C323" s="139">
        <f>IF($O$12="sell",-1,1) *  IF($K$12="call",  NORMDIST(I323,0,1,1),  NORMDIST(I323,0,1,1)-1  ) * $P$12</f>
        <v/>
      </c>
      <c r="D323" s="139">
        <f>IF($O$12="sell",-1,1) * NORMDIST(I323,0,1,0)/(B323*$H$12*SQRT($J$12)) * $P$12</f>
        <v/>
      </c>
      <c r="E323" s="139">
        <f>IF($O$12="sell",-1,1) * (B323*NORMDIST(I323,0,1,0)*SQRT($J$12)/365) * $P$12</f>
        <v/>
      </c>
      <c r="F323" s="139">
        <f>IF($O$12="sell",-1,1) * (-(B323*NORMDIST(I323,0,1,0)*$H$12)/(2*SQRT($J$12))/365) *$P$12</f>
        <v/>
      </c>
      <c r="G323" s="139">
        <f>IF($O$12="buy",1,-1)*( IF($K$12="call",B323*NORMDIST(I323,0,1,1) - $B$12*NORMDIST(J323,0,1,1),$B$12*NORMDIST(-J323,0,1,1) - B323*NORMDIST(-I323,0,1,1) ) - $G$12) * $P$12</f>
        <v/>
      </c>
      <c r="I323" s="140">
        <f>(LN(B323/$B$12)+($H$12^2/2)*($J$12))/($H$12*SQRT($J$12))</f>
        <v/>
      </c>
      <c r="J323" s="140">
        <f>I323 - $H$12*SQRT($J$12)</f>
        <v/>
      </c>
    </row>
    <row r="324" ht="13.5" customHeight="1" s="116">
      <c r="B324" s="144">
        <f>B294</f>
        <v/>
      </c>
      <c r="C324" s="139">
        <f>IF($O$12="sell",-1,1) *  IF($K$12="call",  NORMDIST(I324,0,1,1),  NORMDIST(I324,0,1,1)-1  ) * $P$12</f>
        <v/>
      </c>
      <c r="D324" s="139">
        <f>IF($O$12="sell",-1,1) * NORMDIST(I324,0,1,0)/(B324*$H$12*SQRT($J$12)) * $P$12</f>
        <v/>
      </c>
      <c r="E324" s="139">
        <f>IF($O$12="sell",-1,1) * (B324*NORMDIST(I324,0,1,0)*SQRT($J$12)/365) * $P$12</f>
        <v/>
      </c>
      <c r="F324" s="139">
        <f>IF($O$12="sell",-1,1) * (-(B324*NORMDIST(I324,0,1,0)*$H$12)/(2*SQRT($J$12))/365) *$P$12</f>
        <v/>
      </c>
      <c r="G324" s="139">
        <f>IF($O$12="buy",1,-1)*( IF($K$12="call",B324*NORMDIST(I324,0,1,1) - $B$12*NORMDIST(J324,0,1,1),$B$12*NORMDIST(-J324,0,1,1) - B324*NORMDIST(-I324,0,1,1) ) - $G$12) * $P$12</f>
        <v/>
      </c>
      <c r="I324" s="140">
        <f>(LN(B324/$B$12)+($H$12^2/2)*($J$12))/($H$12*SQRT($J$12))</f>
        <v/>
      </c>
      <c r="J324" s="140">
        <f>I324 - $H$12*SQRT($J$12)</f>
        <v/>
      </c>
    </row>
    <row r="325" ht="13.5" customHeight="1" s="116">
      <c r="B325" s="144">
        <f>B295</f>
        <v/>
      </c>
      <c r="C325" s="139">
        <f>IF($O$12="sell",-1,1) *  IF($K$12="call",  NORMDIST(I325,0,1,1),  NORMDIST(I325,0,1,1)-1  ) * $P$12</f>
        <v/>
      </c>
      <c r="D325" s="139">
        <f>IF($O$12="sell",-1,1) * NORMDIST(I325,0,1,0)/(B325*$H$12*SQRT($J$12)) * $P$12</f>
        <v/>
      </c>
      <c r="E325" s="139">
        <f>IF($O$12="sell",-1,1) * (B325*NORMDIST(I325,0,1,0)*SQRT($J$12)/365) * $P$12</f>
        <v/>
      </c>
      <c r="F325" s="139">
        <f>IF($O$12="sell",-1,1) * (-(B325*NORMDIST(I325,0,1,0)*$H$12)/(2*SQRT($J$12))/365) *$P$12</f>
        <v/>
      </c>
      <c r="G325" s="139">
        <f>IF($O$12="buy",1,-1)*( IF($K$12="call",B325*NORMDIST(I325,0,1,1) - $B$12*NORMDIST(J325,0,1,1),$B$12*NORMDIST(-J325,0,1,1) - B325*NORMDIST(-I325,0,1,1) ) - $G$12) * $P$12</f>
        <v/>
      </c>
      <c r="I325" s="140">
        <f>(LN(B325/$B$12)+($H$12^2/2)*($J$12))/($H$12*SQRT($J$12))</f>
        <v/>
      </c>
      <c r="J325" s="140">
        <f>I325 - $H$12*SQRT($J$12)</f>
        <v/>
      </c>
    </row>
    <row r="326" ht="13.5" customHeight="1" s="116">
      <c r="B326" s="144">
        <f>B296</f>
        <v/>
      </c>
      <c r="C326" s="139">
        <f>IF($O$12="sell",-1,1) *  IF($K$12="call",  NORMDIST(I326,0,1,1),  NORMDIST(I326,0,1,1)-1  ) * $P$12</f>
        <v/>
      </c>
      <c r="D326" s="139">
        <f>IF($O$12="sell",-1,1) * NORMDIST(I326,0,1,0)/(B326*$H$12*SQRT($J$12)) * $P$12</f>
        <v/>
      </c>
      <c r="E326" s="139">
        <f>IF($O$12="sell",-1,1) * (B326*NORMDIST(I326,0,1,0)*SQRT($J$12)/365) * $P$12</f>
        <v/>
      </c>
      <c r="F326" s="139">
        <f>IF($O$12="sell",-1,1) * (-(B326*NORMDIST(I326,0,1,0)*$H$12)/(2*SQRT($J$12))/365) *$P$12</f>
        <v/>
      </c>
      <c r="G326" s="139">
        <f>IF($O$12="buy",1,-1)*( IF($K$12="call",B326*NORMDIST(I326,0,1,1) - $B$12*NORMDIST(J326,0,1,1),$B$12*NORMDIST(-J326,0,1,1) - B326*NORMDIST(-I326,0,1,1) ) - $G$12) * $P$12</f>
        <v/>
      </c>
      <c r="I326" s="140">
        <f>(LN(B326/$B$12)+($H$12^2/2)*($J$12))/($H$12*SQRT($J$12))</f>
        <v/>
      </c>
      <c r="J326" s="140">
        <f>I326 - $H$12*SQRT($J$12)</f>
        <v/>
      </c>
    </row>
    <row r="327" ht="13.5" customHeight="1" s="116">
      <c r="B327" s="144">
        <f>B297</f>
        <v/>
      </c>
      <c r="C327" s="139">
        <f>IF($O$12="sell",-1,1) *  IF($K$12="call",  NORMDIST(I327,0,1,1),  NORMDIST(I327,0,1,1)-1  ) * $P$12</f>
        <v/>
      </c>
      <c r="D327" s="139">
        <f>IF($O$12="sell",-1,1) * NORMDIST(I327,0,1,0)/(B327*$H$12*SQRT($J$12)) * $P$12</f>
        <v/>
      </c>
      <c r="E327" s="139">
        <f>IF($O$12="sell",-1,1) * (B327*NORMDIST(I327,0,1,0)*SQRT($J$12)/365) * $P$12</f>
        <v/>
      </c>
      <c r="F327" s="139">
        <f>IF($O$12="sell",-1,1) * (-(B327*NORMDIST(I327,0,1,0)*$H$12)/(2*SQRT($J$12))/365) *$P$12</f>
        <v/>
      </c>
      <c r="G327" s="139">
        <f>IF($O$12="buy",1,-1)*( IF($K$12="call",B327*NORMDIST(I327,0,1,1) - $B$12*NORMDIST(J327,0,1,1),$B$12*NORMDIST(-J327,0,1,1) - B327*NORMDIST(-I327,0,1,1) ) - $G$12) * $P$12</f>
        <v/>
      </c>
      <c r="I327" s="140">
        <f>(LN(B327/$B$12)+($H$12^2/2)*($J$12))/($H$12*SQRT($J$12))</f>
        <v/>
      </c>
      <c r="J327" s="140">
        <f>I327 - $H$12*SQRT($J$12)</f>
        <v/>
      </c>
    </row>
    <row r="328" ht="13.5" customHeight="1" s="116">
      <c r="B328" s="144">
        <f>B298</f>
        <v/>
      </c>
      <c r="C328" s="139">
        <f>IF($O$12="sell",-1,1) *  IF($K$12="call",  NORMDIST(I328,0,1,1),  NORMDIST(I328,0,1,1)-1  ) * $P$12</f>
        <v/>
      </c>
      <c r="D328" s="139">
        <f>IF($O$12="sell",-1,1) * NORMDIST(I328,0,1,0)/(B328*$H$12*SQRT($J$12)) * $P$12</f>
        <v/>
      </c>
      <c r="E328" s="139">
        <f>IF($O$12="sell",-1,1) * (B328*NORMDIST(I328,0,1,0)*SQRT($J$12)/365) * $P$12</f>
        <v/>
      </c>
      <c r="F328" s="139">
        <f>IF($O$12="sell",-1,1) * (-(B328*NORMDIST(I328,0,1,0)*$H$12)/(2*SQRT($J$12))/365) *$P$12</f>
        <v/>
      </c>
      <c r="G328" s="139">
        <f>IF($O$12="buy",1,-1)*( IF($K$12="call",B328*NORMDIST(I328,0,1,1) - $B$12*NORMDIST(J328,0,1,1),$B$12*NORMDIST(-J328,0,1,1) - B328*NORMDIST(-I328,0,1,1) ) - $G$12) * $P$12</f>
        <v/>
      </c>
      <c r="I328" s="140">
        <f>(LN(B328/$B$12)+($H$12^2/2)*($J$12))/($H$12*SQRT($J$12))</f>
        <v/>
      </c>
      <c r="J328" s="140">
        <f>I328 - $H$12*SQRT($J$12)</f>
        <v/>
      </c>
    </row>
    <row r="329" ht="13.5" customHeight="1" s="116">
      <c r="B329" s="144">
        <f>B299</f>
        <v/>
      </c>
      <c r="C329" s="139">
        <f>IF($O$12="sell",-1,1) *  IF($K$12="call",  NORMDIST(I329,0,1,1),  NORMDIST(I329,0,1,1)-1  ) * $P$12</f>
        <v/>
      </c>
      <c r="D329" s="139">
        <f>IF($O$12="sell",-1,1) * NORMDIST(I329,0,1,0)/(B329*$H$12*SQRT($J$12)) * $P$12</f>
        <v/>
      </c>
      <c r="E329" s="139">
        <f>IF($O$12="sell",-1,1) * (B329*NORMDIST(I329,0,1,0)*SQRT($J$12)/365) * $P$12</f>
        <v/>
      </c>
      <c r="F329" s="139">
        <f>IF($O$12="sell",-1,1) * (-(B329*NORMDIST(I329,0,1,0)*$H$12)/(2*SQRT($J$12))/365) *$P$12</f>
        <v/>
      </c>
      <c r="G329" s="139">
        <f>IF($O$12="buy",1,-1)*( IF($K$12="call",B329*NORMDIST(I329,0,1,1) - $B$12*NORMDIST(J329,0,1,1),$B$12*NORMDIST(-J329,0,1,1) - B329*NORMDIST(-I329,0,1,1) ) - $G$12) * $P$12</f>
        <v/>
      </c>
      <c r="I329" s="140">
        <f>(LN(B329/$B$12)+($H$12^2/2)*($J$12))/($H$12*SQRT($J$12))</f>
        <v/>
      </c>
      <c r="J329" s="140">
        <f>I329 - $H$12*SQRT($J$12)</f>
        <v/>
      </c>
    </row>
    <row r="330" ht="13.5" customHeight="1" s="116">
      <c r="B330" s="144">
        <f>B300</f>
        <v/>
      </c>
      <c r="C330" s="139">
        <f>IF($O$12="sell",-1,1) *  IF($K$12="call",  NORMDIST(I330,0,1,1),  NORMDIST(I330,0,1,1)-1  ) * $P$12</f>
        <v/>
      </c>
      <c r="D330" s="139">
        <f>IF($O$12="sell",-1,1) * NORMDIST(I330,0,1,0)/(B330*$H$12*SQRT($J$12)) * $P$12</f>
        <v/>
      </c>
      <c r="E330" s="139">
        <f>IF($O$12="sell",-1,1) * (B330*NORMDIST(I330,0,1,0)*SQRT($J$12)/365) * $P$12</f>
        <v/>
      </c>
      <c r="F330" s="139">
        <f>IF($O$12="sell",-1,1) * (-(B330*NORMDIST(I330,0,1,0)*$H$12)/(2*SQRT($J$12))/365) *$P$12</f>
        <v/>
      </c>
      <c r="G330" s="139">
        <f>IF($O$12="buy",1,-1)*( IF($K$12="call",B330*NORMDIST(I330,0,1,1) - $B$12*NORMDIST(J330,0,1,1),$B$12*NORMDIST(-J330,0,1,1) - B330*NORMDIST(-I330,0,1,1) ) - $G$12) * $P$12</f>
        <v/>
      </c>
      <c r="I330" s="140">
        <f>(LN(B330/$B$12)+($H$12^2/2)*($J$12))/($H$12*SQRT($J$12))</f>
        <v/>
      </c>
      <c r="J330" s="140">
        <f>I330 - $H$12*SQRT($J$12)</f>
        <v/>
      </c>
    </row>
    <row r="331" ht="13.5" customHeight="1" s="116">
      <c r="B331" s="144">
        <f>B301</f>
        <v/>
      </c>
      <c r="C331" s="139">
        <f>IF($O$12="sell",-1,1) *  IF($K$12="call",  NORMDIST(I331,0,1,1),  NORMDIST(I331,0,1,1)-1  ) * $P$12</f>
        <v/>
      </c>
      <c r="D331" s="139">
        <f>IF($O$12="sell",-1,1) * NORMDIST(I331,0,1,0)/(B331*$H$12*SQRT($J$12)) * $P$12</f>
        <v/>
      </c>
      <c r="E331" s="139">
        <f>IF($O$12="sell",-1,1) * (B331*NORMDIST(I331,0,1,0)*SQRT($J$12)/365) * $P$12</f>
        <v/>
      </c>
      <c r="F331" s="139">
        <f>IF($O$12="sell",-1,1) * (-(B331*NORMDIST(I331,0,1,0)*$H$12)/(2*SQRT($J$12))/365) *$P$12</f>
        <v/>
      </c>
      <c r="G331" s="139">
        <f>IF($O$12="buy",1,-1)*( IF($K$12="call",B331*NORMDIST(I331,0,1,1) - $B$12*NORMDIST(J331,0,1,1),$B$12*NORMDIST(-J331,0,1,1) - B331*NORMDIST(-I331,0,1,1) ) - $G$12) * $P$12</f>
        <v/>
      </c>
      <c r="I331" s="140">
        <f>(LN(B331/$B$12)+($H$12^2/2)*($J$12))/($H$12*SQRT($J$12))</f>
        <v/>
      </c>
      <c r="J331" s="140">
        <f>I331 - $H$12*SQRT($J$12)</f>
        <v/>
      </c>
    </row>
    <row r="332" ht="13.5" customHeight="1" s="116">
      <c r="B332" s="144">
        <f>B302</f>
        <v/>
      </c>
      <c r="C332" s="139">
        <f>IF($O$12="sell",-1,1) *  IF($K$12="call",  NORMDIST(I332,0,1,1),  NORMDIST(I332,0,1,1)-1  ) * $P$12</f>
        <v/>
      </c>
      <c r="D332" s="139">
        <f>IF($O$12="sell",-1,1) * NORMDIST(I332,0,1,0)/(B332*$H$12*SQRT($J$12)) * $P$12</f>
        <v/>
      </c>
      <c r="E332" s="139">
        <f>IF($O$12="sell",-1,1) * (B332*NORMDIST(I332,0,1,0)*SQRT($J$12)/365) * $P$12</f>
        <v/>
      </c>
      <c r="F332" s="139">
        <f>IF($O$12="sell",-1,1) * (-(B332*NORMDIST(I332,0,1,0)*$H$12)/(2*SQRT($J$12))/365) *$P$12</f>
        <v/>
      </c>
      <c r="G332" s="139">
        <f>IF($O$12="buy",1,-1)*( IF($K$12="call",B332*NORMDIST(I332,0,1,1) - $B$12*NORMDIST(J332,0,1,1),$B$12*NORMDIST(-J332,0,1,1) - B332*NORMDIST(-I332,0,1,1) ) - $G$12) * $P$12</f>
        <v/>
      </c>
      <c r="I332" s="140">
        <f>(LN(B332/$B$12)+($H$12^2/2)*($J$12))/($H$12*SQRT($J$12))</f>
        <v/>
      </c>
      <c r="J332" s="140">
        <f>I332 - $H$12*SQRT($J$12)</f>
        <v/>
      </c>
    </row>
    <row r="333" ht="13.5" customHeight="1" s="116">
      <c r="B333" s="144">
        <f>B303</f>
        <v/>
      </c>
      <c r="C333" s="139">
        <f>IF($O$12="sell",-1,1) *  IF($K$12="call",  NORMDIST(I333,0,1,1),  NORMDIST(I333,0,1,1)-1  ) * $P$12</f>
        <v/>
      </c>
      <c r="D333" s="139">
        <f>IF($O$12="sell",-1,1) * NORMDIST(I333,0,1,0)/(B333*$H$12*SQRT($J$12)) * $P$12</f>
        <v/>
      </c>
      <c r="E333" s="139">
        <f>IF($O$12="sell",-1,1) * (B333*NORMDIST(I333,0,1,0)*SQRT($J$12)/365) * $P$12</f>
        <v/>
      </c>
      <c r="F333" s="139">
        <f>IF($O$12="sell",-1,1) * (-(B333*NORMDIST(I333,0,1,0)*$H$12)/(2*SQRT($J$12))/365) *$P$12</f>
        <v/>
      </c>
      <c r="G333" s="139">
        <f>IF($O$12="buy",1,-1)*( IF($K$12="call",B333*NORMDIST(I333,0,1,1) - $B$12*NORMDIST(J333,0,1,1),$B$12*NORMDIST(-J333,0,1,1) - B333*NORMDIST(-I333,0,1,1) ) - $G$12) * $P$12</f>
        <v/>
      </c>
      <c r="I333" s="140">
        <f>(LN(B333/$B$12)+($H$12^2/2)*($J$12))/($H$12*SQRT($J$12))</f>
        <v/>
      </c>
      <c r="J333" s="140">
        <f>I333 - $H$12*SQRT($J$12)</f>
        <v/>
      </c>
    </row>
    <row r="334" ht="13.5" customHeight="1" s="116">
      <c r="B334" s="144">
        <f>B304</f>
        <v/>
      </c>
      <c r="C334" s="139">
        <f>IF($O$12="sell",-1,1) *  IF($K$12="call",  NORMDIST(I334,0,1,1),  NORMDIST(I334,0,1,1)-1  ) * $P$12</f>
        <v/>
      </c>
      <c r="D334" s="139">
        <f>IF($O$12="sell",-1,1) * NORMDIST(I334,0,1,0)/(B334*$H$12*SQRT($J$12)) * $P$12</f>
        <v/>
      </c>
      <c r="E334" s="139">
        <f>IF($O$12="sell",-1,1) * (B334*NORMDIST(I334,0,1,0)*SQRT($J$12)/365) * $P$12</f>
        <v/>
      </c>
      <c r="F334" s="139">
        <f>IF($O$12="sell",-1,1) * (-(B334*NORMDIST(I334,0,1,0)*$H$12)/(2*SQRT($J$12))/365) *$P$12</f>
        <v/>
      </c>
      <c r="G334" s="139">
        <f>IF($O$12="buy",1,-1)*( IF($K$12="call",B334*NORMDIST(I334,0,1,1) - $B$12*NORMDIST(J334,0,1,1),$B$12*NORMDIST(-J334,0,1,1) - B334*NORMDIST(-I334,0,1,1) ) - $G$12) * $P$12</f>
        <v/>
      </c>
      <c r="I334" s="140">
        <f>(LN(B334/$B$12)+($H$12^2/2)*($J$12))/($H$12*SQRT($J$12))</f>
        <v/>
      </c>
      <c r="J334" s="140">
        <f>I334 - $H$12*SQRT($J$12)</f>
        <v/>
      </c>
    </row>
    <row r="335" ht="13.5" customHeight="1" s="116">
      <c r="B335" s="144">
        <f>B305</f>
        <v/>
      </c>
      <c r="C335" s="139">
        <f>IF($O$12="sell",-1,1) *  IF($K$12="call",  NORMDIST(I335,0,1,1),  NORMDIST(I335,0,1,1)-1  ) * $P$12</f>
        <v/>
      </c>
      <c r="D335" s="139">
        <f>IF($O$12="sell",-1,1) * NORMDIST(I335,0,1,0)/(B335*$H$12*SQRT($J$12)) * $P$12</f>
        <v/>
      </c>
      <c r="E335" s="139">
        <f>IF($O$12="sell",-1,1) * (B335*NORMDIST(I335,0,1,0)*SQRT($J$12)/365) * $P$12</f>
        <v/>
      </c>
      <c r="F335" s="139">
        <f>IF($O$12="sell",-1,1) * (-(B335*NORMDIST(I335,0,1,0)*$H$12)/(2*SQRT($J$12))/365) *$P$12</f>
        <v/>
      </c>
      <c r="G335" s="139">
        <f>IF($O$12="buy",1,-1)*( IF($K$12="call",B335*NORMDIST(I335,0,1,1) - $B$12*NORMDIST(J335,0,1,1),$B$12*NORMDIST(-J335,0,1,1) - B335*NORMDIST(-I335,0,1,1) ) - $G$12) * $P$12</f>
        <v/>
      </c>
      <c r="I335" s="140">
        <f>(LN(B335/$B$12)+($H$12^2/2)*($J$12))/($H$12*SQRT($J$12))</f>
        <v/>
      </c>
      <c r="J335" s="140">
        <f>I335 - $H$12*SQRT($J$12)</f>
        <v/>
      </c>
    </row>
    <row r="336" ht="13.5" customHeight="1" s="116">
      <c r="B336" s="144">
        <f>B306</f>
        <v/>
      </c>
      <c r="C336" s="139">
        <f>IF($O$12="sell",-1,1) *  IF($K$12="call",  NORMDIST(I336,0,1,1),  NORMDIST(I336,0,1,1)-1  ) * $P$12</f>
        <v/>
      </c>
      <c r="D336" s="139">
        <f>IF($O$12="sell",-1,1) * NORMDIST(I336,0,1,0)/(B336*$H$12*SQRT($J$12)) * $P$12</f>
        <v/>
      </c>
      <c r="E336" s="139">
        <f>IF($O$12="sell",-1,1) * (B336*NORMDIST(I336,0,1,0)*SQRT($J$12)/365) * $P$12</f>
        <v/>
      </c>
      <c r="F336" s="139">
        <f>IF($O$12="sell",-1,1) * (-(B336*NORMDIST(I336,0,1,0)*$H$12)/(2*SQRT($J$12))/365) *$P$12</f>
        <v/>
      </c>
      <c r="G336" s="139">
        <f>IF($O$12="buy",1,-1)*( IF($K$12="call",B336*NORMDIST(I336,0,1,1) - $B$12*NORMDIST(J336,0,1,1),$B$12*NORMDIST(-J336,0,1,1) - B336*NORMDIST(-I336,0,1,1) ) - $G$12) * $P$12</f>
        <v/>
      </c>
      <c r="I336" s="140">
        <f>(LN(B336/$B$12)+($H$12^2/2)*($J$12))/($H$12*SQRT($J$12))</f>
        <v/>
      </c>
      <c r="J336" s="140">
        <f>I336 - $H$12*SQRT($J$12)</f>
        <v/>
      </c>
    </row>
    <row r="337" ht="13.5" customHeight="1" s="116">
      <c r="B337" s="144">
        <f>B307</f>
        <v/>
      </c>
      <c r="C337" s="139">
        <f>IF($O$12="sell",-1,1) *  IF($K$12="call",  NORMDIST(I337,0,1,1),  NORMDIST(I337,0,1,1)-1  ) * $P$12</f>
        <v/>
      </c>
      <c r="D337" s="139">
        <f>IF($O$12="sell",-1,1) * NORMDIST(I337,0,1,0)/(B337*$H$12*SQRT($J$12)) * $P$12</f>
        <v/>
      </c>
      <c r="E337" s="139">
        <f>IF($O$12="sell",-1,1) * (B337*NORMDIST(I337,0,1,0)*SQRT($J$12)/365) * $P$12</f>
        <v/>
      </c>
      <c r="F337" s="139">
        <f>IF($O$12="sell",-1,1) * (-(B337*NORMDIST(I337,0,1,0)*$H$12)/(2*SQRT($J$12))/365) *$P$12</f>
        <v/>
      </c>
      <c r="G337" s="139">
        <f>IF($O$12="buy",1,-1)*( IF($K$12="call",B337*NORMDIST(I337,0,1,1) - $B$12*NORMDIST(J337,0,1,1),$B$12*NORMDIST(-J337,0,1,1) - B337*NORMDIST(-I337,0,1,1) ) - $G$12) * $P$12</f>
        <v/>
      </c>
      <c r="I337" s="140">
        <f>(LN(B337/$B$12)+($H$12^2/2)*($J$12))/($H$12*SQRT($J$12))</f>
        <v/>
      </c>
      <c r="J337" s="140">
        <f>I337 - $H$12*SQRT($J$12)</f>
        <v/>
      </c>
    </row>
    <row r="338" ht="13.5" customHeight="1" s="116">
      <c r="B338" s="144">
        <f>B308</f>
        <v/>
      </c>
      <c r="C338" s="139">
        <f>IF($O$12="sell",-1,1) *  IF($K$12="call",  NORMDIST(I338,0,1,1),  NORMDIST(I338,0,1,1)-1  ) * $P$12</f>
        <v/>
      </c>
      <c r="D338" s="139">
        <f>IF($O$12="sell",-1,1) * NORMDIST(I338,0,1,0)/(B338*$H$12*SQRT($J$12)) * $P$12</f>
        <v/>
      </c>
      <c r="E338" s="139">
        <f>IF($O$12="sell",-1,1) * (B338*NORMDIST(I338,0,1,0)*SQRT($J$12)/365) * $P$12</f>
        <v/>
      </c>
      <c r="F338" s="139">
        <f>IF($O$12="sell",-1,1) * (-(B338*NORMDIST(I338,0,1,0)*$H$12)/(2*SQRT($J$12))/365) *$P$12</f>
        <v/>
      </c>
      <c r="G338" s="139">
        <f>IF($O$12="buy",1,-1)*( IF($K$12="call",B338*NORMDIST(I338,0,1,1) - $B$12*NORMDIST(J338,0,1,1),$B$12*NORMDIST(-J338,0,1,1) - B338*NORMDIST(-I338,0,1,1) ) - $G$12) * $P$12</f>
        <v/>
      </c>
      <c r="I338" s="140">
        <f>(LN(B338/$B$12)+($H$12^2/2)*($J$12))/($H$12*SQRT($J$12))</f>
        <v/>
      </c>
      <c r="J338" s="140">
        <f>I338 - $H$12*SQRT($J$12)</f>
        <v/>
      </c>
    </row>
    <row r="339" ht="13.5" customHeight="1" s="116">
      <c r="B339" s="144">
        <f>B309</f>
        <v/>
      </c>
      <c r="C339" s="139">
        <f>IF($O$12="sell",-1,1) *  IF($K$12="call",  NORMDIST(I339,0,1,1),  NORMDIST(I339,0,1,1)-1  ) * $P$12</f>
        <v/>
      </c>
      <c r="D339" s="139">
        <f>IF($O$12="sell",-1,1) * NORMDIST(I339,0,1,0)/(B339*$H$12*SQRT($J$12)) * $P$12</f>
        <v/>
      </c>
      <c r="E339" s="139">
        <f>IF($O$12="sell",-1,1) * (B339*NORMDIST(I339,0,1,0)*SQRT($J$12)/365) * $P$12</f>
        <v/>
      </c>
      <c r="F339" s="139">
        <f>IF($O$12="sell",-1,1) * (-(B339*NORMDIST(I339,0,1,0)*$H$12)/(2*SQRT($J$12))/365) *$P$12</f>
        <v/>
      </c>
      <c r="G339" s="139">
        <f>IF($O$12="buy",1,-1)*( IF($K$12="call",B339*NORMDIST(I339,0,1,1) - $B$12*NORMDIST(J339,0,1,1),$B$12*NORMDIST(-J339,0,1,1) - B339*NORMDIST(-I339,0,1,1) ) - $G$12) * $P$12</f>
        <v/>
      </c>
      <c r="I339" s="140">
        <f>(LN(B339/$B$12)+($H$12^2/2)*($J$12))/($H$12*SQRT($J$12))</f>
        <v/>
      </c>
      <c r="J339" s="140">
        <f>I339 - $H$12*SQRT($J$12)</f>
        <v/>
      </c>
    </row>
    <row r="340" ht="13.5" customHeight="1" s="116">
      <c r="B340" s="144">
        <f>B310</f>
        <v/>
      </c>
      <c r="C340" s="139">
        <f>IF($O$12="sell",-1,1) *  IF($K$12="call",  NORMDIST(I340,0,1,1),  NORMDIST(I340,0,1,1)-1  ) * $P$12</f>
        <v/>
      </c>
      <c r="D340" s="139">
        <f>IF($O$12="sell",-1,1) * NORMDIST(I340,0,1,0)/(B340*$H$12*SQRT($J$12)) * $P$12</f>
        <v/>
      </c>
      <c r="E340" s="139">
        <f>IF($O$12="sell",-1,1) * (B340*NORMDIST(I340,0,1,0)*SQRT($J$12)/365) * $P$12</f>
        <v/>
      </c>
      <c r="F340" s="139">
        <f>IF($O$12="sell",-1,1) * (-(B340*NORMDIST(I340,0,1,0)*$H$12)/(2*SQRT($J$12))/365) *$P$12</f>
        <v/>
      </c>
      <c r="G340" s="139">
        <f>IF($O$12="buy",1,-1)*( IF($K$12="call",B340*NORMDIST(I340,0,1,1) - $B$12*NORMDIST(J340,0,1,1),$B$12*NORMDIST(-J340,0,1,1) - B340*NORMDIST(-I340,0,1,1) ) - $G$12) * $P$12</f>
        <v/>
      </c>
      <c r="I340" s="140">
        <f>(LN(B340/$B$12)+($H$12^2/2)*($J$12))/($H$12*SQRT($J$12))</f>
        <v/>
      </c>
      <c r="J340" s="140">
        <f>I340 - $H$12*SQRT($J$12)</f>
        <v/>
      </c>
    </row>
    <row r="341" ht="13.5" customHeight="1" s="116">
      <c r="B341" s="144">
        <f>B311</f>
        <v/>
      </c>
      <c r="C341" s="139">
        <f>IF($O$12="sell",-1,1) *  IF($K$12="call",  NORMDIST(I341,0,1,1),  NORMDIST(I341,0,1,1)-1  ) * $P$12</f>
        <v/>
      </c>
      <c r="D341" s="139">
        <f>IF($O$12="sell",-1,1) * NORMDIST(I341,0,1,0)/(B341*$H$12*SQRT($J$12)) * $P$12</f>
        <v/>
      </c>
      <c r="E341" s="139">
        <f>IF($O$12="sell",-1,1) * (B341*NORMDIST(I341,0,1,0)*SQRT($J$12)/365) * $P$12</f>
        <v/>
      </c>
      <c r="F341" s="139">
        <f>IF($O$12="sell",-1,1) * (-(B341*NORMDIST(I341,0,1,0)*$H$12)/(2*SQRT($J$12))/365) *$P$12</f>
        <v/>
      </c>
      <c r="G341" s="139">
        <f>IF($O$12="buy",1,-1)*( IF($K$12="call",B341*NORMDIST(I341,0,1,1) - $B$12*NORMDIST(J341,0,1,1),$B$12*NORMDIST(-J341,0,1,1) - B341*NORMDIST(-I341,0,1,1) ) - $G$12) * $P$12</f>
        <v/>
      </c>
      <c r="I341" s="140">
        <f>(LN(B341/$B$12)+($H$12^2/2)*($J$12))/($H$12*SQRT($J$12))</f>
        <v/>
      </c>
      <c r="J341" s="140">
        <f>I341 - $H$12*SQRT($J$12)</f>
        <v/>
      </c>
    </row>
    <row r="342" ht="13.5" customHeight="1" s="116">
      <c r="B342" s="144">
        <f>B312</f>
        <v/>
      </c>
      <c r="C342" s="139">
        <f>IF($O$12="sell",-1,1) *  IF($K$12="call",  NORMDIST(I342,0,1,1),  NORMDIST(I342,0,1,1)-1  ) * $P$12</f>
        <v/>
      </c>
      <c r="D342" s="139">
        <f>IF($O$12="sell",-1,1) * NORMDIST(I342,0,1,0)/(B342*$H$12*SQRT($J$12)) * $P$12</f>
        <v/>
      </c>
      <c r="E342" s="139">
        <f>IF($O$12="sell",-1,1) * (B342*NORMDIST(I342,0,1,0)*SQRT($J$12)/365) * $P$12</f>
        <v/>
      </c>
      <c r="F342" s="139">
        <f>IF($O$12="sell",-1,1) * (-(B342*NORMDIST(I342,0,1,0)*$H$12)/(2*SQRT($J$12))/365) *$P$12</f>
        <v/>
      </c>
      <c r="G342" s="139">
        <f>IF($O$12="buy",1,-1)*( IF($K$12="call",B342*NORMDIST(I342,0,1,1) - $B$12*NORMDIST(J342,0,1,1),$B$12*NORMDIST(-J342,0,1,1) - B342*NORMDIST(-I342,0,1,1) ) - $G$12) * $P$12</f>
        <v/>
      </c>
      <c r="I342" s="140">
        <f>(LN(B342/$B$12)+($H$12^2/2)*($J$12))/($H$12*SQRT($J$12))</f>
        <v/>
      </c>
      <c r="J342" s="140">
        <f>I342 - $H$12*SQRT($J$12)</f>
        <v/>
      </c>
    </row>
    <row r="343" ht="13.5" customHeight="1" s="116"/>
    <row r="344" ht="13.5" customHeight="1" s="116"/>
    <row r="345" ht="13.5" customHeight="1" s="116">
      <c r="B345" s="137" t="n"/>
      <c r="C345" s="133" t="inlineStr">
        <is>
          <t>delta</t>
        </is>
      </c>
      <c r="D345" s="133" t="inlineStr">
        <is>
          <t>gamma</t>
        </is>
      </c>
      <c r="E345" s="133" t="inlineStr">
        <is>
          <t>vega</t>
        </is>
      </c>
      <c r="F345" s="133" t="inlineStr">
        <is>
          <t>theta</t>
        </is>
      </c>
      <c r="G345" s="133" t="inlineStr">
        <is>
          <t>mark_price</t>
        </is>
      </c>
      <c r="I345" s="133" t="inlineStr">
        <is>
          <t>d1</t>
        </is>
      </c>
      <c r="J345" s="133" t="inlineStr">
        <is>
          <t>d2</t>
        </is>
      </c>
    </row>
    <row r="346" ht="13.5" customHeight="1" s="116">
      <c r="A346" s="117">
        <f>A13</f>
        <v/>
      </c>
      <c r="B346" s="144">
        <f>B316</f>
        <v/>
      </c>
      <c r="C346" s="139">
        <f>IF($O$13="sell",-1,1) *  IF($K$13="call",  NORMDIST(I346,0,1,1),  NORMDIST(I346,0,1,1)-1  ) * $P$13</f>
        <v/>
      </c>
      <c r="D346" s="139">
        <f>IF($O$13="sell",-1,1) * NORMDIST(I346,0,1,0)/(B346*$H$13*SQRT($J$13)) * $P$13</f>
        <v/>
      </c>
      <c r="E346" s="139">
        <f>IF($O$13="sell",-1,1) * (B346*NORMDIST(I346,0,1,0)*SQRT($J$13)/365) * $P$13</f>
        <v/>
      </c>
      <c r="F346" s="139">
        <f>IF($O$13="sell",-1,1) * (-(B346*NORMDIST(I346,0,1,0)*$H$13)/(2*SQRT($J$13))/365) *$P$13</f>
        <v/>
      </c>
      <c r="G346" s="139">
        <f>IF($O$13="buy",1,-1)*( IF($K$13="call",B346*NORMDIST(I346,0,1,1) - $B$13*NORMDIST(J346,0,1,1),$B$13*NORMDIST(-J346,0,1,1) - B346*NORMDIST(-I346,0,1,1) ) - $G$13) * $P$13</f>
        <v/>
      </c>
      <c r="I346" s="140">
        <f>(LN(B346/$B$13)+($H$13^2/2)*($J$13))/($H$13*SQRT($J$13))</f>
        <v/>
      </c>
      <c r="J346" s="140">
        <f>I346 - $H$13*SQRT($J$13)</f>
        <v/>
      </c>
    </row>
    <row r="347" ht="13.5" customHeight="1" s="116">
      <c r="B347" s="144">
        <f>B317</f>
        <v/>
      </c>
      <c r="C347" s="139">
        <f>IF($O$13="sell",-1,1) *  IF($K$13="call",  NORMDIST(I347,0,1,1),  NORMDIST(I347,0,1,1)-1  ) * $P$13</f>
        <v/>
      </c>
      <c r="D347" s="139">
        <f>IF($O$13="sell",-1,1) * NORMDIST(I347,0,1,0)/(B347*$H$13*SQRT($J$13)) * $P$13</f>
        <v/>
      </c>
      <c r="E347" s="139">
        <f>IF($O$13="sell",-1,1) * (B347*NORMDIST(I347,0,1,0)*SQRT($J$13)/365) * $P$13</f>
        <v/>
      </c>
      <c r="F347" s="139">
        <f>IF($O$13="sell",-1,1) * (-(B347*NORMDIST(I347,0,1,0)*$H$13)/(2*SQRT($J$13))/365) *$P$13</f>
        <v/>
      </c>
      <c r="G347" s="139">
        <f>IF($O$13="buy",1,-1)*( IF($K$13="call",B347*NORMDIST(I347,0,1,1) - $B$13*NORMDIST(J347,0,1,1),$B$13*NORMDIST(-J347,0,1,1) - B347*NORMDIST(-I347,0,1,1) ) - $G$13) * $P$13</f>
        <v/>
      </c>
      <c r="I347" s="140">
        <f>(LN(B347/$B$13)+($H$13^2/2)*($J$13))/($H$13*SQRT($J$13))</f>
        <v/>
      </c>
      <c r="J347" s="140">
        <f>I347 - $H$13*SQRT($J$13)</f>
        <v/>
      </c>
    </row>
    <row r="348" ht="13.5" customHeight="1" s="116">
      <c r="B348" s="144">
        <f>B318</f>
        <v/>
      </c>
      <c r="C348" s="139">
        <f>IF($O$13="sell",-1,1) *  IF($K$13="call",  NORMDIST(I348,0,1,1),  NORMDIST(I348,0,1,1)-1  ) * $P$13</f>
        <v/>
      </c>
      <c r="D348" s="139">
        <f>IF($O$13="sell",-1,1) * NORMDIST(I348,0,1,0)/(B348*$H$13*SQRT($J$13)) * $P$13</f>
        <v/>
      </c>
      <c r="E348" s="139">
        <f>IF($O$13="sell",-1,1) * (B348*NORMDIST(I348,0,1,0)*SQRT($J$13)/365) * $P$13</f>
        <v/>
      </c>
      <c r="F348" s="139">
        <f>IF($O$13="sell",-1,1) * (-(B348*NORMDIST(I348,0,1,0)*$H$13)/(2*SQRT($J$13))/365) *$P$13</f>
        <v/>
      </c>
      <c r="G348" s="139">
        <f>IF($O$13="buy",1,-1)*( IF($K$13="call",B348*NORMDIST(I348,0,1,1) - $B$13*NORMDIST(J348,0,1,1),$B$13*NORMDIST(-J348,0,1,1) - B348*NORMDIST(-I348,0,1,1) ) - $G$13) * $P$13</f>
        <v/>
      </c>
      <c r="I348" s="140">
        <f>(LN(B348/$B$13)+($H$13^2/2)*($J$13))/($H$13*SQRT($J$13))</f>
        <v/>
      </c>
      <c r="J348" s="140">
        <f>I348 - $H$13*SQRT($J$13)</f>
        <v/>
      </c>
    </row>
    <row r="349" ht="13.5" customHeight="1" s="116">
      <c r="B349" s="144">
        <f>B319</f>
        <v/>
      </c>
      <c r="C349" s="139">
        <f>IF($O$13="sell",-1,1) *  IF($K$13="call",  NORMDIST(I349,0,1,1),  NORMDIST(I349,0,1,1)-1  ) * $P$13</f>
        <v/>
      </c>
      <c r="D349" s="139">
        <f>IF($O$13="sell",-1,1) * NORMDIST(I349,0,1,0)/(B349*$H$13*SQRT($J$13)) * $P$13</f>
        <v/>
      </c>
      <c r="E349" s="139">
        <f>IF($O$13="sell",-1,1) * (B349*NORMDIST(I349,0,1,0)*SQRT($J$13)/365) * $P$13</f>
        <v/>
      </c>
      <c r="F349" s="139">
        <f>IF($O$13="sell",-1,1) * (-(B349*NORMDIST(I349,0,1,0)*$H$13)/(2*SQRT($J$13))/365) *$P$13</f>
        <v/>
      </c>
      <c r="G349" s="139">
        <f>IF($O$13="buy",1,-1)*( IF($K$13="call",B349*NORMDIST(I349,0,1,1) - $B$13*NORMDIST(J349,0,1,1),$B$13*NORMDIST(-J349,0,1,1) - B349*NORMDIST(-I349,0,1,1) ) - $G$13) * $P$13</f>
        <v/>
      </c>
      <c r="I349" s="140">
        <f>(LN(B349/$B$13)+($H$13^2/2)*($J$13))/($H$13*SQRT($J$13))</f>
        <v/>
      </c>
      <c r="J349" s="140">
        <f>I349 - $H$13*SQRT($J$13)</f>
        <v/>
      </c>
    </row>
    <row r="350" ht="13.5" customHeight="1" s="116">
      <c r="B350" s="144">
        <f>B320</f>
        <v/>
      </c>
      <c r="C350" s="139">
        <f>IF($O$13="sell",-1,1) *  IF($K$13="call",  NORMDIST(I350,0,1,1),  NORMDIST(I350,0,1,1)-1  ) * $P$13</f>
        <v/>
      </c>
      <c r="D350" s="139">
        <f>IF($O$13="sell",-1,1) * NORMDIST(I350,0,1,0)/(B350*$H$13*SQRT($J$13)) * $P$13</f>
        <v/>
      </c>
      <c r="E350" s="139">
        <f>IF($O$13="sell",-1,1) * (B350*NORMDIST(I350,0,1,0)*SQRT($J$13)/365) * $P$13</f>
        <v/>
      </c>
      <c r="F350" s="139">
        <f>IF($O$13="sell",-1,1) * (-(B350*NORMDIST(I350,0,1,0)*$H$13)/(2*SQRT($J$13))/365) *$P$13</f>
        <v/>
      </c>
      <c r="G350" s="139">
        <f>IF($O$13="buy",1,-1)*( IF($K$13="call",B350*NORMDIST(I350,0,1,1) - $B$13*NORMDIST(J350,0,1,1),$B$13*NORMDIST(-J350,0,1,1) - B350*NORMDIST(-I350,0,1,1) ) - $G$13) * $P$13</f>
        <v/>
      </c>
      <c r="I350" s="140">
        <f>(LN(B350/$B$13)+($H$13^2/2)*($J$13))/($H$13*SQRT($J$13))</f>
        <v/>
      </c>
      <c r="J350" s="140">
        <f>I350 - $H$13*SQRT($J$13)</f>
        <v/>
      </c>
    </row>
    <row r="351" ht="13.5" customHeight="1" s="116">
      <c r="B351" s="144">
        <f>B321</f>
        <v/>
      </c>
      <c r="C351" s="139">
        <f>IF($O$13="sell",-1,1) *  IF($K$13="call",  NORMDIST(I351,0,1,1),  NORMDIST(I351,0,1,1)-1  ) * $P$13</f>
        <v/>
      </c>
      <c r="D351" s="139">
        <f>IF($O$13="sell",-1,1) * NORMDIST(I351,0,1,0)/(B351*$H$13*SQRT($J$13)) * $P$13</f>
        <v/>
      </c>
      <c r="E351" s="139">
        <f>IF($O$13="sell",-1,1) * (B351*NORMDIST(I351,0,1,0)*SQRT($J$13)/365) * $P$13</f>
        <v/>
      </c>
      <c r="F351" s="139">
        <f>IF($O$13="sell",-1,1) * (-(B351*NORMDIST(I351,0,1,0)*$H$13)/(2*SQRT($J$13))/365) *$P$13</f>
        <v/>
      </c>
      <c r="G351" s="139">
        <f>IF($O$13="buy",1,-1)*( IF($K$13="call",B351*NORMDIST(I351,0,1,1) - $B$13*NORMDIST(J351,0,1,1),$B$13*NORMDIST(-J351,0,1,1) - B351*NORMDIST(-I351,0,1,1) ) - $G$13) * $P$13</f>
        <v/>
      </c>
      <c r="I351" s="140">
        <f>(LN(B351/$B$13)+($H$13^2/2)*($J$13))/($H$13*SQRT($J$13))</f>
        <v/>
      </c>
      <c r="J351" s="140">
        <f>I351 - $H$13*SQRT($J$13)</f>
        <v/>
      </c>
    </row>
    <row r="352" ht="13.5" customHeight="1" s="116">
      <c r="B352" s="144">
        <f>B322</f>
        <v/>
      </c>
      <c r="C352" s="139">
        <f>IF($O$13="sell",-1,1) *  IF($K$13="call",  NORMDIST(I352,0,1,1),  NORMDIST(I352,0,1,1)-1  ) * $P$13</f>
        <v/>
      </c>
      <c r="D352" s="139">
        <f>IF($O$13="sell",-1,1) * NORMDIST(I352,0,1,0)/(B352*$H$13*SQRT($J$13)) * $P$13</f>
        <v/>
      </c>
      <c r="E352" s="139">
        <f>IF($O$13="sell",-1,1) * (B352*NORMDIST(I352,0,1,0)*SQRT($J$13)/365) * $P$13</f>
        <v/>
      </c>
      <c r="F352" s="139">
        <f>IF($O$13="sell",-1,1) * (-(B352*NORMDIST(I352,0,1,0)*$H$13)/(2*SQRT($J$13))/365) *$P$13</f>
        <v/>
      </c>
      <c r="G352" s="139">
        <f>IF($O$13="buy",1,-1)*( IF($K$13="call",B352*NORMDIST(I352,0,1,1) - $B$13*NORMDIST(J352,0,1,1),$B$13*NORMDIST(-J352,0,1,1) - B352*NORMDIST(-I352,0,1,1) ) - $G$13) * $P$13</f>
        <v/>
      </c>
      <c r="I352" s="140">
        <f>(LN(B352/$B$13)+($H$13^2/2)*($J$13))/($H$13*SQRT($J$13))</f>
        <v/>
      </c>
      <c r="J352" s="140">
        <f>I352 - $H$13*SQRT($J$13)</f>
        <v/>
      </c>
    </row>
    <row r="353" ht="13.5" customHeight="1" s="116">
      <c r="B353" s="144">
        <f>B323</f>
        <v/>
      </c>
      <c r="C353" s="139">
        <f>IF($O$13="sell",-1,1) *  IF($K$13="call",  NORMDIST(I353,0,1,1),  NORMDIST(I353,0,1,1)-1  ) * $P$13</f>
        <v/>
      </c>
      <c r="D353" s="139">
        <f>IF($O$13="sell",-1,1) * NORMDIST(I353,0,1,0)/(B353*$H$13*SQRT($J$13)) * $P$13</f>
        <v/>
      </c>
      <c r="E353" s="139">
        <f>IF($O$13="sell",-1,1) * (B353*NORMDIST(I353,0,1,0)*SQRT($J$13)/365) * $P$13</f>
        <v/>
      </c>
      <c r="F353" s="139">
        <f>IF($O$13="sell",-1,1) * (-(B353*NORMDIST(I353,0,1,0)*$H$13)/(2*SQRT($J$13))/365) *$P$13</f>
        <v/>
      </c>
      <c r="G353" s="139">
        <f>IF($O$13="buy",1,-1)*( IF($K$13="call",B353*NORMDIST(I353,0,1,1) - $B$13*NORMDIST(J353,0,1,1),$B$13*NORMDIST(-J353,0,1,1) - B353*NORMDIST(-I353,0,1,1) ) - $G$13) * $P$13</f>
        <v/>
      </c>
      <c r="I353" s="140">
        <f>(LN(B353/$B$13)+($H$13^2/2)*($J$13))/($H$13*SQRT($J$13))</f>
        <v/>
      </c>
      <c r="J353" s="140">
        <f>I353 - $H$13*SQRT($J$13)</f>
        <v/>
      </c>
    </row>
    <row r="354" ht="13.5" customHeight="1" s="116">
      <c r="B354" s="144">
        <f>B324</f>
        <v/>
      </c>
      <c r="C354" s="139">
        <f>IF($O$13="sell",-1,1) *  IF($K$13="call",  NORMDIST(I354,0,1,1),  NORMDIST(I354,0,1,1)-1  ) * $P$13</f>
        <v/>
      </c>
      <c r="D354" s="139">
        <f>IF($O$13="sell",-1,1) * NORMDIST(I354,0,1,0)/(B354*$H$13*SQRT($J$13)) * $P$13</f>
        <v/>
      </c>
      <c r="E354" s="139">
        <f>IF($O$13="sell",-1,1) * (B354*NORMDIST(I354,0,1,0)*SQRT($J$13)/365) * $P$13</f>
        <v/>
      </c>
      <c r="F354" s="139">
        <f>IF($O$13="sell",-1,1) * (-(B354*NORMDIST(I354,0,1,0)*$H$13)/(2*SQRT($J$13))/365) *$P$13</f>
        <v/>
      </c>
      <c r="G354" s="139">
        <f>IF($O$13="buy",1,-1)*( IF($K$13="call",B354*NORMDIST(I354,0,1,1) - $B$13*NORMDIST(J354,0,1,1),$B$13*NORMDIST(-J354,0,1,1) - B354*NORMDIST(-I354,0,1,1) ) - $G$13) * $P$13</f>
        <v/>
      </c>
      <c r="I354" s="140">
        <f>(LN(B354/$B$13)+($H$13^2/2)*($J$13))/($H$13*SQRT($J$13))</f>
        <v/>
      </c>
      <c r="J354" s="140">
        <f>I354 - $H$13*SQRT($J$13)</f>
        <v/>
      </c>
    </row>
    <row r="355" ht="13.5" customHeight="1" s="116">
      <c r="B355" s="144">
        <f>B325</f>
        <v/>
      </c>
      <c r="C355" s="139">
        <f>IF($O$13="sell",-1,1) *  IF($K$13="call",  NORMDIST(I355,0,1,1),  NORMDIST(I355,0,1,1)-1  ) * $P$13</f>
        <v/>
      </c>
      <c r="D355" s="139">
        <f>IF($O$13="sell",-1,1) * NORMDIST(I355,0,1,0)/(B355*$H$13*SQRT($J$13)) * $P$13</f>
        <v/>
      </c>
      <c r="E355" s="139">
        <f>IF($O$13="sell",-1,1) * (B355*NORMDIST(I355,0,1,0)*SQRT($J$13)/365) * $P$13</f>
        <v/>
      </c>
      <c r="F355" s="139">
        <f>IF($O$13="sell",-1,1) * (-(B355*NORMDIST(I355,0,1,0)*$H$13)/(2*SQRT($J$13))/365) *$P$13</f>
        <v/>
      </c>
      <c r="G355" s="139">
        <f>IF($O$13="buy",1,-1)*( IF($K$13="call",B355*NORMDIST(I355,0,1,1) - $B$13*NORMDIST(J355,0,1,1),$B$13*NORMDIST(-J355,0,1,1) - B355*NORMDIST(-I355,0,1,1) ) - $G$13) * $P$13</f>
        <v/>
      </c>
      <c r="I355" s="140">
        <f>(LN(B355/$B$13)+($H$13^2/2)*($J$13))/($H$13*SQRT($J$13))</f>
        <v/>
      </c>
      <c r="J355" s="140">
        <f>I355 - $H$13*SQRT($J$13)</f>
        <v/>
      </c>
    </row>
    <row r="356" ht="13.5" customHeight="1" s="116">
      <c r="B356" s="144">
        <f>B326</f>
        <v/>
      </c>
      <c r="C356" s="139">
        <f>IF($O$13="sell",-1,1) *  IF($K$13="call",  NORMDIST(I356,0,1,1),  NORMDIST(I356,0,1,1)-1  ) * $P$13</f>
        <v/>
      </c>
      <c r="D356" s="139">
        <f>IF($O$13="sell",-1,1) * NORMDIST(I356,0,1,0)/(B356*$H$13*SQRT($J$13)) * $P$13</f>
        <v/>
      </c>
      <c r="E356" s="139">
        <f>IF($O$13="sell",-1,1) * (B356*NORMDIST(I356,0,1,0)*SQRT($J$13)/365) * $P$13</f>
        <v/>
      </c>
      <c r="F356" s="139">
        <f>IF($O$13="sell",-1,1) * (-(B356*NORMDIST(I356,0,1,0)*$H$13)/(2*SQRT($J$13))/365) *$P$13</f>
        <v/>
      </c>
      <c r="G356" s="139">
        <f>IF($O$13="buy",1,-1)*( IF($K$13="call",B356*NORMDIST(I356,0,1,1) - $B$13*NORMDIST(J356,0,1,1),$B$13*NORMDIST(-J356,0,1,1) - B356*NORMDIST(-I356,0,1,1) ) - $G$13) * $P$13</f>
        <v/>
      </c>
      <c r="I356" s="140">
        <f>(LN(B356/$B$13)+($H$13^2/2)*($J$13))/($H$13*SQRT($J$13))</f>
        <v/>
      </c>
      <c r="J356" s="140">
        <f>I356 - $H$13*SQRT($J$13)</f>
        <v/>
      </c>
    </row>
    <row r="357" ht="13.5" customHeight="1" s="116">
      <c r="B357" s="144">
        <f>B327</f>
        <v/>
      </c>
      <c r="C357" s="139">
        <f>IF($O$13="sell",-1,1) *  IF($K$13="call",  NORMDIST(I357,0,1,1),  NORMDIST(I357,0,1,1)-1  ) * $P$13</f>
        <v/>
      </c>
      <c r="D357" s="139">
        <f>IF($O$13="sell",-1,1) * NORMDIST(I357,0,1,0)/(B357*$H$13*SQRT($J$13)) * $P$13</f>
        <v/>
      </c>
      <c r="E357" s="139">
        <f>IF($O$13="sell",-1,1) * (B357*NORMDIST(I357,0,1,0)*SQRT($J$13)/365) * $P$13</f>
        <v/>
      </c>
      <c r="F357" s="139">
        <f>IF($O$13="sell",-1,1) * (-(B357*NORMDIST(I357,0,1,0)*$H$13)/(2*SQRT($J$13))/365) *$P$13</f>
        <v/>
      </c>
      <c r="G357" s="139">
        <f>IF($O$13="buy",1,-1)*( IF($K$13="call",B357*NORMDIST(I357,0,1,1) - $B$13*NORMDIST(J357,0,1,1),$B$13*NORMDIST(-J357,0,1,1) - B357*NORMDIST(-I357,0,1,1) ) - $G$13) * $P$13</f>
        <v/>
      </c>
      <c r="I357" s="140">
        <f>(LN(B357/$B$13)+($H$13^2/2)*($J$13))/($H$13*SQRT($J$13))</f>
        <v/>
      </c>
      <c r="J357" s="140">
        <f>I357 - $H$13*SQRT($J$13)</f>
        <v/>
      </c>
    </row>
    <row r="358" ht="13.5" customHeight="1" s="116">
      <c r="B358" s="144">
        <f>B328</f>
        <v/>
      </c>
      <c r="C358" s="139">
        <f>IF($O$13="sell",-1,1) *  IF($K$13="call",  NORMDIST(I358,0,1,1),  NORMDIST(I358,0,1,1)-1  ) * $P$13</f>
        <v/>
      </c>
      <c r="D358" s="139">
        <f>IF($O$13="sell",-1,1) * NORMDIST(I358,0,1,0)/(B358*$H$13*SQRT($J$13)) * $P$13</f>
        <v/>
      </c>
      <c r="E358" s="139">
        <f>IF($O$13="sell",-1,1) * (B358*NORMDIST(I358,0,1,0)*SQRT($J$13)/365) * $P$13</f>
        <v/>
      </c>
      <c r="F358" s="139">
        <f>IF($O$13="sell",-1,1) * (-(B358*NORMDIST(I358,0,1,0)*$H$13)/(2*SQRT($J$13))/365) *$P$13</f>
        <v/>
      </c>
      <c r="G358" s="139">
        <f>IF($O$13="buy",1,-1)*( IF($K$13="call",B358*NORMDIST(I358,0,1,1) - $B$13*NORMDIST(J358,0,1,1),$B$13*NORMDIST(-J358,0,1,1) - B358*NORMDIST(-I358,0,1,1) ) - $G$13) * $P$13</f>
        <v/>
      </c>
      <c r="I358" s="140">
        <f>(LN(B358/$B$13)+($H$13^2/2)*($J$13))/($H$13*SQRT($J$13))</f>
        <v/>
      </c>
      <c r="J358" s="140">
        <f>I358 - $H$13*SQRT($J$13)</f>
        <v/>
      </c>
    </row>
    <row r="359" ht="13.5" customHeight="1" s="116">
      <c r="B359" s="144">
        <f>B329</f>
        <v/>
      </c>
      <c r="C359" s="139">
        <f>IF($O$13="sell",-1,1) *  IF($K$13="call",  NORMDIST(I359,0,1,1),  NORMDIST(I359,0,1,1)-1  ) * $P$13</f>
        <v/>
      </c>
      <c r="D359" s="139">
        <f>IF($O$13="sell",-1,1) * NORMDIST(I359,0,1,0)/(B359*$H$13*SQRT($J$13)) * $P$13</f>
        <v/>
      </c>
      <c r="E359" s="139">
        <f>IF($O$13="sell",-1,1) * (B359*NORMDIST(I359,0,1,0)*SQRT($J$13)/365) * $P$13</f>
        <v/>
      </c>
      <c r="F359" s="139">
        <f>IF($O$13="sell",-1,1) * (-(B359*NORMDIST(I359,0,1,0)*$H$13)/(2*SQRT($J$13))/365) *$P$13</f>
        <v/>
      </c>
      <c r="G359" s="139">
        <f>IF($O$13="buy",1,-1)*( IF($K$13="call",B359*NORMDIST(I359,0,1,1) - $B$13*NORMDIST(J359,0,1,1),$B$13*NORMDIST(-J359,0,1,1) - B359*NORMDIST(-I359,0,1,1) ) - $G$13) * $P$13</f>
        <v/>
      </c>
      <c r="I359" s="140">
        <f>(LN(B359/$B$13)+($H$13^2/2)*($J$13))/($H$13*SQRT($J$13))</f>
        <v/>
      </c>
      <c r="J359" s="140">
        <f>I359 - $H$13*SQRT($J$13)</f>
        <v/>
      </c>
    </row>
    <row r="360" ht="13.5" customHeight="1" s="116">
      <c r="B360" s="144">
        <f>B330</f>
        <v/>
      </c>
      <c r="C360" s="139">
        <f>IF($O$13="sell",-1,1) *  IF($K$13="call",  NORMDIST(I360,0,1,1),  NORMDIST(I360,0,1,1)-1  ) * $P$13</f>
        <v/>
      </c>
      <c r="D360" s="139">
        <f>IF($O$13="sell",-1,1) * NORMDIST(I360,0,1,0)/(B360*$H$13*SQRT($J$13)) * $P$13</f>
        <v/>
      </c>
      <c r="E360" s="139">
        <f>IF($O$13="sell",-1,1) * (B360*NORMDIST(I360,0,1,0)*SQRT($J$13)/365) * $P$13</f>
        <v/>
      </c>
      <c r="F360" s="139">
        <f>IF($O$13="sell",-1,1) * (-(B360*NORMDIST(I360,0,1,0)*$H$13)/(2*SQRT($J$13))/365) *$P$13</f>
        <v/>
      </c>
      <c r="G360" s="139">
        <f>IF($O$13="buy",1,-1)*( IF($K$13="call",B360*NORMDIST(I360,0,1,1) - $B$13*NORMDIST(J360,0,1,1),$B$13*NORMDIST(-J360,0,1,1) - B360*NORMDIST(-I360,0,1,1) ) - $G$13) * $P$13</f>
        <v/>
      </c>
      <c r="I360" s="140">
        <f>(LN(B360/$B$13)+($H$13^2/2)*($J$13))/($H$13*SQRT($J$13))</f>
        <v/>
      </c>
      <c r="J360" s="140">
        <f>I360 - $H$13*SQRT($J$13)</f>
        <v/>
      </c>
    </row>
    <row r="361" ht="13.5" customHeight="1" s="116">
      <c r="B361" s="144">
        <f>B331</f>
        <v/>
      </c>
      <c r="C361" s="139">
        <f>IF($O$13="sell",-1,1) *  IF($K$13="call",  NORMDIST(I361,0,1,1),  NORMDIST(I361,0,1,1)-1  ) * $P$13</f>
        <v/>
      </c>
      <c r="D361" s="139">
        <f>IF($O$13="sell",-1,1) * NORMDIST(I361,0,1,0)/(B361*$H$13*SQRT($J$13)) * $P$13</f>
        <v/>
      </c>
      <c r="E361" s="139">
        <f>IF($O$13="sell",-1,1) * (B361*NORMDIST(I361,0,1,0)*SQRT($J$13)/365) * $P$13</f>
        <v/>
      </c>
      <c r="F361" s="139">
        <f>IF($O$13="sell",-1,1) * (-(B361*NORMDIST(I361,0,1,0)*$H$13)/(2*SQRT($J$13))/365) *$P$13</f>
        <v/>
      </c>
      <c r="G361" s="139">
        <f>IF($O$13="buy",1,-1)*( IF($K$13="call",B361*NORMDIST(I361,0,1,1) - $B$13*NORMDIST(J361,0,1,1),$B$13*NORMDIST(-J361,0,1,1) - B361*NORMDIST(-I361,0,1,1) ) - $G$13) * $P$13</f>
        <v/>
      </c>
      <c r="I361" s="140">
        <f>(LN(B361/$B$13)+($H$13^2/2)*($J$13))/($H$13*SQRT($J$13))</f>
        <v/>
      </c>
      <c r="J361" s="140">
        <f>I361 - $H$13*SQRT($J$13)</f>
        <v/>
      </c>
    </row>
    <row r="362" ht="13.5" customHeight="1" s="116">
      <c r="B362" s="144">
        <f>B332</f>
        <v/>
      </c>
      <c r="C362" s="139">
        <f>IF($O$13="sell",-1,1) *  IF($K$13="call",  NORMDIST(I362,0,1,1),  NORMDIST(I362,0,1,1)-1  ) * $P$13</f>
        <v/>
      </c>
      <c r="D362" s="139">
        <f>IF($O$13="sell",-1,1) * NORMDIST(I362,0,1,0)/(B362*$H$13*SQRT($J$13)) * $P$13</f>
        <v/>
      </c>
      <c r="E362" s="139">
        <f>IF($O$13="sell",-1,1) * (B362*NORMDIST(I362,0,1,0)*SQRT($J$13)/365) * $P$13</f>
        <v/>
      </c>
      <c r="F362" s="139">
        <f>IF($O$13="sell",-1,1) * (-(B362*NORMDIST(I362,0,1,0)*$H$13)/(2*SQRT($J$13))/365) *$P$13</f>
        <v/>
      </c>
      <c r="G362" s="139">
        <f>IF($O$13="buy",1,-1)*( IF($K$13="call",B362*NORMDIST(I362,0,1,1) - $B$13*NORMDIST(J362,0,1,1),$B$13*NORMDIST(-J362,0,1,1) - B362*NORMDIST(-I362,0,1,1) ) - $G$13) * $P$13</f>
        <v/>
      </c>
      <c r="I362" s="140">
        <f>(LN(B362/$B$13)+($H$13^2/2)*($J$13))/($H$13*SQRT($J$13))</f>
        <v/>
      </c>
      <c r="J362" s="140">
        <f>I362 - $H$13*SQRT($J$13)</f>
        <v/>
      </c>
    </row>
    <row r="363" ht="13.5" customHeight="1" s="116">
      <c r="B363" s="144">
        <f>B333</f>
        <v/>
      </c>
      <c r="C363" s="139">
        <f>IF($O$13="sell",-1,1) *  IF($K$13="call",  NORMDIST(I363,0,1,1),  NORMDIST(I363,0,1,1)-1  ) * $P$13</f>
        <v/>
      </c>
      <c r="D363" s="139">
        <f>IF($O$13="sell",-1,1) * NORMDIST(I363,0,1,0)/(B363*$H$13*SQRT($J$13)) * $P$13</f>
        <v/>
      </c>
      <c r="E363" s="139">
        <f>IF($O$13="sell",-1,1) * (B363*NORMDIST(I363,0,1,0)*SQRT($J$13)/365) * $P$13</f>
        <v/>
      </c>
      <c r="F363" s="139">
        <f>IF($O$13="sell",-1,1) * (-(B363*NORMDIST(I363,0,1,0)*$H$13)/(2*SQRT($J$13))/365) *$P$13</f>
        <v/>
      </c>
      <c r="G363" s="139">
        <f>IF($O$13="buy",1,-1)*( IF($K$13="call",B363*NORMDIST(I363,0,1,1) - $B$13*NORMDIST(J363,0,1,1),$B$13*NORMDIST(-J363,0,1,1) - B363*NORMDIST(-I363,0,1,1) ) - $G$13) * $P$13</f>
        <v/>
      </c>
      <c r="I363" s="140">
        <f>(LN(B363/$B$13)+($H$13^2/2)*($J$13))/($H$13*SQRT($J$13))</f>
        <v/>
      </c>
      <c r="J363" s="140">
        <f>I363 - $H$13*SQRT($J$13)</f>
        <v/>
      </c>
    </row>
    <row r="364" ht="13.5" customHeight="1" s="116">
      <c r="B364" s="144">
        <f>B334</f>
        <v/>
      </c>
      <c r="C364" s="139">
        <f>IF($O$13="sell",-1,1) *  IF($K$13="call",  NORMDIST(I364,0,1,1),  NORMDIST(I364,0,1,1)-1  ) * $P$13</f>
        <v/>
      </c>
      <c r="D364" s="139">
        <f>IF($O$13="sell",-1,1) * NORMDIST(I364,0,1,0)/(B364*$H$13*SQRT($J$13)) * $P$13</f>
        <v/>
      </c>
      <c r="E364" s="139">
        <f>IF($O$13="sell",-1,1) * (B364*NORMDIST(I364,0,1,0)*SQRT($J$13)/365) * $P$13</f>
        <v/>
      </c>
      <c r="F364" s="139">
        <f>IF($O$13="sell",-1,1) * (-(B364*NORMDIST(I364,0,1,0)*$H$13)/(2*SQRT($J$13))/365) *$P$13</f>
        <v/>
      </c>
      <c r="G364" s="139">
        <f>IF($O$13="buy",1,-1)*( IF($K$13="call",B364*NORMDIST(I364,0,1,1) - $B$13*NORMDIST(J364,0,1,1),$B$13*NORMDIST(-J364,0,1,1) - B364*NORMDIST(-I364,0,1,1) ) - $G$13) * $P$13</f>
        <v/>
      </c>
      <c r="I364" s="140">
        <f>(LN(B364/$B$13)+($H$13^2/2)*($J$13))/($H$13*SQRT($J$13))</f>
        <v/>
      </c>
      <c r="J364" s="140">
        <f>I364 - $H$13*SQRT($J$13)</f>
        <v/>
      </c>
    </row>
    <row r="365" ht="13.5" customHeight="1" s="116">
      <c r="B365" s="144">
        <f>B335</f>
        <v/>
      </c>
      <c r="C365" s="139">
        <f>IF($O$13="sell",-1,1) *  IF($K$13="call",  NORMDIST(I365,0,1,1),  NORMDIST(I365,0,1,1)-1  ) * $P$13</f>
        <v/>
      </c>
      <c r="D365" s="139">
        <f>IF($O$13="sell",-1,1) * NORMDIST(I365,0,1,0)/(B365*$H$13*SQRT($J$13)) * $P$13</f>
        <v/>
      </c>
      <c r="E365" s="139">
        <f>IF($O$13="sell",-1,1) * (B365*NORMDIST(I365,0,1,0)*SQRT($J$13)/365) * $P$13</f>
        <v/>
      </c>
      <c r="F365" s="139">
        <f>IF($O$13="sell",-1,1) * (-(B365*NORMDIST(I365,0,1,0)*$H$13)/(2*SQRT($J$13))/365) *$P$13</f>
        <v/>
      </c>
      <c r="G365" s="139">
        <f>IF($O$13="buy",1,-1)*( IF($K$13="call",B365*NORMDIST(I365,0,1,1) - $B$13*NORMDIST(J365,0,1,1),$B$13*NORMDIST(-J365,0,1,1) - B365*NORMDIST(-I365,0,1,1) ) - $G$13) * $P$13</f>
        <v/>
      </c>
      <c r="I365" s="140">
        <f>(LN(B365/$B$13)+($H$13^2/2)*($J$13))/($H$13*SQRT($J$13))</f>
        <v/>
      </c>
      <c r="J365" s="140">
        <f>I365 - $H$13*SQRT($J$13)</f>
        <v/>
      </c>
    </row>
    <row r="366" ht="13.5" customHeight="1" s="116">
      <c r="B366" s="144">
        <f>B336</f>
        <v/>
      </c>
      <c r="C366" s="139">
        <f>IF($O$13="sell",-1,1) *  IF($K$13="call",  NORMDIST(I366,0,1,1),  NORMDIST(I366,0,1,1)-1  ) * $P$13</f>
        <v/>
      </c>
      <c r="D366" s="139">
        <f>IF($O$13="sell",-1,1) * NORMDIST(I366,0,1,0)/(B366*$H$13*SQRT($J$13)) * $P$13</f>
        <v/>
      </c>
      <c r="E366" s="139">
        <f>IF($O$13="sell",-1,1) * (B366*NORMDIST(I366,0,1,0)*SQRT($J$13)/365) * $P$13</f>
        <v/>
      </c>
      <c r="F366" s="139">
        <f>IF($O$13="sell",-1,1) * (-(B366*NORMDIST(I366,0,1,0)*$H$13)/(2*SQRT($J$13))/365) *$P$13</f>
        <v/>
      </c>
      <c r="G366" s="139">
        <f>IF($O$13="buy",1,-1)*( IF($K$13="call",B366*NORMDIST(I366,0,1,1) - $B$13*NORMDIST(J366,0,1,1),$B$13*NORMDIST(-J366,0,1,1) - B366*NORMDIST(-I366,0,1,1) ) - $G$13) * $P$13</f>
        <v/>
      </c>
      <c r="I366" s="140">
        <f>(LN(B366/$B$13)+($H$13^2/2)*($J$13))/($H$13*SQRT($J$13))</f>
        <v/>
      </c>
      <c r="J366" s="140">
        <f>I366 - $H$13*SQRT($J$13)</f>
        <v/>
      </c>
    </row>
    <row r="367" ht="13.5" customHeight="1" s="116">
      <c r="B367" s="144">
        <f>B337</f>
        <v/>
      </c>
      <c r="C367" s="139">
        <f>IF($O$13="sell",-1,1) *  IF($K$13="call",  NORMDIST(I367,0,1,1),  NORMDIST(I367,0,1,1)-1  ) * $P$13</f>
        <v/>
      </c>
      <c r="D367" s="139">
        <f>IF($O$13="sell",-1,1) * NORMDIST(I367,0,1,0)/(B367*$H$13*SQRT($J$13)) * $P$13</f>
        <v/>
      </c>
      <c r="E367" s="139">
        <f>IF($O$13="sell",-1,1) * (B367*NORMDIST(I367,0,1,0)*SQRT($J$13)/365) * $P$13</f>
        <v/>
      </c>
      <c r="F367" s="139">
        <f>IF($O$13="sell",-1,1) * (-(B367*NORMDIST(I367,0,1,0)*$H$13)/(2*SQRT($J$13))/365) *$P$13</f>
        <v/>
      </c>
      <c r="G367" s="139">
        <f>IF($O$13="buy",1,-1)*( IF($K$13="call",B367*NORMDIST(I367,0,1,1) - $B$13*NORMDIST(J367,0,1,1),$B$13*NORMDIST(-J367,0,1,1) - B367*NORMDIST(-I367,0,1,1) ) - $G$13) * $P$13</f>
        <v/>
      </c>
      <c r="I367" s="140">
        <f>(LN(B367/$B$13)+($H$13^2/2)*($J$13))/($H$13*SQRT($J$13))</f>
        <v/>
      </c>
      <c r="J367" s="140">
        <f>I367 - $H$13*SQRT($J$13)</f>
        <v/>
      </c>
    </row>
    <row r="368" ht="13.5" customHeight="1" s="116">
      <c r="B368" s="144">
        <f>B338</f>
        <v/>
      </c>
      <c r="C368" s="139">
        <f>IF($O$13="sell",-1,1) *  IF($K$13="call",  NORMDIST(I368,0,1,1),  NORMDIST(I368,0,1,1)-1  ) * $P$13</f>
        <v/>
      </c>
      <c r="D368" s="139">
        <f>IF($O$13="sell",-1,1) * NORMDIST(I368,0,1,0)/(B368*$H$13*SQRT($J$13)) * $P$13</f>
        <v/>
      </c>
      <c r="E368" s="139">
        <f>IF($O$13="sell",-1,1) * (B368*NORMDIST(I368,0,1,0)*SQRT($J$13)/365) * $P$13</f>
        <v/>
      </c>
      <c r="F368" s="139">
        <f>IF($O$13="sell",-1,1) * (-(B368*NORMDIST(I368,0,1,0)*$H$13)/(2*SQRT($J$13))/365) *$P$13</f>
        <v/>
      </c>
      <c r="G368" s="139">
        <f>IF($O$13="buy",1,-1)*( IF($K$13="call",B368*NORMDIST(I368,0,1,1) - $B$13*NORMDIST(J368,0,1,1),$B$13*NORMDIST(-J368,0,1,1) - B368*NORMDIST(-I368,0,1,1) ) - $G$13) * $P$13</f>
        <v/>
      </c>
      <c r="I368" s="140">
        <f>(LN(B368/$B$13)+($H$13^2/2)*($J$13))/($H$13*SQRT($J$13))</f>
        <v/>
      </c>
      <c r="J368" s="140">
        <f>I368 - $H$13*SQRT($J$13)</f>
        <v/>
      </c>
    </row>
    <row r="369" ht="13.5" customHeight="1" s="116">
      <c r="B369" s="144">
        <f>B339</f>
        <v/>
      </c>
      <c r="C369" s="139">
        <f>IF($O$13="sell",-1,1) *  IF($K$13="call",  NORMDIST(I369,0,1,1),  NORMDIST(I369,0,1,1)-1  ) * $P$13</f>
        <v/>
      </c>
      <c r="D369" s="139">
        <f>IF($O$13="sell",-1,1) * NORMDIST(I369,0,1,0)/(B369*$H$13*SQRT($J$13)) * $P$13</f>
        <v/>
      </c>
      <c r="E369" s="139">
        <f>IF($O$13="sell",-1,1) * (B369*NORMDIST(I369,0,1,0)*SQRT($J$13)/365) * $P$13</f>
        <v/>
      </c>
      <c r="F369" s="139">
        <f>IF($O$13="sell",-1,1) * (-(B369*NORMDIST(I369,0,1,0)*$H$13)/(2*SQRT($J$13))/365) *$P$13</f>
        <v/>
      </c>
      <c r="G369" s="139">
        <f>IF($O$13="buy",1,-1)*( IF($K$13="call",B369*NORMDIST(I369,0,1,1) - $B$13*NORMDIST(J369,0,1,1),$B$13*NORMDIST(-J369,0,1,1) - B369*NORMDIST(-I369,0,1,1) ) - $G$13) * $P$13</f>
        <v/>
      </c>
      <c r="I369" s="140">
        <f>(LN(B369/$B$13)+($H$13^2/2)*($J$13))/($H$13*SQRT($J$13))</f>
        <v/>
      </c>
      <c r="J369" s="140">
        <f>I369 - $H$13*SQRT($J$13)</f>
        <v/>
      </c>
    </row>
    <row r="370" ht="13.5" customHeight="1" s="116">
      <c r="B370" s="144">
        <f>B340</f>
        <v/>
      </c>
      <c r="C370" s="139">
        <f>IF($O$13="sell",-1,1) *  IF($K$13="call",  NORMDIST(I370,0,1,1),  NORMDIST(I370,0,1,1)-1  ) * $P$13</f>
        <v/>
      </c>
      <c r="D370" s="139">
        <f>IF($O$13="sell",-1,1) * NORMDIST(I370,0,1,0)/(B370*$H$13*SQRT($J$13)) * $P$13</f>
        <v/>
      </c>
      <c r="E370" s="139">
        <f>IF($O$13="sell",-1,1) * (B370*NORMDIST(I370,0,1,0)*SQRT($J$13)/365) * $P$13</f>
        <v/>
      </c>
      <c r="F370" s="139">
        <f>IF($O$13="sell",-1,1) * (-(B370*NORMDIST(I370,0,1,0)*$H$13)/(2*SQRT($J$13))/365) *$P$13</f>
        <v/>
      </c>
      <c r="G370" s="139">
        <f>IF($O$13="buy",1,-1)*( IF($K$13="call",B370*NORMDIST(I370,0,1,1) - $B$13*NORMDIST(J370,0,1,1),$B$13*NORMDIST(-J370,0,1,1) - B370*NORMDIST(-I370,0,1,1) ) - $G$13) * $P$13</f>
        <v/>
      </c>
      <c r="I370" s="140">
        <f>(LN(B370/$B$13)+($H$13^2/2)*($J$13))/($H$13*SQRT($J$13))</f>
        <v/>
      </c>
      <c r="J370" s="140">
        <f>I370 - $H$13*SQRT($J$13)</f>
        <v/>
      </c>
    </row>
    <row r="371" ht="13.5" customHeight="1" s="116">
      <c r="B371" s="144">
        <f>B341</f>
        <v/>
      </c>
      <c r="C371" s="139">
        <f>IF($O$13="sell",-1,1) *  IF($K$13="call",  NORMDIST(I371,0,1,1),  NORMDIST(I371,0,1,1)-1  ) * $P$13</f>
        <v/>
      </c>
      <c r="D371" s="139">
        <f>IF($O$13="sell",-1,1) * NORMDIST(I371,0,1,0)/(B371*$H$13*SQRT($J$13)) * $P$13</f>
        <v/>
      </c>
      <c r="E371" s="139">
        <f>IF($O$13="sell",-1,1) * (B371*NORMDIST(I371,0,1,0)*SQRT($J$13)/365) * $P$13</f>
        <v/>
      </c>
      <c r="F371" s="139">
        <f>IF($O$13="sell",-1,1) * (-(B371*NORMDIST(I371,0,1,0)*$H$13)/(2*SQRT($J$13))/365) *$P$13</f>
        <v/>
      </c>
      <c r="G371" s="139">
        <f>IF($O$13="buy",1,-1)*( IF($K$13="call",B371*NORMDIST(I371,0,1,1) - $B$13*NORMDIST(J371,0,1,1),$B$13*NORMDIST(-J371,0,1,1) - B371*NORMDIST(-I371,0,1,1) ) - $G$13) * $P$13</f>
        <v/>
      </c>
      <c r="I371" s="140">
        <f>(LN(B371/$B$13)+($H$13^2/2)*($J$13))/($H$13*SQRT($J$13))</f>
        <v/>
      </c>
      <c r="J371" s="140">
        <f>I371 - $H$13*SQRT($J$13)</f>
        <v/>
      </c>
    </row>
    <row r="372" ht="13.5" customHeight="1" s="116">
      <c r="B372" s="144">
        <f>B342</f>
        <v/>
      </c>
      <c r="C372" s="139">
        <f>IF($O$13="sell",-1,1) *  IF($K$13="call",  NORMDIST(I372,0,1,1),  NORMDIST(I372,0,1,1)-1  ) * $P$13</f>
        <v/>
      </c>
      <c r="D372" s="139">
        <f>IF($O$13="sell",-1,1) * NORMDIST(I372,0,1,0)/(B372*$H$13*SQRT($J$13)) * $P$13</f>
        <v/>
      </c>
      <c r="E372" s="139">
        <f>IF($O$13="sell",-1,1) * (B372*NORMDIST(I372,0,1,0)*SQRT($J$13)/365) * $P$13</f>
        <v/>
      </c>
      <c r="F372" s="139">
        <f>IF($O$13="sell",-1,1) * (-(B372*NORMDIST(I372,0,1,0)*$H$13)/(2*SQRT($J$13))/365) *$P$13</f>
        <v/>
      </c>
      <c r="G372" s="139">
        <f>IF($O$13="buy",1,-1)*( IF($K$13="call",B372*NORMDIST(I372,0,1,1) - $B$13*NORMDIST(J372,0,1,1),$B$13*NORMDIST(-J372,0,1,1) - B372*NORMDIST(-I372,0,1,1) ) - $G$13) * $P$13</f>
        <v/>
      </c>
      <c r="I372" s="140">
        <f>(LN(B372/$B$13)+($H$13^2/2)*($J$13))/($H$13*SQRT($J$13))</f>
        <v/>
      </c>
      <c r="J372" s="140">
        <f>I372 - $H$13*SQRT($J$13)</f>
        <v/>
      </c>
    </row>
    <row r="373" ht="13.5" customHeight="1" s="116"/>
    <row r="374" ht="13.5" customHeight="1" s="116"/>
    <row r="375" ht="13.5" customHeight="1" s="116"/>
    <row r="376" ht="13.5" customHeight="1" s="116"/>
    <row r="377" ht="13.5" customHeight="1" s="116"/>
    <row r="378" ht="17.25" customHeight="1" s="116">
      <c r="A378" s="117" t="inlineStr">
        <is>
          <t>Total_Greeks</t>
        </is>
      </c>
      <c r="B378" s="137" t="n"/>
      <c r="C378" s="133" t="inlineStr">
        <is>
          <t>delta</t>
        </is>
      </c>
      <c r="D378" s="133" t="inlineStr">
        <is>
          <t>gamma</t>
        </is>
      </c>
      <c r="E378" s="133" t="inlineStr">
        <is>
          <t>vega</t>
        </is>
      </c>
      <c r="F378" s="133" t="inlineStr">
        <is>
          <t>theta</t>
        </is>
      </c>
      <c r="G378" s="133" t="inlineStr">
        <is>
          <t>mark_price</t>
        </is>
      </c>
    </row>
    <row r="379" ht="13.5" customHeight="1" s="116">
      <c r="B379" s="144">
        <f>B19</f>
        <v/>
      </c>
      <c r="C379" s="139">
        <f>C19+C48+C77+C106+C136+C166+C196+C226+C256+C286+C316+C346</f>
        <v/>
      </c>
      <c r="D379" s="139">
        <f>D19+D48+D77+D106+D136+D166+D196+D226+D256+D286+D316+D346</f>
        <v/>
      </c>
      <c r="E379" s="139">
        <f>E19+E48+E77+E106+E136+E166+E196+E226+E256+E286+E316+E346</f>
        <v/>
      </c>
      <c r="F379" s="139">
        <f>F19+F48+F77+F106+F136+F166+F196+F226+F256+F286+F316+F346</f>
        <v/>
      </c>
      <c r="G379" s="139">
        <f>G19+G48+G77+G106+G136+G166+G196+G226+G256+G286+G316+G346</f>
        <v/>
      </c>
    </row>
    <row r="380" ht="13.5" customHeight="1" s="116">
      <c r="B380" s="144">
        <f>B20</f>
        <v/>
      </c>
      <c r="C380" s="139">
        <f>C20+C49+C78+C107+C137+C167+C197+C227+C257+C287+C317+C347</f>
        <v/>
      </c>
      <c r="D380" s="139">
        <f>D20+D49+D78+D107+D137+D167+D197+D227+D257+D287+D317+D347</f>
        <v/>
      </c>
      <c r="E380" s="139">
        <f>E20+E49+E78+E107+E137+E167+E197+E227+E257+E287+E317+E347</f>
        <v/>
      </c>
      <c r="F380" s="139">
        <f>F20+F49+F78+F107+F137+F167+F197+F227+F257+F287+F317+F347</f>
        <v/>
      </c>
      <c r="G380" s="139">
        <f>G20+G49+G78+G107+G137+G167+G197+G227+G257+G287+G317+G347</f>
        <v/>
      </c>
    </row>
    <row r="381" ht="13.5" customHeight="1" s="116">
      <c r="B381" s="144">
        <f>B21</f>
        <v/>
      </c>
      <c r="C381" s="139">
        <f>C21+C50+C79+C108+C138+C168+C198+C228+C258+C288+C318+C348</f>
        <v/>
      </c>
      <c r="D381" s="139">
        <f>D21+D50+D79+D108+D138+D168+D198+D228+D258+D288+D318+D348</f>
        <v/>
      </c>
      <c r="E381" s="139">
        <f>E21+E50+E79+E108+E138+E168+E198+E228+E258+E288+E318+E348</f>
        <v/>
      </c>
      <c r="F381" s="139">
        <f>F21+F50+F79+F108+F138+F168+F198+F228+F258+F288+F318+F348</f>
        <v/>
      </c>
      <c r="G381" s="139">
        <f>G21+G50+G79+G108+G138+G168+G198+G228+G258+G288+G318+G348</f>
        <v/>
      </c>
    </row>
    <row r="382" ht="13.5" customHeight="1" s="116">
      <c r="B382" s="144">
        <f>B22</f>
        <v/>
      </c>
      <c r="C382" s="139">
        <f>C22+C51+C80+C109+C139+C169+C199+C229+C259+C289+C319+C349</f>
        <v/>
      </c>
      <c r="D382" s="139">
        <f>D22+D51+D80+D109+D139+D169+D199+D229+D259+D289+D319+D349</f>
        <v/>
      </c>
      <c r="E382" s="139">
        <f>E22+E51+E80+E109+E139+E169+E199+E229+E259+E289+E319+E349</f>
        <v/>
      </c>
      <c r="F382" s="139">
        <f>F22+F51+F80+F109+F139+F169+F199+F229+F259+F289+F319+F349</f>
        <v/>
      </c>
      <c r="G382" s="139">
        <f>G22+G51+G80+G109+G139+G169+G199+G229+G259+G289+G319+G349</f>
        <v/>
      </c>
    </row>
    <row r="383" ht="13.5" customHeight="1" s="116">
      <c r="B383" s="144">
        <f>B23</f>
        <v/>
      </c>
      <c r="C383" s="139">
        <f>C23+C52+C81+C110+C140+C170+C200+C230+C260+C290+C320+C350</f>
        <v/>
      </c>
      <c r="D383" s="139">
        <f>D23+D52+D81+D110+D140+D170+D200+D230+D260+D290+D320+D350</f>
        <v/>
      </c>
      <c r="E383" s="139">
        <f>E23+E52+E81+E110+E140+E170+E200+E230+E260+E290+E320+E350</f>
        <v/>
      </c>
      <c r="F383" s="139">
        <f>F23+F52+F81+F110+F140+F170+F200+F230+F260+F290+F320+F350</f>
        <v/>
      </c>
      <c r="G383" s="139">
        <f>G23+G52+G81+G110+G140+G170+G200+G230+G260+G290+G320+G350</f>
        <v/>
      </c>
    </row>
    <row r="384" ht="13.5" customHeight="1" s="116">
      <c r="B384" s="144">
        <f>B24</f>
        <v/>
      </c>
      <c r="C384" s="139">
        <f>C24+C53+C82+C111+C141+C171+C201+C231+C261+C291+C321+C351</f>
        <v/>
      </c>
      <c r="D384" s="139">
        <f>D24+D53+D82+D111+D141+D171+D201+D231+D261+D291+D321+D351</f>
        <v/>
      </c>
      <c r="E384" s="139">
        <f>E24+E53+E82+E111+E141+E171+E201+E231+E261+E291+E321+E351</f>
        <v/>
      </c>
      <c r="F384" s="139">
        <f>F24+F53+F82+F111+F141+F171+F201+F231+F261+F291+F321+F351</f>
        <v/>
      </c>
      <c r="G384" s="139">
        <f>G24+G53+G82+G111+G141+G171+G201+G231+G261+G291+G321+G351</f>
        <v/>
      </c>
    </row>
    <row r="385" ht="13.5" customHeight="1" s="116">
      <c r="B385" s="144">
        <f>B25</f>
        <v/>
      </c>
      <c r="C385" s="139">
        <f>C25+C54+C83+C112+C142+C172+C202+C232+C262+C292+C322+C352</f>
        <v/>
      </c>
      <c r="D385" s="139">
        <f>D25+D54+D83+D112+D142+D172+D202+D232+D262+D292+D322+D352</f>
        <v/>
      </c>
      <c r="E385" s="139">
        <f>E25+E54+E83+E112+E142+E172+E202+E232+E262+E292+E322+E352</f>
        <v/>
      </c>
      <c r="F385" s="139">
        <f>F25+F54+F83+F112+F142+F172+F202+F232+F262+F292+F322+F352</f>
        <v/>
      </c>
      <c r="G385" s="139">
        <f>G25+G54+G83+G112+G142+G172+G202+G232+G262+G292+G322+G352</f>
        <v/>
      </c>
    </row>
    <row r="386" ht="13.5" customHeight="1" s="116">
      <c r="B386" s="144">
        <f>B26</f>
        <v/>
      </c>
      <c r="C386" s="139">
        <f>C26+C55+C84+C113+C143+C173+C203+C233+C263+C293+C323+C353</f>
        <v/>
      </c>
      <c r="D386" s="139">
        <f>D26+D55+D84+D113+D143+D173+D203+D233+D263+D293+D323+D353</f>
        <v/>
      </c>
      <c r="E386" s="139">
        <f>E26+E55+E84+E113+E143+E173+E203+E233+E263+E293+E323+E353</f>
        <v/>
      </c>
      <c r="F386" s="139">
        <f>F26+F55+F84+F113+F143+F173+F203+F233+F263+F293+F323+F353</f>
        <v/>
      </c>
      <c r="G386" s="139">
        <f>G26+G55+G84+G113+G143+G173+G203+G233+G263+G293+G323+G353</f>
        <v/>
      </c>
    </row>
    <row r="387" ht="13.5" customHeight="1" s="116">
      <c r="B387" s="144">
        <f>B27</f>
        <v/>
      </c>
      <c r="C387" s="139">
        <f>C27+C56+C85+C114+C144+C174+C204+C234+C264+C294+C324+C354</f>
        <v/>
      </c>
      <c r="D387" s="139">
        <f>D27+D56+D85+D114+D144+D174+D204+D234+D264+D294+D324+D354</f>
        <v/>
      </c>
      <c r="E387" s="139">
        <f>E27+E56+E85+E114+E144+E174+E204+E234+E264+E294+E324+E354</f>
        <v/>
      </c>
      <c r="F387" s="139">
        <f>F27+F56+F85+F114+F144+F174+F204+F234+F264+F294+F324+F354</f>
        <v/>
      </c>
      <c r="G387" s="139">
        <f>G27+G56+G85+G114+G144+G174+G204+G234+G264+G294+G324+G354</f>
        <v/>
      </c>
    </row>
    <row r="388" ht="13.5" customHeight="1" s="116">
      <c r="B388" s="144">
        <f>B28</f>
        <v/>
      </c>
      <c r="C388" s="139">
        <f>C28+C57+C86+C115+C145+C175+C205+C235+C265+C295+C325+C355</f>
        <v/>
      </c>
      <c r="D388" s="139">
        <f>D28+D57+D86+D115+D145+D175+D205+D235+D265+D295+D325+D355</f>
        <v/>
      </c>
      <c r="E388" s="139">
        <f>E28+E57+E86+E115+E145+E175+E205+E235+E265+E295+E325+E355</f>
        <v/>
      </c>
      <c r="F388" s="139">
        <f>F28+F57+F86+F115+F145+F175+F205+F235+F265+F295+F325+F355</f>
        <v/>
      </c>
      <c r="G388" s="139">
        <f>G28+G57+G86+G115+G145+G175+G205+G235+G265+G295+G325+G355</f>
        <v/>
      </c>
    </row>
    <row r="389" ht="13.5" customHeight="1" s="116">
      <c r="B389" s="144">
        <f>B29</f>
        <v/>
      </c>
      <c r="C389" s="139">
        <f>C29+C58+C87+C116+C146+C176+C206+C236+C266+C296+C326+C356</f>
        <v/>
      </c>
      <c r="D389" s="139">
        <f>D29+D58+D87+D116+D146+D176+D206+D236+D266+D296+D326+D356</f>
        <v/>
      </c>
      <c r="E389" s="139">
        <f>E29+E58+E87+E116+E146+E176+E206+E236+E266+E296+E326+E356</f>
        <v/>
      </c>
      <c r="F389" s="139">
        <f>F29+F58+F87+F116+F146+F176+F206+F236+F266+F296+F326+F356</f>
        <v/>
      </c>
      <c r="G389" s="139">
        <f>G29+G58+G87+G116+G146+G176+G206+G236+G266+G296+G326+G356</f>
        <v/>
      </c>
    </row>
    <row r="390" ht="13.5" customHeight="1" s="116">
      <c r="B390" s="144">
        <f>B30</f>
        <v/>
      </c>
      <c r="C390" s="139">
        <f>C30+C59+C88+C117+C147+C177+C207+C237+C267+C297+C327+C357</f>
        <v/>
      </c>
      <c r="D390" s="139">
        <f>D30+D59+D88+D117+D147+D177+D207+D237+D267+D297+D327+D357</f>
        <v/>
      </c>
      <c r="E390" s="139">
        <f>E30+E59+E88+E117+E147+E177+E207+E237+E267+E297+E327+E357</f>
        <v/>
      </c>
      <c r="F390" s="139">
        <f>F30+F59+F88+F117+F147+F177+F207+F237+F267+F297+F327+F357</f>
        <v/>
      </c>
      <c r="G390" s="139">
        <f>G30+G59+G88+G117+G147+G177+G207+G237+G267+G297+G327+G357</f>
        <v/>
      </c>
    </row>
    <row r="391" ht="13.5" customHeight="1" s="116">
      <c r="B391" s="144">
        <f>B31</f>
        <v/>
      </c>
      <c r="C391" s="139">
        <f>C31+C60+C89+C118+C148+C178+C208+C238+C268+C298+C328+C358</f>
        <v/>
      </c>
      <c r="D391" s="139">
        <f>D31+D60+D89+D118+D148+D178+D208+D238+D268+D298+D328+D358</f>
        <v/>
      </c>
      <c r="E391" s="139">
        <f>E31+E60+E89+E118+E148+E178+E208+E238+E268+E298+E328+E358</f>
        <v/>
      </c>
      <c r="F391" s="139">
        <f>F31+F60+F89+F118+F148+F178+F208+F238+F268+F298+F328+F358</f>
        <v/>
      </c>
      <c r="G391" s="139">
        <f>G31+G60+G89+G118+G148+G178+G208+G238+G268+G298+G328+G358</f>
        <v/>
      </c>
    </row>
    <row r="392" ht="13.5" customHeight="1" s="116">
      <c r="B392" s="144">
        <f>B32</f>
        <v/>
      </c>
      <c r="C392" s="139">
        <f>C32+C61+C90+C119+C149+C179+C209+C239+C269+C299+C329+C359</f>
        <v/>
      </c>
      <c r="D392" s="139">
        <f>D32+D61+D90+D119+D149+D179+D209+D239+D269+D299+D329+D359</f>
        <v/>
      </c>
      <c r="E392" s="139">
        <f>E32+E61+E90+E119+E149+E179+E209+E239+E269+E299+E329+E359</f>
        <v/>
      </c>
      <c r="F392" s="139">
        <f>F32+F61+F90+F119+F149+F179+F209+F239+F269+F299+F329+F359</f>
        <v/>
      </c>
      <c r="G392" s="139">
        <f>G32+G61+G90+G119+G149+G179+G209+G239+G269+G299+G329+G359</f>
        <v/>
      </c>
    </row>
    <row r="393" ht="13.5" customHeight="1" s="116">
      <c r="B393" s="144">
        <f>B33</f>
        <v/>
      </c>
      <c r="C393" s="139">
        <f>C33+C62+C91+C120+C150+C180+C210+C240+C270+C300+C330+C360</f>
        <v/>
      </c>
      <c r="D393" s="139">
        <f>D33+D62+D91+D120+D150+D180+D210+D240+D270+D300+D330+D360</f>
        <v/>
      </c>
      <c r="E393" s="139">
        <f>E33+E62+E91+E120+E150+E180+E210+E240+E270+E300+E330+E360</f>
        <v/>
      </c>
      <c r="F393" s="139">
        <f>F33+F62+F91+F120+F150+F180+F210+F240+F270+F300+F330+F360</f>
        <v/>
      </c>
      <c r="G393" s="139">
        <f>G33+G62+G91+G120+G150+G180+G210+G240+G270+G300+G330+G360</f>
        <v/>
      </c>
    </row>
    <row r="394" ht="13.5" customHeight="1" s="116">
      <c r="B394" s="144">
        <f>B34</f>
        <v/>
      </c>
      <c r="C394" s="139">
        <f>C34+C63+C92+C121+C151+C181+C211+C241+C271+C301+C331+C361</f>
        <v/>
      </c>
      <c r="D394" s="139">
        <f>D34+D63+D92+D121+D151+D181+D211+D241+D271+D301+D331+D361</f>
        <v/>
      </c>
      <c r="E394" s="139">
        <f>E34+E63+E92+E121+E151+E181+E211+E241+E271+E301+E331+E361</f>
        <v/>
      </c>
      <c r="F394" s="139">
        <f>F34+F63+F92+F121+F151+F181+F211+F241+F271+F301+F331+F361</f>
        <v/>
      </c>
      <c r="G394" s="139">
        <f>G34+G63+G92+G121+G151+G181+G211+G241+G271+G301+G331+G361</f>
        <v/>
      </c>
    </row>
    <row r="395" ht="13.5" customHeight="1" s="116">
      <c r="B395" s="144">
        <f>B35</f>
        <v/>
      </c>
      <c r="C395" s="139">
        <f>C35+C64+C93+C122+C152+C182+C212+C242+C272+C302+C332+C362</f>
        <v/>
      </c>
      <c r="D395" s="139">
        <f>D35+D64+D93+D122+D152+D182+D212+D242+D272+D302+D332+D362</f>
        <v/>
      </c>
      <c r="E395" s="139">
        <f>E35+E64+E93+E122+E152+E182+E212+E242+E272+E302+E332+E362</f>
        <v/>
      </c>
      <c r="F395" s="139">
        <f>F35+F64+F93+F122+F152+F182+F212+F242+F272+F302+F332+F362</f>
        <v/>
      </c>
      <c r="G395" s="139">
        <f>G35+G64+G93+G122+G152+G182+G212+G242+G272+G302+G332+G362</f>
        <v/>
      </c>
    </row>
    <row r="396" ht="13.5" customHeight="1" s="116">
      <c r="B396" s="144">
        <f>B36</f>
        <v/>
      </c>
      <c r="C396" s="139">
        <f>C36+C65+C94+C123+C153+C183+C213+C243+C273+C303+C333+C363</f>
        <v/>
      </c>
      <c r="D396" s="139">
        <f>D36+D65+D94+D123+D153+D183+D213+D243+D273+D303+D333+D363</f>
        <v/>
      </c>
      <c r="E396" s="139">
        <f>E36+E65+E94+E123+E153+E183+E213+E243+E273+E303+E333+E363</f>
        <v/>
      </c>
      <c r="F396" s="139">
        <f>F36+F65+F94+F123+F153+F183+F213+F243+F273+F303+F333+F363</f>
        <v/>
      </c>
      <c r="G396" s="139">
        <f>G36+G65+G94+G123+G153+G183+G213+G243+G273+G303+G333+G363</f>
        <v/>
      </c>
    </row>
    <row r="397" ht="13.5" customHeight="1" s="116">
      <c r="B397" s="144">
        <f>B37</f>
        <v/>
      </c>
      <c r="C397" s="139">
        <f>C37+C66+C95+C124+C154+C184+C214+C244+C274+C304+C334+C364</f>
        <v/>
      </c>
      <c r="D397" s="139">
        <f>D37+D66+D95+D124+D154+D184+D214+D244+D274+D304+D334+D364</f>
        <v/>
      </c>
      <c r="E397" s="139">
        <f>E37+E66+E95+E124+E154+E184+E214+E244+E274+E304+E334+E364</f>
        <v/>
      </c>
      <c r="F397" s="139">
        <f>F37+F66+F95+F124+F154+F184+F214+F244+F274+F304+F334+F364</f>
        <v/>
      </c>
      <c r="G397" s="139">
        <f>G37+G66+G95+G124+G154+G184+G214+G244+G274+G304+G334+G364</f>
        <v/>
      </c>
    </row>
    <row r="398" ht="13.5" customHeight="1" s="116">
      <c r="B398" s="144">
        <f>B38</f>
        <v/>
      </c>
      <c r="C398" s="139">
        <f>C38+C67+C96+C125+C155+C185+C215+C245+C275+C305+C335+C365</f>
        <v/>
      </c>
      <c r="D398" s="139">
        <f>D38+D67+D96+D125+D155+D185+D215+D245+D275+D305+D335+D365</f>
        <v/>
      </c>
      <c r="E398" s="139">
        <f>E38+E67+E96+E125+E155+E185+E215+E245+E275+E305+E335+E365</f>
        <v/>
      </c>
      <c r="F398" s="139">
        <f>F38+F67+F96+F125+F155+F185+F215+F245+F275+F305+F335+F365</f>
        <v/>
      </c>
      <c r="G398" s="139">
        <f>G38+G67+G96+G125+G155+G185+G215+G245+G275+G305+G335+G365</f>
        <v/>
      </c>
    </row>
    <row r="399" ht="13.5" customHeight="1" s="116">
      <c r="B399" s="144">
        <f>B39</f>
        <v/>
      </c>
      <c r="C399" s="139">
        <f>C39+C68+C97+C126+C156+C186+C216+C246+C276+C306+C336+C366</f>
        <v/>
      </c>
      <c r="D399" s="139">
        <f>D39+D68+D97+D126+D156+D186+D216+D246+D276+D306+D336+D366</f>
        <v/>
      </c>
      <c r="E399" s="139">
        <f>E39+E68+E97+E126+E156+E186+E216+E246+E276+E306+E336+E366</f>
        <v/>
      </c>
      <c r="F399" s="139">
        <f>F39+F68+F97+F126+F156+F186+F216+F246+F276+F306+F336+F366</f>
        <v/>
      </c>
      <c r="G399" s="139">
        <f>G39+G68+G97+G126+G156+G186+G216+G246+G276+G306+G336+G366</f>
        <v/>
      </c>
    </row>
    <row r="400" ht="13.5" customHeight="1" s="116">
      <c r="B400" s="144">
        <f>B40</f>
        <v/>
      </c>
      <c r="C400" s="139">
        <f>C40+C69+C98+C127+C157+C187+C217+C247+C277+C307+C337+C367</f>
        <v/>
      </c>
      <c r="D400" s="139">
        <f>D40+D69+D98+D127+D157+D187+D217+D247+D277+D307+D337+D367</f>
        <v/>
      </c>
      <c r="E400" s="139">
        <f>E40+E69+E98+E127+E157+E187+E217+E247+E277+E307+E337+E367</f>
        <v/>
      </c>
      <c r="F400" s="139">
        <f>F40+F69+F98+F127+F157+F187+F217+F247+F277+F307+F337+F367</f>
        <v/>
      </c>
      <c r="G400" s="139">
        <f>G40+G69+G98+G127+G157+G187+G217+G247+G277+G307+G337+G367</f>
        <v/>
      </c>
    </row>
    <row r="401" ht="13.5" customHeight="1" s="116">
      <c r="B401" s="144">
        <f>B41</f>
        <v/>
      </c>
      <c r="C401" s="139">
        <f>C41+C70+C99+C128+C158+C188+C218+C248+C278+C308+C338+C368</f>
        <v/>
      </c>
      <c r="D401" s="139">
        <f>D41+D70+D99+D128+D158+D188+D218+D248+D278+D308+D338+D368</f>
        <v/>
      </c>
      <c r="E401" s="139">
        <f>E41+E70+E99+E128+E158+E188+E218+E248+E278+E308+E338+E368</f>
        <v/>
      </c>
      <c r="F401" s="139">
        <f>F41+F70+F99+F128+F158+F188+F218+F248+F278+F308+F338+F368</f>
        <v/>
      </c>
      <c r="G401" s="139">
        <f>G41+G70+G99+G128+G158+G188+G218+G248+G278+G308+G338+G368</f>
        <v/>
      </c>
    </row>
    <row r="402" ht="13.5" customHeight="1" s="116">
      <c r="B402" s="144">
        <f>B42</f>
        <v/>
      </c>
      <c r="C402" s="139">
        <f>C42+C71+C100+C129+C159+C189+C219+C249+C279+C309+C339+C369</f>
        <v/>
      </c>
      <c r="D402" s="139">
        <f>D42+D71+D100+D129+D159+D189+D219+D249+D279+D309+D339+D369</f>
        <v/>
      </c>
      <c r="E402" s="139">
        <f>E42+E71+E100+E129+E159+E189+E219+E249+E279+E309+E339+E369</f>
        <v/>
      </c>
      <c r="F402" s="139">
        <f>F42+F71+F100+F129+F159+F189+F219+F249+F279+F309+F339+F369</f>
        <v/>
      </c>
      <c r="G402" s="139">
        <f>G42+G71+G100+G129+G159+G189+G219+G249+G279+G309+G339+G369</f>
        <v/>
      </c>
    </row>
    <row r="403" ht="13.5" customHeight="1" s="116">
      <c r="B403" s="144">
        <f>B43</f>
        <v/>
      </c>
      <c r="C403" s="139">
        <f>C43+C72+C101+C130+C160+C190+C220+C250+C280+C310+C340+C370</f>
        <v/>
      </c>
      <c r="D403" s="139">
        <f>D43+D72+D101+D130+D160+D190+D220+D250+D280+D310+D340+D370</f>
        <v/>
      </c>
      <c r="E403" s="139">
        <f>E43+E72+E101+E130+E160+E190+E220+E250+E280+E310+E340+E370</f>
        <v/>
      </c>
      <c r="F403" s="139">
        <f>F43+F72+F101+F130+F160+F190+F220+F250+F280+F310+F340+F370</f>
        <v/>
      </c>
      <c r="G403" s="139">
        <f>G43+G72+G101+G130+G160+G190+G220+G250+G280+G310+G340+G370</f>
        <v/>
      </c>
    </row>
    <row r="404" ht="13.5" customHeight="1" s="116">
      <c r="B404" s="144">
        <f>B44</f>
        <v/>
      </c>
      <c r="C404" s="139">
        <f>C44+C73+C102+C131+C161+C191+C221+C251+C281+C311+C341+C371</f>
        <v/>
      </c>
      <c r="D404" s="139">
        <f>D44+D73+D102+D131+D161+D191+D221+D251+D281+D311+D341+D371</f>
        <v/>
      </c>
      <c r="E404" s="139">
        <f>E44+E73+E102+E131+E161+E191+E221+E251+E281+E311+E341+E371</f>
        <v/>
      </c>
      <c r="F404" s="139">
        <f>F44+F73+F102+F131+F161+F191+F221+F251+F281+F311+F341+F371</f>
        <v/>
      </c>
      <c r="G404" s="139">
        <f>G44+G73+G102+G131+G161+G191+G221+G251+G281+G311+G341+G371</f>
        <v/>
      </c>
    </row>
    <row r="405" ht="13.5" customHeight="1" s="116">
      <c r="B405" s="144">
        <f>B45</f>
        <v/>
      </c>
      <c r="C405" s="139">
        <f>C45+C74+C103+C132+C162+C192+C222+C252+C282+C312+C342+C372</f>
        <v/>
      </c>
      <c r="D405" s="139">
        <f>D45+D74+D103+D132+D162+D192+D222+D252+D282+D312+D342+D372</f>
        <v/>
      </c>
      <c r="E405" s="139">
        <f>E45+E74+E103+E132+E162+E192+E222+E252+E282+E312+E342+E372</f>
        <v/>
      </c>
      <c r="F405" s="139">
        <f>F45+F74+F103+F132+F162+F192+F222+F252+F282+F312+F342+F372</f>
        <v/>
      </c>
      <c r="G405" s="139">
        <f>G45+G74+G103+G132+G162+G192+G222+G252+G282+G312+G342+G372</f>
        <v/>
      </c>
    </row>
    <row r="1048576" ht="12.75" customHeight="1" s="116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T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25" activeCellId="0" sqref="K25"/>
    </sheetView>
  </sheetViews>
  <sheetFormatPr baseColWidth="8" defaultColWidth="11.53515625" defaultRowHeight="14.25" zeroHeight="0" outlineLevelRow="0"/>
  <cols>
    <col width="4.31" customWidth="1" style="117" min="1" max="1"/>
    <col width="22.76" customWidth="1" style="117" min="2" max="2"/>
    <col width="13.95" customWidth="1" style="117" min="3" max="3"/>
    <col width="11.03" customWidth="1" style="117" min="4" max="4"/>
    <col width="9.529999999999999" customWidth="1" style="117" min="5" max="5"/>
    <col width="10.76" customWidth="1" style="117" min="6" max="6"/>
    <col width="11.53" customWidth="1" style="117" min="7" max="13"/>
    <col width="7.69" customWidth="1" style="117" min="14" max="14"/>
    <col width="8.800000000000001" customWidth="1" style="117" min="15" max="16"/>
    <col width="9.359999999999999" customWidth="1" style="117" min="17" max="17"/>
    <col width="9.08" customWidth="1" style="117" min="18" max="18"/>
    <col width="9.529999999999999" customWidth="1" style="117" min="19" max="19"/>
    <col width="10.76" customWidth="1" style="117" min="20" max="21"/>
    <col width="11.03" customWidth="1" style="117" min="22" max="22"/>
    <col width="7.09" customWidth="1" style="117" min="23" max="23"/>
    <col width="11.53" customWidth="1" style="117" min="24" max="28"/>
    <col width="8.800000000000001" customWidth="1" style="117" min="29" max="29"/>
    <col width="7.69" customWidth="1" style="117" min="30" max="30"/>
    <col width="9.529999999999999" customWidth="1" style="117" min="31" max="31"/>
    <col width="8.800000000000001" customWidth="1" style="117" min="32" max="32"/>
    <col width="7.69" customWidth="1" style="117" min="33" max="34"/>
    <col width="9.529999999999999" customWidth="1" style="117" min="35" max="35"/>
    <col width="8.800000000000001" customWidth="1" style="117" min="36" max="36"/>
    <col width="7.69" customWidth="1" style="117" min="37" max="38"/>
    <col width="9.529999999999999" customWidth="1" style="117" min="39" max="39"/>
    <col width="8.800000000000001" customWidth="1" style="117" min="40" max="40"/>
    <col width="7.69" customWidth="1" style="117" min="41" max="42"/>
    <col width="9.529999999999999" customWidth="1" style="117" min="43" max="43"/>
    <col width="8.800000000000001" customWidth="1" style="117" min="44" max="44"/>
    <col width="7.69" customWidth="1" style="117" min="45" max="46"/>
    <col width="9.529999999999999" customWidth="1" style="117" min="47" max="47"/>
    <col width="8.800000000000001" customWidth="1" style="117" min="48" max="48"/>
    <col width="7.69" customWidth="1" style="117" min="49" max="50"/>
    <col width="9.529999999999999" customWidth="1" style="117" min="51" max="51"/>
    <col width="8.800000000000001" customWidth="1" style="117" min="52" max="52"/>
  </cols>
  <sheetData>
    <row r="1" ht="12.75" customHeight="1" s="116">
      <c r="B1" s="129" t="n"/>
      <c r="C1" s="182" t="inlineStr">
        <is>
          <t>Кол</t>
        </is>
      </c>
      <c r="D1" s="182" t="inlineStr">
        <is>
          <t>Цена</t>
        </is>
      </c>
      <c r="E1" s="182" t="inlineStr">
        <is>
          <t>Стоимость</t>
        </is>
      </c>
    </row>
    <row r="2" ht="12.75" customHeight="1" s="116">
      <c r="B2" s="129" t="inlineStr">
        <is>
          <t>Sol</t>
        </is>
      </c>
      <c r="C2" s="149">
        <f>Portfolio!C10</f>
        <v/>
      </c>
      <c r="D2" s="132">
        <f>Portfolio!D10</f>
        <v/>
      </c>
      <c r="E2" s="132">
        <f>Portfolio!F10</f>
        <v/>
      </c>
      <c r="G2" s="212" t="inlineStr">
        <is>
          <t>min delta</t>
        </is>
      </c>
      <c r="H2" s="212" t="n">
        <v>0.2</v>
      </c>
      <c r="I2" s="212" t="n">
        <v>0.3</v>
      </c>
      <c r="P2" s="118" t="inlineStr">
        <is>
          <t>DTE</t>
        </is>
      </c>
      <c r="Q2" s="119" t="inlineStr">
        <is>
          <t>% просадки</t>
        </is>
      </c>
    </row>
    <row r="3" ht="12.75" customHeight="1" s="116">
      <c r="C3" s="131" t="n"/>
      <c r="D3" s="131" t="n"/>
      <c r="O3" s="150" t="inlineStr">
        <is>
          <t>Ближний слой</t>
        </is>
      </c>
      <c r="P3" s="149" t="inlineStr">
        <is>
          <t>5-10</t>
        </is>
      </c>
      <c r="Q3" s="151" t="n">
        <v>0</v>
      </c>
      <c r="R3" s="151" t="n">
        <v>0.05</v>
      </c>
    </row>
    <row r="4" ht="12.75" customHeight="1" s="116">
      <c r="B4" s="129" t="inlineStr">
        <is>
          <t>Лимит</t>
        </is>
      </c>
      <c r="C4" s="132">
        <f>Portfolio!D14</f>
        <v/>
      </c>
      <c r="D4" s="132">
        <f>Portfolio!E14</f>
        <v/>
      </c>
      <c r="O4" s="215" t="inlineStr">
        <is>
          <t>Средний слой</t>
        </is>
      </c>
      <c r="P4" s="216" t="inlineStr">
        <is>
          <t>10-20</t>
        </is>
      </c>
      <c r="Q4" s="217" t="n">
        <v>0.05</v>
      </c>
      <c r="R4" s="217" t="n">
        <v>0.15</v>
      </c>
    </row>
    <row r="5" ht="12.75" customHeight="1" s="116">
      <c r="O5" s="150" t="inlineStr">
        <is>
          <t>Дальный слой</t>
        </is>
      </c>
      <c r="P5" s="149" t="inlineStr">
        <is>
          <t>20-40</t>
        </is>
      </c>
      <c r="Q5" s="151" t="n">
        <v>0.16</v>
      </c>
      <c r="R5" s="151" t="inlineStr">
        <is>
          <t>выше</t>
        </is>
      </c>
    </row>
    <row r="6" ht="12.75" customHeight="1" s="116"/>
    <row r="7" ht="12.75" customHeight="1" s="116">
      <c r="R7" s="147" t="n"/>
      <c r="X7" s="119" t="n"/>
      <c r="Z7" s="118" t="n"/>
      <c r="AA7" s="118" t="n"/>
    </row>
    <row r="8" ht="14.25" customHeight="1" s="116">
      <c r="B8" s="133" t="inlineStr">
        <is>
          <t>symbol</t>
        </is>
      </c>
      <c r="C8" s="133" t="inlineStr">
        <is>
          <t>strike</t>
        </is>
      </c>
      <c r="D8" s="133" t="inlineStr">
        <is>
          <t>delta</t>
        </is>
      </c>
      <c r="E8" s="133" t="inlineStr">
        <is>
          <t>DTE</t>
        </is>
      </c>
      <c r="F8" s="133" t="inlineStr">
        <is>
          <t>% price</t>
        </is>
      </c>
      <c r="G8" s="133" t="inlineStr">
        <is>
          <t>кол</t>
        </is>
      </c>
      <c r="H8" s="133" t="inlineStr">
        <is>
          <t>price</t>
        </is>
      </c>
      <c r="I8" s="133" t="inlineStr">
        <is>
          <t>cost</t>
        </is>
      </c>
      <c r="J8" s="133" t="inlineStr">
        <is>
          <t>% cost</t>
        </is>
      </c>
      <c r="K8" s="133" t="inlineStr">
        <is>
          <t>%priceCur</t>
        </is>
      </c>
      <c r="L8" s="117" t="inlineStr">
        <is>
          <t>вклад дел</t>
        </is>
      </c>
      <c r="N8" s="148" t="n"/>
      <c r="O8" s="133" t="inlineStr">
        <is>
          <t>Strike</t>
        </is>
      </c>
      <c r="P8" s="149" t="inlineStr">
        <is>
          <t>Delta</t>
        </is>
      </c>
      <c r="Q8" s="149" t="inlineStr">
        <is>
          <t>Pnl</t>
        </is>
      </c>
      <c r="R8" s="149" t="inlineStr">
        <is>
          <t>Intrin</t>
        </is>
      </c>
      <c r="S8" s="129" t="inlineStr">
        <is>
          <t>Acclerat</t>
        </is>
      </c>
      <c r="X8" s="119" t="n"/>
      <c r="AE8" s="148" t="n"/>
      <c r="AF8" s="148" t="n"/>
      <c r="AG8" s="148" t="n"/>
      <c r="AH8" s="148" t="n"/>
      <c r="AI8" s="148" t="n"/>
      <c r="AJ8" s="148" t="n"/>
      <c r="AK8" s="148" t="n"/>
      <c r="AL8" s="148" t="n"/>
      <c r="AM8" s="148" t="n"/>
      <c r="AN8" s="148" t="n"/>
      <c r="AO8" s="148" t="n"/>
      <c r="AP8" s="148" t="n"/>
      <c r="AQ8" s="148" t="n"/>
      <c r="AR8" s="148" t="n"/>
      <c r="AS8" s="148" t="n"/>
      <c r="AT8" s="148" t="n"/>
      <c r="AU8" s="148" t="n"/>
      <c r="AV8" s="148" t="n"/>
    </row>
    <row r="9" ht="14.25" customHeight="1" s="116">
      <c r="B9" s="218">
        <f>Far_laeyr!B59</f>
        <v/>
      </c>
      <c r="C9" s="219">
        <f>Far_laeyr!C59</f>
        <v/>
      </c>
      <c r="D9" s="220">
        <f>Far_laeyr!D59</f>
        <v/>
      </c>
      <c r="E9" s="219" t="n">
        <v>12</v>
      </c>
      <c r="F9" s="221">
        <f>Far_laeyr!F59</f>
        <v/>
      </c>
      <c r="G9" s="219">
        <f>Far_laeyr!G59</f>
        <v/>
      </c>
      <c r="H9" s="220">
        <f>Far_laeyr!H59</f>
        <v/>
      </c>
      <c r="I9" s="220">
        <f>Far_laeyr!I59</f>
        <v/>
      </c>
      <c r="J9" s="221">
        <f>Far_laeyr!J59</f>
        <v/>
      </c>
      <c r="K9" s="221">
        <f>Far_laeyr!L59</f>
        <v/>
      </c>
      <c r="M9" s="131" t="n"/>
      <c r="N9" s="118" t="n"/>
      <c r="O9" s="189" t="n">
        <v>80</v>
      </c>
      <c r="P9" s="149">
        <f>VLOOKUP(O9,$N$78:$Q$104,2,0)</f>
        <v/>
      </c>
      <c r="Q9" s="132">
        <f>VLOOKUP(O9,$N$78:$Q$104,3,0)</f>
        <v/>
      </c>
      <c r="R9" s="130">
        <f>VLOOKUP(O9,$N$78:$Q$104,4,0)</f>
        <v/>
      </c>
      <c r="S9" s="129" t="n"/>
      <c r="T9" s="134" t="n"/>
      <c r="X9" s="119" t="n"/>
    </row>
    <row r="10" ht="14.25" customHeight="1" s="116">
      <c r="B10" s="219">
        <f>Far_laeyr!B60</f>
        <v/>
      </c>
      <c r="C10" s="219">
        <f>Far_laeyr!C60</f>
        <v/>
      </c>
      <c r="D10" s="220">
        <f>Far_laeyr!D60</f>
        <v/>
      </c>
      <c r="E10" s="219" t="n">
        <v>12</v>
      </c>
      <c r="F10" s="221">
        <f>Far_laeyr!F60</f>
        <v/>
      </c>
      <c r="G10" s="219">
        <f>Far_laeyr!G60</f>
        <v/>
      </c>
      <c r="H10" s="220">
        <f>Far_laeyr!H60</f>
        <v/>
      </c>
      <c r="I10" s="220">
        <f>Far_laeyr!I60</f>
        <v/>
      </c>
      <c r="J10" s="221">
        <f>Far_laeyr!J60</f>
        <v/>
      </c>
      <c r="K10" s="221">
        <f>Far_laeyr!L60</f>
        <v/>
      </c>
      <c r="N10" s="118" t="n"/>
      <c r="O10" s="189" t="n">
        <v>78</v>
      </c>
      <c r="P10" s="149">
        <f>VLOOKUP(O10,$N$78:$Q$104,2,0)</f>
        <v/>
      </c>
      <c r="Q10" s="132">
        <f>VLOOKUP(O10,$N$78:$Q$104,3,0)</f>
        <v/>
      </c>
      <c r="R10" s="130">
        <f>VLOOKUP(O10,$N$78:$Q$104,4,0)</f>
        <v/>
      </c>
      <c r="S10" s="130">
        <f>Q10-Q9</f>
        <v/>
      </c>
      <c r="T10" s="134" t="n"/>
      <c r="X10" s="119" t="n"/>
      <c r="Y10" s="119" t="n"/>
    </row>
    <row r="11" ht="14.25" customHeight="1" s="116">
      <c r="B11" s="219">
        <f>Far_laeyr!B61</f>
        <v/>
      </c>
      <c r="C11" s="219">
        <f>Far_laeyr!C61</f>
        <v/>
      </c>
      <c r="D11" s="220">
        <f>Far_laeyr!D61</f>
        <v/>
      </c>
      <c r="E11" s="219" t="n">
        <v>47</v>
      </c>
      <c r="F11" s="221">
        <f>Far_laeyr!F61</f>
        <v/>
      </c>
      <c r="G11" s="219" t="n">
        <v>1</v>
      </c>
      <c r="H11" s="220">
        <f>Far_laeyr!H61</f>
        <v/>
      </c>
      <c r="I11" s="220">
        <f>Far_laeyr!I61</f>
        <v/>
      </c>
      <c r="J11" s="221">
        <f>Far_laeyr!J61</f>
        <v/>
      </c>
      <c r="K11" s="221">
        <f>Far_laeyr!L61</f>
        <v/>
      </c>
      <c r="N11" s="118" t="n"/>
      <c r="O11" s="189" t="n">
        <v>76</v>
      </c>
      <c r="P11" s="149">
        <f>VLOOKUP(O11,$N$78:$Q$104,2,0)</f>
        <v/>
      </c>
      <c r="Q11" s="132">
        <f>VLOOKUP(O11,$N$78:$Q$104,3,0)</f>
        <v/>
      </c>
      <c r="R11" s="130">
        <f>VLOOKUP(O11,$N$78:$Q$104,4,0)</f>
        <v/>
      </c>
      <c r="S11" s="130">
        <f>Q11-Q10</f>
        <v/>
      </c>
      <c r="T11" s="134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2" t="n"/>
      <c r="AQ11" s="152" t="n"/>
      <c r="AR11" s="152" t="n"/>
      <c r="AS11" s="152" t="n"/>
      <c r="AT11" s="152" t="n"/>
      <c r="AU11" s="152" t="n"/>
      <c r="AV11" s="152" t="n"/>
    </row>
    <row r="12" ht="14.25" customHeight="1" s="116">
      <c r="B12" s="219">
        <f>Far_laeyr!B62</f>
        <v/>
      </c>
      <c r="C12" s="219">
        <f>Far_laeyr!C62</f>
        <v/>
      </c>
      <c r="D12" s="220">
        <f>Far_laeyr!D62</f>
        <v/>
      </c>
      <c r="E12" s="219" t="n">
        <v>12</v>
      </c>
      <c r="F12" s="221">
        <f>Far_laeyr!F62</f>
        <v/>
      </c>
      <c r="G12" s="219">
        <f>Far_laeyr!G62</f>
        <v/>
      </c>
      <c r="H12" s="220">
        <f>Far_laeyr!H62</f>
        <v/>
      </c>
      <c r="I12" s="220">
        <f>Far_laeyr!I62</f>
        <v/>
      </c>
      <c r="J12" s="221">
        <f>Far_laeyr!J62</f>
        <v/>
      </c>
      <c r="K12" s="221">
        <f>Far_laeyr!L62</f>
        <v/>
      </c>
      <c r="N12" s="118" t="n"/>
      <c r="O12" s="189" t="n">
        <v>75</v>
      </c>
      <c r="P12" s="149">
        <f>VLOOKUP(O12,$N$78:$Q$104,2,0)</f>
        <v/>
      </c>
      <c r="Q12" s="132">
        <f>VLOOKUP(O12,$N$78:$Q$104,3,0)</f>
        <v/>
      </c>
      <c r="R12" s="130">
        <f>VLOOKUP(O12,$N$78:$Q$104,4,0)</f>
        <v/>
      </c>
      <c r="S12" s="130">
        <f>Q12-Q11</f>
        <v/>
      </c>
      <c r="T12" s="134" t="n"/>
      <c r="AG12" s="152" t="n"/>
      <c r="AH12" s="152" t="n"/>
      <c r="AI12" s="152" t="n"/>
      <c r="AJ12" s="152" t="n"/>
      <c r="AK12" s="152" t="n"/>
      <c r="AL12" s="152" t="n"/>
      <c r="AM12" s="152" t="n"/>
      <c r="AN12" s="152" t="n"/>
      <c r="AO12" s="152" t="n"/>
      <c r="AP12" s="152" t="n"/>
      <c r="AQ12" s="152" t="n"/>
      <c r="AR12" s="152" t="n"/>
      <c r="AS12" s="152" t="n"/>
      <c r="AT12" s="152" t="n"/>
      <c r="AU12" s="152" t="n"/>
      <c r="AV12" s="152" t="n"/>
    </row>
    <row r="13" ht="15" customHeight="1" s="116">
      <c r="A13" s="120" t="n"/>
      <c r="B13" s="219">
        <f>Far_laeyr!B63</f>
        <v/>
      </c>
      <c r="C13" s="219">
        <f>Far_laeyr!C63</f>
        <v/>
      </c>
      <c r="D13" s="220">
        <f>Far_laeyr!D63</f>
        <v/>
      </c>
      <c r="E13" s="219" t="n">
        <v>19</v>
      </c>
      <c r="F13" s="221">
        <f>Far_laeyr!F63</f>
        <v/>
      </c>
      <c r="G13" s="219">
        <f>Far_laeyr!G63</f>
        <v/>
      </c>
      <c r="H13" s="220">
        <f>Far_laeyr!H63</f>
        <v/>
      </c>
      <c r="I13" s="220">
        <f>Far_laeyr!I63</f>
        <v/>
      </c>
      <c r="J13" s="221">
        <f>Far_laeyr!J63</f>
        <v/>
      </c>
      <c r="K13" s="221">
        <f>Far_laeyr!L63</f>
        <v/>
      </c>
      <c r="N13" s="118" t="n"/>
      <c r="O13" s="189" t="n">
        <v>74</v>
      </c>
      <c r="P13" s="149">
        <f>VLOOKUP(O13,$N$78:$Q$104,2,0)</f>
        <v/>
      </c>
      <c r="Q13" s="132">
        <f>VLOOKUP(O13,$N$78:$Q$104,3,0)</f>
        <v/>
      </c>
      <c r="R13" s="130">
        <f>VLOOKUP(O13,$N$78:$Q$104,4,0)</f>
        <v/>
      </c>
      <c r="S13" s="130">
        <f>Q13-Q12</f>
        <v/>
      </c>
      <c r="T13" s="134" t="n"/>
      <c r="V13" s="120" t="n"/>
      <c r="W13" s="120" t="n"/>
      <c r="Y13" s="120" t="n"/>
      <c r="Z13" s="120" t="n"/>
      <c r="AA13" s="120" t="n"/>
      <c r="AB13" s="120" t="n"/>
      <c r="AC13" s="120" t="n"/>
      <c r="AD13" s="120" t="n"/>
      <c r="AG13" s="152" t="n"/>
      <c r="AH13" s="152" t="n"/>
      <c r="AI13" s="152" t="n"/>
      <c r="AJ13" s="152" t="n"/>
      <c r="AK13" s="152" t="n"/>
      <c r="AL13" s="152" t="n"/>
      <c r="AM13" s="152" t="n"/>
      <c r="AN13" s="152" t="n"/>
      <c r="AO13" s="152" t="n"/>
      <c r="AP13" s="152" t="n"/>
      <c r="AQ13" s="152" t="n"/>
      <c r="AR13" s="152" t="n"/>
      <c r="AS13" s="152" t="n"/>
      <c r="AT13" s="152" t="n"/>
      <c r="AU13" s="152" t="n"/>
      <c r="AV13" s="152" t="n"/>
    </row>
    <row r="14" ht="14.25" customHeight="1" s="116">
      <c r="B14" s="219">
        <f>Far_laeyr!B64</f>
        <v/>
      </c>
      <c r="C14" s="219">
        <f>Far_laeyr!C64</f>
        <v/>
      </c>
      <c r="D14" s="220">
        <f>Far_laeyr!D64</f>
        <v/>
      </c>
      <c r="E14" s="219" t="n">
        <v>47</v>
      </c>
      <c r="F14" s="221">
        <f>Far_laeyr!F64</f>
        <v/>
      </c>
      <c r="G14" s="219">
        <f>Far_laeyr!G64</f>
        <v/>
      </c>
      <c r="H14" s="220">
        <f>Far_laeyr!H64</f>
        <v/>
      </c>
      <c r="I14" s="220">
        <f>Far_laeyr!I64</f>
        <v/>
      </c>
      <c r="J14" s="221">
        <f>Far_laeyr!J64</f>
        <v/>
      </c>
      <c r="K14" s="221">
        <f>Far_laeyr!L64</f>
        <v/>
      </c>
      <c r="N14" s="118" t="n"/>
      <c r="O14" s="189" t="n">
        <v>72</v>
      </c>
      <c r="P14" s="149">
        <f>VLOOKUP(O14,$N$78:$Q$104,2,0)</f>
        <v/>
      </c>
      <c r="Q14" s="132">
        <f>VLOOKUP(O14,$N$78:$Q$104,3,0)</f>
        <v/>
      </c>
      <c r="R14" s="130">
        <f>VLOOKUP(O14,$N$78:$Q$104,4,0)</f>
        <v/>
      </c>
      <c r="S14" s="130">
        <f>Q14-Q13</f>
        <v/>
      </c>
      <c r="T14" s="134" t="n"/>
    </row>
    <row r="15" ht="15" customHeight="1" s="116">
      <c r="A15" s="123" t="n"/>
      <c r="B15" s="212" t="inlineStr">
        <is>
          <t>SOL-24APR26-75-P-USDT</t>
        </is>
      </c>
      <c r="C15" s="208">
        <f>'Hedge_Midle(Test)'!B8</f>
        <v/>
      </c>
      <c r="D15" s="222">
        <f>'Hedge_Midle(Test)'!C8</f>
        <v/>
      </c>
      <c r="E15" s="208">
        <f>'Hedge_Midle(Test)'!I8</f>
        <v/>
      </c>
      <c r="F15" s="223">
        <f>($D$2-C15)/$D$2</f>
        <v/>
      </c>
      <c r="G15" s="208" t="n">
        <v>3</v>
      </c>
      <c r="H15" s="224">
        <f>'Hedge_Midle(Test)'!G8</f>
        <v/>
      </c>
      <c r="I15" s="224">
        <f>'Hedge_Midle(Test)'!N8</f>
        <v/>
      </c>
      <c r="J15" s="223">
        <f>I15/$I$21</f>
        <v/>
      </c>
      <c r="K15" s="223">
        <f>(Portfolio!$C$4-C15)/Portfolio!$C$4</f>
        <v/>
      </c>
      <c r="L15" s="117">
        <f>P15-T15</f>
        <v/>
      </c>
      <c r="N15" s="118" t="n"/>
      <c r="O15" s="189" t="n">
        <v>70</v>
      </c>
      <c r="P15" s="225">
        <f>VLOOKUP(O15,$N$78:$Q$104,2,0)</f>
        <v/>
      </c>
      <c r="Q15" s="132">
        <f>VLOOKUP(O15,$N$78:$Q$104,3,0)</f>
        <v/>
      </c>
      <c r="R15" s="130">
        <f>VLOOKUP(O15,$N$78:$Q$104,4,0)</f>
        <v/>
      </c>
      <c r="S15" s="130">
        <f>Q15-Q14</f>
        <v/>
      </c>
      <c r="T15" s="134">
        <f>P68</f>
        <v/>
      </c>
      <c r="W15" s="123" t="n"/>
      <c r="Y15" s="153" t="n"/>
      <c r="Z15" s="154" t="n"/>
      <c r="AA15" s="153" t="n"/>
      <c r="AB15" s="123" t="n"/>
      <c r="AC15" s="123" t="n"/>
      <c r="AD15" s="123" t="n"/>
    </row>
    <row r="16" ht="15" customHeight="1" s="116">
      <c r="A16" s="154" t="n"/>
      <c r="B16" s="212" t="inlineStr">
        <is>
          <t>SOL-24APR26-78-P-USDT</t>
        </is>
      </c>
      <c r="C16" s="208">
        <f>'Hedge_Midle(Test)'!B9</f>
        <v/>
      </c>
      <c r="D16" s="222">
        <f>'Hedge_Midle(Test)'!C9</f>
        <v/>
      </c>
      <c r="E16" s="208">
        <f>'Hedge_Midle(Test)'!I9</f>
        <v/>
      </c>
      <c r="F16" s="223">
        <f>($D$2-C16)/$D$2</f>
        <v/>
      </c>
      <c r="G16" s="208" t="n">
        <v>3</v>
      </c>
      <c r="H16" s="224">
        <f>'Hedge_Midle(Test)'!G9</f>
        <v/>
      </c>
      <c r="I16" s="224">
        <f>'Hedge_Midle(Test)'!N9</f>
        <v/>
      </c>
      <c r="J16" s="223">
        <f>I16/$I$21</f>
        <v/>
      </c>
      <c r="K16" s="223">
        <f>(Portfolio!$C$4-C16)/Portfolio!$C$4</f>
        <v/>
      </c>
      <c r="N16" s="118" t="n"/>
      <c r="O16" s="189" t="n">
        <v>65</v>
      </c>
      <c r="P16" s="149">
        <f>VLOOKUP(O16,$N$78:$Q$104,2,0)</f>
        <v/>
      </c>
      <c r="Q16" s="132">
        <f>VLOOKUP(O16,$N$78:$Q$104,3,0)</f>
        <v/>
      </c>
      <c r="R16" s="130">
        <f>VLOOKUP(O16,$N$78:$Q$104,4,0)</f>
        <v/>
      </c>
      <c r="S16" s="130">
        <f>Q16-Q15</f>
        <v/>
      </c>
      <c r="W16" s="128" t="n"/>
      <c r="Y16" s="153" t="n"/>
      <c r="Z16" s="154" t="n"/>
      <c r="AA16" s="153" t="n"/>
      <c r="AB16" s="128" t="n"/>
      <c r="AC16" s="128" t="n"/>
      <c r="AD16" s="128" t="n"/>
    </row>
    <row r="17" ht="15" customHeight="1" s="116">
      <c r="A17" s="161" t="n"/>
      <c r="B17" s="212" t="inlineStr">
        <is>
          <t>SOL-24APR26-80-P-USDT</t>
        </is>
      </c>
      <c r="C17" s="208">
        <f>'Hedge_Midle(Test)'!B10</f>
        <v/>
      </c>
      <c r="D17" s="222">
        <f>'Hedge_Midle(Test)'!C10</f>
        <v/>
      </c>
      <c r="E17" s="208">
        <f>'Hedge_Midle(Test)'!I10</f>
        <v/>
      </c>
      <c r="F17" s="223">
        <f>($D$2-C17)/$D$2</f>
        <v/>
      </c>
      <c r="G17" s="208" t="n">
        <v>2</v>
      </c>
      <c r="H17" s="224">
        <f>'Hedge_Midle(Test)'!G10</f>
        <v/>
      </c>
      <c r="I17" s="224">
        <f>'Hedge_Midle(Test)'!N10</f>
        <v/>
      </c>
      <c r="J17" s="223">
        <f>I17/$I$21</f>
        <v/>
      </c>
      <c r="K17" s="223">
        <f>(Portfolio!$C$4-C17)/Portfolio!$C$4</f>
        <v/>
      </c>
      <c r="N17" s="118" t="n"/>
      <c r="O17" s="189" t="n">
        <v>60</v>
      </c>
      <c r="P17" s="149">
        <f>VLOOKUP(O17,$N$78:$Q$104,2,0)</f>
        <v/>
      </c>
      <c r="Q17" s="132">
        <f>VLOOKUP(O17,$N$78:$Q$104,3,0)</f>
        <v/>
      </c>
      <c r="R17" s="130">
        <f>VLOOKUP(O17,$N$78:$Q$104,4,0)</f>
        <v/>
      </c>
      <c r="S17" s="130">
        <f>Q17-Q16</f>
        <v/>
      </c>
      <c r="W17" s="128" t="n"/>
      <c r="Y17" s="153" t="n"/>
      <c r="Z17" s="154" t="n"/>
      <c r="AA17" s="153" t="n"/>
      <c r="AB17" s="128" t="n"/>
      <c r="AC17" s="128" t="n"/>
      <c r="AD17" s="128" t="n"/>
    </row>
    <row r="18" ht="15" customHeight="1" s="116">
      <c r="A18" s="163" t="n"/>
      <c r="B18" s="212" t="inlineStr">
        <is>
          <t>SOL-1MAY26-80-P-USDT</t>
        </is>
      </c>
      <c r="C18" s="208">
        <f>'Hedge_Midle(Test)'!B11</f>
        <v/>
      </c>
      <c r="D18" s="222">
        <f>'Hedge_Midle(Test)'!C11</f>
        <v/>
      </c>
      <c r="E18" s="208">
        <f>'Hedge_Midle(Test)'!I11</f>
        <v/>
      </c>
      <c r="F18" s="223">
        <f>($D$2-C18)/$D$2</f>
        <v/>
      </c>
      <c r="G18" s="208" t="n"/>
      <c r="H18" s="224">
        <f>'Hedge_Midle(Test)'!G11</f>
        <v/>
      </c>
      <c r="I18" s="224">
        <f>'Hedge_Midle(Test)'!N11</f>
        <v/>
      </c>
      <c r="J18" s="223">
        <f>I18/$I$21</f>
        <v/>
      </c>
      <c r="K18" s="223">
        <f>(Portfolio!$C$4-C18)/Portfolio!$C$4</f>
        <v/>
      </c>
      <c r="N18" s="118" t="n"/>
      <c r="O18" s="189" t="n">
        <v>59</v>
      </c>
      <c r="P18" s="149">
        <f>VLOOKUP(O18,$N$78:$Q$104,2,0)</f>
        <v/>
      </c>
      <c r="Q18" s="132">
        <f>VLOOKUP(O18,$N$78:$Q$104,3,0)</f>
        <v/>
      </c>
      <c r="R18" s="130">
        <f>VLOOKUP(O18,$N$78:$Q$104,4,0)</f>
        <v/>
      </c>
      <c r="S18" s="130">
        <f>Q18-Q17</f>
        <v/>
      </c>
      <c r="W18" s="128" t="n"/>
      <c r="Y18" s="153" t="n"/>
      <c r="Z18" s="128" t="n"/>
      <c r="AA18" s="153" t="n"/>
      <c r="AB18" s="128" t="n"/>
      <c r="AC18" s="128" t="n"/>
      <c r="AD18" s="128" t="n"/>
    </row>
    <row r="19" ht="15" customHeight="1" s="116">
      <c r="A19" s="163" t="n"/>
      <c r="B19" s="212" t="inlineStr">
        <is>
          <t>SOL-29MAY26-78-P-USDT</t>
        </is>
      </c>
      <c r="C19" s="208">
        <f>'Hedge_Midle(Test)'!B12</f>
        <v/>
      </c>
      <c r="D19" s="222">
        <f>'Hedge_Midle(Test)'!C12</f>
        <v/>
      </c>
      <c r="E19" s="208">
        <f>'Hedge_Midle(Test)'!I12</f>
        <v/>
      </c>
      <c r="F19" s="223">
        <f>($D$2-C19)/$D$2</f>
        <v/>
      </c>
      <c r="G19" s="208" t="n"/>
      <c r="H19" s="224">
        <f>'Hedge_Midle(Test)'!G12</f>
        <v/>
      </c>
      <c r="I19" s="224">
        <f>'Hedge_Midle(Test)'!N12</f>
        <v/>
      </c>
      <c r="J19" s="223">
        <f>I19/$I$21</f>
        <v/>
      </c>
      <c r="K19" s="223">
        <f>(Portfolio!$C$4-C19)/Portfolio!$C$4</f>
        <v/>
      </c>
      <c r="N19" s="118" t="n"/>
      <c r="O19" s="189" t="n">
        <v>58</v>
      </c>
      <c r="P19" s="149">
        <f>VLOOKUP(O19,$N$78:$Q$104,2,0)</f>
        <v/>
      </c>
      <c r="Q19" s="132">
        <f>VLOOKUP(O19,$N$78:$Q$104,3,0)</f>
        <v/>
      </c>
      <c r="R19" s="130">
        <f>VLOOKUP(O19,$N$78:$Q$104,4,0)</f>
        <v/>
      </c>
      <c r="S19" s="130">
        <f>Q19-Q18</f>
        <v/>
      </c>
      <c r="W19" s="128" t="n"/>
      <c r="Y19" s="153" t="n"/>
      <c r="Z19" s="128" t="n"/>
      <c r="AA19" s="153" t="n"/>
      <c r="AB19" s="128" t="n"/>
      <c r="AC19" s="128" t="n"/>
      <c r="AD19" s="128" t="n"/>
    </row>
    <row r="20" ht="15" customHeight="1" s="116">
      <c r="A20" s="163" t="n"/>
      <c r="B20" s="212" t="inlineStr">
        <is>
          <t>SOL-29MAY26-80-P-USDT</t>
        </is>
      </c>
      <c r="C20" s="208">
        <f>'Hedge_Midle(Test)'!B13</f>
        <v/>
      </c>
      <c r="D20" s="222">
        <f>'Hedge_Midle(Test)'!C13</f>
        <v/>
      </c>
      <c r="E20" s="208">
        <f>'Hedge_Midle(Test)'!I13</f>
        <v/>
      </c>
      <c r="F20" s="223">
        <f>($D$2-C20)/$D$2</f>
        <v/>
      </c>
      <c r="G20" s="208" t="n"/>
      <c r="H20" s="224">
        <f>'Hedge_Midle(Test)'!G13</f>
        <v/>
      </c>
      <c r="I20" s="224">
        <f>'Hedge_Midle(Test)'!N13</f>
        <v/>
      </c>
      <c r="J20" s="223">
        <f>I20/$I$21</f>
        <v/>
      </c>
      <c r="K20" s="223">
        <f>(Portfolio!$C$4-C20)/Portfolio!$C$4</f>
        <v/>
      </c>
      <c r="N20" s="118" t="n"/>
      <c r="O20" s="189" t="n">
        <v>57</v>
      </c>
      <c r="P20" s="149">
        <f>VLOOKUP(O20,$N$78:$Q$104,2,0)</f>
        <v/>
      </c>
      <c r="Q20" s="132">
        <f>VLOOKUP(O20,$N$78:$Q$104,3,0)</f>
        <v/>
      </c>
      <c r="R20" s="130">
        <f>VLOOKUP(O20,$N$78:$Q$104,4,0)</f>
        <v/>
      </c>
      <c r="S20" s="130">
        <f>Q20-Q19</f>
        <v/>
      </c>
      <c r="W20" s="128" t="n"/>
      <c r="Y20" s="153" t="n"/>
      <c r="Z20" s="128" t="n"/>
      <c r="AA20" s="153" t="n"/>
      <c r="AB20" s="128" t="n"/>
      <c r="AC20" s="128" t="n"/>
      <c r="AD20" s="128" t="n"/>
    </row>
    <row r="21" ht="16.5" customHeight="1" s="116">
      <c r="B21" s="166" t="n"/>
      <c r="C21" s="193" t="n"/>
      <c r="G21" s="118" t="n"/>
      <c r="H21" s="193" t="n"/>
      <c r="I21" s="193">
        <f>SUM(I15:I20)</f>
        <v/>
      </c>
      <c r="J21" s="118" t="n"/>
      <c r="K21" s="118" t="n"/>
      <c r="L21" s="118" t="n"/>
      <c r="M21" s="118" t="n"/>
      <c r="Q21" s="132">
        <f>AVERAGE(Q$9:Q$14)</f>
        <v/>
      </c>
      <c r="W21" s="128" t="n"/>
      <c r="Y21" s="153" t="n"/>
      <c r="Z21" s="154" t="n"/>
      <c r="AA21" s="153" t="n"/>
      <c r="AB21" s="128" t="n"/>
      <c r="AC21" s="128" t="n"/>
      <c r="AD21" s="128" t="n"/>
    </row>
    <row r="22" ht="16.5" customHeight="1" s="116">
      <c r="B22" s="166" t="n"/>
      <c r="C22" s="193" t="n"/>
      <c r="G22" s="118" t="n"/>
      <c r="H22" s="193" t="n"/>
      <c r="I22" s="193">
        <f>SUM(I9:I20)</f>
        <v/>
      </c>
      <c r="J22" s="118" t="n"/>
      <c r="K22" s="118" t="n"/>
      <c r="L22" s="118" t="n"/>
      <c r="M22" s="118" t="n"/>
      <c r="W22" s="128" t="n"/>
      <c r="Y22" s="153" t="n"/>
      <c r="Z22" s="154" t="n"/>
      <c r="AA22" s="153" t="n"/>
      <c r="AB22" s="128" t="n"/>
      <c r="AC22" s="128" t="n"/>
      <c r="AD22" s="128" t="n"/>
    </row>
    <row r="23" ht="16.5" customHeight="1" s="116">
      <c r="B23" s="166" t="n"/>
      <c r="C23" s="149" t="n">
        <v>12</v>
      </c>
      <c r="D23" s="149" t="n">
        <v>19</v>
      </c>
      <c r="E23" s="189" t="inlineStr">
        <is>
          <t>total</t>
        </is>
      </c>
      <c r="F23" s="182" t="inlineStr">
        <is>
          <t>cost</t>
        </is>
      </c>
      <c r="G23" s="182" t="inlineStr">
        <is>
          <t>% cost</t>
        </is>
      </c>
      <c r="H23" s="193" t="n"/>
      <c r="I23" s="118" t="n"/>
      <c r="J23" s="118" t="n"/>
      <c r="K23" s="118" t="n"/>
      <c r="L23" s="118" t="n"/>
      <c r="M23" s="118" t="n"/>
      <c r="W23" s="128" t="n"/>
      <c r="Y23" s="153" t="n"/>
      <c r="Z23" s="154" t="n"/>
      <c r="AA23" s="153" t="n"/>
      <c r="AB23" s="128" t="n"/>
      <c r="AC23" s="128" t="n"/>
      <c r="AD23" s="128" t="n"/>
    </row>
    <row r="24" ht="16.5" customHeight="1" s="116">
      <c r="B24" s="166" t="n">
        <v>72</v>
      </c>
      <c r="C24" s="149" t="n"/>
      <c r="D24" s="149" t="n"/>
      <c r="E24" s="189" t="n"/>
      <c r="F24" s="182" t="n"/>
      <c r="G24" s="182" t="n"/>
      <c r="H24" s="193" t="n"/>
      <c r="I24" s="118" t="n"/>
      <c r="J24" s="187" t="n"/>
      <c r="K24" s="118" t="n"/>
      <c r="L24" s="118" t="n"/>
      <c r="M24" s="118" t="n"/>
      <c r="W24" s="128" t="n"/>
      <c r="Y24" s="153" t="n"/>
      <c r="Z24" s="154" t="n"/>
      <c r="AA24" s="153" t="n"/>
      <c r="AB24" s="128" t="n"/>
      <c r="AC24" s="128" t="n"/>
      <c r="AD24" s="128" t="n"/>
    </row>
    <row r="25" ht="16.5" customHeight="1" s="116">
      <c r="B25" s="166" t="n">
        <v>75</v>
      </c>
      <c r="C25" s="149">
        <f>G15</f>
        <v/>
      </c>
      <c r="D25" s="149" t="n"/>
      <c r="E25" s="149">
        <f>SUM(C25:D25)</f>
        <v/>
      </c>
      <c r="F25" s="132">
        <f>I15</f>
        <v/>
      </c>
      <c r="G25" s="151">
        <f>F25/$F$28</f>
        <v/>
      </c>
      <c r="H25" s="193" t="n"/>
      <c r="I25" s="153" t="n"/>
      <c r="J25" s="131">
        <f>Q21-Q74</f>
        <v/>
      </c>
      <c r="K25" s="226">
        <f>J25/L15</f>
        <v/>
      </c>
      <c r="L25" s="118" t="n"/>
      <c r="M25" s="118" t="n"/>
      <c r="W25" s="128" t="n"/>
      <c r="Y25" s="153" t="n"/>
      <c r="Z25" s="154" t="n"/>
      <c r="AA25" s="153" t="n"/>
      <c r="AB25" s="128" t="n"/>
      <c r="AC25" s="128" t="n"/>
      <c r="AD25" s="128" t="n"/>
    </row>
    <row r="26" ht="16.5" customHeight="1" s="116">
      <c r="B26" s="166" t="n">
        <v>78</v>
      </c>
      <c r="C26" s="149">
        <f>G16</f>
        <v/>
      </c>
      <c r="D26" s="149" t="n"/>
      <c r="E26" s="149">
        <f>SUM(C26:D26)</f>
        <v/>
      </c>
      <c r="F26" s="132">
        <f>I16</f>
        <v/>
      </c>
      <c r="G26" s="151">
        <f>F26/$F$28</f>
        <v/>
      </c>
      <c r="H26" s="193" t="n"/>
      <c r="I26" s="153" t="n"/>
      <c r="K26" s="118" t="n"/>
      <c r="L26" s="118" t="n"/>
      <c r="M26" s="118" t="n"/>
      <c r="W26" s="128" t="n"/>
      <c r="Y26" s="153" t="n"/>
      <c r="Z26" s="154" t="n"/>
      <c r="AA26" s="153" t="n"/>
      <c r="AB26" s="128" t="n"/>
      <c r="AC26" s="128" t="n"/>
      <c r="AD26" s="128" t="n"/>
    </row>
    <row r="27" ht="16.5" customHeight="1" s="116">
      <c r="B27" s="166" t="n">
        <v>80</v>
      </c>
      <c r="C27" s="149">
        <f>G17</f>
        <v/>
      </c>
      <c r="D27" s="149">
        <f>G18</f>
        <v/>
      </c>
      <c r="E27" s="149">
        <f>SUM(C27:D27)</f>
        <v/>
      </c>
      <c r="F27" s="132">
        <f>I17+I18</f>
        <v/>
      </c>
      <c r="G27" s="151">
        <f>F27/$F$28</f>
        <v/>
      </c>
      <c r="H27" s="193" t="n"/>
      <c r="I27" s="153" t="n"/>
      <c r="J27" s="118" t="n"/>
      <c r="K27" s="118" t="n"/>
      <c r="L27" s="118" t="n"/>
      <c r="M27" s="118" t="n"/>
      <c r="W27" s="128" t="n"/>
      <c r="Y27" s="153" t="n"/>
      <c r="Z27" s="154" t="n"/>
      <c r="AA27" s="153" t="n"/>
      <c r="AB27" s="128" t="n"/>
      <c r="AC27" s="128" t="n"/>
      <c r="AD27" s="128" t="n"/>
    </row>
    <row r="28" ht="16.5" customHeight="1" s="116">
      <c r="B28" s="166" t="n"/>
      <c r="C28" s="193" t="n"/>
      <c r="F28" s="193">
        <f>SUM(F25:F27)</f>
        <v/>
      </c>
      <c r="G28" s="118" t="n"/>
      <c r="H28" s="193" t="n"/>
      <c r="I28" s="118" t="n"/>
      <c r="J28" s="118" t="n"/>
      <c r="K28" s="118" t="n"/>
      <c r="L28" s="118" t="n"/>
      <c r="M28" s="118" t="n"/>
      <c r="W28" s="128" t="n"/>
      <c r="Y28" s="153" t="n"/>
      <c r="Z28" s="154" t="n"/>
      <c r="AA28" s="153" t="n"/>
      <c r="AB28" s="128" t="n"/>
      <c r="AC28" s="128" t="n"/>
      <c r="AD28" s="128" t="n"/>
    </row>
    <row r="29" ht="16.5" customHeight="1" s="116">
      <c r="B29" s="166" t="n"/>
      <c r="C29" s="193" t="n"/>
      <c r="G29" s="118" t="n"/>
      <c r="H29" s="193" t="n"/>
      <c r="I29" s="118" t="n"/>
      <c r="J29" s="118" t="n"/>
      <c r="K29" s="118" t="n"/>
      <c r="L29" s="118" t="n"/>
      <c r="M29" s="118" t="n"/>
      <c r="W29" s="128" t="n"/>
      <c r="Y29" s="153" t="n"/>
      <c r="Z29" s="154" t="n"/>
      <c r="AA29" s="153" t="n"/>
      <c r="AB29" s="128" t="n"/>
      <c r="AC29" s="128" t="n"/>
      <c r="AD29" s="128" t="n"/>
    </row>
    <row r="30" ht="16.5" customHeight="1" s="116">
      <c r="B30" s="133" t="inlineStr">
        <is>
          <t>symbol</t>
        </is>
      </c>
      <c r="C30" s="133" t="inlineStr">
        <is>
          <t>кол</t>
        </is>
      </c>
      <c r="D30" s="133" t="inlineStr">
        <is>
          <t>delta</t>
        </is>
      </c>
      <c r="E30" s="133" t="inlineStr">
        <is>
          <t>DTE</t>
        </is>
      </c>
      <c r="F30" s="133" t="inlineStr">
        <is>
          <t>% price</t>
        </is>
      </c>
      <c r="G30" s="133" t="inlineStr">
        <is>
          <t>кол</t>
        </is>
      </c>
      <c r="H30" s="133" t="inlineStr">
        <is>
          <t>cost</t>
        </is>
      </c>
      <c r="I30" s="133" t="inlineStr">
        <is>
          <t>% cost</t>
        </is>
      </c>
      <c r="J30" s="133" t="n"/>
      <c r="K30" s="133" t="n"/>
      <c r="L30" s="148" t="n"/>
      <c r="M30" s="148" t="n"/>
      <c r="O30" s="133" t="inlineStr">
        <is>
          <t>Strike</t>
        </is>
      </c>
      <c r="P30" s="149" t="inlineStr">
        <is>
          <t>Delta</t>
        </is>
      </c>
      <c r="Q30" s="149" t="inlineStr">
        <is>
          <t>Pnl</t>
        </is>
      </c>
      <c r="R30" s="149" t="inlineStr">
        <is>
          <t>Intrin</t>
        </is>
      </c>
      <c r="S30" s="129" t="inlineStr">
        <is>
          <t>Acclerat</t>
        </is>
      </c>
      <c r="W30" s="128" t="n"/>
      <c r="Y30" s="153" t="n"/>
      <c r="Z30" s="154" t="n"/>
      <c r="AA30" s="153" t="n"/>
      <c r="AB30" s="128" t="n"/>
      <c r="AC30" s="128" t="n"/>
      <c r="AD30" s="128" t="n"/>
    </row>
    <row r="31" ht="16.5" customHeight="1" s="116">
      <c r="B31" s="129">
        <f>B9</f>
        <v/>
      </c>
      <c r="C31" s="208" t="n">
        <v>60</v>
      </c>
      <c r="D31" s="132" t="n">
        <v>-0.02064356</v>
      </c>
      <c r="E31" s="149" t="n">
        <v>12</v>
      </c>
      <c r="F31" s="149" t="n">
        <v>0.280828416684021</v>
      </c>
      <c r="G31" s="149" t="n">
        <v>5</v>
      </c>
      <c r="H31" s="151" t="n">
        <v>0.61</v>
      </c>
      <c r="I31" s="151" t="n">
        <v>3.05</v>
      </c>
      <c r="J31" s="151" t="n">
        <v>0.11302475780409</v>
      </c>
      <c r="K31" s="151" t="n">
        <v>0.278412507516536</v>
      </c>
      <c r="L31" s="153" t="n"/>
      <c r="M31" s="153" t="n"/>
      <c r="O31" s="189" t="n">
        <v>80</v>
      </c>
      <c r="P31" s="149" t="n">
        <v>-4.01266580732875</v>
      </c>
      <c r="Q31" s="130" t="n">
        <v>2.53526040585978</v>
      </c>
      <c r="R31" s="130" t="n">
        <v>-25.7</v>
      </c>
      <c r="S31" s="129" t="n"/>
      <c r="T31" s="141" t="n"/>
      <c r="W31" s="128" t="n"/>
      <c r="Y31" s="153" t="n"/>
      <c r="Z31" s="154" t="n"/>
      <c r="AA31" s="153" t="n"/>
      <c r="AB31" s="128" t="n"/>
      <c r="AC31" s="128" t="n"/>
      <c r="AD31" s="128" t="n"/>
    </row>
    <row r="32" ht="16.5" customHeight="1" s="116">
      <c r="B32" s="129">
        <f>B10</f>
        <v/>
      </c>
      <c r="C32" s="208" t="n">
        <v>65</v>
      </c>
      <c r="D32" s="132" t="n">
        <v>-0.04448515</v>
      </c>
      <c r="E32" s="149" t="n">
        <v>12</v>
      </c>
      <c r="F32" s="149" t="n">
        <v>0.220897451407689</v>
      </c>
      <c r="G32" s="149" t="n">
        <v>4</v>
      </c>
      <c r="H32" s="151" t="n">
        <v>0.59</v>
      </c>
      <c r="I32" s="151" t="n">
        <v>2.36</v>
      </c>
      <c r="J32" s="151" t="n">
        <v>0.150699677072121</v>
      </c>
      <c r="K32" s="151" t="n">
        <v>0.218280216476248</v>
      </c>
      <c r="L32" s="153" t="n"/>
      <c r="M32" s="153" t="n"/>
      <c r="O32" s="189" t="n">
        <v>78</v>
      </c>
      <c r="P32" s="149" t="n">
        <v>-5.04173039605074</v>
      </c>
      <c r="Q32" s="130" t="n">
        <v>11.5666322035319</v>
      </c>
      <c r="R32" s="130" t="n">
        <v>-23.7</v>
      </c>
      <c r="S32" s="209" t="n">
        <v>9.031371797672129</v>
      </c>
      <c r="T32" s="141" t="n"/>
      <c r="W32" s="128" t="n"/>
      <c r="Y32" s="153" t="n"/>
      <c r="Z32" s="154" t="n"/>
      <c r="AA32" s="153" t="n"/>
      <c r="AB32" s="128" t="n"/>
      <c r="AC32" s="128" t="n"/>
      <c r="AD32" s="128" t="n"/>
    </row>
    <row r="33" ht="16.5" customHeight="1" s="116">
      <c r="B33" s="129">
        <f>B11</f>
        <v/>
      </c>
      <c r="C33" s="208" t="n">
        <v>60</v>
      </c>
      <c r="D33" s="132" t="n">
        <v>-0.09576622</v>
      </c>
      <c r="E33" s="149" t="n">
        <v>47</v>
      </c>
      <c r="F33" s="149" t="n">
        <v>0.280828416684021</v>
      </c>
      <c r="G33" s="149" t="n">
        <v>1</v>
      </c>
      <c r="H33" s="151" t="n">
        <v>1.74</v>
      </c>
      <c r="I33" s="151" t="n">
        <v>1.74</v>
      </c>
      <c r="J33" s="151" t="n">
        <v>0.136706135629709</v>
      </c>
      <c r="K33" s="151" t="n">
        <v>0.278412507516536</v>
      </c>
      <c r="L33" s="153" t="n"/>
      <c r="M33" s="153" t="n"/>
      <c r="O33" s="189" t="n">
        <v>76</v>
      </c>
      <c r="P33" s="149" t="n">
        <v>-6.19984079061948</v>
      </c>
      <c r="Q33" s="130" t="n">
        <v>22.7884407213219</v>
      </c>
      <c r="R33" s="130" t="n">
        <v>-15.7</v>
      </c>
      <c r="S33" s="209" t="n">
        <v>11.22180851779</v>
      </c>
      <c r="T33" s="141" t="n"/>
      <c r="W33" s="128" t="n"/>
      <c r="Y33" s="153" t="n"/>
      <c r="Z33" s="154" t="n"/>
      <c r="AA33" s="153" t="n"/>
      <c r="AB33" s="128" t="n"/>
      <c r="AC33" s="128" t="n"/>
      <c r="AD33" s="128" t="n"/>
    </row>
    <row r="34" ht="16.5" customHeight="1" s="116">
      <c r="B34" s="129">
        <f>B12</f>
        <v/>
      </c>
      <c r="C34" s="208" t="n">
        <v>70</v>
      </c>
      <c r="D34" s="132" t="n">
        <v>-0.09456792999999999</v>
      </c>
      <c r="E34" s="149" t="n">
        <v>12</v>
      </c>
      <c r="F34" s="149" t="n">
        <v>0.160966486131358</v>
      </c>
      <c r="G34" s="149" t="n">
        <v>2</v>
      </c>
      <c r="H34" s="151" t="n">
        <v>0.98</v>
      </c>
      <c r="I34" s="151" t="n">
        <v>1.96</v>
      </c>
      <c r="J34" s="151" t="n">
        <v>0.135629709364908</v>
      </c>
      <c r="K34" s="151" t="n">
        <v>0.158147925435959</v>
      </c>
      <c r="L34" s="153" t="n"/>
      <c r="M34" s="153" t="n"/>
      <c r="O34" s="189" t="n">
        <v>75</v>
      </c>
      <c r="P34" s="149" t="n">
        <v>-6.82003169540375</v>
      </c>
      <c r="Q34" s="130" t="n">
        <v>29.296337467458</v>
      </c>
      <c r="R34" s="130" t="n">
        <v>-11.7</v>
      </c>
      <c r="S34" s="209" t="n">
        <v>6.5078967461361</v>
      </c>
      <c r="T34" s="141" t="n"/>
      <c r="W34" s="128" t="n"/>
      <c r="Y34" s="153" t="n"/>
      <c r="Z34" s="154" t="n"/>
      <c r="AA34" s="153" t="n"/>
      <c r="AB34" s="128" t="n"/>
      <c r="AC34" s="128" t="n"/>
      <c r="AD34" s="128" t="n"/>
    </row>
    <row r="35" ht="16.5" customHeight="1" s="116">
      <c r="B35" s="129">
        <f>B13</f>
        <v/>
      </c>
      <c r="C35" s="208" t="n">
        <v>70</v>
      </c>
      <c r="D35" s="132" t="n">
        <v>-0.13750328</v>
      </c>
      <c r="E35" s="149" t="n">
        <v>19</v>
      </c>
      <c r="F35" s="149" t="n">
        <v>0.160966486131358</v>
      </c>
      <c r="G35" s="149" t="n">
        <v>1</v>
      </c>
      <c r="H35" s="151" t="n">
        <v>1.51</v>
      </c>
      <c r="I35" s="151" t="n">
        <v>1.51</v>
      </c>
      <c r="J35" s="151" t="n">
        <v>0.144241119483315</v>
      </c>
      <c r="K35" s="151" t="n">
        <v>0.158147925435959</v>
      </c>
      <c r="L35" s="153" t="n"/>
      <c r="M35" s="153" t="n"/>
      <c r="O35" s="189" t="n">
        <v>74</v>
      </c>
      <c r="P35" s="149" t="n">
        <v>-7.46270549135703</v>
      </c>
      <c r="Q35" s="130" t="n">
        <v>36.4360024539176</v>
      </c>
      <c r="R35" s="130" t="n">
        <v>-3.7</v>
      </c>
      <c r="S35" s="209" t="n">
        <v>7.13966498645958</v>
      </c>
      <c r="T35" s="141" t="n"/>
      <c r="W35" s="128" t="n"/>
      <c r="Y35" s="153" t="n"/>
      <c r="Z35" s="154" t="n"/>
      <c r="AA35" s="153" t="n"/>
      <c r="AB35" s="128" t="n"/>
      <c r="AC35" s="128" t="n"/>
      <c r="AD35" s="128" t="n"/>
    </row>
    <row r="36" ht="16.5" customHeight="1" s="116">
      <c r="B36" s="129">
        <f>B14</f>
        <v/>
      </c>
      <c r="C36" s="208" t="n">
        <v>70</v>
      </c>
      <c r="D36" s="132" t="n">
        <v>-0.2091895</v>
      </c>
      <c r="E36" s="149" t="n">
        <v>47</v>
      </c>
      <c r="F36" s="149" t="n">
        <v>0.160966486131358</v>
      </c>
      <c r="G36" s="149" t="n">
        <v>1</v>
      </c>
      <c r="H36" s="151" t="n">
        <v>3.15</v>
      </c>
      <c r="I36" s="151" t="n">
        <v>3.15</v>
      </c>
      <c r="J36" s="151" t="n">
        <v>0.319698600645856</v>
      </c>
      <c r="K36" s="151" t="n">
        <v>0.158147925435959</v>
      </c>
      <c r="L36" s="153" t="n"/>
      <c r="M36" s="153" t="n"/>
      <c r="O36" s="189" t="n">
        <v>72</v>
      </c>
      <c r="P36" s="149" t="n">
        <v>-8.798523361233689</v>
      </c>
      <c r="Q36" s="130" t="n">
        <v>52.6879785564973</v>
      </c>
      <c r="R36" s="130" t="n">
        <v>12.3</v>
      </c>
      <c r="S36" s="209" t="n">
        <v>16.2519761025797</v>
      </c>
      <c r="T36" s="141" t="n"/>
      <c r="W36" s="128" t="n"/>
      <c r="Y36" s="153" t="n"/>
      <c r="Z36" s="154" t="n"/>
      <c r="AA36" s="153" t="n"/>
      <c r="AB36" s="128" t="n"/>
      <c r="AC36" s="128" t="n"/>
      <c r="AD36" s="128" t="n"/>
    </row>
    <row r="37" ht="16.5" customHeight="1" s="116">
      <c r="B37" s="129">
        <f>B15</f>
        <v/>
      </c>
      <c r="C37" s="208" t="n">
        <v>75</v>
      </c>
      <c r="D37" s="132" t="n">
        <v>-0.13670913</v>
      </c>
      <c r="E37" s="149" t="n">
        <v>12</v>
      </c>
      <c r="F37" s="149" t="n">
        <v>0.101035520855026</v>
      </c>
      <c r="G37" s="149" t="n">
        <v>4</v>
      </c>
      <c r="H37" s="151" t="n">
        <v>1.2</v>
      </c>
      <c r="I37" s="151" t="n">
        <v>4.8</v>
      </c>
      <c r="J37" s="151" t="n">
        <v>0.402347024308466</v>
      </c>
      <c r="K37" s="151" t="n">
        <v>0.11660777385159</v>
      </c>
      <c r="L37" s="118" t="n">
        <v>-6.27111681573827</v>
      </c>
      <c r="M37" s="226" t="n">
        <v>-3.95824818324058</v>
      </c>
      <c r="O37" s="189" t="n">
        <v>70</v>
      </c>
      <c r="P37" s="225" t="n">
        <v>-10.1719271794543</v>
      </c>
      <c r="Q37" s="130" t="n">
        <v>71.65513348392651</v>
      </c>
      <c r="R37" s="130" t="n">
        <v>28.3</v>
      </c>
      <c r="S37" s="209" t="n">
        <v>18.9671549274292</v>
      </c>
      <c r="W37" s="128" t="n"/>
      <c r="Y37" s="153" t="n"/>
      <c r="Z37" s="154" t="n"/>
      <c r="AA37" s="153" t="n"/>
      <c r="AB37" s="128" t="n"/>
      <c r="AC37" s="128" t="n"/>
      <c r="AD37" s="128" t="n"/>
    </row>
    <row r="38" ht="16.5" customHeight="1" s="116">
      <c r="B38" s="129">
        <f>B16</f>
        <v/>
      </c>
      <c r="C38" s="225" t="n">
        <v>78</v>
      </c>
      <c r="D38" s="227" t="n">
        <v>-0.21041525</v>
      </c>
      <c r="E38" s="225" t="n">
        <v>12</v>
      </c>
      <c r="F38" s="225" t="n">
        <v>0.0650769416892273</v>
      </c>
      <c r="G38" s="149" t="n">
        <v>3</v>
      </c>
      <c r="H38" s="228" t="n">
        <v>1.74</v>
      </c>
      <c r="I38" s="228" t="n">
        <v>5.22</v>
      </c>
      <c r="J38" s="228" t="n">
        <v>0.437552388935457</v>
      </c>
      <c r="K38" s="228" t="n">
        <v>0.0812720848056538</v>
      </c>
      <c r="L38" s="153" t="n"/>
      <c r="M38" s="153" t="n"/>
      <c r="O38" s="189" t="n">
        <v>65</v>
      </c>
      <c r="P38" s="149" t="n">
        <v>-13.5539371222682</v>
      </c>
      <c r="Q38" s="130" t="n">
        <v>131.057009013378</v>
      </c>
      <c r="R38" s="130" t="n">
        <v>88.3</v>
      </c>
      <c r="S38" s="209" t="n">
        <v>59.4018755294518</v>
      </c>
      <c r="W38" s="128" t="n"/>
      <c r="Y38" s="153" t="n"/>
      <c r="Z38" s="154" t="n"/>
      <c r="AA38" s="153" t="n"/>
      <c r="AB38" s="128" t="n"/>
      <c r="AC38" s="128" t="n"/>
      <c r="AD38" s="128" t="n"/>
    </row>
    <row r="39" ht="16.5" customHeight="1" s="116">
      <c r="B39" s="129">
        <f>B17</f>
        <v/>
      </c>
      <c r="C39" s="225" t="n">
        <v>80</v>
      </c>
      <c r="D39" s="227" t="n">
        <v>-0.27609847</v>
      </c>
      <c r="E39" s="225" t="n">
        <v>12</v>
      </c>
      <c r="F39" s="225" t="n">
        <v>0.0411045555786946</v>
      </c>
      <c r="G39" s="149" t="n">
        <v>1</v>
      </c>
      <c r="H39" s="228" t="n">
        <v>1.91</v>
      </c>
      <c r="I39" s="228" t="n">
        <v>1.91</v>
      </c>
      <c r="J39" s="228" t="n">
        <v>0.160100586756077</v>
      </c>
      <c r="K39" s="228" t="n">
        <v>0.0577149587750295</v>
      </c>
      <c r="L39" s="153" t="n"/>
      <c r="M39" s="153" t="n"/>
      <c r="O39" s="189" t="n">
        <v>60</v>
      </c>
      <c r="P39" s="149" t="n">
        <v>-16.5645791782512</v>
      </c>
      <c r="Q39" s="130" t="n">
        <v>206.565212059561</v>
      </c>
      <c r="R39" s="130" t="n">
        <v>168.3</v>
      </c>
      <c r="S39" s="209" t="n">
        <v>75.5082030461826</v>
      </c>
      <c r="W39" s="128" t="n"/>
      <c r="Y39" s="153" t="n"/>
      <c r="Z39" s="154" t="n"/>
      <c r="AA39" s="153" t="n"/>
      <c r="AB39" s="128" t="n"/>
      <c r="AC39" s="128" t="n"/>
      <c r="AD39" s="128" t="n"/>
    </row>
    <row r="40" ht="16.5" customHeight="1" s="116">
      <c r="B40" s="129">
        <f>B18</f>
        <v/>
      </c>
      <c r="C40" s="225" t="n">
        <v>80</v>
      </c>
      <c r="D40" s="227" t="n">
        <v>-0.31532837</v>
      </c>
      <c r="E40" s="225" t="n">
        <v>19</v>
      </c>
      <c r="F40" s="225" t="n">
        <v>0.0411045555786946</v>
      </c>
      <c r="G40" s="149" t="n"/>
      <c r="H40" s="228" t="n">
        <v>3.77</v>
      </c>
      <c r="I40" s="228" t="n">
        <v>0</v>
      </c>
      <c r="J40" s="228" t="n">
        <v>0</v>
      </c>
      <c r="K40" s="228" t="n">
        <v>0.0577149587750295</v>
      </c>
      <c r="L40" s="153" t="n"/>
      <c r="M40" s="153" t="n"/>
      <c r="O40" s="189" t="n">
        <v>59</v>
      </c>
      <c r="P40" s="149" t="n">
        <v>-17.09981848788</v>
      </c>
      <c r="Q40" s="130" t="n">
        <v>223.399513761447</v>
      </c>
      <c r="R40" s="130" t="n">
        <v>190.3</v>
      </c>
      <c r="S40" s="209" t="n">
        <v>16.8343017018859</v>
      </c>
      <c r="W40" s="128" t="n"/>
      <c r="Y40" s="153" t="n"/>
      <c r="Z40" s="154" t="n"/>
      <c r="AA40" s="153" t="n"/>
      <c r="AB40" s="128" t="n"/>
      <c r="AC40" s="128" t="n"/>
      <c r="AD40" s="128" t="n"/>
    </row>
    <row r="41" ht="16.5" customHeight="1" s="116">
      <c r="B41" s="129">
        <f>B19</f>
        <v/>
      </c>
      <c r="C41" s="225" t="n">
        <v>78</v>
      </c>
      <c r="D41" s="227" t="n">
        <v>-0.324669</v>
      </c>
      <c r="E41" s="225" t="n">
        <v>47</v>
      </c>
      <c r="F41" s="225" t="n">
        <v>0.0650769416892273</v>
      </c>
      <c r="G41" s="228" t="n"/>
      <c r="H41" s="228" t="n">
        <v>5.27</v>
      </c>
      <c r="I41" s="228" t="n">
        <v>0</v>
      </c>
      <c r="J41" s="228" t="n">
        <v>0</v>
      </c>
      <c r="K41" s="228" t="n">
        <v>0.0812720848056538</v>
      </c>
      <c r="L41" s="153" t="n"/>
      <c r="M41" s="153" t="n"/>
      <c r="O41" s="189" t="n">
        <v>58</v>
      </c>
      <c r="P41" s="149" t="n">
        <v>-17.6090700496311</v>
      </c>
      <c r="Q41" s="130" t="n">
        <v>240.75618595484</v>
      </c>
      <c r="R41" s="130" t="n">
        <v>212.3</v>
      </c>
      <c r="S41" s="209" t="n">
        <v>17.3566721933929</v>
      </c>
      <c r="W41" s="128" t="n"/>
      <c r="Y41" s="153" t="n"/>
      <c r="Z41" s="154" t="n"/>
      <c r="AA41" s="153" t="n"/>
      <c r="AB41" s="128" t="n"/>
      <c r="AC41" s="128" t="n"/>
      <c r="AD41" s="128" t="n"/>
    </row>
    <row r="42" ht="16.5" customHeight="1" s="116">
      <c r="B42" s="129">
        <f>B20</f>
        <v/>
      </c>
      <c r="C42" s="225" t="n">
        <v>80</v>
      </c>
      <c r="D42" s="227" t="n">
        <v>-0.36366731</v>
      </c>
      <c r="E42" s="225" t="n">
        <v>47</v>
      </c>
      <c r="F42" s="225" t="n">
        <v>0.0411045555786946</v>
      </c>
      <c r="G42" s="228" t="n"/>
      <c r="H42" s="228" t="n">
        <v>6.05</v>
      </c>
      <c r="I42" s="228" t="n">
        <v>0</v>
      </c>
      <c r="J42" s="228" t="n">
        <v>0</v>
      </c>
      <c r="K42" s="228" t="n">
        <v>0.0577149587750295</v>
      </c>
      <c r="L42" s="153" t="n"/>
      <c r="M42" s="153" t="n"/>
      <c r="O42" s="189" t="n">
        <v>57</v>
      </c>
      <c r="P42" s="149" t="n">
        <v>-18.0908606578741</v>
      </c>
      <c r="Q42" s="130" t="n">
        <v>258.608499355517</v>
      </c>
      <c r="R42" s="130" t="n">
        <v>234.3</v>
      </c>
      <c r="S42" s="209" t="n">
        <v>17.8523134006777</v>
      </c>
      <c r="W42" s="128" t="n"/>
      <c r="Y42" s="153" t="n"/>
      <c r="Z42" s="154" t="n"/>
      <c r="AA42" s="153" t="n"/>
      <c r="AB42" s="128" t="n"/>
      <c r="AC42" s="128" t="n"/>
      <c r="AD42" s="128" t="n"/>
    </row>
    <row r="43" ht="16.5" customHeight="1" s="116">
      <c r="B43" s="166" t="n"/>
      <c r="C43" s="193" t="n"/>
      <c r="D43" s="193" t="n"/>
      <c r="E43" s="193" t="n"/>
      <c r="G43" s="118" t="n"/>
      <c r="H43" s="118" t="n"/>
      <c r="I43" s="118" t="n">
        <v>11.93</v>
      </c>
      <c r="J43" s="118" t="n"/>
      <c r="K43" s="118" t="n"/>
      <c r="L43" s="118" t="n"/>
      <c r="M43" s="118" t="n"/>
      <c r="Q43" s="117" t="n">
        <v>25.8851086347644</v>
      </c>
      <c r="W43" s="128" t="n"/>
      <c r="Y43" s="153" t="n"/>
      <c r="Z43" s="154" t="n"/>
      <c r="AA43" s="153" t="n"/>
      <c r="AB43" s="128" t="n"/>
      <c r="AC43" s="128" t="n"/>
      <c r="AD43" s="128" t="n"/>
    </row>
    <row r="44" ht="16.5" customHeight="1" s="116">
      <c r="B44" s="166" t="n"/>
      <c r="C44" s="193" t="n"/>
      <c r="D44" s="193" t="n"/>
      <c r="E44" s="193" t="n"/>
      <c r="G44" s="118" t="n"/>
      <c r="H44" s="118" t="n"/>
      <c r="I44" s="118" t="n"/>
      <c r="J44" s="118" t="n"/>
      <c r="K44" s="118" t="n"/>
      <c r="L44" s="118" t="n"/>
      <c r="M44" s="118" t="n"/>
      <c r="W44" s="128" t="n"/>
      <c r="Y44" s="153" t="n"/>
      <c r="Z44" s="154" t="n"/>
      <c r="AA44" s="153" t="n"/>
      <c r="AB44" s="128" t="n"/>
      <c r="AC44" s="128" t="n"/>
      <c r="AD44" s="128" t="n"/>
    </row>
    <row r="45" ht="16.5" customHeight="1" s="116">
      <c r="B45" s="133" t="inlineStr">
        <is>
          <t>symbol</t>
        </is>
      </c>
      <c r="C45" s="133" t="inlineStr">
        <is>
          <t>кол</t>
        </is>
      </c>
      <c r="D45" s="133" t="inlineStr">
        <is>
          <t>delta</t>
        </is>
      </c>
      <c r="E45" s="133" t="inlineStr">
        <is>
          <t>DTE</t>
        </is>
      </c>
      <c r="F45" s="133" t="inlineStr">
        <is>
          <t>% price</t>
        </is>
      </c>
      <c r="G45" s="133" t="inlineStr">
        <is>
          <t>кол</t>
        </is>
      </c>
      <c r="H45" s="133" t="inlineStr">
        <is>
          <t>cost</t>
        </is>
      </c>
      <c r="I45" s="133" t="inlineStr">
        <is>
          <t>% cost</t>
        </is>
      </c>
      <c r="J45" s="133" t="n"/>
      <c r="K45" s="133" t="n"/>
      <c r="L45" s="148" t="n"/>
      <c r="M45" s="148" t="n"/>
      <c r="O45" s="133" t="inlineStr">
        <is>
          <t>Strike</t>
        </is>
      </c>
      <c r="P45" s="149" t="inlineStr">
        <is>
          <t>Delta</t>
        </is>
      </c>
      <c r="Q45" s="149" t="inlineStr">
        <is>
          <t>Pnl</t>
        </is>
      </c>
      <c r="R45" s="149" t="inlineStr">
        <is>
          <t>Intrin</t>
        </is>
      </c>
      <c r="S45" s="129" t="inlineStr">
        <is>
          <t>Acclerat</t>
        </is>
      </c>
      <c r="W45" s="128" t="n"/>
      <c r="Y45" s="153" t="n"/>
      <c r="Z45" s="154" t="n"/>
      <c r="AA45" s="153" t="n"/>
      <c r="AB45" s="128" t="n"/>
      <c r="AC45" s="128" t="n"/>
      <c r="AD45" s="128" t="n"/>
    </row>
    <row r="46" ht="16.5" customHeight="1" s="116">
      <c r="B46" s="129">
        <f>B31</f>
        <v/>
      </c>
      <c r="C46" s="208" t="n"/>
      <c r="D46" s="132" t="n"/>
      <c r="E46" s="149" t="n"/>
      <c r="F46" s="149" t="n"/>
      <c r="G46" s="151" t="n"/>
      <c r="H46" s="151" t="n"/>
      <c r="I46" s="151" t="n"/>
      <c r="J46" s="151" t="n"/>
      <c r="K46" s="151" t="n"/>
      <c r="L46" s="153" t="n"/>
      <c r="M46" s="153" t="n"/>
      <c r="O46" s="189" t="n"/>
      <c r="P46" s="149" t="n"/>
      <c r="Q46" s="130" t="n"/>
      <c r="R46" s="130" t="n"/>
      <c r="S46" s="129" t="n"/>
      <c r="T46" s="141" t="n"/>
      <c r="W46" s="128" t="n"/>
      <c r="Y46" s="153" t="n"/>
      <c r="Z46" s="154" t="n"/>
      <c r="AA46" s="153" t="n"/>
      <c r="AB46" s="128" t="n"/>
      <c r="AC46" s="128" t="n"/>
      <c r="AD46" s="128" t="n"/>
    </row>
    <row r="47" ht="16.5" customHeight="1" s="116">
      <c r="B47" s="129">
        <f>B32</f>
        <v/>
      </c>
      <c r="C47" s="208" t="n"/>
      <c r="D47" s="132" t="n"/>
      <c r="E47" s="149" t="n"/>
      <c r="F47" s="149" t="n"/>
      <c r="G47" s="151" t="n"/>
      <c r="H47" s="151" t="n"/>
      <c r="I47" s="151" t="n"/>
      <c r="J47" s="151" t="n"/>
      <c r="K47" s="151" t="n"/>
      <c r="L47" s="153" t="n"/>
      <c r="M47" s="153" t="n"/>
      <c r="O47" s="189" t="n"/>
      <c r="P47" s="149" t="n"/>
      <c r="Q47" s="130" t="n"/>
      <c r="R47" s="130" t="n"/>
      <c r="S47" s="130" t="n"/>
      <c r="T47" s="141" t="n"/>
      <c r="W47" s="128" t="n"/>
      <c r="Y47" s="153" t="n"/>
      <c r="Z47" s="154" t="n"/>
      <c r="AA47" s="153" t="n"/>
      <c r="AB47" s="128" t="n"/>
      <c r="AC47" s="128" t="n"/>
      <c r="AD47" s="128" t="n"/>
    </row>
    <row r="48" ht="16.5" customHeight="1" s="116">
      <c r="B48" s="129">
        <f>B33</f>
        <v/>
      </c>
      <c r="C48" s="208" t="n"/>
      <c r="D48" s="132" t="n"/>
      <c r="E48" s="149" t="n"/>
      <c r="F48" s="149" t="n"/>
      <c r="G48" s="151" t="n"/>
      <c r="H48" s="151" t="n"/>
      <c r="I48" s="151" t="n"/>
      <c r="J48" s="151" t="n"/>
      <c r="K48" s="151" t="n"/>
      <c r="L48" s="153" t="n"/>
      <c r="M48" s="153" t="n"/>
      <c r="O48" s="189" t="n"/>
      <c r="P48" s="149" t="n"/>
      <c r="Q48" s="130" t="n"/>
      <c r="R48" s="130" t="n"/>
      <c r="S48" s="130" t="n"/>
      <c r="T48" s="141" t="n"/>
      <c r="W48" s="128" t="n"/>
      <c r="Y48" s="153" t="n"/>
      <c r="Z48" s="154" t="n"/>
      <c r="AA48" s="153" t="n"/>
      <c r="AB48" s="128" t="n"/>
      <c r="AC48" s="128" t="n"/>
      <c r="AD48" s="128" t="n"/>
    </row>
    <row r="49" ht="16.5" customHeight="1" s="116">
      <c r="B49" s="129">
        <f>B34</f>
        <v/>
      </c>
      <c r="C49" s="208" t="n"/>
      <c r="D49" s="132" t="n"/>
      <c r="E49" s="149" t="n"/>
      <c r="F49" s="149" t="n"/>
      <c r="G49" s="151" t="n"/>
      <c r="H49" s="151" t="n"/>
      <c r="I49" s="151" t="n"/>
      <c r="J49" s="151" t="n"/>
      <c r="K49" s="151" t="n"/>
      <c r="L49" s="153" t="n"/>
      <c r="M49" s="153" t="n"/>
      <c r="O49" s="189" t="n"/>
      <c r="P49" s="149" t="n"/>
      <c r="Q49" s="130" t="n"/>
      <c r="R49" s="130" t="n"/>
      <c r="S49" s="130" t="n"/>
      <c r="T49" s="141" t="n"/>
      <c r="W49" s="128" t="n"/>
      <c r="Y49" s="153" t="n"/>
      <c r="Z49" s="154" t="n"/>
      <c r="AA49" s="153" t="n"/>
      <c r="AB49" s="128" t="n"/>
      <c r="AC49" s="128" t="n"/>
      <c r="AD49" s="128" t="n"/>
    </row>
    <row r="50" ht="16.5" customHeight="1" s="116">
      <c r="B50" s="129">
        <f>B35</f>
        <v/>
      </c>
      <c r="C50" s="208" t="n"/>
      <c r="D50" s="132" t="n"/>
      <c r="E50" s="149" t="n"/>
      <c r="F50" s="149" t="n"/>
      <c r="G50" s="151" t="n"/>
      <c r="H50" s="151" t="n"/>
      <c r="I50" s="151" t="n"/>
      <c r="J50" s="151" t="n"/>
      <c r="K50" s="151" t="n"/>
      <c r="L50" s="153" t="n"/>
      <c r="M50" s="153" t="n"/>
      <c r="O50" s="189" t="n"/>
      <c r="P50" s="149" t="n"/>
      <c r="Q50" s="130" t="n"/>
      <c r="R50" s="130" t="n"/>
      <c r="S50" s="130" t="n"/>
      <c r="T50" s="141" t="n"/>
      <c r="W50" s="128" t="n"/>
      <c r="Y50" s="153" t="n"/>
      <c r="Z50" s="154" t="n"/>
      <c r="AA50" s="153" t="n"/>
      <c r="AB50" s="128" t="n"/>
      <c r="AC50" s="128" t="n"/>
      <c r="AD50" s="128" t="n"/>
    </row>
    <row r="51" ht="16.5" customHeight="1" s="116">
      <c r="B51" s="129">
        <f>B36</f>
        <v/>
      </c>
      <c r="C51" s="208" t="n"/>
      <c r="D51" s="132" t="n"/>
      <c r="E51" s="149" t="n"/>
      <c r="F51" s="149" t="n"/>
      <c r="G51" s="151" t="n"/>
      <c r="H51" s="151" t="n"/>
      <c r="I51" s="151" t="n"/>
      <c r="J51" s="151" t="n"/>
      <c r="K51" s="151" t="n"/>
      <c r="L51" s="153" t="n"/>
      <c r="M51" s="153" t="n"/>
      <c r="O51" s="189" t="n"/>
      <c r="P51" s="149" t="n"/>
      <c r="Q51" s="130" t="n"/>
      <c r="R51" s="130" t="n"/>
      <c r="S51" s="130" t="n"/>
      <c r="T51" s="141" t="n"/>
      <c r="W51" s="128" t="n"/>
      <c r="Y51" s="153" t="n"/>
      <c r="Z51" s="154" t="n"/>
      <c r="AA51" s="153" t="n"/>
      <c r="AB51" s="128" t="n"/>
      <c r="AC51" s="128" t="n"/>
      <c r="AD51" s="128" t="n"/>
    </row>
    <row r="52" ht="16.5" customHeight="1" s="116">
      <c r="B52" s="129">
        <f>B37</f>
        <v/>
      </c>
      <c r="C52" s="208" t="n"/>
      <c r="D52" s="132" t="n"/>
      <c r="E52" s="149" t="n"/>
      <c r="F52" s="149" t="n"/>
      <c r="G52" s="151" t="n"/>
      <c r="H52" s="151" t="n"/>
      <c r="I52" s="151" t="n"/>
      <c r="J52" s="151" t="n"/>
      <c r="K52" s="151" t="n"/>
      <c r="L52" s="153" t="n"/>
      <c r="M52" s="153" t="n"/>
      <c r="W52" s="128" t="n"/>
      <c r="Y52" s="153" t="n"/>
      <c r="Z52" s="154" t="n"/>
      <c r="AA52" s="153" t="n"/>
      <c r="AB52" s="128" t="n"/>
      <c r="AC52" s="128" t="n"/>
      <c r="AD52" s="128" t="n"/>
    </row>
    <row r="53" ht="16.5" customHeight="1" s="116">
      <c r="B53" s="129">
        <f>B38</f>
        <v/>
      </c>
      <c r="C53" s="225" t="n"/>
      <c r="D53" s="227" t="n"/>
      <c r="E53" s="225" t="n"/>
      <c r="F53" s="225" t="n"/>
      <c r="G53" s="228" t="n"/>
      <c r="H53" s="228" t="n"/>
      <c r="I53" s="228" t="n"/>
      <c r="J53" s="228" t="n"/>
      <c r="K53" s="228" t="n"/>
      <c r="L53" s="153" t="n"/>
      <c r="M53" s="153" t="n"/>
      <c r="W53" s="128" t="n"/>
      <c r="Y53" s="153" t="n"/>
      <c r="Z53" s="154" t="n"/>
      <c r="AA53" s="153" t="n"/>
      <c r="AB53" s="128" t="n"/>
      <c r="AC53" s="128" t="n"/>
      <c r="AD53" s="128" t="n"/>
    </row>
    <row r="54" ht="16.5" customHeight="1" s="116">
      <c r="B54" s="129">
        <f>B39</f>
        <v/>
      </c>
      <c r="C54" s="225" t="n"/>
      <c r="D54" s="227" t="n"/>
      <c r="E54" s="225" t="n"/>
      <c r="F54" s="225" t="n"/>
      <c r="G54" s="228" t="n"/>
      <c r="H54" s="228" t="n"/>
      <c r="I54" s="228" t="n"/>
      <c r="J54" s="228" t="n"/>
      <c r="K54" s="228" t="n"/>
      <c r="L54" s="153" t="n"/>
      <c r="M54" s="153" t="n"/>
      <c r="W54" s="128" t="n"/>
      <c r="Y54" s="153" t="n"/>
      <c r="Z54" s="154" t="n"/>
      <c r="AA54" s="153" t="n"/>
      <c r="AB54" s="128" t="n"/>
      <c r="AC54" s="128" t="n"/>
      <c r="AD54" s="128" t="n"/>
    </row>
    <row r="55" ht="16.5" customHeight="1" s="116">
      <c r="B55" s="129">
        <f>B40</f>
        <v/>
      </c>
      <c r="C55" s="225" t="n"/>
      <c r="D55" s="227" t="n"/>
      <c r="E55" s="225" t="n"/>
      <c r="F55" s="225" t="n"/>
      <c r="G55" s="228" t="n"/>
      <c r="H55" s="228" t="n"/>
      <c r="I55" s="228" t="n"/>
      <c r="J55" s="228" t="n"/>
      <c r="K55" s="228" t="n"/>
      <c r="L55" s="153" t="n"/>
      <c r="M55" s="153" t="n"/>
      <c r="W55" s="128" t="n"/>
      <c r="Y55" s="153" t="n"/>
      <c r="Z55" s="154" t="n"/>
      <c r="AA55" s="153" t="n"/>
      <c r="AB55" s="128" t="n"/>
      <c r="AC55" s="128" t="n"/>
      <c r="AD55" s="128" t="n"/>
    </row>
    <row r="56" ht="16.5" customHeight="1" s="116">
      <c r="B56" s="129" t="n"/>
      <c r="C56" s="225" t="n"/>
      <c r="D56" s="227" t="n"/>
      <c r="E56" s="225" t="n"/>
      <c r="F56" s="225" t="n"/>
      <c r="G56" s="228" t="n"/>
      <c r="H56" s="228" t="n"/>
      <c r="I56" s="228" t="n"/>
      <c r="J56" s="228" t="n"/>
      <c r="K56" s="228" t="n"/>
      <c r="L56" s="153" t="n"/>
      <c r="M56" s="153" t="n"/>
      <c r="W56" s="128" t="n"/>
      <c r="Y56" s="153" t="n"/>
      <c r="Z56" s="154" t="n"/>
      <c r="AA56" s="153" t="n"/>
      <c r="AB56" s="128" t="n"/>
      <c r="AC56" s="128" t="n"/>
      <c r="AD56" s="128" t="n"/>
    </row>
    <row r="57" ht="16.5" customHeight="1" s="116">
      <c r="B57" s="129" t="n"/>
      <c r="C57" s="225" t="n"/>
      <c r="D57" s="227" t="n"/>
      <c r="E57" s="225" t="n"/>
      <c r="F57" s="225" t="n"/>
      <c r="G57" s="228" t="n"/>
      <c r="H57" s="228" t="n"/>
      <c r="I57" s="228" t="n"/>
      <c r="J57" s="228" t="n"/>
      <c r="K57" s="228" t="n"/>
      <c r="L57" s="153" t="n"/>
      <c r="M57" s="153" t="n"/>
      <c r="W57" s="128" t="n"/>
      <c r="Y57" s="153" t="n"/>
      <c r="Z57" s="154" t="n"/>
      <c r="AA57" s="153" t="n"/>
      <c r="AB57" s="128" t="n"/>
      <c r="AC57" s="128" t="n"/>
      <c r="AD57" s="128" t="n"/>
    </row>
    <row r="58" ht="16.5" customHeight="1" s="116">
      <c r="C58" s="118" t="n"/>
      <c r="D58" s="193" t="n"/>
      <c r="E58" s="118" t="n"/>
      <c r="F58" s="118" t="n"/>
      <c r="G58" s="153" t="n"/>
      <c r="H58" s="153" t="n"/>
      <c r="I58" s="153" t="n"/>
      <c r="J58" s="153" t="n"/>
      <c r="K58" s="153" t="n"/>
      <c r="L58" s="153" t="n"/>
      <c r="M58" s="153" t="n"/>
      <c r="W58" s="128" t="n"/>
      <c r="Y58" s="153" t="n"/>
      <c r="Z58" s="154" t="n"/>
      <c r="AA58" s="153" t="n"/>
      <c r="AB58" s="128" t="n"/>
      <c r="AC58" s="128" t="n"/>
      <c r="AD58" s="128" t="n"/>
    </row>
    <row r="59" ht="16.5" customHeight="1" s="116">
      <c r="B59" s="166" t="n"/>
      <c r="C59" s="193" t="n"/>
      <c r="D59" s="193" t="n"/>
      <c r="E59" s="193" t="n"/>
      <c r="G59" s="118" t="n"/>
      <c r="H59" s="118" t="n"/>
      <c r="I59" s="118" t="n"/>
      <c r="J59" s="118" t="n"/>
      <c r="K59" s="118" t="n"/>
      <c r="L59" s="118" t="n"/>
      <c r="M59" s="118" t="n"/>
      <c r="W59" s="128" t="n"/>
      <c r="Y59" s="153" t="n"/>
      <c r="Z59" s="154" t="n"/>
      <c r="AA59" s="153" t="n"/>
      <c r="AB59" s="128" t="n"/>
      <c r="AC59" s="128" t="n"/>
      <c r="AD59" s="128" t="n"/>
    </row>
    <row r="60" ht="16.5" customHeight="1" s="116">
      <c r="B60" s="166" t="n"/>
      <c r="C60" s="193" t="n"/>
      <c r="D60" s="193" t="n"/>
      <c r="E60" s="193" t="n"/>
      <c r="G60" s="118" t="n"/>
      <c r="H60" s="118" t="n"/>
      <c r="I60" s="118" t="n"/>
      <c r="J60" s="118" t="n"/>
      <c r="K60" s="118" t="n"/>
      <c r="L60" s="180" t="inlineStr">
        <is>
          <t>Position Bybit</t>
        </is>
      </c>
      <c r="W60" s="128" t="n"/>
      <c r="Y60" s="153" t="n"/>
      <c r="Z60" s="154" t="n"/>
      <c r="AA60" s="153" t="n"/>
      <c r="AB60" s="128" t="n"/>
      <c r="AC60" s="128" t="n"/>
      <c r="AD60" s="128" t="n"/>
    </row>
    <row r="61" ht="16.5" customHeight="1" s="116">
      <c r="B61" s="133" t="inlineStr">
        <is>
          <t>symbol</t>
        </is>
      </c>
      <c r="C61" s="133" t="inlineStr">
        <is>
          <t>strike</t>
        </is>
      </c>
      <c r="D61" s="133" t="inlineStr">
        <is>
          <t>delta</t>
        </is>
      </c>
      <c r="E61" s="133" t="inlineStr">
        <is>
          <t>DTE</t>
        </is>
      </c>
      <c r="F61" s="133" t="inlineStr">
        <is>
          <t>% price</t>
        </is>
      </c>
      <c r="G61" s="133" t="inlineStr">
        <is>
          <t>кол</t>
        </is>
      </c>
      <c r="H61" s="133" t="inlineStr">
        <is>
          <t>price</t>
        </is>
      </c>
      <c r="I61" s="133" t="inlineStr">
        <is>
          <t>cost</t>
        </is>
      </c>
      <c r="J61" s="133" t="inlineStr">
        <is>
          <t>% cost</t>
        </is>
      </c>
      <c r="K61" s="133" t="inlineStr">
        <is>
          <t>%priceCur</t>
        </is>
      </c>
      <c r="L61" s="133" t="inlineStr">
        <is>
          <t>price</t>
        </is>
      </c>
      <c r="M61" s="133" t="inlineStr">
        <is>
          <t>contrr</t>
        </is>
      </c>
      <c r="O61" s="133" t="inlineStr">
        <is>
          <t>Strike</t>
        </is>
      </c>
      <c r="P61" s="149" t="inlineStr">
        <is>
          <t>Delta</t>
        </is>
      </c>
      <c r="Q61" s="149" t="inlineStr">
        <is>
          <t>Pnl</t>
        </is>
      </c>
      <c r="R61" s="149" t="inlineStr">
        <is>
          <t>Intrin</t>
        </is>
      </c>
      <c r="S61" s="129" t="inlineStr">
        <is>
          <t>Acclerat</t>
        </is>
      </c>
      <c r="W61" s="128" t="n"/>
      <c r="Y61" s="153" t="n"/>
      <c r="Z61" s="154" t="n"/>
      <c r="AA61" s="153" t="n"/>
      <c r="AB61" s="128" t="n"/>
      <c r="AC61" s="128" t="n"/>
      <c r="AD61" s="128" t="n"/>
    </row>
    <row r="62" ht="16.5" customHeight="1" s="116">
      <c r="B62" s="129">
        <f>B9</f>
        <v/>
      </c>
      <c r="C62" s="208" t="n">
        <v>60</v>
      </c>
      <c r="D62" s="132" t="n">
        <v>-0.02064356</v>
      </c>
      <c r="E62" s="149" t="n">
        <v>12</v>
      </c>
      <c r="F62" s="149" t="n">
        <v>0.280828416684021</v>
      </c>
      <c r="G62" s="149" t="n">
        <v>5</v>
      </c>
      <c r="H62" s="220" t="n">
        <v>0.61</v>
      </c>
      <c r="I62" s="220" t="n">
        <v>3.05</v>
      </c>
      <c r="J62" s="151" t="n">
        <v>0.11302475780409</v>
      </c>
      <c r="K62" s="151" t="n">
        <v>0.278412507516536</v>
      </c>
      <c r="L62" s="220">
        <f>Far_laeyr!L59</f>
        <v/>
      </c>
      <c r="M62" s="229">
        <f>Far_laeyr!M59</f>
        <v/>
      </c>
      <c r="O62" s="189" t="n">
        <v>80</v>
      </c>
      <c r="P62" s="149" t="n">
        <v>-4.22024035470236</v>
      </c>
      <c r="Q62" s="130" t="n">
        <v>3.5772224896422</v>
      </c>
      <c r="R62" s="130" t="n">
        <v>-26.41</v>
      </c>
      <c r="S62" s="129" t="n"/>
      <c r="T62" s="141" t="n"/>
      <c r="W62" s="128" t="n"/>
      <c r="Y62" s="153" t="n"/>
      <c r="Z62" s="154" t="n"/>
      <c r="AA62" s="153" t="n"/>
      <c r="AB62" s="128" t="n"/>
      <c r="AC62" s="128" t="n"/>
      <c r="AD62" s="128" t="n"/>
    </row>
    <row r="63" ht="16.5" customHeight="1" s="116">
      <c r="B63" s="129">
        <f>B10</f>
        <v/>
      </c>
      <c r="C63" s="208" t="n">
        <v>65</v>
      </c>
      <c r="D63" s="132" t="n">
        <v>-0.04448515</v>
      </c>
      <c r="E63" s="149" t="n">
        <v>12</v>
      </c>
      <c r="F63" s="149" t="n">
        <v>0.220897451407689</v>
      </c>
      <c r="G63" s="149" t="n">
        <v>4</v>
      </c>
      <c r="H63" s="220" t="n">
        <v>0.59</v>
      </c>
      <c r="I63" s="220" t="n">
        <v>2.36</v>
      </c>
      <c r="J63" s="151" t="n">
        <v>0.150699677072121</v>
      </c>
      <c r="K63" s="151" t="n">
        <v>0.218280216476248</v>
      </c>
      <c r="L63" s="220">
        <f>Far_laeyr!L60</f>
        <v/>
      </c>
      <c r="M63" s="229">
        <f>Far_laeyr!M60</f>
        <v/>
      </c>
      <c r="O63" s="189" t="n">
        <v>78</v>
      </c>
      <c r="P63" s="149" t="n">
        <v>-5.26753238945508</v>
      </c>
      <c r="Q63" s="130" t="n">
        <v>13.0435036230173</v>
      </c>
      <c r="R63" s="130" t="n">
        <v>-22.41</v>
      </c>
      <c r="S63" s="209" t="n">
        <v>9.4662811333751</v>
      </c>
      <c r="T63" s="141" t="n"/>
      <c r="W63" s="128" t="n"/>
      <c r="Y63" s="153" t="n"/>
      <c r="Z63" s="154" t="n"/>
      <c r="AA63" s="153" t="n"/>
      <c r="AB63" s="128" t="n"/>
      <c r="AC63" s="128" t="n"/>
      <c r="AD63" s="128" t="n"/>
    </row>
    <row r="64" ht="16.5" customHeight="1" s="116">
      <c r="B64" s="129">
        <f>B11</f>
        <v/>
      </c>
      <c r="C64" s="208" t="n">
        <v>60</v>
      </c>
      <c r="D64" s="132" t="n">
        <v>-0.09576622</v>
      </c>
      <c r="E64" s="149" t="n">
        <v>47</v>
      </c>
      <c r="F64" s="149" t="n">
        <v>0.280828416684021</v>
      </c>
      <c r="G64" s="149" t="n">
        <v>1</v>
      </c>
      <c r="H64" s="220" t="n">
        <v>1.74</v>
      </c>
      <c r="I64" s="220" t="n">
        <v>1.74</v>
      </c>
      <c r="J64" s="151" t="n">
        <v>0.136706135629709</v>
      </c>
      <c r="K64" s="151" t="n">
        <v>0.278412507516536</v>
      </c>
      <c r="L64" s="220">
        <f>Far_laeyr!L61</f>
        <v/>
      </c>
      <c r="M64" s="229">
        <f>Far_laeyr!M61</f>
        <v/>
      </c>
      <c r="O64" s="189" t="n">
        <v>76</v>
      </c>
      <c r="P64" s="149" t="n">
        <v>-6.43321280770579</v>
      </c>
      <c r="Q64" s="130" t="n">
        <v>24.7264776564608</v>
      </c>
      <c r="R64" s="130" t="n">
        <v>-12.41</v>
      </c>
      <c r="S64" s="209" t="n">
        <v>11.6829740334435</v>
      </c>
      <c r="T64" s="141" t="n"/>
      <c r="W64" s="128" t="n"/>
      <c r="Y64" s="153" t="n"/>
      <c r="Z64" s="154" t="n"/>
      <c r="AA64" s="153" t="n"/>
      <c r="AB64" s="128" t="n"/>
      <c r="AC64" s="128" t="n"/>
      <c r="AD64" s="128" t="n"/>
    </row>
    <row r="65" ht="16.5" customHeight="1" s="116">
      <c r="B65" s="129">
        <f>B12</f>
        <v/>
      </c>
      <c r="C65" s="208" t="n">
        <v>70</v>
      </c>
      <c r="D65" s="132" t="n">
        <v>-0.09456792999999999</v>
      </c>
      <c r="E65" s="149" t="n">
        <v>12</v>
      </c>
      <c r="F65" s="149" t="n">
        <v>0.160966486131358</v>
      </c>
      <c r="G65" s="149" t="n">
        <v>2</v>
      </c>
      <c r="H65" s="220" t="n">
        <v>0.98</v>
      </c>
      <c r="I65" s="220" t="n">
        <v>1.96</v>
      </c>
      <c r="J65" s="151" t="n">
        <v>0.135629709364908</v>
      </c>
      <c r="K65" s="151" t="n">
        <v>0.158147925435959</v>
      </c>
      <c r="L65" s="220">
        <f>Far_laeyr!L62</f>
        <v/>
      </c>
      <c r="M65" s="229">
        <f>Far_laeyr!M62</f>
        <v/>
      </c>
      <c r="O65" s="189" t="n">
        <v>75</v>
      </c>
      <c r="P65" s="149" t="n">
        <v>-7.05250449871111</v>
      </c>
      <c r="Q65" s="130" t="n">
        <v>31.4675678354523</v>
      </c>
      <c r="R65" s="130" t="n">
        <v>-7.41</v>
      </c>
      <c r="S65" s="209" t="n">
        <v>6.74109017899153</v>
      </c>
      <c r="T65" s="141" t="n"/>
      <c r="W65" s="128" t="n"/>
      <c r="Y65" s="153" t="n"/>
      <c r="Z65" s="154" t="n"/>
      <c r="AA65" s="153" t="n"/>
      <c r="AB65" s="128" t="n"/>
      <c r="AC65" s="128" t="n"/>
      <c r="AD65" s="128" t="n"/>
    </row>
    <row r="66" ht="16.5" customHeight="1" s="116">
      <c r="B66" s="129">
        <f>B13</f>
        <v/>
      </c>
      <c r="C66" s="208" t="n">
        <v>70</v>
      </c>
      <c r="D66" s="132" t="n">
        <v>-0.13750328</v>
      </c>
      <c r="E66" s="149" t="n">
        <v>19</v>
      </c>
      <c r="F66" s="149" t="n">
        <v>0.160966486131358</v>
      </c>
      <c r="G66" s="149" t="n">
        <v>1</v>
      </c>
      <c r="H66" s="220" t="n">
        <v>1.51</v>
      </c>
      <c r="I66" s="220" t="n">
        <v>1.51</v>
      </c>
      <c r="J66" s="151" t="n">
        <v>0.144241119483315</v>
      </c>
      <c r="K66" s="151" t="n">
        <v>0.158147925435959</v>
      </c>
      <c r="L66" s="220">
        <f>Far_laeyr!L63</f>
        <v/>
      </c>
      <c r="M66" s="229">
        <f>Far_laeyr!M63</f>
        <v/>
      </c>
      <c r="O66" s="189" t="n">
        <v>74</v>
      </c>
      <c r="P66" s="149" t="n">
        <v>-7.69101276845929</v>
      </c>
      <c r="Q66" s="130" t="n">
        <v>38.8378946898137</v>
      </c>
      <c r="R66" s="130" t="n">
        <v>0.590000000000001</v>
      </c>
      <c r="S66" s="209" t="n">
        <v>7.37032685436135</v>
      </c>
      <c r="T66" s="141" t="n"/>
      <c r="W66" s="128" t="n"/>
      <c r="Y66" s="153" t="n"/>
      <c r="Z66" s="154" t="n"/>
      <c r="AA66" s="153" t="n"/>
      <c r="AB66" s="128" t="n"/>
      <c r="AC66" s="128" t="n"/>
      <c r="AD66" s="128" t="n"/>
    </row>
    <row r="67" ht="16.5" customHeight="1" s="116">
      <c r="B67" s="129">
        <f>B14</f>
        <v/>
      </c>
      <c r="C67" s="208" t="n">
        <v>70</v>
      </c>
      <c r="D67" s="132" t="n">
        <v>-0.2091895</v>
      </c>
      <c r="E67" s="149" t="n">
        <v>47</v>
      </c>
      <c r="F67" s="149" t="n">
        <v>0.160966486131358</v>
      </c>
      <c r="G67" s="149" t="n">
        <v>1</v>
      </c>
      <c r="H67" s="220" t="n">
        <v>3.15</v>
      </c>
      <c r="I67" s="220" t="n">
        <v>3.15</v>
      </c>
      <c r="J67" s="151" t="n">
        <v>0.319698600645856</v>
      </c>
      <c r="K67" s="151" t="n">
        <v>0.158147925435959</v>
      </c>
      <c r="L67" s="220">
        <f>Far_laeyr!L64</f>
        <v/>
      </c>
      <c r="M67" s="229">
        <f>Far_laeyr!M64</f>
        <v/>
      </c>
      <c r="O67" s="189" t="n">
        <v>72</v>
      </c>
      <c r="P67" s="149" t="n">
        <v>-9.009083591314861</v>
      </c>
      <c r="Q67" s="130" t="n">
        <v>55.5307396778395</v>
      </c>
      <c r="R67" s="130" t="n">
        <v>16.59</v>
      </c>
      <c r="S67" s="209" t="n">
        <v>16.6928449880259</v>
      </c>
      <c r="T67" s="141" t="n"/>
      <c r="W67" s="128" t="n"/>
      <c r="Y67" s="153" t="n"/>
      <c r="Z67" s="154" t="n"/>
      <c r="AA67" s="153" t="n"/>
      <c r="AB67" s="128" t="n"/>
      <c r="AC67" s="128" t="n"/>
      <c r="AD67" s="128" t="n"/>
    </row>
    <row r="68" ht="16.5" customHeight="1" s="116">
      <c r="B68" s="129">
        <f>B15</f>
        <v/>
      </c>
      <c r="C68" s="208" t="n">
        <v>75</v>
      </c>
      <c r="D68" s="132" t="n">
        <v>-0.13670913</v>
      </c>
      <c r="E68" s="149" t="n">
        <v>12</v>
      </c>
      <c r="F68" s="149" t="n">
        <v>0.101035520855026</v>
      </c>
      <c r="G68" s="149" t="n">
        <v>3</v>
      </c>
      <c r="H68" s="220" t="n">
        <v>1.2</v>
      </c>
      <c r="I68" s="220" t="n">
        <v>3.6</v>
      </c>
      <c r="J68" s="151" t="n">
        <v>0.284810126582278</v>
      </c>
      <c r="K68" s="151" t="n">
        <v>0.11660777385159</v>
      </c>
      <c r="L68" s="220" t="n">
        <v>1.76</v>
      </c>
      <c r="M68" s="229" t="n">
        <v>3</v>
      </c>
      <c r="O68" s="189" t="n">
        <v>70</v>
      </c>
      <c r="P68" s="149" t="n">
        <v>-10.3541862871945</v>
      </c>
      <c r="Q68" s="130" t="n">
        <v>74.89218866123809</v>
      </c>
      <c r="R68" s="130" t="n">
        <v>32.59</v>
      </c>
      <c r="S68" s="209" t="n">
        <v>19.3614489833986</v>
      </c>
      <c r="W68" s="128" t="n"/>
      <c r="Y68" s="153" t="n"/>
      <c r="Z68" s="154" t="n"/>
      <c r="AA68" s="153" t="n"/>
      <c r="AB68" s="128" t="n"/>
      <c r="AC68" s="128" t="n"/>
      <c r="AD68" s="128" t="n"/>
    </row>
    <row r="69" ht="16.5" customHeight="1" s="116">
      <c r="B69" s="129">
        <f>B16</f>
        <v/>
      </c>
      <c r="C69" s="208" t="n">
        <v>78</v>
      </c>
      <c r="D69" s="132" t="n">
        <v>-0.21041525</v>
      </c>
      <c r="E69" s="149" t="n">
        <v>12</v>
      </c>
      <c r="F69" s="149" t="n">
        <v>0.0650769416892273</v>
      </c>
      <c r="G69" s="149" t="n">
        <v>3</v>
      </c>
      <c r="H69" s="220" t="n">
        <v>1.74</v>
      </c>
      <c r="I69" s="220" t="n">
        <v>5.22</v>
      </c>
      <c r="J69" s="151" t="n">
        <v>0.412974683544304</v>
      </c>
      <c r="K69" s="151" t="n">
        <v>0.0812720848056538</v>
      </c>
      <c r="L69" s="220" t="n"/>
      <c r="M69" s="229" t="n"/>
      <c r="O69" s="189" t="n">
        <v>65</v>
      </c>
      <c r="P69" s="149" t="n">
        <v>-13.6470592895619</v>
      </c>
      <c r="Q69" s="130" t="n">
        <v>134.984093178241</v>
      </c>
      <c r="R69" s="130" t="n">
        <v>92.59</v>
      </c>
      <c r="S69" s="209" t="n">
        <v>60.0919045170027</v>
      </c>
      <c r="W69" s="128" t="n"/>
      <c r="Y69" s="153" t="n"/>
      <c r="Z69" s="154" t="n"/>
      <c r="AA69" s="153" t="n"/>
      <c r="AB69" s="128" t="n"/>
      <c r="AC69" s="128" t="n"/>
      <c r="AD69" s="128" t="n"/>
    </row>
    <row r="70" ht="16.5" customHeight="1" s="116">
      <c r="B70" s="129">
        <f>B17</f>
        <v/>
      </c>
      <c r="C70" s="208" t="n">
        <v>80</v>
      </c>
      <c r="D70" s="132" t="n">
        <v>-0.27609847</v>
      </c>
      <c r="E70" s="149" t="n">
        <v>12</v>
      </c>
      <c r="F70" s="149" t="n">
        <v>0.0411045555786946</v>
      </c>
      <c r="G70" s="149" t="n">
        <v>2</v>
      </c>
      <c r="H70" s="220" t="n">
        <v>1.91</v>
      </c>
      <c r="I70" s="220" t="n">
        <v>3.82</v>
      </c>
      <c r="J70" s="151" t="n">
        <v>0.302215189873418</v>
      </c>
      <c r="K70" s="151" t="n">
        <v>0.0577149587750295</v>
      </c>
      <c r="L70" s="220" t="n"/>
      <c r="M70" s="229" t="n"/>
      <c r="O70" s="189" t="n">
        <v>60</v>
      </c>
      <c r="P70" s="149" t="n">
        <v>-16.5928868699235</v>
      </c>
      <c r="Q70" s="130" t="n">
        <v>210.777452989892</v>
      </c>
      <c r="R70" s="130" t="n">
        <v>172.59</v>
      </c>
      <c r="S70" s="209" t="n">
        <v>75.7933598116508</v>
      </c>
      <c r="W70" s="128" t="n"/>
      <c r="Y70" s="153" t="n"/>
      <c r="Z70" s="154" t="n"/>
      <c r="AA70" s="153" t="n"/>
      <c r="AB70" s="128" t="n"/>
      <c r="AC70" s="128" t="n"/>
      <c r="AD70" s="128" t="n"/>
    </row>
    <row r="71" ht="16.5" customHeight="1" s="116">
      <c r="B71" s="129">
        <f>B18</f>
        <v/>
      </c>
      <c r="C71" s="208" t="n">
        <v>80</v>
      </c>
      <c r="D71" s="132" t="n">
        <v>-0.31532837</v>
      </c>
      <c r="E71" s="149" t="n">
        <v>19</v>
      </c>
      <c r="F71" s="149" t="n">
        <v>0.0411045555786946</v>
      </c>
      <c r="G71" s="149" t="n"/>
      <c r="H71" s="220" t="n">
        <v>3.77</v>
      </c>
      <c r="I71" s="220" t="n">
        <v>0</v>
      </c>
      <c r="J71" s="151" t="n">
        <v>0</v>
      </c>
      <c r="K71" s="151" t="n">
        <v>0.0577149587750295</v>
      </c>
      <c r="L71" s="220" t="n"/>
      <c r="M71" s="229" t="n"/>
      <c r="O71" s="189" t="n">
        <v>59</v>
      </c>
      <c r="P71" s="149" t="n">
        <v>-17.1205738146857</v>
      </c>
      <c r="Q71" s="130" t="n">
        <v>227.636143818319</v>
      </c>
      <c r="R71" s="130" t="n">
        <v>194.59</v>
      </c>
      <c r="S71" s="209" t="n">
        <v>16.8586908284269</v>
      </c>
      <c r="W71" s="128" t="n"/>
      <c r="Y71" s="153" t="n"/>
      <c r="Z71" s="154" t="n"/>
      <c r="AA71" s="153" t="n"/>
      <c r="AB71" s="128" t="n"/>
      <c r="AC71" s="128" t="n"/>
      <c r="AD71" s="128" t="n"/>
    </row>
    <row r="72" ht="16.5" customHeight="1" s="116">
      <c r="B72" s="129">
        <f>B19</f>
        <v/>
      </c>
      <c r="C72" s="208" t="n">
        <v>78</v>
      </c>
      <c r="D72" s="132" t="n">
        <v>-0.324669</v>
      </c>
      <c r="E72" s="149" t="n">
        <v>47</v>
      </c>
      <c r="F72" s="149" t="n">
        <v>0.0650769416892273</v>
      </c>
      <c r="G72" s="149" t="n"/>
      <c r="H72" s="220" t="n">
        <v>5.27</v>
      </c>
      <c r="I72" s="220" t="n">
        <v>0</v>
      </c>
      <c r="J72" s="151" t="n">
        <v>0</v>
      </c>
      <c r="K72" s="151" t="n">
        <v>0.0812720848056538</v>
      </c>
      <c r="L72" s="220" t="n"/>
      <c r="M72" s="229" t="n"/>
      <c r="O72" s="189" t="n">
        <v>58</v>
      </c>
      <c r="P72" s="149" t="n">
        <v>-17.623889503228</v>
      </c>
      <c r="Q72" s="130" t="n">
        <v>245.010476870522</v>
      </c>
      <c r="R72" s="130" t="n">
        <v>216.59</v>
      </c>
      <c r="S72" s="209" t="n">
        <v>17.3743330522037</v>
      </c>
      <c r="W72" s="128" t="n"/>
      <c r="Y72" s="153" t="n"/>
      <c r="Z72" s="154" t="n"/>
      <c r="AA72" s="153" t="n"/>
      <c r="AB72" s="128" t="n"/>
      <c r="AC72" s="128" t="n"/>
      <c r="AD72" s="128" t="n"/>
    </row>
    <row r="73" ht="16.5" customHeight="1" s="116">
      <c r="B73" s="129">
        <f>B20</f>
        <v/>
      </c>
      <c r="C73" s="208" t="n">
        <v>80</v>
      </c>
      <c r="D73" s="132" t="n">
        <v>-0.36366731</v>
      </c>
      <c r="E73" s="149" t="n">
        <v>47</v>
      </c>
      <c r="F73" s="149" t="n">
        <v>0.0411045555786946</v>
      </c>
      <c r="G73" s="149" t="n"/>
      <c r="H73" s="220" t="n">
        <v>6.05</v>
      </c>
      <c r="I73" s="220" t="n">
        <v>0</v>
      </c>
      <c r="J73" s="151" t="n">
        <v>0</v>
      </c>
      <c r="K73" s="151" t="n">
        <v>0.0577149587750295</v>
      </c>
      <c r="L73" s="220" t="n"/>
      <c r="M73" s="229" t="n"/>
      <c r="O73" s="189" t="n">
        <v>57</v>
      </c>
      <c r="P73" s="149" t="n">
        <v>-18.1011525112378</v>
      </c>
      <c r="Q73" s="130" t="n">
        <v>262.875237973737</v>
      </c>
      <c r="R73" s="130" t="n">
        <v>238.59</v>
      </c>
      <c r="S73" s="209" t="n">
        <v>17.8647611032151</v>
      </c>
      <c r="W73" s="128" t="n"/>
      <c r="Y73" s="153" t="n"/>
      <c r="Z73" s="154" t="n"/>
      <c r="AA73" s="153" t="n"/>
      <c r="AB73" s="128" t="n"/>
      <c r="AC73" s="128" t="n"/>
      <c r="AD73" s="128" t="n"/>
    </row>
    <row r="74" ht="16.5" customHeight="1" s="116">
      <c r="B74" s="166" t="n"/>
      <c r="C74" s="193" t="n"/>
      <c r="D74" s="193" t="n"/>
      <c r="E74" s="193" t="n"/>
      <c r="G74" s="118" t="n"/>
      <c r="H74" s="118" t="n"/>
      <c r="I74" s="118" t="n">
        <v>12.64</v>
      </c>
      <c r="J74" s="118" t="n"/>
      <c r="K74" s="118" t="n"/>
      <c r="L74" s="118" t="n"/>
      <c r="M74" s="118" t="n"/>
      <c r="Q74" s="117" t="n">
        <v>27.863900995371</v>
      </c>
      <c r="W74" s="128" t="n"/>
      <c r="Y74" s="153" t="n"/>
      <c r="Z74" s="154" t="n"/>
      <c r="AA74" s="153" t="n"/>
      <c r="AB74" s="128" t="n"/>
      <c r="AC74" s="128" t="n"/>
      <c r="AD74" s="128" t="n"/>
    </row>
    <row r="75" ht="13.5" customHeight="1" s="116">
      <c r="I75" s="118" t="n">
        <v>26.41</v>
      </c>
      <c r="AC75" s="119" t="n"/>
    </row>
    <row r="76" ht="14.25" customHeight="1" s="116">
      <c r="B76" s="177" t="inlineStr">
        <is>
          <t>Activ</t>
        </is>
      </c>
      <c r="C76" s="178" t="n"/>
      <c r="D76" s="178" t="n"/>
      <c r="E76" s="178" t="n"/>
      <c r="F76" s="179" t="n"/>
      <c r="N76" s="177" t="inlineStr">
        <is>
          <t>Total Options</t>
        </is>
      </c>
      <c r="O76" s="178" t="n"/>
      <c r="P76" s="178" t="n"/>
      <c r="Q76" s="178" t="n"/>
      <c r="R76" s="178" t="n"/>
      <c r="S76" s="178" t="n"/>
      <c r="T76" s="178" t="n"/>
      <c r="U76" s="179" t="n"/>
      <c r="V76" s="180" t="n"/>
      <c r="Y76" s="177">
        <f>B9</f>
        <v/>
      </c>
      <c r="Z76" s="178" t="n"/>
      <c r="AA76" s="178" t="n"/>
      <c r="AB76" s="179" t="n"/>
      <c r="AC76" s="177">
        <f>B10</f>
        <v/>
      </c>
      <c r="AD76" s="178" t="n"/>
      <c r="AE76" s="178" t="n"/>
      <c r="AF76" s="179" t="n"/>
      <c r="AG76" s="177">
        <f>B11</f>
        <v/>
      </c>
      <c r="AH76" s="178" t="n"/>
      <c r="AI76" s="178" t="n"/>
      <c r="AJ76" s="179" t="n"/>
      <c r="AK76" s="177">
        <f>B12</f>
        <v/>
      </c>
      <c r="AL76" s="178" t="n"/>
      <c r="AM76" s="178" t="n"/>
      <c r="AN76" s="179" t="n"/>
      <c r="AO76" s="177">
        <f>B13</f>
        <v/>
      </c>
      <c r="AP76" s="178" t="n"/>
      <c r="AQ76" s="178" t="n"/>
      <c r="AR76" s="179" t="n"/>
      <c r="AS76" s="177">
        <f>B14</f>
        <v/>
      </c>
      <c r="AT76" s="178" t="n"/>
      <c r="AU76" s="178" t="n"/>
      <c r="AV76" s="179" t="n"/>
      <c r="AW76" s="177">
        <f>B15</f>
        <v/>
      </c>
      <c r="AX76" s="178" t="n"/>
      <c r="AY76" s="178" t="n"/>
      <c r="AZ76" s="179" t="n"/>
      <c r="BA76" s="177">
        <f>B16</f>
        <v/>
      </c>
      <c r="BB76" s="178" t="n"/>
      <c r="BC76" s="178" t="n"/>
      <c r="BD76" s="179" t="n"/>
      <c r="BE76" s="177">
        <f>B17</f>
        <v/>
      </c>
      <c r="BF76" s="178" t="n"/>
      <c r="BG76" s="178" t="n"/>
      <c r="BH76" s="179" t="n"/>
      <c r="BI76" s="177">
        <f>B18</f>
        <v/>
      </c>
      <c r="BJ76" s="178" t="n"/>
      <c r="BK76" s="178" t="n"/>
      <c r="BL76" s="179" t="n"/>
      <c r="BM76" s="177">
        <f>B19</f>
        <v/>
      </c>
      <c r="BN76" s="178" t="n"/>
      <c r="BO76" s="178" t="n"/>
      <c r="BP76" s="179" t="n"/>
      <c r="BQ76" s="177">
        <f>B20</f>
        <v/>
      </c>
      <c r="BR76" s="178" t="n"/>
      <c r="BS76" s="178" t="n"/>
      <c r="BT76" s="179" t="n"/>
    </row>
    <row r="77" ht="14.25" customHeight="1" s="116">
      <c r="B77" s="149" t="inlineStr">
        <is>
          <t>Price</t>
        </is>
      </c>
      <c r="C77" s="149" t="inlineStr">
        <is>
          <t>Efficien Pnl</t>
        </is>
      </c>
      <c r="D77" s="149" t="inlineStr">
        <is>
          <t>Efficien Intr</t>
        </is>
      </c>
      <c r="E77" s="149" t="inlineStr">
        <is>
          <t>Pnl</t>
        </is>
      </c>
      <c r="F77" s="149" t="inlineStr">
        <is>
          <t>%loss</t>
        </is>
      </c>
      <c r="N77" s="149" t="inlineStr">
        <is>
          <t>Price</t>
        </is>
      </c>
      <c r="O77" s="149" t="inlineStr">
        <is>
          <t>Delta</t>
        </is>
      </c>
      <c r="P77" s="149" t="inlineStr">
        <is>
          <t>Pnl</t>
        </is>
      </c>
      <c r="Q77" s="149" t="inlineStr">
        <is>
          <t>Intrin</t>
        </is>
      </c>
      <c r="R77" s="149" t="inlineStr">
        <is>
          <t>Pnl %loss</t>
        </is>
      </c>
      <c r="S77" s="149" t="inlineStr">
        <is>
          <t>Int %loss</t>
        </is>
      </c>
      <c r="T77" s="149" t="inlineStr">
        <is>
          <t>Pnl_loss</t>
        </is>
      </c>
      <c r="U77" s="149" t="inlineStr">
        <is>
          <t>Intrin_Loss</t>
        </is>
      </c>
      <c r="V77" s="149" t="n"/>
      <c r="X77" s="149" t="inlineStr">
        <is>
          <t>Price</t>
        </is>
      </c>
      <c r="Y77" s="182" t="inlineStr">
        <is>
          <t>Pnl</t>
        </is>
      </c>
      <c r="Z77" s="182" t="inlineStr">
        <is>
          <t>Intrin</t>
        </is>
      </c>
      <c r="AA77" s="182" t="inlineStr">
        <is>
          <t>Loss</t>
        </is>
      </c>
      <c r="AB77" s="182" t="inlineStr">
        <is>
          <t>% loss</t>
        </is>
      </c>
      <c r="AC77" s="182" t="inlineStr">
        <is>
          <t>Pnl</t>
        </is>
      </c>
      <c r="AD77" s="182" t="inlineStr">
        <is>
          <t>Intrin</t>
        </is>
      </c>
      <c r="AE77" s="182" t="inlineStr">
        <is>
          <t>Loss</t>
        </is>
      </c>
      <c r="AF77" s="182" t="inlineStr">
        <is>
          <t>% loss</t>
        </is>
      </c>
      <c r="AG77" s="182" t="inlineStr">
        <is>
          <t>Pnl</t>
        </is>
      </c>
      <c r="AH77" s="182" t="inlineStr">
        <is>
          <t>Intrin</t>
        </is>
      </c>
      <c r="AI77" s="182" t="inlineStr">
        <is>
          <t>Loss</t>
        </is>
      </c>
      <c r="AJ77" s="182" t="inlineStr">
        <is>
          <t>% loss</t>
        </is>
      </c>
      <c r="AK77" s="182" t="inlineStr">
        <is>
          <t>Pnl</t>
        </is>
      </c>
      <c r="AL77" s="182" t="inlineStr">
        <is>
          <t>Intrin</t>
        </is>
      </c>
      <c r="AM77" s="182" t="inlineStr">
        <is>
          <t>Loss</t>
        </is>
      </c>
      <c r="AN77" s="182" t="inlineStr">
        <is>
          <t>% loss</t>
        </is>
      </c>
      <c r="AO77" s="182" t="inlineStr">
        <is>
          <t>Pnl</t>
        </is>
      </c>
      <c r="AP77" s="182" t="inlineStr">
        <is>
          <t>Intrin</t>
        </is>
      </c>
      <c r="AQ77" s="182" t="inlineStr">
        <is>
          <t>Loss</t>
        </is>
      </c>
      <c r="AR77" s="182" t="inlineStr">
        <is>
          <t>% loss</t>
        </is>
      </c>
      <c r="AS77" s="182" t="inlineStr">
        <is>
          <t>Pnl</t>
        </is>
      </c>
      <c r="AT77" s="182" t="inlineStr">
        <is>
          <t>Intrin</t>
        </is>
      </c>
      <c r="AU77" s="182" t="inlineStr">
        <is>
          <t>Loss</t>
        </is>
      </c>
      <c r="AV77" s="182" t="inlineStr">
        <is>
          <t>% loss</t>
        </is>
      </c>
      <c r="AW77" s="182" t="inlineStr">
        <is>
          <t>Pnl</t>
        </is>
      </c>
      <c r="AX77" s="182" t="inlineStr">
        <is>
          <t>Intrin</t>
        </is>
      </c>
      <c r="AY77" s="182" t="inlineStr">
        <is>
          <t>Loss</t>
        </is>
      </c>
      <c r="AZ77" s="182" t="inlineStr">
        <is>
          <t>% loss</t>
        </is>
      </c>
      <c r="BA77" s="182" t="inlineStr">
        <is>
          <t>Pnl</t>
        </is>
      </c>
      <c r="BB77" s="182" t="inlineStr">
        <is>
          <t>Intrin</t>
        </is>
      </c>
      <c r="BC77" s="182" t="inlineStr">
        <is>
          <t>Loss</t>
        </is>
      </c>
      <c r="BD77" s="182" t="inlineStr">
        <is>
          <t>% loss</t>
        </is>
      </c>
      <c r="BE77" s="182" t="inlineStr">
        <is>
          <t>Pnl</t>
        </is>
      </c>
      <c r="BF77" s="182" t="inlineStr">
        <is>
          <t>Intrin</t>
        </is>
      </c>
      <c r="BG77" s="182" t="inlineStr">
        <is>
          <t>Loss</t>
        </is>
      </c>
      <c r="BH77" s="182" t="inlineStr">
        <is>
          <t>% loss</t>
        </is>
      </c>
      <c r="BI77" s="182" t="inlineStr">
        <is>
          <t>Pnl</t>
        </is>
      </c>
      <c r="BJ77" s="182" t="inlineStr">
        <is>
          <t>Intrin</t>
        </is>
      </c>
      <c r="BK77" s="182" t="inlineStr">
        <is>
          <t>Loss</t>
        </is>
      </c>
      <c r="BL77" s="182" t="inlineStr">
        <is>
          <t>% loss</t>
        </is>
      </c>
      <c r="BM77" s="182" t="inlineStr">
        <is>
          <t>Pnl</t>
        </is>
      </c>
      <c r="BN77" s="182" t="inlineStr">
        <is>
          <t>Intrin</t>
        </is>
      </c>
      <c r="BO77" s="182" t="inlineStr">
        <is>
          <t>Loss</t>
        </is>
      </c>
      <c r="BP77" s="182" t="inlineStr">
        <is>
          <t>% loss</t>
        </is>
      </c>
      <c r="BQ77" s="182" t="inlineStr">
        <is>
          <t>Pnl</t>
        </is>
      </c>
      <c r="BR77" s="182" t="inlineStr">
        <is>
          <t>Intrin</t>
        </is>
      </c>
      <c r="BS77" s="182" t="inlineStr">
        <is>
          <t>Loss</t>
        </is>
      </c>
      <c r="BT77" s="182" t="inlineStr">
        <is>
          <t>% loss</t>
        </is>
      </c>
    </row>
    <row r="78" ht="14.25" customHeight="1" s="116">
      <c r="B78" s="183">
        <f>ROUND(Portfolio!D10,0)</f>
        <v/>
      </c>
      <c r="C78" s="184">
        <f>P78/$I$22</f>
        <v/>
      </c>
      <c r="D78" s="184">
        <f>Q78/$I$22</f>
        <v/>
      </c>
      <c r="E78" s="130">
        <f>(Portfolio!$C$10*B78)-Portfolio!$F$10</f>
        <v/>
      </c>
      <c r="F78" s="185">
        <f>(E78/Portfolio!$F$10)</f>
        <v/>
      </c>
      <c r="N78" s="183">
        <f>B78</f>
        <v/>
      </c>
      <c r="O78" s="184">
        <f>'Hedge_Midle(Test)'!C379</f>
        <v/>
      </c>
      <c r="P78" s="130">
        <f>'Hedge_Midle(Test)'!G379</f>
        <v/>
      </c>
      <c r="Q78" s="130">
        <f>Z78+AD78+AH78+AL78+AP78+AT78+AX78+BB78+BF78+BJ78+BN78+BR78</f>
        <v/>
      </c>
      <c r="R78" s="185">
        <f>T78/Portfolio!$F$10</f>
        <v/>
      </c>
      <c r="S78" s="185">
        <f>U78/Portfolio!$F$10</f>
        <v/>
      </c>
      <c r="T78" s="130">
        <f>E78+P78</f>
        <v/>
      </c>
      <c r="U78" s="130">
        <f>E78+Q78</f>
        <v/>
      </c>
      <c r="V78" s="130" t="n"/>
      <c r="X78" s="183">
        <f>B78</f>
        <v/>
      </c>
      <c r="Y78" s="130">
        <f>'Hedge_Midle(Test)'!G19</f>
        <v/>
      </c>
      <c r="Z78" s="130">
        <f>IF(B78&gt;$C$9,-1*$I$9,(($C$9-B78)*$G$9)-$I$9)</f>
        <v/>
      </c>
      <c r="AA78" s="130">
        <f>E78+Z78</f>
        <v/>
      </c>
      <c r="AB78" s="185">
        <f>AA78/Portfolio!$F$10</f>
        <v/>
      </c>
      <c r="AC78" s="130">
        <f>'Hedge_Midle(Test)'!G48</f>
        <v/>
      </c>
      <c r="AD78" s="130">
        <f>IF(B78&gt;$C$10,-1*$I$10,(($C$10-B78)*$G$10)-$I$10)</f>
        <v/>
      </c>
      <c r="AE78" s="130">
        <f>E78+AD78</f>
        <v/>
      </c>
      <c r="AF78" s="185">
        <f>AE78/Portfolio!$F$10</f>
        <v/>
      </c>
      <c r="AG78" s="130">
        <f>'Hedge_Midle(Test)'!G77</f>
        <v/>
      </c>
      <c r="AH78" s="130">
        <f>IF(B78&gt;$C$11,-1*$I$11,(($C$11-B78)*$G$11)-$I$11)</f>
        <v/>
      </c>
      <c r="AI78" s="130">
        <f>E78+AH78</f>
        <v/>
      </c>
      <c r="AJ78" s="185">
        <f>AI78/Portfolio!$F$10</f>
        <v/>
      </c>
      <c r="AK78" s="130">
        <f>'Hedge_Midle(Test)'!G106</f>
        <v/>
      </c>
      <c r="AL78" s="130">
        <f>IF(B78&gt;$C$12,-1*$I$12,(($C$12-B78)*$G$12)-$I$12)</f>
        <v/>
      </c>
      <c r="AM78" s="130">
        <f>E78+AL78</f>
        <v/>
      </c>
      <c r="AN78" s="185">
        <f>AM78/Portfolio!$F$10</f>
        <v/>
      </c>
      <c r="AO78" s="130">
        <f>'Hedge_Midle(Test)'!G136</f>
        <v/>
      </c>
      <c r="AP78" s="130">
        <f>IF(B78&gt;$C$13,-1*$I$13,(($C$13-B78)*$G$13)-$I$13)</f>
        <v/>
      </c>
      <c r="AQ78" s="130">
        <f>E78+AP78</f>
        <v/>
      </c>
      <c r="AR78" s="185">
        <f>AQ78/Portfolio!$F$10</f>
        <v/>
      </c>
      <c r="AS78" s="130">
        <f>'Hedge_Midle(Test)'!G166</f>
        <v/>
      </c>
      <c r="AT78" s="130">
        <f>IF(B78&gt;$C$14,-1*$I$14,(($C$14-B78)*$G$14)-$I$14)</f>
        <v/>
      </c>
      <c r="AU78" s="130">
        <f>E78+AT78</f>
        <v/>
      </c>
      <c r="AV78" s="185">
        <f>AU78/Portfolio!$F$10</f>
        <v/>
      </c>
      <c r="AW78" s="130">
        <f>'Hedge_Midle(Test)'!G196</f>
        <v/>
      </c>
      <c r="AX78" s="130">
        <f>IF(B78&gt;$C$15,-1*$I$15,(($C$15-B78)*$G$15)-$I$15)</f>
        <v/>
      </c>
      <c r="AY78" s="130">
        <f>E78+AX78</f>
        <v/>
      </c>
      <c r="AZ78" s="185">
        <f>AY78/Portfolio!$F$10</f>
        <v/>
      </c>
      <c r="BA78" s="130">
        <f>'Hedge_Midle(Test)'!G226</f>
        <v/>
      </c>
      <c r="BB78" s="130">
        <f>IF(B78&gt;$C$16,-1*$I$16,(($C$16-B78)*$G$16)-$I$16)</f>
        <v/>
      </c>
      <c r="BC78" s="130">
        <f>E78+BB78</f>
        <v/>
      </c>
      <c r="BD78" s="185">
        <f>BC78/Portfolio!$F$10</f>
        <v/>
      </c>
      <c r="BE78" s="130">
        <f>'Hedge_Midle(Test)'!G256</f>
        <v/>
      </c>
      <c r="BF78" s="130">
        <f>IF(B78&gt;$C$17,-1*$I$17,(($C$17-B78)*$G$17)-$I$17)</f>
        <v/>
      </c>
      <c r="BG78" s="130">
        <f>E78+BF78</f>
        <v/>
      </c>
      <c r="BH78" s="185">
        <f>BG78/Portfolio!$F$10</f>
        <v/>
      </c>
      <c r="BI78" s="130">
        <f>'Hedge_Midle(Test)'!G286</f>
        <v/>
      </c>
      <c r="BJ78" s="130">
        <f>IF(B78&gt;$C$18,-1*$I$18,(($C$18-B78)*$G$18)-$I$18)</f>
        <v/>
      </c>
      <c r="BK78" s="130">
        <f>E78+BJ78</f>
        <v/>
      </c>
      <c r="BL78" s="185">
        <f>BK78/Portfolio!$F$10</f>
        <v/>
      </c>
      <c r="BM78" s="130">
        <f>'Hedge_Midle(Test)'!G316</f>
        <v/>
      </c>
      <c r="BN78" s="130">
        <f>IF(F78&gt;$C$19,-1*$I$19,(($C$19-F78)*$G$19)-$I$19)</f>
        <v/>
      </c>
      <c r="BO78" s="130">
        <f>E78+BN78</f>
        <v/>
      </c>
      <c r="BP78" s="185">
        <f>BO78/Portfolio!$F$10</f>
        <v/>
      </c>
      <c r="BQ78" s="130">
        <f>'Hedge_Midle(Test)'!C346</f>
        <v/>
      </c>
      <c r="BR78" s="130">
        <f>IF(J78&gt;$C$20,-1*$I$20,(($C$20-J78)*$G$20)-$I$20)</f>
        <v/>
      </c>
      <c r="BS78" s="130">
        <f>E78+BR78</f>
        <v/>
      </c>
      <c r="BT78" s="185">
        <f>BS78/Portfolio!$F$10</f>
        <v/>
      </c>
    </row>
    <row r="79" ht="14.25" customHeight="1" s="116">
      <c r="B79" s="183">
        <f>B78-1</f>
        <v/>
      </c>
      <c r="C79" s="184">
        <f>P79/$I$22</f>
        <v/>
      </c>
      <c r="D79" s="184">
        <f>Q79/$I$22</f>
        <v/>
      </c>
      <c r="E79" s="130">
        <f>(Portfolio!$C$10*B79)-Portfolio!$F$10</f>
        <v/>
      </c>
      <c r="F79" s="185">
        <f>(E79/Portfolio!$F$10)</f>
        <v/>
      </c>
      <c r="N79" s="183">
        <f>N78-1</f>
        <v/>
      </c>
      <c r="O79" s="184">
        <f>'Hedge_Midle(Test)'!C380</f>
        <v/>
      </c>
      <c r="P79" s="130">
        <f>'Hedge_Midle(Test)'!G380</f>
        <v/>
      </c>
      <c r="Q79" s="130">
        <f>Z79+AD79+AH79+AL79+AP79+AT79+AX79+BB79+BF79+BJ79+BN79+BR79</f>
        <v/>
      </c>
      <c r="R79" s="185">
        <f>T79/Portfolio!$F$10</f>
        <v/>
      </c>
      <c r="S79" s="185">
        <f>U79/Portfolio!$F$10</f>
        <v/>
      </c>
      <c r="T79" s="130">
        <f>E79+P79</f>
        <v/>
      </c>
      <c r="U79" s="130">
        <f>E79+Q79</f>
        <v/>
      </c>
      <c r="V79" s="186">
        <f>P80-2*P79+P78</f>
        <v/>
      </c>
      <c r="W79" s="186">
        <f>Q80-2*Q79+Q78</f>
        <v/>
      </c>
      <c r="X79" s="183">
        <f>X78-1</f>
        <v/>
      </c>
      <c r="Y79" s="130">
        <f>'Hedge_Midle(Test)'!G20</f>
        <v/>
      </c>
      <c r="Z79" s="130">
        <f>IF(B79&gt;$C$9,-1*$I$9,(($C$9-B79)*$G$9)-$I$9)</f>
        <v/>
      </c>
      <c r="AA79" s="130">
        <f>E79+Z79</f>
        <v/>
      </c>
      <c r="AB79" s="185">
        <f>AA79/Portfolio!$F$10</f>
        <v/>
      </c>
      <c r="AC79" s="130">
        <f>'Hedge_Midle(Test)'!G49</f>
        <v/>
      </c>
      <c r="AD79" s="130">
        <f>IF(B79&gt;$C$10,-1*$I$10,(($C$10-B79)*$G$10)-$I$10)</f>
        <v/>
      </c>
      <c r="AE79" s="130">
        <f>E79+AD79</f>
        <v/>
      </c>
      <c r="AF79" s="185">
        <f>AE79/Portfolio!$F$10</f>
        <v/>
      </c>
      <c r="AG79" s="130">
        <f>'Hedge_Midle(Test)'!G78</f>
        <v/>
      </c>
      <c r="AH79" s="130">
        <f>IF(B79&gt;$C$11,-1*$I$11,(($C$11-B79)*$G$11)-$I$11)</f>
        <v/>
      </c>
      <c r="AI79" s="130">
        <f>E79+AH79</f>
        <v/>
      </c>
      <c r="AJ79" s="185">
        <f>AI79/Portfolio!$F$10</f>
        <v/>
      </c>
      <c r="AK79" s="130">
        <f>'Hedge_Midle(Test)'!G107</f>
        <v/>
      </c>
      <c r="AL79" s="130">
        <f>IF(B79&gt;$C$12,-1*$I$12,(($C$12-B79)*$G$12)-$I$12)</f>
        <v/>
      </c>
      <c r="AM79" s="130">
        <f>E79+AL79</f>
        <v/>
      </c>
      <c r="AN79" s="185">
        <f>AM79/Portfolio!$F$10</f>
        <v/>
      </c>
      <c r="AO79" s="130">
        <f>'Hedge_Midle(Test)'!G137</f>
        <v/>
      </c>
      <c r="AP79" s="130">
        <f>IF(B79&gt;$C$13,-1*$I$13,(($C$13-B79)*$G$13)-$I$13)</f>
        <v/>
      </c>
      <c r="AQ79" s="130">
        <f>E79+AP79</f>
        <v/>
      </c>
      <c r="AR79" s="185">
        <f>AQ79/Portfolio!$F$10</f>
        <v/>
      </c>
      <c r="AS79" s="130">
        <f>'Hedge_Midle(Test)'!G167</f>
        <v/>
      </c>
      <c r="AT79" s="130">
        <f>IF(B79&gt;$C$14,-1*$I$14,(($C$14-B79)*$G$14)-$I$14)</f>
        <v/>
      </c>
      <c r="AU79" s="130">
        <f>E79+AT79</f>
        <v/>
      </c>
      <c r="AV79" s="185">
        <f>AU79/Portfolio!$F$10</f>
        <v/>
      </c>
      <c r="AW79" s="130">
        <f>'Hedge_Midle(Test)'!G197</f>
        <v/>
      </c>
      <c r="AX79" s="130">
        <f>IF(B79&gt;$C$15,-1*$I$15,(($C$15-B79)*$G$15)-$I$15)</f>
        <v/>
      </c>
      <c r="AY79" s="130">
        <f>E79+AX79</f>
        <v/>
      </c>
      <c r="AZ79" s="185">
        <f>AY79/Portfolio!$F$10</f>
        <v/>
      </c>
      <c r="BA79" s="130">
        <f>'Hedge_Midle(Test)'!G227</f>
        <v/>
      </c>
      <c r="BB79" s="130">
        <f>IF(B79&gt;$C$16,-1*$I$16,(($C$16-B79)*$G$16)-$I$16)</f>
        <v/>
      </c>
      <c r="BC79" s="130">
        <f>E79+BB79</f>
        <v/>
      </c>
      <c r="BD79" s="185">
        <f>BC79/Portfolio!$F$10</f>
        <v/>
      </c>
      <c r="BE79" s="130">
        <f>'Hedge_Midle(Test)'!G257</f>
        <v/>
      </c>
      <c r="BF79" s="130">
        <f>IF(B79&gt;$C$17,-1*$I$17,(($C$17-B79)*$G$17)-$I$17)</f>
        <v/>
      </c>
      <c r="BG79" s="130">
        <f>E79+BF79</f>
        <v/>
      </c>
      <c r="BH79" s="185">
        <f>BG79/Portfolio!$F$10</f>
        <v/>
      </c>
      <c r="BI79" s="130">
        <f>'Hedge_Midle(Test)'!G287</f>
        <v/>
      </c>
      <c r="BJ79" s="130">
        <f>IF(B79&gt;$C$18,-1*$I$18,(($C$18-B79)*$G$18)-$I$18)</f>
        <v/>
      </c>
      <c r="BK79" s="130">
        <f>E79+BJ79</f>
        <v/>
      </c>
      <c r="BL79" s="185">
        <f>BK79/Portfolio!$F$10</f>
        <v/>
      </c>
      <c r="BM79" s="130">
        <f>'Hedge_Midle(Test)'!G317</f>
        <v/>
      </c>
      <c r="BN79" s="130">
        <f>IF(F79&gt;$C$19,-1*$I$19,(($C$19-F79)*$G$19)-$I$19)</f>
        <v/>
      </c>
      <c r="BO79" s="130">
        <f>E79+BN79</f>
        <v/>
      </c>
      <c r="BP79" s="185">
        <f>BO79/Portfolio!$F$10</f>
        <v/>
      </c>
      <c r="BQ79" s="130">
        <f>'Hedge_Midle(Test)'!C347</f>
        <v/>
      </c>
      <c r="BR79" s="130">
        <f>IF(J79&gt;$C$20,-1*$I$20,(($C$20-J79)*$G$20)-$I$20)</f>
        <v/>
      </c>
      <c r="BS79" s="130">
        <f>E79+BR79</f>
        <v/>
      </c>
      <c r="BT79" s="185">
        <f>BS79/Portfolio!$F$10</f>
        <v/>
      </c>
    </row>
    <row r="80" ht="14.25" customHeight="1" s="116">
      <c r="B80" s="183">
        <f>B79-1</f>
        <v/>
      </c>
      <c r="C80" s="184">
        <f>P80/$I$22</f>
        <v/>
      </c>
      <c r="D80" s="184">
        <f>Q80/$I$22</f>
        <v/>
      </c>
      <c r="E80" s="130">
        <f>(Portfolio!$C$10*B80)-Portfolio!$F$10</f>
        <v/>
      </c>
      <c r="F80" s="185">
        <f>(E80/Portfolio!$F$10)</f>
        <v/>
      </c>
      <c r="N80" s="183">
        <f>N79-1</f>
        <v/>
      </c>
      <c r="O80" s="184">
        <f>'Hedge_Midle(Test)'!C381</f>
        <v/>
      </c>
      <c r="P80" s="130">
        <f>'Hedge_Midle(Test)'!G381</f>
        <v/>
      </c>
      <c r="Q80" s="130">
        <f>Z80+AD80+AH80+AL80+AP80+AT80+AX80+BB80+BF80+BJ80+BN80+BR80</f>
        <v/>
      </c>
      <c r="R80" s="185">
        <f>T80/Portfolio!$F$10</f>
        <v/>
      </c>
      <c r="S80" s="185">
        <f>U80/Portfolio!$F$10</f>
        <v/>
      </c>
      <c r="T80" s="130">
        <f>E80+P80</f>
        <v/>
      </c>
      <c r="U80" s="130">
        <f>E80+Q80</f>
        <v/>
      </c>
      <c r="V80" s="186">
        <f>P81-2*P80+P79</f>
        <v/>
      </c>
      <c r="W80" s="186">
        <f>Q81-2*Q80+Q79</f>
        <v/>
      </c>
      <c r="X80" s="183">
        <f>X79-1</f>
        <v/>
      </c>
      <c r="Y80" s="130">
        <f>'Hedge_Midle(Test)'!G21</f>
        <v/>
      </c>
      <c r="Z80" s="130">
        <f>IF(B80&gt;$C$9,-1*$I$9,(($C$9-B80)*$G$9)-$I$9)</f>
        <v/>
      </c>
      <c r="AA80" s="130">
        <f>E80+Z80</f>
        <v/>
      </c>
      <c r="AB80" s="185">
        <f>AA80/Portfolio!$F$10</f>
        <v/>
      </c>
      <c r="AC80" s="130">
        <f>'Hedge_Midle(Test)'!G50</f>
        <v/>
      </c>
      <c r="AD80" s="130">
        <f>IF(B80&gt;$C$10,-1*$I$10,(($C$10-B80)*$G$10)-$I$10)</f>
        <v/>
      </c>
      <c r="AE80" s="130">
        <f>E80+AD80</f>
        <v/>
      </c>
      <c r="AF80" s="185">
        <f>AE80/Portfolio!$F$10</f>
        <v/>
      </c>
      <c r="AG80" s="130">
        <f>'Hedge_Midle(Test)'!G79</f>
        <v/>
      </c>
      <c r="AH80" s="130">
        <f>IF(B80&gt;$C$11,-1*$I$11,(($C$11-B80)*$G$11)-$I$11)</f>
        <v/>
      </c>
      <c r="AI80" s="130">
        <f>E80+AH80</f>
        <v/>
      </c>
      <c r="AJ80" s="185">
        <f>AI80/Portfolio!$F$10</f>
        <v/>
      </c>
      <c r="AK80" s="130">
        <f>'Hedge_Midle(Test)'!G108</f>
        <v/>
      </c>
      <c r="AL80" s="130">
        <f>IF(B80&gt;$C$12,-1*$I$12,(($C$12-B80)*$G$12)-$I$12)</f>
        <v/>
      </c>
      <c r="AM80" s="130">
        <f>E80+AL80</f>
        <v/>
      </c>
      <c r="AN80" s="185">
        <f>AM80/Portfolio!$F$10</f>
        <v/>
      </c>
      <c r="AO80" s="130">
        <f>'Hedge_Midle(Test)'!G138</f>
        <v/>
      </c>
      <c r="AP80" s="130">
        <f>IF(B80&gt;$C$13,-1*$I$13,(($C$13-B80)*$G$13)-$I$13)</f>
        <v/>
      </c>
      <c r="AQ80" s="130">
        <f>E80+AP80</f>
        <v/>
      </c>
      <c r="AR80" s="185">
        <f>AQ80/Portfolio!$F$10</f>
        <v/>
      </c>
      <c r="AS80" s="130">
        <f>'Hedge_Midle(Test)'!G168</f>
        <v/>
      </c>
      <c r="AT80" s="130">
        <f>IF(B80&gt;$C$14,-1*$I$14,(($C$14-B80)*$G$14)-$I$14)</f>
        <v/>
      </c>
      <c r="AU80" s="130">
        <f>E80+AT80</f>
        <v/>
      </c>
      <c r="AV80" s="185">
        <f>AU80/Portfolio!$F$10</f>
        <v/>
      </c>
      <c r="AW80" s="130">
        <f>'Hedge_Midle(Test)'!G198</f>
        <v/>
      </c>
      <c r="AX80" s="130">
        <f>IF(B80&gt;$C$15,-1*$I$15,(($C$15-B80)*$G$15)-$I$15)</f>
        <v/>
      </c>
      <c r="AY80" s="130">
        <f>E80+AX80</f>
        <v/>
      </c>
      <c r="AZ80" s="185">
        <f>AY80/Portfolio!$F$10</f>
        <v/>
      </c>
      <c r="BA80" s="130">
        <f>'Hedge_Midle(Test)'!G228</f>
        <v/>
      </c>
      <c r="BB80" s="130">
        <f>IF(B80&gt;$C$16,-1*$I$16,(($C$16-B80)*$G$16)-$I$16)</f>
        <v/>
      </c>
      <c r="BC80" s="130">
        <f>E80+BB80</f>
        <v/>
      </c>
      <c r="BD80" s="185">
        <f>BC80/Portfolio!$F$10</f>
        <v/>
      </c>
      <c r="BE80" s="130">
        <f>'Hedge_Midle(Test)'!G258</f>
        <v/>
      </c>
      <c r="BF80" s="130">
        <f>IF(B80&gt;$C$17,-1*$I$17,(($C$17-B80)*$G$17)-$I$17)</f>
        <v/>
      </c>
      <c r="BG80" s="130">
        <f>E80+BF80</f>
        <v/>
      </c>
      <c r="BH80" s="185">
        <f>BG80/Portfolio!$F$10</f>
        <v/>
      </c>
      <c r="BI80" s="130">
        <f>'Hedge_Midle(Test)'!G288</f>
        <v/>
      </c>
      <c r="BJ80" s="130">
        <f>IF(B80&gt;$C$18,-1*$I$18,(($C$18-B80)*$G$18)-$I$18)</f>
        <v/>
      </c>
      <c r="BK80" s="130">
        <f>E80+BJ80</f>
        <v/>
      </c>
      <c r="BL80" s="185">
        <f>BK80/Portfolio!$F$10</f>
        <v/>
      </c>
      <c r="BM80" s="130">
        <f>'Hedge_Midle(Test)'!G318</f>
        <v/>
      </c>
      <c r="BN80" s="130">
        <f>IF(F80&gt;$C$19,-1*$I$19,(($C$19-F80)*$G$19)-$I$19)</f>
        <v/>
      </c>
      <c r="BO80" s="130">
        <f>E80+BN80</f>
        <v/>
      </c>
      <c r="BP80" s="185">
        <f>BO80/Portfolio!$F$10</f>
        <v/>
      </c>
      <c r="BQ80" s="130">
        <f>'Hedge_Midle(Test)'!C348</f>
        <v/>
      </c>
      <c r="BR80" s="130">
        <f>IF(J80&gt;$C$20,-1*$I$20,(($C$20-J80)*$G$20)-$I$20)</f>
        <v/>
      </c>
      <c r="BS80" s="130">
        <f>E80+BR80</f>
        <v/>
      </c>
      <c r="BT80" s="185">
        <f>BS80/Portfolio!$F$10</f>
        <v/>
      </c>
    </row>
    <row r="81" ht="14.25" customHeight="1" s="116">
      <c r="B81" s="183">
        <f>B80-1</f>
        <v/>
      </c>
      <c r="C81" s="184">
        <f>P81/$I$22</f>
        <v/>
      </c>
      <c r="D81" s="184">
        <f>Q81/$I$22</f>
        <v/>
      </c>
      <c r="E81" s="130">
        <f>(Portfolio!$C$10*B81)-Portfolio!$F$10</f>
        <v/>
      </c>
      <c r="F81" s="185">
        <f>(E81/Portfolio!$F$10)</f>
        <v/>
      </c>
      <c r="N81" s="183">
        <f>N80-1</f>
        <v/>
      </c>
      <c r="O81" s="184">
        <f>'Hedge_Midle(Test)'!C382</f>
        <v/>
      </c>
      <c r="P81" s="130">
        <f>'Hedge_Midle(Test)'!G382</f>
        <v/>
      </c>
      <c r="Q81" s="130">
        <f>Z81+AD81+AH81+AL81+AP81+AT81+AX81+BB81+BF81+BJ81+BN81+BR81</f>
        <v/>
      </c>
      <c r="R81" s="185">
        <f>T81/Portfolio!$F$10</f>
        <v/>
      </c>
      <c r="S81" s="185">
        <f>U81/Portfolio!$F$10</f>
        <v/>
      </c>
      <c r="T81" s="130">
        <f>E81+P81</f>
        <v/>
      </c>
      <c r="U81" s="130">
        <f>E81+Q81</f>
        <v/>
      </c>
      <c r="V81" s="186">
        <f>P82-2*P81+P80</f>
        <v/>
      </c>
      <c r="W81" s="186">
        <f>Q82-2*Q81+Q80</f>
        <v/>
      </c>
      <c r="X81" s="183">
        <f>X80-1</f>
        <v/>
      </c>
      <c r="Y81" s="130">
        <f>'Hedge_Midle(Test)'!G22</f>
        <v/>
      </c>
      <c r="Z81" s="130">
        <f>IF(B81&gt;$C$9,-1*$I$9,(($C$9-B81)*$G$9)-$I$9)</f>
        <v/>
      </c>
      <c r="AA81" s="130">
        <f>E81+Z81</f>
        <v/>
      </c>
      <c r="AB81" s="185">
        <f>AA81/Portfolio!$F$10</f>
        <v/>
      </c>
      <c r="AC81" s="130">
        <f>'Hedge_Midle(Test)'!G51</f>
        <v/>
      </c>
      <c r="AD81" s="130">
        <f>IF(B81&gt;$C$10,-1*$I$10,(($C$10-B81)*$G$10)-$I$10)</f>
        <v/>
      </c>
      <c r="AE81" s="130">
        <f>E81+AD81</f>
        <v/>
      </c>
      <c r="AF81" s="185">
        <f>AE81/Portfolio!$F$10</f>
        <v/>
      </c>
      <c r="AG81" s="130">
        <f>'Hedge_Midle(Test)'!G80</f>
        <v/>
      </c>
      <c r="AH81" s="130">
        <f>IF(B81&gt;$C$11,-1*$I$11,(($C$11-B81)*$G$11)-$I$11)</f>
        <v/>
      </c>
      <c r="AI81" s="130">
        <f>E81+AH81</f>
        <v/>
      </c>
      <c r="AJ81" s="185">
        <f>AI81/Portfolio!$F$10</f>
        <v/>
      </c>
      <c r="AK81" s="130">
        <f>'Hedge_Midle(Test)'!G109</f>
        <v/>
      </c>
      <c r="AL81" s="130">
        <f>IF(B81&gt;$C$12,-1*$I$12,(($C$12-B81)*$G$12)-$I$12)</f>
        <v/>
      </c>
      <c r="AM81" s="130">
        <f>E81+AL81</f>
        <v/>
      </c>
      <c r="AN81" s="185">
        <f>AM81/Portfolio!$F$10</f>
        <v/>
      </c>
      <c r="AO81" s="130">
        <f>'Hedge_Midle(Test)'!G139</f>
        <v/>
      </c>
      <c r="AP81" s="130">
        <f>IF(B81&gt;$C$13,-1*$I$13,(($C$13-B81)*$G$13)-$I$13)</f>
        <v/>
      </c>
      <c r="AQ81" s="130">
        <f>E81+AP81</f>
        <v/>
      </c>
      <c r="AR81" s="185">
        <f>AQ81/Portfolio!$F$10</f>
        <v/>
      </c>
      <c r="AS81" s="130">
        <f>'Hedge_Midle(Test)'!G169</f>
        <v/>
      </c>
      <c r="AT81" s="130">
        <f>IF(B81&gt;$C$14,-1*$I$14,(($C$14-B81)*$G$14)-$I$14)</f>
        <v/>
      </c>
      <c r="AU81" s="130">
        <f>E81+AT81</f>
        <v/>
      </c>
      <c r="AV81" s="185">
        <f>AU81/Portfolio!$F$10</f>
        <v/>
      </c>
      <c r="AW81" s="130">
        <f>'Hedge_Midle(Test)'!G199</f>
        <v/>
      </c>
      <c r="AX81" s="130">
        <f>IF(B81&gt;$C$15,-1*$I$15,(($C$15-B81)*$G$15)-$I$15)</f>
        <v/>
      </c>
      <c r="AY81" s="130">
        <f>E81+AX81</f>
        <v/>
      </c>
      <c r="AZ81" s="185">
        <f>AY81/Portfolio!$F$10</f>
        <v/>
      </c>
      <c r="BA81" s="130">
        <f>'Hedge_Midle(Test)'!G229</f>
        <v/>
      </c>
      <c r="BB81" s="130">
        <f>IF(B81&gt;$C$16,-1*$I$16,(($C$16-B81)*$G$16)-$I$16)</f>
        <v/>
      </c>
      <c r="BC81" s="130">
        <f>E81+BB81</f>
        <v/>
      </c>
      <c r="BD81" s="185">
        <f>BC81/Portfolio!$F$10</f>
        <v/>
      </c>
      <c r="BE81" s="130">
        <f>'Hedge_Midle(Test)'!G259</f>
        <v/>
      </c>
      <c r="BF81" s="130">
        <f>IF(B81&gt;$C$17,-1*$I$17,(($C$17-B81)*$G$17)-$I$17)</f>
        <v/>
      </c>
      <c r="BG81" s="130">
        <f>E81+BF81</f>
        <v/>
      </c>
      <c r="BH81" s="185">
        <f>BG81/Portfolio!$F$10</f>
        <v/>
      </c>
      <c r="BI81" s="130">
        <f>'Hedge_Midle(Test)'!G289</f>
        <v/>
      </c>
      <c r="BJ81" s="130">
        <f>IF(B81&gt;$C$18,-1*$I$18,(($C$18-B81)*$G$18)-$I$18)</f>
        <v/>
      </c>
      <c r="BK81" s="130">
        <f>E81+BJ81</f>
        <v/>
      </c>
      <c r="BL81" s="185">
        <f>BK81/Portfolio!$F$10</f>
        <v/>
      </c>
      <c r="BM81" s="130">
        <f>'Hedge_Midle(Test)'!G319</f>
        <v/>
      </c>
      <c r="BN81" s="130">
        <f>IF(F81&gt;$C$19,-1*$I$19,(($C$19-F81)*$G$19)-$I$19)</f>
        <v/>
      </c>
      <c r="BO81" s="130">
        <f>E81+BN81</f>
        <v/>
      </c>
      <c r="BP81" s="185">
        <f>BO81/Portfolio!$F$10</f>
        <v/>
      </c>
      <c r="BQ81" s="130">
        <f>'Hedge_Midle(Test)'!C349</f>
        <v/>
      </c>
      <c r="BR81" s="130">
        <f>IF(J81&gt;$C$20,-1*$I$20,(($C$20-J81)*$G$20)-$I$20)</f>
        <v/>
      </c>
      <c r="BS81" s="130">
        <f>E81+BR81</f>
        <v/>
      </c>
      <c r="BT81" s="185">
        <f>BS81/Portfolio!$F$10</f>
        <v/>
      </c>
    </row>
    <row r="82" ht="14.25" customHeight="1" s="116">
      <c r="B82" s="183">
        <f>B81-1</f>
        <v/>
      </c>
      <c r="C82" s="184">
        <f>P82/$I$22</f>
        <v/>
      </c>
      <c r="D82" s="184">
        <f>Q82/$I$22</f>
        <v/>
      </c>
      <c r="E82" s="130">
        <f>(Portfolio!$C$10*B82)-Portfolio!$F$10</f>
        <v/>
      </c>
      <c r="F82" s="185">
        <f>(E82/Portfolio!$F$10)</f>
        <v/>
      </c>
      <c r="N82" s="183">
        <f>N81-1</f>
        <v/>
      </c>
      <c r="O82" s="184">
        <f>'Hedge_Midle(Test)'!C383</f>
        <v/>
      </c>
      <c r="P82" s="130">
        <f>'Hedge_Midle(Test)'!G383</f>
        <v/>
      </c>
      <c r="Q82" s="130">
        <f>Z82+AD82+AH82+AL82+AP82+AT82+AX82+BB82+BF82+BJ82+BN82+BR82</f>
        <v/>
      </c>
      <c r="R82" s="185">
        <f>T82/Portfolio!$F$10</f>
        <v/>
      </c>
      <c r="S82" s="185">
        <f>U82/Portfolio!$F$10</f>
        <v/>
      </c>
      <c r="T82" s="130">
        <f>E82+P82</f>
        <v/>
      </c>
      <c r="U82" s="130">
        <f>E82+Q82</f>
        <v/>
      </c>
      <c r="V82" s="186">
        <f>P83-2*P82+P81</f>
        <v/>
      </c>
      <c r="W82" s="186">
        <f>Q83-2*Q82+Q81</f>
        <v/>
      </c>
      <c r="X82" s="183">
        <f>X81-1</f>
        <v/>
      </c>
      <c r="Y82" s="130">
        <f>'Hedge_Midle(Test)'!G23</f>
        <v/>
      </c>
      <c r="Z82" s="130">
        <f>IF(B82&gt;$C$9,-1*$I$9,(($C$9-B82)*$G$9)-$I$9)</f>
        <v/>
      </c>
      <c r="AA82" s="130">
        <f>E82+Z82</f>
        <v/>
      </c>
      <c r="AB82" s="185">
        <f>AA82/Portfolio!$F$10</f>
        <v/>
      </c>
      <c r="AC82" s="130">
        <f>'Hedge_Midle(Test)'!G52</f>
        <v/>
      </c>
      <c r="AD82" s="130">
        <f>IF(B82&gt;$C$10,-1*$I$10,(($C$10-B82)*$G$10)-$I$10)</f>
        <v/>
      </c>
      <c r="AE82" s="130">
        <f>E82+AD82</f>
        <v/>
      </c>
      <c r="AF82" s="185">
        <f>AE82/Portfolio!$F$10</f>
        <v/>
      </c>
      <c r="AG82" s="130">
        <f>'Hedge_Midle(Test)'!G81</f>
        <v/>
      </c>
      <c r="AH82" s="130">
        <f>IF(B82&gt;$C$11,-1*$I$11,(($C$11-B82)*$G$11)-$I$11)</f>
        <v/>
      </c>
      <c r="AI82" s="130">
        <f>E82+AH82</f>
        <v/>
      </c>
      <c r="AJ82" s="185">
        <f>AI82/Portfolio!$F$10</f>
        <v/>
      </c>
      <c r="AK82" s="130">
        <f>'Hedge_Midle(Test)'!G110</f>
        <v/>
      </c>
      <c r="AL82" s="130">
        <f>IF(B82&gt;$C$12,-1*$I$12,(($C$12-B82)*$G$12)-$I$12)</f>
        <v/>
      </c>
      <c r="AM82" s="130">
        <f>E82+AL82</f>
        <v/>
      </c>
      <c r="AN82" s="185">
        <f>AM82/Portfolio!$F$10</f>
        <v/>
      </c>
      <c r="AO82" s="130">
        <f>'Hedge_Midle(Test)'!G140</f>
        <v/>
      </c>
      <c r="AP82" s="130">
        <f>IF(B82&gt;$C$13,-1*$I$13,(($C$13-B82)*$G$13)-$I$13)</f>
        <v/>
      </c>
      <c r="AQ82" s="130">
        <f>E82+AP82</f>
        <v/>
      </c>
      <c r="AR82" s="185">
        <f>AQ82/Portfolio!$F$10</f>
        <v/>
      </c>
      <c r="AS82" s="130">
        <f>'Hedge_Midle(Test)'!G170</f>
        <v/>
      </c>
      <c r="AT82" s="130">
        <f>IF(B82&gt;$C$14,-1*$I$14,(($C$14-B82)*$G$14)-$I$14)</f>
        <v/>
      </c>
      <c r="AU82" s="130">
        <f>E82+AT82</f>
        <v/>
      </c>
      <c r="AV82" s="185">
        <f>AU82/Portfolio!$F$10</f>
        <v/>
      </c>
      <c r="AW82" s="130">
        <f>'Hedge_Midle(Test)'!G200</f>
        <v/>
      </c>
      <c r="AX82" s="130">
        <f>IF(B82&gt;$C$15,-1*$I$15,(($C$15-B82)*$G$15)-$I$15)</f>
        <v/>
      </c>
      <c r="AY82" s="130">
        <f>E82+AX82</f>
        <v/>
      </c>
      <c r="AZ82" s="185">
        <f>AY82/Portfolio!$F$10</f>
        <v/>
      </c>
      <c r="BA82" s="130">
        <f>'Hedge_Midle(Test)'!G230</f>
        <v/>
      </c>
      <c r="BB82" s="130">
        <f>IF(B82&gt;$C$16,-1*$I$16,(($C$16-B82)*$G$16)-$I$16)</f>
        <v/>
      </c>
      <c r="BC82" s="130">
        <f>E82+BB82</f>
        <v/>
      </c>
      <c r="BD82" s="185">
        <f>BC82/Portfolio!$F$10</f>
        <v/>
      </c>
      <c r="BE82" s="130">
        <f>'Hedge_Midle(Test)'!G260</f>
        <v/>
      </c>
      <c r="BF82" s="130">
        <f>IF(B82&gt;$C$17,-1*$I$17,(($C$17-B82)*$G$17)-$I$17)</f>
        <v/>
      </c>
      <c r="BG82" s="130">
        <f>E82+BF82</f>
        <v/>
      </c>
      <c r="BH82" s="185">
        <f>BG82/Portfolio!$F$10</f>
        <v/>
      </c>
      <c r="BI82" s="130">
        <f>'Hedge_Midle(Test)'!G290</f>
        <v/>
      </c>
      <c r="BJ82" s="130">
        <f>IF(B82&gt;$C$18,-1*$I$18,(($C$18-B82)*$G$18)-$I$18)</f>
        <v/>
      </c>
      <c r="BK82" s="130">
        <f>E82+BJ82</f>
        <v/>
      </c>
      <c r="BL82" s="185">
        <f>BK82/Portfolio!$F$10</f>
        <v/>
      </c>
      <c r="BM82" s="130">
        <f>'Hedge_Midle(Test)'!G320</f>
        <v/>
      </c>
      <c r="BN82" s="130">
        <f>IF(F82&gt;$C$19,-1*$I$19,(($C$19-F82)*$G$19)-$I$19)</f>
        <v/>
      </c>
      <c r="BO82" s="130">
        <f>E82+BN82</f>
        <v/>
      </c>
      <c r="BP82" s="185">
        <f>BO82/Portfolio!$F$10</f>
        <v/>
      </c>
      <c r="BQ82" s="130">
        <f>'Hedge_Midle(Test)'!C350</f>
        <v/>
      </c>
      <c r="BR82" s="130">
        <f>IF(J82&gt;$C$20,-1*$I$20,(($C$20-J82)*$G$20)-$I$20)</f>
        <v/>
      </c>
      <c r="BS82" s="130">
        <f>E82+BR82</f>
        <v/>
      </c>
      <c r="BT82" s="185">
        <f>BS82/Portfolio!$F$10</f>
        <v/>
      </c>
    </row>
    <row r="83" ht="14.25" customHeight="1" s="116">
      <c r="B83" s="183">
        <f>B82-1</f>
        <v/>
      </c>
      <c r="C83" s="184">
        <f>P83/$I$22</f>
        <v/>
      </c>
      <c r="D83" s="184">
        <f>Q83/$I$22</f>
        <v/>
      </c>
      <c r="E83" s="130">
        <f>(Portfolio!$C$10*B83)-Portfolio!$F$10</f>
        <v/>
      </c>
      <c r="F83" s="185">
        <f>(E83/Portfolio!$F$10)</f>
        <v/>
      </c>
      <c r="N83" s="183">
        <f>N82-1</f>
        <v/>
      </c>
      <c r="O83" s="184">
        <f>'Hedge_Midle(Test)'!C384</f>
        <v/>
      </c>
      <c r="P83" s="130">
        <f>'Hedge_Midle(Test)'!G384</f>
        <v/>
      </c>
      <c r="Q83" s="130">
        <f>Z83+AD83+AH83+AL83+AP83+AT83+AX83+BB83+BF83+BJ83+BN83+BR83</f>
        <v/>
      </c>
      <c r="R83" s="185">
        <f>T83/Portfolio!$F$10</f>
        <v/>
      </c>
      <c r="S83" s="185">
        <f>U83/Portfolio!$F$10</f>
        <v/>
      </c>
      <c r="T83" s="130">
        <f>E83+P83</f>
        <v/>
      </c>
      <c r="U83" s="130">
        <f>E83+Q83</f>
        <v/>
      </c>
      <c r="V83" s="186">
        <f>P84-2*P83+P82</f>
        <v/>
      </c>
      <c r="W83" s="186">
        <f>Q84-2*Q83+Q82</f>
        <v/>
      </c>
      <c r="X83" s="183">
        <f>X82-1</f>
        <v/>
      </c>
      <c r="Y83" s="130">
        <f>'Hedge_Midle(Test)'!G24</f>
        <v/>
      </c>
      <c r="Z83" s="130">
        <f>IF(B83&gt;$C$9,-1*$I$9,(($C$9-B83)*$G$9)-$I$9)</f>
        <v/>
      </c>
      <c r="AA83" s="130">
        <f>E83+Z83</f>
        <v/>
      </c>
      <c r="AB83" s="185">
        <f>AA83/Portfolio!$F$10</f>
        <v/>
      </c>
      <c r="AC83" s="130">
        <f>'Hedge_Midle(Test)'!G53</f>
        <v/>
      </c>
      <c r="AD83" s="130">
        <f>IF(B83&gt;$C$10,-1*$I$10,(($C$10-B83)*$G$10)-$I$10)</f>
        <v/>
      </c>
      <c r="AE83" s="130">
        <f>E83+AD83</f>
        <v/>
      </c>
      <c r="AF83" s="185">
        <f>AE83/Portfolio!$F$10</f>
        <v/>
      </c>
      <c r="AG83" s="130">
        <f>'Hedge_Midle(Test)'!G82</f>
        <v/>
      </c>
      <c r="AH83" s="130">
        <f>IF(B83&gt;$C$11,-1*$I$11,(($C$11-B83)*$G$11)-$I$11)</f>
        <v/>
      </c>
      <c r="AI83" s="130">
        <f>E83+AH83</f>
        <v/>
      </c>
      <c r="AJ83" s="185">
        <f>AI83/Portfolio!$F$10</f>
        <v/>
      </c>
      <c r="AK83" s="130">
        <f>'Hedge_Midle(Test)'!G111</f>
        <v/>
      </c>
      <c r="AL83" s="130">
        <f>IF(B83&gt;$C$12,-1*$I$12,(($C$12-B83)*$G$12)-$I$12)</f>
        <v/>
      </c>
      <c r="AM83" s="130">
        <f>E83+AL83</f>
        <v/>
      </c>
      <c r="AN83" s="185">
        <f>AM83/Portfolio!$F$10</f>
        <v/>
      </c>
      <c r="AO83" s="130">
        <f>'Hedge_Midle(Test)'!G141</f>
        <v/>
      </c>
      <c r="AP83" s="130">
        <f>IF(B83&gt;$C$13,-1*$I$13,(($C$13-B83)*$G$13)-$I$13)</f>
        <v/>
      </c>
      <c r="AQ83" s="130">
        <f>E83+AP83</f>
        <v/>
      </c>
      <c r="AR83" s="185">
        <f>AQ83/Portfolio!$F$10</f>
        <v/>
      </c>
      <c r="AS83" s="130">
        <f>'Hedge_Midle(Test)'!G171</f>
        <v/>
      </c>
      <c r="AT83" s="130">
        <f>IF(B83&gt;$C$14,-1*$I$14,(($C$14-B83)*$G$14)-$I$14)</f>
        <v/>
      </c>
      <c r="AU83" s="130">
        <f>E83+AT83</f>
        <v/>
      </c>
      <c r="AV83" s="185">
        <f>AU83/Portfolio!$F$10</f>
        <v/>
      </c>
      <c r="AW83" s="130">
        <f>'Hedge_Midle(Test)'!G201</f>
        <v/>
      </c>
      <c r="AX83" s="130">
        <f>IF(B83&gt;$C$15,-1*$I$15,(($C$15-B83)*$G$15)-$I$15)</f>
        <v/>
      </c>
      <c r="AY83" s="130">
        <f>E83+AX83</f>
        <v/>
      </c>
      <c r="AZ83" s="185">
        <f>AY83/Portfolio!$F$10</f>
        <v/>
      </c>
      <c r="BA83" s="130">
        <f>'Hedge_Midle(Test)'!G231</f>
        <v/>
      </c>
      <c r="BB83" s="130">
        <f>IF(B83&gt;$C$16,-1*$I$16,(($C$16-B83)*$G$16)-$I$16)</f>
        <v/>
      </c>
      <c r="BC83" s="130">
        <f>E83+BB83</f>
        <v/>
      </c>
      <c r="BD83" s="185">
        <f>BC83/Portfolio!$F$10</f>
        <v/>
      </c>
      <c r="BE83" s="130">
        <f>'Hedge_Midle(Test)'!G261</f>
        <v/>
      </c>
      <c r="BF83" s="130">
        <f>IF(B83&gt;$C$17,-1*$I$17,(($C$17-B83)*$G$17)-$I$17)</f>
        <v/>
      </c>
      <c r="BG83" s="130">
        <f>E83+BF83</f>
        <v/>
      </c>
      <c r="BH83" s="185">
        <f>BG83/Portfolio!$F$10</f>
        <v/>
      </c>
      <c r="BI83" s="130">
        <f>'Hedge_Midle(Test)'!G291</f>
        <v/>
      </c>
      <c r="BJ83" s="130">
        <f>IF(B83&gt;$C$18,-1*$I$18,(($C$18-B83)*$G$18)-$I$18)</f>
        <v/>
      </c>
      <c r="BK83" s="130">
        <f>E83+BJ83</f>
        <v/>
      </c>
      <c r="BL83" s="185">
        <f>BK83/Portfolio!$F$10</f>
        <v/>
      </c>
      <c r="BM83" s="130">
        <f>'Hedge_Midle(Test)'!G321</f>
        <v/>
      </c>
      <c r="BN83" s="130">
        <f>IF(F83&gt;$C$19,-1*$I$19,(($C$19-F83)*$G$19)-$I$19)</f>
        <v/>
      </c>
      <c r="BO83" s="130">
        <f>E83+BN83</f>
        <v/>
      </c>
      <c r="BP83" s="185">
        <f>BO83/Portfolio!$F$10</f>
        <v/>
      </c>
      <c r="BQ83" s="130">
        <f>'Hedge_Midle(Test)'!C351</f>
        <v/>
      </c>
      <c r="BR83" s="130">
        <f>IF(J83&gt;$C$20,-1*$I$20,(($C$20-J83)*$G$20)-$I$20)</f>
        <v/>
      </c>
      <c r="BS83" s="130">
        <f>E83+BR83</f>
        <v/>
      </c>
      <c r="BT83" s="185">
        <f>BS83/Portfolio!$F$10</f>
        <v/>
      </c>
    </row>
    <row r="84" ht="14.25" customHeight="1" s="116">
      <c r="B84" s="183">
        <f>B83-1</f>
        <v/>
      </c>
      <c r="C84" s="184">
        <f>P84/$I$22</f>
        <v/>
      </c>
      <c r="D84" s="184">
        <f>Q84/$I$22</f>
        <v/>
      </c>
      <c r="E84" s="130">
        <f>(Portfolio!$C$10*B84)-Portfolio!$F$10</f>
        <v/>
      </c>
      <c r="F84" s="185">
        <f>(E84/Portfolio!$F$10)</f>
        <v/>
      </c>
      <c r="N84" s="183">
        <f>N83-1</f>
        <v/>
      </c>
      <c r="O84" s="184">
        <f>'Hedge_Midle(Test)'!C385</f>
        <v/>
      </c>
      <c r="P84" s="130">
        <f>'Hedge_Midle(Test)'!G385</f>
        <v/>
      </c>
      <c r="Q84" s="130">
        <f>Z84+AD84+AH84+AL84+AP84+AT84+AX84+BB84+BF84+BJ84+BN84+BR84</f>
        <v/>
      </c>
      <c r="R84" s="185">
        <f>T84/Portfolio!$F$10</f>
        <v/>
      </c>
      <c r="S84" s="185">
        <f>U84/Portfolio!$F$10</f>
        <v/>
      </c>
      <c r="T84" s="130">
        <f>E84+P84</f>
        <v/>
      </c>
      <c r="U84" s="130">
        <f>E84+Q84</f>
        <v/>
      </c>
      <c r="V84" s="186">
        <f>P85-2*P84+P83</f>
        <v/>
      </c>
      <c r="W84" s="186">
        <f>Q85-2*Q84+Q83</f>
        <v/>
      </c>
      <c r="X84" s="183">
        <f>X83-1</f>
        <v/>
      </c>
      <c r="Y84" s="130">
        <f>'Hedge_Midle(Test)'!G25</f>
        <v/>
      </c>
      <c r="Z84" s="130">
        <f>IF(B84&gt;$C$9,-1*$I$9,(($C$9-B84)*$G$9)-$I$9)</f>
        <v/>
      </c>
      <c r="AA84" s="130">
        <f>E84+Z84</f>
        <v/>
      </c>
      <c r="AB84" s="185">
        <f>AA84/Portfolio!$F$10</f>
        <v/>
      </c>
      <c r="AC84" s="130">
        <f>'Hedge_Midle(Test)'!G54</f>
        <v/>
      </c>
      <c r="AD84" s="130">
        <f>IF(B84&gt;$C$10,-1*$I$10,(($C$10-B84)*$G$10)-$I$10)</f>
        <v/>
      </c>
      <c r="AE84" s="130">
        <f>E84+AD84</f>
        <v/>
      </c>
      <c r="AF84" s="185">
        <f>AE84/Portfolio!$F$10</f>
        <v/>
      </c>
      <c r="AG84" s="130">
        <f>'Hedge_Midle(Test)'!G83</f>
        <v/>
      </c>
      <c r="AH84" s="130">
        <f>IF(B84&gt;$C$11,-1*$I$11,(($C$11-B84)*$G$11)-$I$11)</f>
        <v/>
      </c>
      <c r="AI84" s="130">
        <f>E84+AH84</f>
        <v/>
      </c>
      <c r="AJ84" s="185">
        <f>AI84/Portfolio!$F$10</f>
        <v/>
      </c>
      <c r="AK84" s="130">
        <f>'Hedge_Midle(Test)'!G112</f>
        <v/>
      </c>
      <c r="AL84" s="130">
        <f>IF(B84&gt;$C$12,-1*$I$12,(($C$12-B84)*$G$12)-$I$12)</f>
        <v/>
      </c>
      <c r="AM84" s="130">
        <f>E84+AL84</f>
        <v/>
      </c>
      <c r="AN84" s="185">
        <f>AM84/Portfolio!$F$10</f>
        <v/>
      </c>
      <c r="AO84" s="130">
        <f>'Hedge_Midle(Test)'!G142</f>
        <v/>
      </c>
      <c r="AP84" s="130">
        <f>IF(B84&gt;$C$13,-1*$I$13,(($C$13-B84)*$G$13)-$I$13)</f>
        <v/>
      </c>
      <c r="AQ84" s="130">
        <f>E84+AP84</f>
        <v/>
      </c>
      <c r="AR84" s="185">
        <f>AQ84/Portfolio!$F$10</f>
        <v/>
      </c>
      <c r="AS84" s="130">
        <f>'Hedge_Midle(Test)'!G172</f>
        <v/>
      </c>
      <c r="AT84" s="130">
        <f>IF(B84&gt;$C$14,-1*$I$14,(($C$14-B84)*$G$14)-$I$14)</f>
        <v/>
      </c>
      <c r="AU84" s="130">
        <f>E84+AT84</f>
        <v/>
      </c>
      <c r="AV84" s="185">
        <f>AU84/Portfolio!$F$10</f>
        <v/>
      </c>
      <c r="AW84" s="130">
        <f>'Hedge_Midle(Test)'!G202</f>
        <v/>
      </c>
      <c r="AX84" s="130">
        <f>IF(B84&gt;$C$15,-1*$I$15,(($C$15-B84)*$G$15)-$I$15)</f>
        <v/>
      </c>
      <c r="AY84" s="130">
        <f>E84+AX84</f>
        <v/>
      </c>
      <c r="AZ84" s="185">
        <f>AY84/Portfolio!$F$10</f>
        <v/>
      </c>
      <c r="BA84" s="130">
        <f>'Hedge_Midle(Test)'!G232</f>
        <v/>
      </c>
      <c r="BB84" s="130">
        <f>IF(B84&gt;$C$16,-1*$I$16,(($C$16-B84)*$G$16)-$I$16)</f>
        <v/>
      </c>
      <c r="BC84" s="130">
        <f>E84+BB84</f>
        <v/>
      </c>
      <c r="BD84" s="185">
        <f>BC84/Portfolio!$F$10</f>
        <v/>
      </c>
      <c r="BE84" s="130">
        <f>'Hedge_Midle(Test)'!G262</f>
        <v/>
      </c>
      <c r="BF84" s="130">
        <f>IF(B84&gt;$C$17,-1*$I$17,(($C$17-B84)*$G$17)-$I$17)</f>
        <v/>
      </c>
      <c r="BG84" s="130">
        <f>E84+BF84</f>
        <v/>
      </c>
      <c r="BH84" s="185">
        <f>BG84/Portfolio!$F$10</f>
        <v/>
      </c>
      <c r="BI84" s="130">
        <f>'Hedge_Midle(Test)'!G292</f>
        <v/>
      </c>
      <c r="BJ84" s="130">
        <f>IF(B84&gt;$C$18,-1*$I$18,(($C$18-B84)*$G$18)-$I$18)</f>
        <v/>
      </c>
      <c r="BK84" s="130">
        <f>E84+BJ84</f>
        <v/>
      </c>
      <c r="BL84" s="185">
        <f>BK84/Portfolio!$F$10</f>
        <v/>
      </c>
      <c r="BM84" s="130">
        <f>'Hedge_Midle(Test)'!G322</f>
        <v/>
      </c>
      <c r="BN84" s="130">
        <f>IF(F84&gt;$C$19,-1*$I$19,(($C$19-F84)*$G$19)-$I$19)</f>
        <v/>
      </c>
      <c r="BO84" s="130">
        <f>E84+BN84</f>
        <v/>
      </c>
      <c r="BP84" s="185">
        <f>BO84/Portfolio!$F$10</f>
        <v/>
      </c>
      <c r="BQ84" s="130">
        <f>'Hedge_Midle(Test)'!C352</f>
        <v/>
      </c>
      <c r="BR84" s="130">
        <f>IF(J84&gt;$C$20,-1*$I$20,(($C$20-J84)*$G$20)-$I$20)</f>
        <v/>
      </c>
      <c r="BS84" s="130">
        <f>E84+BR84</f>
        <v/>
      </c>
      <c r="BT84" s="185">
        <f>BS84/Portfolio!$F$10</f>
        <v/>
      </c>
    </row>
    <row r="85" ht="14.25" customHeight="1" s="116">
      <c r="B85" s="183">
        <f>B84-1</f>
        <v/>
      </c>
      <c r="C85" s="184">
        <f>P85/$I$22</f>
        <v/>
      </c>
      <c r="D85" s="184">
        <f>Q85/$I$22</f>
        <v/>
      </c>
      <c r="E85" s="130">
        <f>(Portfolio!$C$10*B85)-Portfolio!$F$10</f>
        <v/>
      </c>
      <c r="F85" s="185">
        <f>(E85/Portfolio!$F$10)</f>
        <v/>
      </c>
      <c r="N85" s="183">
        <f>N84-1</f>
        <v/>
      </c>
      <c r="O85" s="184">
        <f>'Hedge_Midle(Test)'!C386</f>
        <v/>
      </c>
      <c r="P85" s="130">
        <f>'Hedge_Midle(Test)'!G386</f>
        <v/>
      </c>
      <c r="Q85" s="130">
        <f>Z85+AD85+AH85+AL85+AP85+AT85+AX85+BB85+BF85+BJ85+BN85+BR85</f>
        <v/>
      </c>
      <c r="R85" s="185">
        <f>T85/Portfolio!$F$10</f>
        <v/>
      </c>
      <c r="S85" s="185">
        <f>U85/Portfolio!$F$10</f>
        <v/>
      </c>
      <c r="T85" s="130">
        <f>E85+P85</f>
        <v/>
      </c>
      <c r="U85" s="130">
        <f>E85+Q85</f>
        <v/>
      </c>
      <c r="V85" s="186">
        <f>P86-2*P85+P84</f>
        <v/>
      </c>
      <c r="W85" s="186">
        <f>Q86-2*Q85+Q84</f>
        <v/>
      </c>
      <c r="X85" s="183">
        <f>X84-1</f>
        <v/>
      </c>
      <c r="Y85" s="130">
        <f>'Hedge_Midle(Test)'!G26</f>
        <v/>
      </c>
      <c r="Z85" s="130">
        <f>IF(B85&gt;$C$9,-1*$I$9,(($C$9-B85)*$G$9)-$I$9)</f>
        <v/>
      </c>
      <c r="AA85" s="130">
        <f>E85+Z85</f>
        <v/>
      </c>
      <c r="AB85" s="185">
        <f>AA85/Portfolio!$F$10</f>
        <v/>
      </c>
      <c r="AC85" s="130">
        <f>'Hedge_Midle(Test)'!G55</f>
        <v/>
      </c>
      <c r="AD85" s="130">
        <f>IF(B85&gt;$C$10,-1*$I$10,(($C$10-B85)*$G$10)-$I$10)</f>
        <v/>
      </c>
      <c r="AE85" s="130">
        <f>E85+AD85</f>
        <v/>
      </c>
      <c r="AF85" s="185">
        <f>AE85/Portfolio!$F$10</f>
        <v/>
      </c>
      <c r="AG85" s="130">
        <f>'Hedge_Midle(Test)'!G84</f>
        <v/>
      </c>
      <c r="AH85" s="130">
        <f>IF(B85&gt;$C$11,-1*$I$11,(($C$11-B85)*$G$11)-$I$11)</f>
        <v/>
      </c>
      <c r="AI85" s="130">
        <f>E85+AH85</f>
        <v/>
      </c>
      <c r="AJ85" s="185">
        <f>AI85/Portfolio!$F$10</f>
        <v/>
      </c>
      <c r="AK85" s="130">
        <f>'Hedge_Midle(Test)'!G113</f>
        <v/>
      </c>
      <c r="AL85" s="130">
        <f>IF(B85&gt;$C$12,-1*$I$12,(($C$12-B85)*$G$12)-$I$12)</f>
        <v/>
      </c>
      <c r="AM85" s="130">
        <f>E85+AL85</f>
        <v/>
      </c>
      <c r="AN85" s="185">
        <f>AM85/Portfolio!$F$10</f>
        <v/>
      </c>
      <c r="AO85" s="130">
        <f>'Hedge_Midle(Test)'!G143</f>
        <v/>
      </c>
      <c r="AP85" s="130">
        <f>IF(B85&gt;$C$13,-1*$I$13,(($C$13-B85)*$G$13)-$I$13)</f>
        <v/>
      </c>
      <c r="AQ85" s="130">
        <f>E85+AP85</f>
        <v/>
      </c>
      <c r="AR85" s="185">
        <f>AQ85/Portfolio!$F$10</f>
        <v/>
      </c>
      <c r="AS85" s="130">
        <f>'Hedge_Midle(Test)'!G173</f>
        <v/>
      </c>
      <c r="AT85" s="130">
        <f>IF(B85&gt;$C$14,-1*$I$14,(($C$14-B85)*$G$14)-$I$14)</f>
        <v/>
      </c>
      <c r="AU85" s="130">
        <f>E85+AT85</f>
        <v/>
      </c>
      <c r="AV85" s="185">
        <f>AU85/Portfolio!$F$10</f>
        <v/>
      </c>
      <c r="AW85" s="130">
        <f>'Hedge_Midle(Test)'!G203</f>
        <v/>
      </c>
      <c r="AX85" s="130">
        <f>IF(B85&gt;$C$15,-1*$I$15,(($C$15-B85)*$G$15)-$I$15)</f>
        <v/>
      </c>
      <c r="AY85" s="130">
        <f>E85+AX85</f>
        <v/>
      </c>
      <c r="AZ85" s="185">
        <f>AY85/Portfolio!$F$10</f>
        <v/>
      </c>
      <c r="BA85" s="130">
        <f>'Hedge_Midle(Test)'!G233</f>
        <v/>
      </c>
      <c r="BB85" s="130">
        <f>IF(B85&gt;$C$16,-1*$I$16,(($C$16-B85)*$G$16)-$I$16)</f>
        <v/>
      </c>
      <c r="BC85" s="130">
        <f>E85+BB85</f>
        <v/>
      </c>
      <c r="BD85" s="185">
        <f>BC85/Portfolio!$F$10</f>
        <v/>
      </c>
      <c r="BE85" s="130">
        <f>'Hedge_Midle(Test)'!G263</f>
        <v/>
      </c>
      <c r="BF85" s="130">
        <f>IF(B85&gt;$C$17,-1*$I$17,(($C$17-B85)*$G$17)-$I$17)</f>
        <v/>
      </c>
      <c r="BG85" s="130">
        <f>E85+BF85</f>
        <v/>
      </c>
      <c r="BH85" s="185">
        <f>BG85/Portfolio!$F$10</f>
        <v/>
      </c>
      <c r="BI85" s="130">
        <f>'Hedge_Midle(Test)'!G293</f>
        <v/>
      </c>
      <c r="BJ85" s="130">
        <f>IF(B85&gt;$C$18,-1*$I$18,(($C$18-B85)*$G$18)-$I$18)</f>
        <v/>
      </c>
      <c r="BK85" s="130">
        <f>E85+BJ85</f>
        <v/>
      </c>
      <c r="BL85" s="185">
        <f>BK85/Portfolio!$F$10</f>
        <v/>
      </c>
      <c r="BM85" s="130">
        <f>'Hedge_Midle(Test)'!G323</f>
        <v/>
      </c>
      <c r="BN85" s="130">
        <f>IF(F85&gt;$C$19,-1*$I$19,(($C$19-F85)*$G$19)-$I$19)</f>
        <v/>
      </c>
      <c r="BO85" s="130">
        <f>E85+BN85</f>
        <v/>
      </c>
      <c r="BP85" s="185">
        <f>BO85/Portfolio!$F$10</f>
        <v/>
      </c>
      <c r="BQ85" s="130">
        <f>'Hedge_Midle(Test)'!C353</f>
        <v/>
      </c>
      <c r="BR85" s="130">
        <f>IF(J85&gt;$C$20,-1*$I$20,(($C$20-J85)*$G$20)-$I$20)</f>
        <v/>
      </c>
      <c r="BS85" s="130">
        <f>E85+BR85</f>
        <v/>
      </c>
      <c r="BT85" s="185">
        <f>BS85/Portfolio!$F$10</f>
        <v/>
      </c>
    </row>
    <row r="86" ht="14.25" customHeight="1" s="116">
      <c r="B86" s="183">
        <f>B85-1</f>
        <v/>
      </c>
      <c r="C86" s="184">
        <f>P86/$I$22</f>
        <v/>
      </c>
      <c r="D86" s="184">
        <f>Q86/$I$22</f>
        <v/>
      </c>
      <c r="E86" s="130">
        <f>(Portfolio!$C$10*B86)-Portfolio!$F$10</f>
        <v/>
      </c>
      <c r="F86" s="185">
        <f>(E86/Portfolio!$F$10)</f>
        <v/>
      </c>
      <c r="N86" s="183">
        <f>N85-1</f>
        <v/>
      </c>
      <c r="O86" s="184">
        <f>'Hedge_Midle(Test)'!C387</f>
        <v/>
      </c>
      <c r="P86" s="130">
        <f>'Hedge_Midle(Test)'!G387</f>
        <v/>
      </c>
      <c r="Q86" s="130">
        <f>Z86+AD86+AH86+AL86+AP86+AT86+AX86+BB86+BF86+BJ86+BN86+BR86</f>
        <v/>
      </c>
      <c r="R86" s="185">
        <f>T86/Portfolio!$F$10</f>
        <v/>
      </c>
      <c r="S86" s="185">
        <f>U86/Portfolio!$F$10</f>
        <v/>
      </c>
      <c r="T86" s="130">
        <f>E86+P86</f>
        <v/>
      </c>
      <c r="U86" s="130">
        <f>E86+Q86</f>
        <v/>
      </c>
      <c r="V86" s="186">
        <f>P87-2*P86+P85</f>
        <v/>
      </c>
      <c r="W86" s="186">
        <f>Q87-2*Q86+Q85</f>
        <v/>
      </c>
      <c r="X86" s="183">
        <f>X85-1</f>
        <v/>
      </c>
      <c r="Y86" s="130">
        <f>'Hedge_Midle(Test)'!G27</f>
        <v/>
      </c>
      <c r="Z86" s="130">
        <f>IF(B86&gt;$C$9,-1*$I$9,(($C$9-B86)*$G$9)-$I$9)</f>
        <v/>
      </c>
      <c r="AA86" s="130">
        <f>E86+Z86</f>
        <v/>
      </c>
      <c r="AB86" s="185">
        <f>AA86/Portfolio!$F$10</f>
        <v/>
      </c>
      <c r="AC86" s="130">
        <f>'Hedge_Midle(Test)'!G56</f>
        <v/>
      </c>
      <c r="AD86" s="130">
        <f>IF(B86&gt;$C$10,-1*$I$10,(($C$10-B86)*$G$10)-$I$10)</f>
        <v/>
      </c>
      <c r="AE86" s="130">
        <f>E86+AD86</f>
        <v/>
      </c>
      <c r="AF86" s="185">
        <f>AE86/Portfolio!$F$10</f>
        <v/>
      </c>
      <c r="AG86" s="130">
        <f>'Hedge_Midle(Test)'!G85</f>
        <v/>
      </c>
      <c r="AH86" s="130">
        <f>IF(B86&gt;$C$11,-1*$I$11,(($C$11-B86)*$G$11)-$I$11)</f>
        <v/>
      </c>
      <c r="AI86" s="130">
        <f>E86+AH86</f>
        <v/>
      </c>
      <c r="AJ86" s="185">
        <f>AI86/Portfolio!$F$10</f>
        <v/>
      </c>
      <c r="AK86" s="130">
        <f>'Hedge_Midle(Test)'!G114</f>
        <v/>
      </c>
      <c r="AL86" s="130">
        <f>IF(B86&gt;$C$12,-1*$I$12,(($C$12-B86)*$G$12)-$I$12)</f>
        <v/>
      </c>
      <c r="AM86" s="130">
        <f>E86+AL86</f>
        <v/>
      </c>
      <c r="AN86" s="185">
        <f>AM86/Portfolio!$F$10</f>
        <v/>
      </c>
      <c r="AO86" s="130">
        <f>'Hedge_Midle(Test)'!G144</f>
        <v/>
      </c>
      <c r="AP86" s="130">
        <f>IF(B86&gt;$C$13,-1*$I$13,(($C$13-B86)*$G$13)-$I$13)</f>
        <v/>
      </c>
      <c r="AQ86" s="130">
        <f>E86+AP86</f>
        <v/>
      </c>
      <c r="AR86" s="185">
        <f>AQ86/Portfolio!$F$10</f>
        <v/>
      </c>
      <c r="AS86" s="130">
        <f>'Hedge_Midle(Test)'!G174</f>
        <v/>
      </c>
      <c r="AT86" s="130">
        <f>IF(B86&gt;$C$14,-1*$I$14,(($C$14-B86)*$G$14)-$I$14)</f>
        <v/>
      </c>
      <c r="AU86" s="130">
        <f>E86+AT86</f>
        <v/>
      </c>
      <c r="AV86" s="185">
        <f>AU86/Portfolio!$F$10</f>
        <v/>
      </c>
      <c r="AW86" s="130">
        <f>'Hedge_Midle(Test)'!G204</f>
        <v/>
      </c>
      <c r="AX86" s="130">
        <f>IF(B86&gt;$C$15,-1*$I$15,(($C$15-B86)*$G$15)-$I$15)</f>
        <v/>
      </c>
      <c r="AY86" s="130">
        <f>E86+AX86</f>
        <v/>
      </c>
      <c r="AZ86" s="185">
        <f>AY86/Portfolio!$F$10</f>
        <v/>
      </c>
      <c r="BA86" s="130">
        <f>'Hedge_Midle(Test)'!G234</f>
        <v/>
      </c>
      <c r="BB86" s="130">
        <f>IF(B86&gt;$C$16,-1*$I$16,(($C$16-B86)*$G$16)-$I$16)</f>
        <v/>
      </c>
      <c r="BC86" s="130">
        <f>E86+BB86</f>
        <v/>
      </c>
      <c r="BD86" s="185">
        <f>BC86/Portfolio!$F$10</f>
        <v/>
      </c>
      <c r="BE86" s="130">
        <f>'Hedge_Midle(Test)'!G264</f>
        <v/>
      </c>
      <c r="BF86" s="130">
        <f>IF(B86&gt;$C$17,-1*$I$17,(($C$17-B86)*$G$17)-$I$17)</f>
        <v/>
      </c>
      <c r="BG86" s="130">
        <f>E86+BF86</f>
        <v/>
      </c>
      <c r="BH86" s="185">
        <f>BG86/Portfolio!$F$10</f>
        <v/>
      </c>
      <c r="BI86" s="130">
        <f>'Hedge_Midle(Test)'!G294</f>
        <v/>
      </c>
      <c r="BJ86" s="130">
        <f>IF(B86&gt;$C$18,-1*$I$18,(($C$18-B86)*$G$18)-$I$18)</f>
        <v/>
      </c>
      <c r="BK86" s="130">
        <f>E86+BJ86</f>
        <v/>
      </c>
      <c r="BL86" s="185">
        <f>BK86/Portfolio!$F$10</f>
        <v/>
      </c>
      <c r="BM86" s="130">
        <f>'Hedge_Midle(Test)'!G324</f>
        <v/>
      </c>
      <c r="BN86" s="130">
        <f>IF(F86&gt;$C$19,-1*$I$19,(($C$19-F86)*$G$19)-$I$19)</f>
        <v/>
      </c>
      <c r="BO86" s="130">
        <f>E86+BN86</f>
        <v/>
      </c>
      <c r="BP86" s="185">
        <f>BO86/Portfolio!$F$10</f>
        <v/>
      </c>
      <c r="BQ86" s="130">
        <f>'Hedge_Midle(Test)'!C354</f>
        <v/>
      </c>
      <c r="BR86" s="130">
        <f>IF(J86&gt;$C$20,-1*$I$20,(($C$20-J86)*$G$20)-$I$20)</f>
        <v/>
      </c>
      <c r="BS86" s="130">
        <f>E86+BR86</f>
        <v/>
      </c>
      <c r="BT86" s="185">
        <f>BS86/Portfolio!$F$10</f>
        <v/>
      </c>
    </row>
    <row r="87" ht="14.25" customHeight="1" s="116">
      <c r="B87" s="183">
        <f>B86-1</f>
        <v/>
      </c>
      <c r="C87" s="184">
        <f>P87/$I$22</f>
        <v/>
      </c>
      <c r="D87" s="184">
        <f>Q87/$I$22</f>
        <v/>
      </c>
      <c r="E87" s="130">
        <f>(Portfolio!$C$10*B87)-Portfolio!$F$10</f>
        <v/>
      </c>
      <c r="F87" s="185">
        <f>(E87/Portfolio!$F$10)</f>
        <v/>
      </c>
      <c r="N87" s="183">
        <f>N86-1</f>
        <v/>
      </c>
      <c r="O87" s="184">
        <f>'Hedge_Midle(Test)'!C388</f>
        <v/>
      </c>
      <c r="P87" s="130">
        <f>'Hedge_Midle(Test)'!G388</f>
        <v/>
      </c>
      <c r="Q87" s="130">
        <f>Z87+AD87+AH87+AL87+AP87+AT87+AX87+BB87+BF87+BJ87+BN87+BR87</f>
        <v/>
      </c>
      <c r="R87" s="185">
        <f>T87/Portfolio!$F$10</f>
        <v/>
      </c>
      <c r="S87" s="185">
        <f>U87/Portfolio!$F$10</f>
        <v/>
      </c>
      <c r="T87" s="130">
        <f>E87+P87</f>
        <v/>
      </c>
      <c r="U87" s="130">
        <f>E87+Q87</f>
        <v/>
      </c>
      <c r="V87" s="186">
        <f>P88-2*P87+P86</f>
        <v/>
      </c>
      <c r="W87" s="186">
        <f>Q88-2*Q87+Q86</f>
        <v/>
      </c>
      <c r="X87" s="183">
        <f>X86-1</f>
        <v/>
      </c>
      <c r="Y87" s="130">
        <f>'Hedge_Midle(Test)'!G28</f>
        <v/>
      </c>
      <c r="Z87" s="130">
        <f>IF(B87&gt;$C$9,-1*$I$9,(($C$9-B87)*$G$9)-$I$9)</f>
        <v/>
      </c>
      <c r="AA87" s="130">
        <f>E87+Z87</f>
        <v/>
      </c>
      <c r="AB87" s="185">
        <f>AA87/Portfolio!$F$10</f>
        <v/>
      </c>
      <c r="AC87" s="130">
        <f>'Hedge_Midle(Test)'!G57</f>
        <v/>
      </c>
      <c r="AD87" s="130">
        <f>IF(B87&gt;$C$10,-1*$I$10,(($C$10-B87)*$G$10)-$I$10)</f>
        <v/>
      </c>
      <c r="AE87" s="130">
        <f>E87+AD87</f>
        <v/>
      </c>
      <c r="AF87" s="185">
        <f>AE87/Portfolio!$F$10</f>
        <v/>
      </c>
      <c r="AG87" s="130">
        <f>'Hedge_Midle(Test)'!G86</f>
        <v/>
      </c>
      <c r="AH87" s="130">
        <f>IF(B87&gt;$C$11,-1*$I$11,(($C$11-B87)*$G$11)-$I$11)</f>
        <v/>
      </c>
      <c r="AI87" s="130">
        <f>E87+AH87</f>
        <v/>
      </c>
      <c r="AJ87" s="185">
        <f>AI87/Portfolio!$F$10</f>
        <v/>
      </c>
      <c r="AK87" s="130">
        <f>'Hedge_Midle(Test)'!G115</f>
        <v/>
      </c>
      <c r="AL87" s="130">
        <f>IF(B87&gt;$C$12,-1*$I$12,(($C$12-B87)*$G$12)-$I$12)</f>
        <v/>
      </c>
      <c r="AM87" s="130">
        <f>E87+AL87</f>
        <v/>
      </c>
      <c r="AN87" s="185">
        <f>AM87/Portfolio!$F$10</f>
        <v/>
      </c>
      <c r="AO87" s="130">
        <f>'Hedge_Midle(Test)'!G145</f>
        <v/>
      </c>
      <c r="AP87" s="130">
        <f>IF(B87&gt;$C$13,-1*$I$13,(($C$13-B87)*$G$13)-$I$13)</f>
        <v/>
      </c>
      <c r="AQ87" s="130">
        <f>E87+AP87</f>
        <v/>
      </c>
      <c r="AR87" s="185">
        <f>AQ87/Portfolio!$F$10</f>
        <v/>
      </c>
      <c r="AS87" s="130">
        <f>'Hedge_Midle(Test)'!G175</f>
        <v/>
      </c>
      <c r="AT87" s="130">
        <f>IF(B87&gt;$C$14,-1*$I$14,(($C$14-B87)*$G$14)-$I$14)</f>
        <v/>
      </c>
      <c r="AU87" s="130">
        <f>E87+AT87</f>
        <v/>
      </c>
      <c r="AV87" s="185">
        <f>AU87/Portfolio!$F$10</f>
        <v/>
      </c>
      <c r="AW87" s="130">
        <f>'Hedge_Midle(Test)'!G205</f>
        <v/>
      </c>
      <c r="AX87" s="130">
        <f>IF(B87&gt;$C$15,-1*$I$15,(($C$15-B87)*$G$15)-$I$15)</f>
        <v/>
      </c>
      <c r="AY87" s="130">
        <f>E87+AX87</f>
        <v/>
      </c>
      <c r="AZ87" s="185">
        <f>AY87/Portfolio!$F$10</f>
        <v/>
      </c>
      <c r="BA87" s="130">
        <f>'Hedge_Midle(Test)'!G235</f>
        <v/>
      </c>
      <c r="BB87" s="130">
        <f>IF(B87&gt;$C$16,-1*$I$16,(($C$16-B87)*$G$16)-$I$16)</f>
        <v/>
      </c>
      <c r="BC87" s="130">
        <f>E87+BB87</f>
        <v/>
      </c>
      <c r="BD87" s="185">
        <f>BC87/Portfolio!$F$10</f>
        <v/>
      </c>
      <c r="BE87" s="130">
        <f>'Hedge_Midle(Test)'!G265</f>
        <v/>
      </c>
      <c r="BF87" s="130">
        <f>IF(B87&gt;$C$17,-1*$I$17,(($C$17-B87)*$G$17)-$I$17)</f>
        <v/>
      </c>
      <c r="BG87" s="130">
        <f>E87+BF87</f>
        <v/>
      </c>
      <c r="BH87" s="185">
        <f>BG87/Portfolio!$F$10</f>
        <v/>
      </c>
      <c r="BI87" s="130">
        <f>'Hedge_Midle(Test)'!G295</f>
        <v/>
      </c>
      <c r="BJ87" s="130">
        <f>IF(B87&gt;$C$18,-1*$I$18,(($C$18-B87)*$G$18)-$I$18)</f>
        <v/>
      </c>
      <c r="BK87" s="130">
        <f>E87+BJ87</f>
        <v/>
      </c>
      <c r="BL87" s="185">
        <f>BK87/Portfolio!$F$10</f>
        <v/>
      </c>
      <c r="BM87" s="130">
        <f>'Hedge_Midle(Test)'!G325</f>
        <v/>
      </c>
      <c r="BN87" s="130">
        <f>IF(F87&gt;$C$19,-1*$I$19,(($C$19-F87)*$G$19)-$I$19)</f>
        <v/>
      </c>
      <c r="BO87" s="130">
        <f>E87+BN87</f>
        <v/>
      </c>
      <c r="BP87" s="185">
        <f>BO87/Portfolio!$F$10</f>
        <v/>
      </c>
      <c r="BQ87" s="130">
        <f>'Hedge_Midle(Test)'!C355</f>
        <v/>
      </c>
      <c r="BR87" s="130">
        <f>IF(J87&gt;$C$20,-1*$I$20,(($C$20-J87)*$G$20)-$I$20)</f>
        <v/>
      </c>
      <c r="BS87" s="130">
        <f>E87+BR87</f>
        <v/>
      </c>
      <c r="BT87" s="185">
        <f>BS87/Portfolio!$F$10</f>
        <v/>
      </c>
    </row>
    <row r="88" ht="14.25" customHeight="1" s="116">
      <c r="B88" s="183">
        <f>B87-1</f>
        <v/>
      </c>
      <c r="C88" s="184">
        <f>P88/$I$22</f>
        <v/>
      </c>
      <c r="D88" s="184">
        <f>Q88/$I$22</f>
        <v/>
      </c>
      <c r="E88" s="130">
        <f>(Portfolio!$C$10*B88)-Portfolio!$F$10</f>
        <v/>
      </c>
      <c r="F88" s="185">
        <f>(E88/Portfolio!$F$10)</f>
        <v/>
      </c>
      <c r="N88" s="183">
        <f>N87-1</f>
        <v/>
      </c>
      <c r="O88" s="184">
        <f>'Hedge_Midle(Test)'!C389</f>
        <v/>
      </c>
      <c r="P88" s="130">
        <f>'Hedge_Midle(Test)'!G389</f>
        <v/>
      </c>
      <c r="Q88" s="130">
        <f>Z88+AD88+AH88+AL88+AP88+AT88+AX88+BB88+BF88+BJ88+BN88+BR88</f>
        <v/>
      </c>
      <c r="R88" s="185">
        <f>T88/Portfolio!$F$10</f>
        <v/>
      </c>
      <c r="S88" s="185">
        <f>U88/Portfolio!$F$10</f>
        <v/>
      </c>
      <c r="T88" s="130">
        <f>E88+P88</f>
        <v/>
      </c>
      <c r="U88" s="130">
        <f>E88+Q88</f>
        <v/>
      </c>
      <c r="V88" s="186">
        <f>P89-2*P88+P87</f>
        <v/>
      </c>
      <c r="W88" s="186">
        <f>Q89-2*Q88+Q87</f>
        <v/>
      </c>
      <c r="X88" s="183">
        <f>X87-1</f>
        <v/>
      </c>
      <c r="Y88" s="130">
        <f>'Hedge_Midle(Test)'!G29</f>
        <v/>
      </c>
      <c r="Z88" s="130">
        <f>IF(B88&gt;$C$9,-1*$I$9,(($C$9-B88)*$G$9)-$I$9)</f>
        <v/>
      </c>
      <c r="AA88" s="130">
        <f>E88+Z88</f>
        <v/>
      </c>
      <c r="AB88" s="185">
        <f>AA88/Portfolio!$F$10</f>
        <v/>
      </c>
      <c r="AC88" s="130">
        <f>'Hedge_Midle(Test)'!G58</f>
        <v/>
      </c>
      <c r="AD88" s="130">
        <f>IF(B88&gt;$C$10,-1*$I$10,(($C$10-B88)*$G$10)-$I$10)</f>
        <v/>
      </c>
      <c r="AE88" s="130">
        <f>E88+AD88</f>
        <v/>
      </c>
      <c r="AF88" s="185">
        <f>AE88/Portfolio!$F$10</f>
        <v/>
      </c>
      <c r="AG88" s="130">
        <f>'Hedge_Midle(Test)'!G87</f>
        <v/>
      </c>
      <c r="AH88" s="130">
        <f>IF(B88&gt;$C$11,-1*$I$11,(($C$11-B88)*$G$11)-$I$11)</f>
        <v/>
      </c>
      <c r="AI88" s="130">
        <f>E88+AH88</f>
        <v/>
      </c>
      <c r="AJ88" s="185">
        <f>AI88/Portfolio!$F$10</f>
        <v/>
      </c>
      <c r="AK88" s="130">
        <f>'Hedge_Midle(Test)'!G116</f>
        <v/>
      </c>
      <c r="AL88" s="130">
        <f>IF(B88&gt;$C$12,-1*$I$12,(($C$12-B88)*$G$12)-$I$12)</f>
        <v/>
      </c>
      <c r="AM88" s="130">
        <f>E88+AL88</f>
        <v/>
      </c>
      <c r="AN88" s="185">
        <f>AM88/Portfolio!$F$10</f>
        <v/>
      </c>
      <c r="AO88" s="130">
        <f>'Hedge_Midle(Test)'!G146</f>
        <v/>
      </c>
      <c r="AP88" s="130">
        <f>IF(B88&gt;$C$13,-1*$I$13,(($C$13-B88)*$G$13)-$I$13)</f>
        <v/>
      </c>
      <c r="AQ88" s="130">
        <f>E88+AP88</f>
        <v/>
      </c>
      <c r="AR88" s="185">
        <f>AQ88/Portfolio!$F$10</f>
        <v/>
      </c>
      <c r="AS88" s="130">
        <f>'Hedge_Midle(Test)'!G176</f>
        <v/>
      </c>
      <c r="AT88" s="130">
        <f>IF(B88&gt;$C$14,-1*$I$14,(($C$14-B88)*$G$14)-$I$14)</f>
        <v/>
      </c>
      <c r="AU88" s="130">
        <f>E88+AT88</f>
        <v/>
      </c>
      <c r="AV88" s="185">
        <f>AU88/Portfolio!$F$10</f>
        <v/>
      </c>
      <c r="AW88" s="130">
        <f>'Hedge_Midle(Test)'!G206</f>
        <v/>
      </c>
      <c r="AX88" s="130">
        <f>IF(B88&gt;$C$15,-1*$I$15,(($C$15-B88)*$G$15)-$I$15)</f>
        <v/>
      </c>
      <c r="AY88" s="130">
        <f>E88+AX88</f>
        <v/>
      </c>
      <c r="AZ88" s="185">
        <f>AY88/Portfolio!$F$10</f>
        <v/>
      </c>
      <c r="BA88" s="130">
        <f>'Hedge_Midle(Test)'!G236</f>
        <v/>
      </c>
      <c r="BB88" s="130">
        <f>IF(B88&gt;$C$16,-1*$I$16,(($C$16-B88)*$G$16)-$I$16)</f>
        <v/>
      </c>
      <c r="BC88" s="130">
        <f>E88+BB88</f>
        <v/>
      </c>
      <c r="BD88" s="185">
        <f>BC88/Portfolio!$F$10</f>
        <v/>
      </c>
      <c r="BE88" s="130">
        <f>'Hedge_Midle(Test)'!G266</f>
        <v/>
      </c>
      <c r="BF88" s="130">
        <f>IF(B88&gt;$C$17,-1*$I$17,(($C$17-B88)*$G$17)-$I$17)</f>
        <v/>
      </c>
      <c r="BG88" s="130">
        <f>E88+BF88</f>
        <v/>
      </c>
      <c r="BH88" s="185">
        <f>BG88/Portfolio!$F$10</f>
        <v/>
      </c>
      <c r="BI88" s="130">
        <f>'Hedge_Midle(Test)'!G296</f>
        <v/>
      </c>
      <c r="BJ88" s="130">
        <f>IF(B88&gt;$C$18,-1*$I$18,(($C$18-B88)*$G$18)-$I$18)</f>
        <v/>
      </c>
      <c r="BK88" s="130">
        <f>E88+BJ88</f>
        <v/>
      </c>
      <c r="BL88" s="185">
        <f>BK88/Portfolio!$F$10</f>
        <v/>
      </c>
      <c r="BM88" s="130">
        <f>'Hedge_Midle(Test)'!G326</f>
        <v/>
      </c>
      <c r="BN88" s="130">
        <f>IF(F88&gt;$C$19,-1*$I$19,(($C$19-F88)*$G$19)-$I$19)</f>
        <v/>
      </c>
      <c r="BO88" s="130">
        <f>E88+BN88</f>
        <v/>
      </c>
      <c r="BP88" s="185">
        <f>BO88/Portfolio!$F$10</f>
        <v/>
      </c>
      <c r="BQ88" s="130">
        <f>'Hedge_Midle(Test)'!C356</f>
        <v/>
      </c>
      <c r="BR88" s="130">
        <f>IF(J88&gt;$C$20,-1*$I$20,(($C$20-J88)*$G$20)-$I$20)</f>
        <v/>
      </c>
      <c r="BS88" s="130">
        <f>E88+BR88</f>
        <v/>
      </c>
      <c r="BT88" s="185">
        <f>BS88/Portfolio!$F$10</f>
        <v/>
      </c>
    </row>
    <row r="89" ht="14.25" customHeight="1" s="116">
      <c r="B89" s="183">
        <f>B88-1</f>
        <v/>
      </c>
      <c r="C89" s="184">
        <f>P89/$I$22</f>
        <v/>
      </c>
      <c r="D89" s="184">
        <f>Q89/$I$22</f>
        <v/>
      </c>
      <c r="E89" s="130">
        <f>(Portfolio!$C$10*B89)-Portfolio!$F$10</f>
        <v/>
      </c>
      <c r="F89" s="185">
        <f>(E89/Portfolio!$F$10)</f>
        <v/>
      </c>
      <c r="N89" s="183">
        <f>N88-1</f>
        <v/>
      </c>
      <c r="O89" s="184">
        <f>'Hedge_Midle(Test)'!C390</f>
        <v/>
      </c>
      <c r="P89" s="130">
        <f>'Hedge_Midle(Test)'!G390</f>
        <v/>
      </c>
      <c r="Q89" s="130">
        <f>Z89+AD89+AH89+AL89+AP89+AT89+AX89+BB89+BF89+BJ89+BN89+BR89</f>
        <v/>
      </c>
      <c r="R89" s="185">
        <f>T89/Portfolio!$F$10</f>
        <v/>
      </c>
      <c r="S89" s="185">
        <f>U89/Portfolio!$F$10</f>
        <v/>
      </c>
      <c r="T89" s="130">
        <f>E89+P89</f>
        <v/>
      </c>
      <c r="U89" s="130">
        <f>E89+Q89</f>
        <v/>
      </c>
      <c r="V89" s="186">
        <f>P90-2*P89+P88</f>
        <v/>
      </c>
      <c r="W89" s="186">
        <f>Q90-2*Q89+Q88</f>
        <v/>
      </c>
      <c r="X89" s="183">
        <f>X88-1</f>
        <v/>
      </c>
      <c r="Y89" s="130">
        <f>'Hedge_Midle(Test)'!G30</f>
        <v/>
      </c>
      <c r="Z89" s="130">
        <f>IF(B89&gt;$C$9,-1*$I$9,(($C$9-B89)*$G$9)-$I$9)</f>
        <v/>
      </c>
      <c r="AA89" s="130">
        <f>E89+Z89</f>
        <v/>
      </c>
      <c r="AB89" s="185">
        <f>AA89/Portfolio!$F$10</f>
        <v/>
      </c>
      <c r="AC89" s="130">
        <f>'Hedge_Midle(Test)'!G59</f>
        <v/>
      </c>
      <c r="AD89" s="130">
        <f>IF(B89&gt;$C$10,-1*$I$10,(($C$10-B89)*$G$10)-$I$10)</f>
        <v/>
      </c>
      <c r="AE89" s="130">
        <f>E89+AD89</f>
        <v/>
      </c>
      <c r="AF89" s="185">
        <f>AE89/Portfolio!$F$10</f>
        <v/>
      </c>
      <c r="AG89" s="130">
        <f>'Hedge_Midle(Test)'!G88</f>
        <v/>
      </c>
      <c r="AH89" s="130">
        <f>IF(B89&gt;$C$11,-1*$I$11,(($C$11-B89)*$G$11)-$I$11)</f>
        <v/>
      </c>
      <c r="AI89" s="130">
        <f>E89+AH89</f>
        <v/>
      </c>
      <c r="AJ89" s="185">
        <f>AI89/Portfolio!$F$10</f>
        <v/>
      </c>
      <c r="AK89" s="130">
        <f>'Hedge_Midle(Test)'!G117</f>
        <v/>
      </c>
      <c r="AL89" s="130">
        <f>IF(B89&gt;$C$12,-1*$I$12,(($C$12-B89)*$G$12)-$I$12)</f>
        <v/>
      </c>
      <c r="AM89" s="130">
        <f>E89+AL89</f>
        <v/>
      </c>
      <c r="AN89" s="185">
        <f>AM89/Portfolio!$F$10</f>
        <v/>
      </c>
      <c r="AO89" s="130">
        <f>'Hedge_Midle(Test)'!G147</f>
        <v/>
      </c>
      <c r="AP89" s="130">
        <f>IF(B89&gt;$C$13,-1*$I$13,(($C$13-B89)*$G$13)-$I$13)</f>
        <v/>
      </c>
      <c r="AQ89" s="130">
        <f>E89+AP89</f>
        <v/>
      </c>
      <c r="AR89" s="185">
        <f>AQ89/Portfolio!$F$10</f>
        <v/>
      </c>
      <c r="AS89" s="130">
        <f>'Hedge_Midle(Test)'!G177</f>
        <v/>
      </c>
      <c r="AT89" s="130">
        <f>IF(B89&gt;$C$14,-1*$I$14,(($C$14-B89)*$G$14)-$I$14)</f>
        <v/>
      </c>
      <c r="AU89" s="130">
        <f>E89+AT89</f>
        <v/>
      </c>
      <c r="AV89" s="185">
        <f>AU89/Portfolio!$F$10</f>
        <v/>
      </c>
      <c r="AW89" s="130">
        <f>'Hedge_Midle(Test)'!G207</f>
        <v/>
      </c>
      <c r="AX89" s="130">
        <f>IF(B89&gt;$C$15,-1*$I$15,(($C$15-B89)*$G$15)-$I$15)</f>
        <v/>
      </c>
      <c r="AY89" s="130">
        <f>E89+AX89</f>
        <v/>
      </c>
      <c r="AZ89" s="185">
        <f>AY89/Portfolio!$F$10</f>
        <v/>
      </c>
      <c r="BA89" s="130">
        <f>'Hedge_Midle(Test)'!G237</f>
        <v/>
      </c>
      <c r="BB89" s="130">
        <f>IF(B89&gt;$C$16,-1*$I$16,(($C$16-B89)*$G$16)-$I$16)</f>
        <v/>
      </c>
      <c r="BC89" s="130">
        <f>E89+BB89</f>
        <v/>
      </c>
      <c r="BD89" s="185">
        <f>BC89/Portfolio!$F$10</f>
        <v/>
      </c>
      <c r="BE89" s="130">
        <f>'Hedge_Midle(Test)'!G267</f>
        <v/>
      </c>
      <c r="BF89" s="130">
        <f>IF(B89&gt;$C$17,-1*$I$17,(($C$17-B89)*$G$17)-$I$17)</f>
        <v/>
      </c>
      <c r="BG89" s="130">
        <f>E89+BF89</f>
        <v/>
      </c>
      <c r="BH89" s="185">
        <f>BG89/Portfolio!$F$10</f>
        <v/>
      </c>
      <c r="BI89" s="130">
        <f>'Hedge_Midle(Test)'!G297</f>
        <v/>
      </c>
      <c r="BJ89" s="130">
        <f>IF(B89&gt;$C$18,-1*$I$18,(($C$18-B89)*$G$18)-$I$18)</f>
        <v/>
      </c>
      <c r="BK89" s="130">
        <f>E89+BJ89</f>
        <v/>
      </c>
      <c r="BL89" s="185">
        <f>BK89/Portfolio!$F$10</f>
        <v/>
      </c>
      <c r="BM89" s="130">
        <f>'Hedge_Midle(Test)'!G327</f>
        <v/>
      </c>
      <c r="BN89" s="130">
        <f>IF(F89&gt;$C$19,-1*$I$19,(($C$19-F89)*$G$19)-$I$19)</f>
        <v/>
      </c>
      <c r="BO89" s="130">
        <f>E89+BN89</f>
        <v/>
      </c>
      <c r="BP89" s="185">
        <f>BO89/Portfolio!$F$10</f>
        <v/>
      </c>
      <c r="BQ89" s="130">
        <f>'Hedge_Midle(Test)'!C357</f>
        <v/>
      </c>
      <c r="BR89" s="130">
        <f>IF(J89&gt;$C$20,-1*$I$20,(($C$20-J89)*$G$20)-$I$20)</f>
        <v/>
      </c>
      <c r="BS89" s="130">
        <f>E89+BR89</f>
        <v/>
      </c>
      <c r="BT89" s="185">
        <f>BS89/Portfolio!$F$10</f>
        <v/>
      </c>
    </row>
    <row r="90" ht="14.25" customHeight="1" s="116">
      <c r="B90" s="183">
        <f>B89-1</f>
        <v/>
      </c>
      <c r="C90" s="184">
        <f>P90/$I$22</f>
        <v/>
      </c>
      <c r="D90" s="184">
        <f>Q90/$I$22</f>
        <v/>
      </c>
      <c r="E90" s="130">
        <f>(Portfolio!$C$10*B90)-Portfolio!$F$10</f>
        <v/>
      </c>
      <c r="F90" s="185">
        <f>(E90/Portfolio!$F$10)</f>
        <v/>
      </c>
      <c r="N90" s="183">
        <f>N89-1</f>
        <v/>
      </c>
      <c r="O90" s="184">
        <f>'Hedge_Midle(Test)'!C391</f>
        <v/>
      </c>
      <c r="P90" s="130">
        <f>'Hedge_Midle(Test)'!G391</f>
        <v/>
      </c>
      <c r="Q90" s="130">
        <f>Z90+AD90+AH90+AL90+AP90+AT90+AX90+BB90+BF90+BJ90+BN90+BR90</f>
        <v/>
      </c>
      <c r="R90" s="185">
        <f>T90/Portfolio!$F$10</f>
        <v/>
      </c>
      <c r="S90" s="185">
        <f>U90/Portfolio!$F$10</f>
        <v/>
      </c>
      <c r="T90" s="130">
        <f>E90+P90</f>
        <v/>
      </c>
      <c r="U90" s="130">
        <f>E90+Q90</f>
        <v/>
      </c>
      <c r="V90" s="186">
        <f>P91-2*P90+P89</f>
        <v/>
      </c>
      <c r="W90" s="186">
        <f>Q91-2*Q90+Q89</f>
        <v/>
      </c>
      <c r="X90" s="183">
        <f>X89-1</f>
        <v/>
      </c>
      <c r="Y90" s="130">
        <f>'Hedge_Midle(Test)'!G31</f>
        <v/>
      </c>
      <c r="Z90" s="130">
        <f>IF(B90&gt;$C$9,-1*$I$9,(($C$9-B90)*$G$9)-$I$9)</f>
        <v/>
      </c>
      <c r="AA90" s="130">
        <f>E90+Z90</f>
        <v/>
      </c>
      <c r="AB90" s="185">
        <f>AA90/Portfolio!$F$10</f>
        <v/>
      </c>
      <c r="AC90" s="130">
        <f>'Hedge_Midle(Test)'!G60</f>
        <v/>
      </c>
      <c r="AD90" s="130">
        <f>IF(B90&gt;$C$10,-1*$I$10,(($C$10-B90)*$G$10)-$I$10)</f>
        <v/>
      </c>
      <c r="AE90" s="130">
        <f>E90+AD90</f>
        <v/>
      </c>
      <c r="AF90" s="185">
        <f>AE90/Portfolio!$F$10</f>
        <v/>
      </c>
      <c r="AG90" s="130">
        <f>'Hedge_Midle(Test)'!G89</f>
        <v/>
      </c>
      <c r="AH90" s="130">
        <f>IF(B90&gt;$C$11,-1*$I$11,(($C$11-B90)*$G$11)-$I$11)</f>
        <v/>
      </c>
      <c r="AI90" s="130">
        <f>E90+AH90</f>
        <v/>
      </c>
      <c r="AJ90" s="185">
        <f>AI90/Portfolio!$F$10</f>
        <v/>
      </c>
      <c r="AK90" s="130">
        <f>'Hedge_Midle(Test)'!G118</f>
        <v/>
      </c>
      <c r="AL90" s="130">
        <f>IF(B90&gt;$C$12,-1*$I$12,(($C$12-B90)*$G$12)-$I$12)</f>
        <v/>
      </c>
      <c r="AM90" s="130">
        <f>E90+AL90</f>
        <v/>
      </c>
      <c r="AN90" s="185">
        <f>AM90/Portfolio!$F$10</f>
        <v/>
      </c>
      <c r="AO90" s="130">
        <f>'Hedge_Midle(Test)'!G148</f>
        <v/>
      </c>
      <c r="AP90" s="130">
        <f>IF(B90&gt;$C$13,-1*$I$13,(($C$13-B90)*$G$13)-$I$13)</f>
        <v/>
      </c>
      <c r="AQ90" s="130">
        <f>E90+AP90</f>
        <v/>
      </c>
      <c r="AR90" s="185">
        <f>AQ90/Portfolio!$F$10</f>
        <v/>
      </c>
      <c r="AS90" s="130">
        <f>'Hedge_Midle(Test)'!G178</f>
        <v/>
      </c>
      <c r="AT90" s="130">
        <f>IF(B90&gt;$C$14,-1*$I$14,(($C$14-B90)*$G$14)-$I$14)</f>
        <v/>
      </c>
      <c r="AU90" s="130">
        <f>E90+AT90</f>
        <v/>
      </c>
      <c r="AV90" s="185">
        <f>AU90/Portfolio!$F$10</f>
        <v/>
      </c>
      <c r="AW90" s="130">
        <f>'Hedge_Midle(Test)'!G208</f>
        <v/>
      </c>
      <c r="AX90" s="130">
        <f>IF(B90&gt;$C$15,-1*$I$15,(($C$15-B90)*$G$15)-$I$15)</f>
        <v/>
      </c>
      <c r="AY90" s="130">
        <f>E90+AX90</f>
        <v/>
      </c>
      <c r="AZ90" s="185">
        <f>AY90/Portfolio!$F$10</f>
        <v/>
      </c>
      <c r="BA90" s="130">
        <f>'Hedge_Midle(Test)'!G238</f>
        <v/>
      </c>
      <c r="BB90" s="130">
        <f>IF(B90&gt;$C$16,-1*$I$16,(($C$16-B90)*$G$16)-$I$16)</f>
        <v/>
      </c>
      <c r="BC90" s="130">
        <f>E90+BB90</f>
        <v/>
      </c>
      <c r="BD90" s="185">
        <f>BC90/Portfolio!$F$10</f>
        <v/>
      </c>
      <c r="BE90" s="130">
        <f>'Hedge_Midle(Test)'!G268</f>
        <v/>
      </c>
      <c r="BF90" s="130">
        <f>IF(B90&gt;$C$17,-1*$I$17,(($C$17-B90)*$G$17)-$I$17)</f>
        <v/>
      </c>
      <c r="BG90" s="130">
        <f>E90+BF90</f>
        <v/>
      </c>
      <c r="BH90" s="185">
        <f>BG90/Portfolio!$F$10</f>
        <v/>
      </c>
      <c r="BI90" s="130">
        <f>'Hedge_Midle(Test)'!G298</f>
        <v/>
      </c>
      <c r="BJ90" s="130">
        <f>IF(B90&gt;$C$18,-1*$I$18,(($C$18-B90)*$G$18)-$I$18)</f>
        <v/>
      </c>
      <c r="BK90" s="130">
        <f>E90+BJ90</f>
        <v/>
      </c>
      <c r="BL90" s="185">
        <f>BK90/Portfolio!$F$10</f>
        <v/>
      </c>
      <c r="BM90" s="130">
        <f>'Hedge_Midle(Test)'!G328</f>
        <v/>
      </c>
      <c r="BN90" s="130">
        <f>IF(F90&gt;$C$19,-1*$I$19,(($C$19-F90)*$G$19)-$I$19)</f>
        <v/>
      </c>
      <c r="BO90" s="130">
        <f>E90+BN90</f>
        <v/>
      </c>
      <c r="BP90" s="185">
        <f>BO90/Portfolio!$F$10</f>
        <v/>
      </c>
      <c r="BQ90" s="130">
        <f>'Hedge_Midle(Test)'!C358</f>
        <v/>
      </c>
      <c r="BR90" s="130">
        <f>IF(J90&gt;$C$20,-1*$I$20,(($C$20-J90)*$G$20)-$I$20)</f>
        <v/>
      </c>
      <c r="BS90" s="130">
        <f>E90+BR90</f>
        <v/>
      </c>
      <c r="BT90" s="185">
        <f>BS90/Portfolio!$F$10</f>
        <v/>
      </c>
    </row>
    <row r="91" ht="14.25" customHeight="1" s="116">
      <c r="B91" s="183">
        <f>B90-1</f>
        <v/>
      </c>
      <c r="C91" s="184">
        <f>P91/$I$22</f>
        <v/>
      </c>
      <c r="D91" s="184">
        <f>Q91/$I$22</f>
        <v/>
      </c>
      <c r="E91" s="130">
        <f>(Portfolio!$C$10*B91)-Portfolio!$F$10</f>
        <v/>
      </c>
      <c r="F91" s="185">
        <f>(E91/Portfolio!$F$10)</f>
        <v/>
      </c>
      <c r="N91" s="183">
        <f>N90-1</f>
        <v/>
      </c>
      <c r="O91" s="184">
        <f>'Hedge_Midle(Test)'!C392</f>
        <v/>
      </c>
      <c r="P91" s="130">
        <f>'Hedge_Midle(Test)'!G392</f>
        <v/>
      </c>
      <c r="Q91" s="130">
        <f>Z91+AD91+AH91+AL91+AP91+AT91+AX91+BB91+BF91+BJ91+BN91+BR91</f>
        <v/>
      </c>
      <c r="R91" s="185">
        <f>T91/Portfolio!$F$10</f>
        <v/>
      </c>
      <c r="S91" s="185">
        <f>U91/Portfolio!$F$10</f>
        <v/>
      </c>
      <c r="T91" s="130">
        <f>E91+P91</f>
        <v/>
      </c>
      <c r="U91" s="130">
        <f>E91+Q91</f>
        <v/>
      </c>
      <c r="V91" s="186">
        <f>P92-2*P91+P90</f>
        <v/>
      </c>
      <c r="W91" s="186">
        <f>Q92-2*Q91+Q90</f>
        <v/>
      </c>
      <c r="X91" s="183">
        <f>X90-1</f>
        <v/>
      </c>
      <c r="Y91" s="130">
        <f>'Hedge_Midle(Test)'!G32</f>
        <v/>
      </c>
      <c r="Z91" s="130">
        <f>IF(B91&gt;$C$9,-1*$I$9,(($C$9-B91)*$G$9)-$I$9)</f>
        <v/>
      </c>
      <c r="AA91" s="130">
        <f>E91+Z91</f>
        <v/>
      </c>
      <c r="AB91" s="185">
        <f>AA91/Portfolio!$F$10</f>
        <v/>
      </c>
      <c r="AC91" s="130">
        <f>'Hedge_Midle(Test)'!G61</f>
        <v/>
      </c>
      <c r="AD91" s="130">
        <f>IF(B91&gt;$C$10,-1*$I$10,(($C$10-B91)*$G$10)-$I$10)</f>
        <v/>
      </c>
      <c r="AE91" s="130">
        <f>E91+AD91</f>
        <v/>
      </c>
      <c r="AF91" s="185">
        <f>AE91/Portfolio!$F$10</f>
        <v/>
      </c>
      <c r="AG91" s="130">
        <f>'Hedge_Midle(Test)'!G90</f>
        <v/>
      </c>
      <c r="AH91" s="130">
        <f>IF(B91&gt;$C$11,-1*$I$11,(($C$11-B91)*$G$11)-$I$11)</f>
        <v/>
      </c>
      <c r="AI91" s="130">
        <f>E91+AH91</f>
        <v/>
      </c>
      <c r="AJ91" s="185">
        <f>AI91/Portfolio!$F$10</f>
        <v/>
      </c>
      <c r="AK91" s="130">
        <f>'Hedge_Midle(Test)'!G119</f>
        <v/>
      </c>
      <c r="AL91" s="130">
        <f>IF(B91&gt;$C$12,-1*$I$12,(($C$12-B91)*$G$12)-$I$12)</f>
        <v/>
      </c>
      <c r="AM91" s="130">
        <f>E91+AL91</f>
        <v/>
      </c>
      <c r="AN91" s="185">
        <f>AM91/Portfolio!$F$10</f>
        <v/>
      </c>
      <c r="AO91" s="130">
        <f>'Hedge_Midle(Test)'!G149</f>
        <v/>
      </c>
      <c r="AP91" s="130">
        <f>IF(B91&gt;$C$13,-1*$I$13,(($C$13-B91)*$G$13)-$I$13)</f>
        <v/>
      </c>
      <c r="AQ91" s="130">
        <f>E91+AP91</f>
        <v/>
      </c>
      <c r="AR91" s="185">
        <f>AQ91/Portfolio!$F$10</f>
        <v/>
      </c>
      <c r="AS91" s="130">
        <f>'Hedge_Midle(Test)'!G179</f>
        <v/>
      </c>
      <c r="AT91" s="130">
        <f>IF(B91&gt;$C$14,-1*$I$14,(($C$14-B91)*$G$14)-$I$14)</f>
        <v/>
      </c>
      <c r="AU91" s="130">
        <f>E91+AT91</f>
        <v/>
      </c>
      <c r="AV91" s="185">
        <f>AU91/Portfolio!$F$10</f>
        <v/>
      </c>
      <c r="AW91" s="130">
        <f>'Hedge_Midle(Test)'!G209</f>
        <v/>
      </c>
      <c r="AX91" s="130">
        <f>IF(B91&gt;$C$15,-1*$I$15,(($C$15-B91)*$G$15)-$I$15)</f>
        <v/>
      </c>
      <c r="AY91" s="130">
        <f>E91+AX91</f>
        <v/>
      </c>
      <c r="AZ91" s="185">
        <f>AY91/Portfolio!$F$10</f>
        <v/>
      </c>
      <c r="BA91" s="130">
        <f>'Hedge_Midle(Test)'!G239</f>
        <v/>
      </c>
      <c r="BB91" s="130">
        <f>IF(B91&gt;$C$16,-1*$I$16,(($C$16-B91)*$G$16)-$I$16)</f>
        <v/>
      </c>
      <c r="BC91" s="130">
        <f>E91+BB91</f>
        <v/>
      </c>
      <c r="BD91" s="185">
        <f>BC91/Portfolio!$F$10</f>
        <v/>
      </c>
      <c r="BE91" s="130">
        <f>'Hedge_Midle(Test)'!G269</f>
        <v/>
      </c>
      <c r="BF91" s="130">
        <f>IF(B91&gt;$C$17,-1*$I$17,(($C$17-B91)*$G$17)-$I$17)</f>
        <v/>
      </c>
      <c r="BG91" s="130">
        <f>E91+BF91</f>
        <v/>
      </c>
      <c r="BH91" s="185">
        <f>BG91/Portfolio!$F$10</f>
        <v/>
      </c>
      <c r="BI91" s="130">
        <f>'Hedge_Midle(Test)'!G299</f>
        <v/>
      </c>
      <c r="BJ91" s="130">
        <f>IF(B91&gt;$C$18,-1*$I$18,(($C$18-B91)*$G$18)-$I$18)</f>
        <v/>
      </c>
      <c r="BK91" s="130">
        <f>E91+BJ91</f>
        <v/>
      </c>
      <c r="BL91" s="185">
        <f>BK91/Portfolio!$F$10</f>
        <v/>
      </c>
      <c r="BM91" s="130">
        <f>'Hedge_Midle(Test)'!G329</f>
        <v/>
      </c>
      <c r="BN91" s="130">
        <f>IF(F91&gt;$C$19,-1*$I$19,(($C$19-F91)*$G$19)-$I$19)</f>
        <v/>
      </c>
      <c r="BO91" s="130">
        <f>E91+BN91</f>
        <v/>
      </c>
      <c r="BP91" s="185">
        <f>BO91/Portfolio!$F$10</f>
        <v/>
      </c>
      <c r="BQ91" s="130">
        <f>'Hedge_Midle(Test)'!C359</f>
        <v/>
      </c>
      <c r="BR91" s="130">
        <f>IF(J91&gt;$C$20,-1*$I$20,(($C$20-J91)*$G$20)-$I$20)</f>
        <v/>
      </c>
      <c r="BS91" s="130">
        <f>E91+BR91</f>
        <v/>
      </c>
      <c r="BT91" s="185">
        <f>BS91/Portfolio!$F$10</f>
        <v/>
      </c>
    </row>
    <row r="92" ht="14.25" customHeight="1" s="116">
      <c r="B92" s="183">
        <f>B91-1</f>
        <v/>
      </c>
      <c r="C92" s="184">
        <f>P92/$I$22</f>
        <v/>
      </c>
      <c r="D92" s="184">
        <f>Q92/$I$22</f>
        <v/>
      </c>
      <c r="E92" s="130">
        <f>(Portfolio!$C$10*B92)-Portfolio!$F$10</f>
        <v/>
      </c>
      <c r="F92" s="185">
        <f>(E92/Portfolio!$F$10)</f>
        <v/>
      </c>
      <c r="N92" s="183">
        <f>N91-1</f>
        <v/>
      </c>
      <c r="O92" s="184">
        <f>'Hedge_Midle(Test)'!C393</f>
        <v/>
      </c>
      <c r="P92" s="130">
        <f>'Hedge_Midle(Test)'!G393</f>
        <v/>
      </c>
      <c r="Q92" s="130">
        <f>Z92+AD92+AH92+AL92+AP92+AT92+AX92+BB92+BF92+BJ92+BN92+BR92</f>
        <v/>
      </c>
      <c r="R92" s="185">
        <f>T92/Portfolio!$F$10</f>
        <v/>
      </c>
      <c r="S92" s="185">
        <f>U92/Portfolio!$F$10</f>
        <v/>
      </c>
      <c r="T92" s="130">
        <f>E92+P92</f>
        <v/>
      </c>
      <c r="U92" s="130">
        <f>E92+Q92</f>
        <v/>
      </c>
      <c r="V92" s="186">
        <f>P93-2*P92+P91</f>
        <v/>
      </c>
      <c r="W92" s="186">
        <f>Q93-2*Q92+Q91</f>
        <v/>
      </c>
      <c r="X92" s="183">
        <f>X91-1</f>
        <v/>
      </c>
      <c r="Y92" s="130">
        <f>'Hedge_Midle(Test)'!G33</f>
        <v/>
      </c>
      <c r="Z92" s="130">
        <f>IF(B92&gt;$C$9,-1*$I$9,(($C$9-B92)*$G$9)-$I$9)</f>
        <v/>
      </c>
      <c r="AA92" s="130">
        <f>E92+Z92</f>
        <v/>
      </c>
      <c r="AB92" s="185">
        <f>AA92/Portfolio!$F$10</f>
        <v/>
      </c>
      <c r="AC92" s="130">
        <f>'Hedge_Midle(Test)'!G62</f>
        <v/>
      </c>
      <c r="AD92" s="130">
        <f>IF(B92&gt;$C$10,-1*$I$10,(($C$10-B92)*$G$10)-$I$10)</f>
        <v/>
      </c>
      <c r="AE92" s="130">
        <f>E92+AD92</f>
        <v/>
      </c>
      <c r="AF92" s="185">
        <f>AE92/Portfolio!$F$10</f>
        <v/>
      </c>
      <c r="AG92" s="130">
        <f>'Hedge_Midle(Test)'!G91</f>
        <v/>
      </c>
      <c r="AH92" s="130">
        <f>IF(B92&gt;$C$11,-1*$I$11,(($C$11-B92)*$G$11)-$I$11)</f>
        <v/>
      </c>
      <c r="AI92" s="130">
        <f>E92+AH92</f>
        <v/>
      </c>
      <c r="AJ92" s="185">
        <f>AI92/Portfolio!$F$10</f>
        <v/>
      </c>
      <c r="AK92" s="130">
        <f>'Hedge_Midle(Test)'!G120</f>
        <v/>
      </c>
      <c r="AL92" s="130">
        <f>IF(B92&gt;$C$12,-1*$I$12,(($C$12-B92)*$G$12)-$I$12)</f>
        <v/>
      </c>
      <c r="AM92" s="130">
        <f>E92+AL92</f>
        <v/>
      </c>
      <c r="AN92" s="185">
        <f>AM92/Portfolio!$F$10</f>
        <v/>
      </c>
      <c r="AO92" s="130">
        <f>'Hedge_Midle(Test)'!G150</f>
        <v/>
      </c>
      <c r="AP92" s="130">
        <f>IF(B92&gt;$C$13,-1*$I$13,(($C$13-B92)*$G$13)-$I$13)</f>
        <v/>
      </c>
      <c r="AQ92" s="130">
        <f>E92+AP92</f>
        <v/>
      </c>
      <c r="AR92" s="185">
        <f>AQ92/Portfolio!$F$10</f>
        <v/>
      </c>
      <c r="AS92" s="130">
        <f>'Hedge_Midle(Test)'!G180</f>
        <v/>
      </c>
      <c r="AT92" s="130">
        <f>IF(B92&gt;$C$14,-1*$I$14,(($C$14-B92)*$G$14)-$I$14)</f>
        <v/>
      </c>
      <c r="AU92" s="130">
        <f>E92+AT92</f>
        <v/>
      </c>
      <c r="AV92" s="185">
        <f>AU92/Portfolio!$F$10</f>
        <v/>
      </c>
      <c r="AW92" s="130">
        <f>'Hedge_Midle(Test)'!G210</f>
        <v/>
      </c>
      <c r="AX92" s="130">
        <f>IF(B92&gt;$C$15,-1*$I$15,(($C$15-B92)*$G$15)-$I$15)</f>
        <v/>
      </c>
      <c r="AY92" s="130">
        <f>E92+AX92</f>
        <v/>
      </c>
      <c r="AZ92" s="185">
        <f>AY92/Portfolio!$F$10</f>
        <v/>
      </c>
      <c r="BA92" s="130">
        <f>'Hedge_Midle(Test)'!G240</f>
        <v/>
      </c>
      <c r="BB92" s="130">
        <f>IF(B92&gt;$C$16,-1*$I$16,(($C$16-B92)*$G$16)-$I$16)</f>
        <v/>
      </c>
      <c r="BC92" s="130">
        <f>E92+BB92</f>
        <v/>
      </c>
      <c r="BD92" s="185">
        <f>BC92/Portfolio!$F$10</f>
        <v/>
      </c>
      <c r="BE92" s="130">
        <f>'Hedge_Midle(Test)'!G270</f>
        <v/>
      </c>
      <c r="BF92" s="130">
        <f>IF(B92&gt;$C$17,-1*$I$17,(($C$17-B92)*$G$17)-$I$17)</f>
        <v/>
      </c>
      <c r="BG92" s="130">
        <f>E92+BF92</f>
        <v/>
      </c>
      <c r="BH92" s="185">
        <f>BG92/Portfolio!$F$10</f>
        <v/>
      </c>
      <c r="BI92" s="130">
        <f>'Hedge_Midle(Test)'!G300</f>
        <v/>
      </c>
      <c r="BJ92" s="130">
        <f>IF(B92&gt;$C$18,-1*$I$18,(($C$18-B92)*$G$18)-$I$18)</f>
        <v/>
      </c>
      <c r="BK92" s="130">
        <f>E92+BJ92</f>
        <v/>
      </c>
      <c r="BL92" s="185">
        <f>BK92/Portfolio!$F$10</f>
        <v/>
      </c>
      <c r="BM92" s="130">
        <f>'Hedge_Midle(Test)'!G330</f>
        <v/>
      </c>
      <c r="BN92" s="130">
        <f>IF(F92&gt;$C$19,-1*$I$19,(($C$19-F92)*$G$19)-$I$19)</f>
        <v/>
      </c>
      <c r="BO92" s="130">
        <f>E92+BN92</f>
        <v/>
      </c>
      <c r="BP92" s="185">
        <f>BO92/Portfolio!$F$10</f>
        <v/>
      </c>
      <c r="BQ92" s="130">
        <f>'Hedge_Midle(Test)'!C360</f>
        <v/>
      </c>
      <c r="BR92" s="130">
        <f>IF(J92&gt;$C$20,-1*$I$20,(($C$20-J92)*$G$20)-$I$20)</f>
        <v/>
      </c>
      <c r="BS92" s="130">
        <f>E92+BR92</f>
        <v/>
      </c>
      <c r="BT92" s="185">
        <f>BS92/Portfolio!$F$10</f>
        <v/>
      </c>
    </row>
    <row r="93" ht="14.25" customHeight="1" s="116">
      <c r="B93" s="183">
        <f>B92-1</f>
        <v/>
      </c>
      <c r="C93" s="184">
        <f>P93/$I$22</f>
        <v/>
      </c>
      <c r="D93" s="184">
        <f>Q93/$I$22</f>
        <v/>
      </c>
      <c r="E93" s="130">
        <f>(Portfolio!$C$10*B93)-Portfolio!$F$10</f>
        <v/>
      </c>
      <c r="F93" s="185">
        <f>(E93/Portfolio!$F$10)</f>
        <v/>
      </c>
      <c r="N93" s="183">
        <f>N92-1</f>
        <v/>
      </c>
      <c r="O93" s="184">
        <f>'Hedge_Midle(Test)'!C394</f>
        <v/>
      </c>
      <c r="P93" s="130">
        <f>'Hedge_Midle(Test)'!G394</f>
        <v/>
      </c>
      <c r="Q93" s="130">
        <f>Z93+AD93+AH93+AL93+AP93+AT93+AX93+BB93+BF93+BJ93+BN93+BR93</f>
        <v/>
      </c>
      <c r="R93" s="185">
        <f>T93/Portfolio!$F$10</f>
        <v/>
      </c>
      <c r="S93" s="185">
        <f>U93/Portfolio!$F$10</f>
        <v/>
      </c>
      <c r="T93" s="130">
        <f>E93+P93</f>
        <v/>
      </c>
      <c r="U93" s="130">
        <f>E93+Q93</f>
        <v/>
      </c>
      <c r="V93" s="186">
        <f>P94-2*P93+P92</f>
        <v/>
      </c>
      <c r="W93" s="186">
        <f>Q94-2*Q93+Q92</f>
        <v/>
      </c>
      <c r="X93" s="183">
        <f>X92-1</f>
        <v/>
      </c>
      <c r="Y93" s="130">
        <f>'Hedge_Midle(Test)'!G34</f>
        <v/>
      </c>
      <c r="Z93" s="130">
        <f>IF(B93&gt;$C$9,-1*$I$9,(($C$9-B93)*$G$9)-$I$9)</f>
        <v/>
      </c>
      <c r="AA93" s="130">
        <f>E93+Z93</f>
        <v/>
      </c>
      <c r="AB93" s="185">
        <f>AA93/Portfolio!$F$10</f>
        <v/>
      </c>
      <c r="AC93" s="130">
        <f>'Hedge_Midle(Test)'!G63</f>
        <v/>
      </c>
      <c r="AD93" s="130">
        <f>IF(B93&gt;$C$10,-1*$I$10,(($C$10-B93)*$G$10)-$I$10)</f>
        <v/>
      </c>
      <c r="AE93" s="130">
        <f>E93+AD93</f>
        <v/>
      </c>
      <c r="AF93" s="185">
        <f>AE93/Portfolio!$F$10</f>
        <v/>
      </c>
      <c r="AG93" s="130">
        <f>'Hedge_Midle(Test)'!G92</f>
        <v/>
      </c>
      <c r="AH93" s="130">
        <f>IF(B93&gt;$C$11,-1*$I$11,(($C$11-B93)*$G$11)-$I$11)</f>
        <v/>
      </c>
      <c r="AI93" s="130">
        <f>E93+AH93</f>
        <v/>
      </c>
      <c r="AJ93" s="185">
        <f>AI93/Portfolio!$F$10</f>
        <v/>
      </c>
      <c r="AK93" s="130">
        <f>'Hedge_Midle(Test)'!G121</f>
        <v/>
      </c>
      <c r="AL93" s="130">
        <f>IF(B93&gt;$C$12,-1*$I$12,(($C$12-B93)*$G$12)-$I$12)</f>
        <v/>
      </c>
      <c r="AM93" s="130">
        <f>E93+AL93</f>
        <v/>
      </c>
      <c r="AN93" s="185">
        <f>AM93/Portfolio!$F$10</f>
        <v/>
      </c>
      <c r="AO93" s="130">
        <f>'Hedge_Midle(Test)'!G151</f>
        <v/>
      </c>
      <c r="AP93" s="130">
        <f>IF(B93&gt;$C$13,-1*$I$13,(($C$13-B93)*$G$13)-$I$13)</f>
        <v/>
      </c>
      <c r="AQ93" s="130">
        <f>E93+AP93</f>
        <v/>
      </c>
      <c r="AR93" s="185">
        <f>AQ93/Portfolio!$F$10</f>
        <v/>
      </c>
      <c r="AS93" s="130">
        <f>'Hedge_Midle(Test)'!G181</f>
        <v/>
      </c>
      <c r="AT93" s="130">
        <f>IF(B93&gt;$C$14,-1*$I$14,(($C$14-B93)*$G$14)-$I$14)</f>
        <v/>
      </c>
      <c r="AU93" s="130">
        <f>E93+AT93</f>
        <v/>
      </c>
      <c r="AV93" s="185">
        <f>AU93/Portfolio!$F$10</f>
        <v/>
      </c>
      <c r="AW93" s="130">
        <f>'Hedge_Midle(Test)'!G211</f>
        <v/>
      </c>
      <c r="AX93" s="130">
        <f>IF(B93&gt;$C$15,-1*$I$15,(($C$15-B93)*$G$15)-$I$15)</f>
        <v/>
      </c>
      <c r="AY93" s="130">
        <f>E93+AX93</f>
        <v/>
      </c>
      <c r="AZ93" s="185">
        <f>AY93/Portfolio!$F$10</f>
        <v/>
      </c>
      <c r="BA93" s="130">
        <f>'Hedge_Midle(Test)'!G241</f>
        <v/>
      </c>
      <c r="BB93" s="130">
        <f>IF(B93&gt;$C$16,-1*$I$16,(($C$16-B93)*$G$16)-$I$16)</f>
        <v/>
      </c>
      <c r="BC93" s="130">
        <f>E93+BB93</f>
        <v/>
      </c>
      <c r="BD93" s="185">
        <f>BC93/Portfolio!$F$10</f>
        <v/>
      </c>
      <c r="BE93" s="130">
        <f>'Hedge_Midle(Test)'!G271</f>
        <v/>
      </c>
      <c r="BF93" s="130">
        <f>IF(B93&gt;$C$17,-1*$I$17,(($C$17-B93)*$G$17)-$I$17)</f>
        <v/>
      </c>
      <c r="BG93" s="130">
        <f>E93+BF93</f>
        <v/>
      </c>
      <c r="BH93" s="185">
        <f>BG93/Portfolio!$F$10</f>
        <v/>
      </c>
      <c r="BI93" s="130">
        <f>'Hedge_Midle(Test)'!G301</f>
        <v/>
      </c>
      <c r="BJ93" s="130">
        <f>IF(B93&gt;$C$18,-1*$I$18,(($C$18-B93)*$G$18)-$I$18)</f>
        <v/>
      </c>
      <c r="BK93" s="130">
        <f>E93+BJ93</f>
        <v/>
      </c>
      <c r="BL93" s="185">
        <f>BK93/Portfolio!$F$10</f>
        <v/>
      </c>
      <c r="BM93" s="130">
        <f>'Hedge_Midle(Test)'!G331</f>
        <v/>
      </c>
      <c r="BN93" s="130">
        <f>IF(F93&gt;$C$19,-1*$I$19,(($C$19-F93)*$G$19)-$I$19)</f>
        <v/>
      </c>
      <c r="BO93" s="130">
        <f>E93+BN93</f>
        <v/>
      </c>
      <c r="BP93" s="185">
        <f>BO93/Portfolio!$F$10</f>
        <v/>
      </c>
      <c r="BQ93" s="130">
        <f>'Hedge_Midle(Test)'!C361</f>
        <v/>
      </c>
      <c r="BR93" s="130">
        <f>IF(J93&gt;$C$20,-1*$I$20,(($C$20-J93)*$G$20)-$I$20)</f>
        <v/>
      </c>
      <c r="BS93" s="130">
        <f>E93+BR93</f>
        <v/>
      </c>
      <c r="BT93" s="185">
        <f>BS93/Portfolio!$F$10</f>
        <v/>
      </c>
    </row>
    <row r="94" ht="14.25" customHeight="1" s="116">
      <c r="B94" s="183">
        <f>B93-1</f>
        <v/>
      </c>
      <c r="C94" s="184">
        <f>P94/$I$22</f>
        <v/>
      </c>
      <c r="D94" s="184">
        <f>Q94/$I$22</f>
        <v/>
      </c>
      <c r="E94" s="130">
        <f>(Portfolio!$C$10*B94)-Portfolio!$F$10</f>
        <v/>
      </c>
      <c r="F94" s="185">
        <f>(E94/Portfolio!$F$10)</f>
        <v/>
      </c>
      <c r="N94" s="183">
        <f>N93-1</f>
        <v/>
      </c>
      <c r="O94" s="184">
        <f>'Hedge_Midle(Test)'!C395</f>
        <v/>
      </c>
      <c r="P94" s="130">
        <f>'Hedge_Midle(Test)'!G395</f>
        <v/>
      </c>
      <c r="Q94" s="130">
        <f>Z94+AD94+AH94+AL94+AP94+AT94+AX94+BB94+BF94+BJ94+BN94+BR94</f>
        <v/>
      </c>
      <c r="R94" s="185">
        <f>T94/Portfolio!$F$10</f>
        <v/>
      </c>
      <c r="S94" s="185">
        <f>U94/Portfolio!$F$10</f>
        <v/>
      </c>
      <c r="T94" s="130">
        <f>E94+P94</f>
        <v/>
      </c>
      <c r="U94" s="130">
        <f>E94+Q94</f>
        <v/>
      </c>
      <c r="V94" s="186">
        <f>P95-2*P94+P93</f>
        <v/>
      </c>
      <c r="W94" s="186">
        <f>Q95-2*Q94+Q93</f>
        <v/>
      </c>
      <c r="X94" s="183">
        <f>X93-1</f>
        <v/>
      </c>
      <c r="Y94" s="130">
        <f>'Hedge_Midle(Test)'!G35</f>
        <v/>
      </c>
      <c r="Z94" s="130">
        <f>IF(B94&gt;$C$9,-1*$I$9,(($C$9-B94)*$G$9)-$I$9)</f>
        <v/>
      </c>
      <c r="AA94" s="130">
        <f>E94+Z94</f>
        <v/>
      </c>
      <c r="AB94" s="185">
        <f>AA94/Portfolio!$F$10</f>
        <v/>
      </c>
      <c r="AC94" s="130">
        <f>'Hedge_Midle(Test)'!G64</f>
        <v/>
      </c>
      <c r="AD94" s="130">
        <f>IF(B94&gt;$C$10,-1*$I$10,(($C$10-B94)*$G$10)-$I$10)</f>
        <v/>
      </c>
      <c r="AE94" s="130">
        <f>E94+AD94</f>
        <v/>
      </c>
      <c r="AF94" s="185">
        <f>AE94/Portfolio!$F$10</f>
        <v/>
      </c>
      <c r="AG94" s="130">
        <f>'Hedge_Midle(Test)'!G93</f>
        <v/>
      </c>
      <c r="AH94" s="130">
        <f>IF(B94&gt;$C$11,-1*$I$11,(($C$11-B94)*$G$11)-$I$11)</f>
        <v/>
      </c>
      <c r="AI94" s="130">
        <f>E94+AH94</f>
        <v/>
      </c>
      <c r="AJ94" s="185">
        <f>AI94/Portfolio!$F$10</f>
        <v/>
      </c>
      <c r="AK94" s="130">
        <f>'Hedge_Midle(Test)'!G122</f>
        <v/>
      </c>
      <c r="AL94" s="130">
        <f>IF(B94&gt;$C$12,-1*$I$12,(($C$12-B94)*$G$12)-$I$12)</f>
        <v/>
      </c>
      <c r="AM94" s="130">
        <f>E94+AL94</f>
        <v/>
      </c>
      <c r="AN94" s="185">
        <f>AM94/Portfolio!$F$10</f>
        <v/>
      </c>
      <c r="AO94" s="130">
        <f>'Hedge_Midle(Test)'!G152</f>
        <v/>
      </c>
      <c r="AP94" s="130">
        <f>IF(B94&gt;$C$13,-1*$I$13,(($C$13-B94)*$G$13)-$I$13)</f>
        <v/>
      </c>
      <c r="AQ94" s="130">
        <f>E94+AP94</f>
        <v/>
      </c>
      <c r="AR94" s="185">
        <f>AQ94/Portfolio!$F$10</f>
        <v/>
      </c>
      <c r="AS94" s="130">
        <f>'Hedge_Midle(Test)'!G182</f>
        <v/>
      </c>
      <c r="AT94" s="130">
        <f>IF(B94&gt;$C$14,-1*$I$14,(($C$14-B94)*$G$14)-$I$14)</f>
        <v/>
      </c>
      <c r="AU94" s="130">
        <f>E94+AT94</f>
        <v/>
      </c>
      <c r="AV94" s="185">
        <f>AU94/Portfolio!$F$10</f>
        <v/>
      </c>
      <c r="AW94" s="130">
        <f>'Hedge_Midle(Test)'!G212</f>
        <v/>
      </c>
      <c r="AX94" s="130">
        <f>IF(B94&gt;$C$15,-1*$I$15,(($C$15-B94)*$G$15)-$I$15)</f>
        <v/>
      </c>
      <c r="AY94" s="130">
        <f>E94+AX94</f>
        <v/>
      </c>
      <c r="AZ94" s="185">
        <f>AY94/Portfolio!$F$10</f>
        <v/>
      </c>
      <c r="BA94" s="130">
        <f>'Hedge_Midle(Test)'!G242</f>
        <v/>
      </c>
      <c r="BB94" s="130">
        <f>IF(B94&gt;$C$16,-1*$I$16,(($C$16-B94)*$G$16)-$I$16)</f>
        <v/>
      </c>
      <c r="BC94" s="130">
        <f>E94+BB94</f>
        <v/>
      </c>
      <c r="BD94" s="185">
        <f>BC94/Portfolio!$F$10</f>
        <v/>
      </c>
      <c r="BE94" s="130">
        <f>'Hedge_Midle(Test)'!G272</f>
        <v/>
      </c>
      <c r="BF94" s="130">
        <f>IF(B94&gt;$C$17,-1*$I$17,(($C$17-B94)*$G$17)-$I$17)</f>
        <v/>
      </c>
      <c r="BG94" s="130">
        <f>E94+BF94</f>
        <v/>
      </c>
      <c r="BH94" s="185">
        <f>BG94/Portfolio!$F$10</f>
        <v/>
      </c>
      <c r="BI94" s="130">
        <f>'Hedge_Midle(Test)'!G302</f>
        <v/>
      </c>
      <c r="BJ94" s="130">
        <f>IF(B94&gt;$C$18,-1*$I$18,(($C$18-B94)*$G$18)-$I$18)</f>
        <v/>
      </c>
      <c r="BK94" s="130">
        <f>E94+BJ94</f>
        <v/>
      </c>
      <c r="BL94" s="185">
        <f>BK94/Portfolio!$F$10</f>
        <v/>
      </c>
      <c r="BM94" s="130">
        <f>'Hedge_Midle(Test)'!G332</f>
        <v/>
      </c>
      <c r="BN94" s="130">
        <f>IF(F94&gt;$C$19,-1*$I$19,(($C$19-F94)*$G$19)-$I$19)</f>
        <v/>
      </c>
      <c r="BO94" s="130">
        <f>E94+BN94</f>
        <v/>
      </c>
      <c r="BP94" s="185">
        <f>BO94/Portfolio!$F$10</f>
        <v/>
      </c>
      <c r="BQ94" s="130">
        <f>'Hedge_Midle(Test)'!C362</f>
        <v/>
      </c>
      <c r="BR94" s="130">
        <f>IF(J94&gt;$C$20,-1*$I$20,(($C$20-J94)*$G$20)-$I$20)</f>
        <v/>
      </c>
      <c r="BS94" s="130">
        <f>E94+BR94</f>
        <v/>
      </c>
      <c r="BT94" s="185">
        <f>BS94/Portfolio!$F$10</f>
        <v/>
      </c>
    </row>
    <row r="95" ht="14.25" customHeight="1" s="116">
      <c r="B95" s="183">
        <f>B94-1</f>
        <v/>
      </c>
      <c r="C95" s="184">
        <f>P95/$I$22</f>
        <v/>
      </c>
      <c r="D95" s="184">
        <f>Q95/$I$22</f>
        <v/>
      </c>
      <c r="E95" s="130">
        <f>(Portfolio!$C$10*B95)-Portfolio!$F$10</f>
        <v/>
      </c>
      <c r="F95" s="185">
        <f>(E95/Portfolio!$F$10)</f>
        <v/>
      </c>
      <c r="N95" s="183">
        <f>N94-1</f>
        <v/>
      </c>
      <c r="O95" s="184">
        <f>'Hedge_Midle(Test)'!C396</f>
        <v/>
      </c>
      <c r="P95" s="130">
        <f>'Hedge_Midle(Test)'!G396</f>
        <v/>
      </c>
      <c r="Q95" s="130">
        <f>Z95+AD95+AH95+AL95+AP95+AT95+AX95+BB95+BF95+BJ95+BN95+BR95</f>
        <v/>
      </c>
      <c r="R95" s="185">
        <f>T95/Portfolio!$F$10</f>
        <v/>
      </c>
      <c r="S95" s="185">
        <f>U95/Portfolio!$F$10</f>
        <v/>
      </c>
      <c r="T95" s="130">
        <f>E95+P95</f>
        <v/>
      </c>
      <c r="U95" s="130">
        <f>E95+Q95</f>
        <v/>
      </c>
      <c r="V95" s="186">
        <f>P96-2*P95+P94</f>
        <v/>
      </c>
      <c r="W95" s="186">
        <f>Q96-2*Q95+Q94</f>
        <v/>
      </c>
      <c r="X95" s="183">
        <f>X94-1</f>
        <v/>
      </c>
      <c r="Y95" s="130">
        <f>'Hedge_Midle(Test)'!G36</f>
        <v/>
      </c>
      <c r="Z95" s="130">
        <f>IF(B95&gt;$C$9,-1*$I$9,(($C$9-B95)*$G$9)-$I$9)</f>
        <v/>
      </c>
      <c r="AA95" s="130">
        <f>E95+Z95</f>
        <v/>
      </c>
      <c r="AB95" s="185">
        <f>AA95/Portfolio!$F$10</f>
        <v/>
      </c>
      <c r="AC95" s="130">
        <f>'Hedge_Midle(Test)'!G65</f>
        <v/>
      </c>
      <c r="AD95" s="130">
        <f>IF(B95&gt;$C$10,-1*$I$10,(($C$10-B95)*$G$10)-$I$10)</f>
        <v/>
      </c>
      <c r="AE95" s="130">
        <f>E95+AD95</f>
        <v/>
      </c>
      <c r="AF95" s="185">
        <f>AE95/Portfolio!$F$10</f>
        <v/>
      </c>
      <c r="AG95" s="130">
        <f>'Hedge_Midle(Test)'!G94</f>
        <v/>
      </c>
      <c r="AH95" s="130">
        <f>IF(B95&gt;$C$11,-1*$I$11,(($C$11-B95)*$G$11)-$I$11)</f>
        <v/>
      </c>
      <c r="AI95" s="130">
        <f>E95+AH95</f>
        <v/>
      </c>
      <c r="AJ95" s="185">
        <f>AI95/Portfolio!$F$10</f>
        <v/>
      </c>
      <c r="AK95" s="130">
        <f>'Hedge_Midle(Test)'!G123</f>
        <v/>
      </c>
      <c r="AL95" s="130">
        <f>IF(B95&gt;$C$12,-1*$I$12,(($C$12-B95)*$G$12)-$I$12)</f>
        <v/>
      </c>
      <c r="AM95" s="130">
        <f>E95+AL95</f>
        <v/>
      </c>
      <c r="AN95" s="185">
        <f>AM95/Portfolio!$F$10</f>
        <v/>
      </c>
      <c r="AO95" s="130">
        <f>'Hedge_Midle(Test)'!G153</f>
        <v/>
      </c>
      <c r="AP95" s="130">
        <f>IF(B95&gt;$C$13,-1*$I$13,(($C$13-B95)*$G$13)-$I$13)</f>
        <v/>
      </c>
      <c r="AQ95" s="130">
        <f>E95+AP95</f>
        <v/>
      </c>
      <c r="AR95" s="185">
        <f>AQ95/Portfolio!$F$10</f>
        <v/>
      </c>
      <c r="AS95" s="130">
        <f>'Hedge_Midle(Test)'!G183</f>
        <v/>
      </c>
      <c r="AT95" s="130">
        <f>IF(B95&gt;$C$14,-1*$I$14,(($C$14-B95)*$G$14)-$I$14)</f>
        <v/>
      </c>
      <c r="AU95" s="130">
        <f>E95+AT95</f>
        <v/>
      </c>
      <c r="AV95" s="185">
        <f>AU95/Portfolio!$F$10</f>
        <v/>
      </c>
      <c r="AW95" s="130">
        <f>'Hedge_Midle(Test)'!G213</f>
        <v/>
      </c>
      <c r="AX95" s="130">
        <f>IF(B95&gt;$C$15,-1*$I$15,(($C$15-B95)*$G$15)-$I$15)</f>
        <v/>
      </c>
      <c r="AY95" s="130">
        <f>E95+AX95</f>
        <v/>
      </c>
      <c r="AZ95" s="185">
        <f>AY95/Portfolio!$F$10</f>
        <v/>
      </c>
      <c r="BA95" s="130">
        <f>'Hedge_Midle(Test)'!G243</f>
        <v/>
      </c>
      <c r="BB95" s="130">
        <f>IF(B95&gt;$C$16,-1*$I$16,(($C$16-B95)*$G$16)-$I$16)</f>
        <v/>
      </c>
      <c r="BC95" s="130">
        <f>E95+BB95</f>
        <v/>
      </c>
      <c r="BD95" s="185">
        <f>BC95/Portfolio!$F$10</f>
        <v/>
      </c>
      <c r="BE95" s="130">
        <f>'Hedge_Midle(Test)'!G273</f>
        <v/>
      </c>
      <c r="BF95" s="130">
        <f>IF(B95&gt;$C$17,-1*$I$17,(($C$17-B95)*$G$17)-$I$17)</f>
        <v/>
      </c>
      <c r="BG95" s="130">
        <f>E95+BF95</f>
        <v/>
      </c>
      <c r="BH95" s="185">
        <f>BG95/Portfolio!$F$10</f>
        <v/>
      </c>
      <c r="BI95" s="130">
        <f>'Hedge_Midle(Test)'!G303</f>
        <v/>
      </c>
      <c r="BJ95" s="130">
        <f>IF(B95&gt;$C$18,-1*$I$18,(($C$18-B95)*$G$18)-$I$18)</f>
        <v/>
      </c>
      <c r="BK95" s="130">
        <f>E95+BJ95</f>
        <v/>
      </c>
      <c r="BL95" s="185">
        <f>BK95/Portfolio!$F$10</f>
        <v/>
      </c>
      <c r="BM95" s="130">
        <f>'Hedge_Midle(Test)'!G333</f>
        <v/>
      </c>
      <c r="BN95" s="130">
        <f>IF(F95&gt;$C$19,-1*$I$19,(($C$19-F95)*$G$19)-$I$19)</f>
        <v/>
      </c>
      <c r="BO95" s="130">
        <f>E95+BN95</f>
        <v/>
      </c>
      <c r="BP95" s="185">
        <f>BO95/Portfolio!$F$10</f>
        <v/>
      </c>
      <c r="BQ95" s="130">
        <f>'Hedge_Midle(Test)'!C363</f>
        <v/>
      </c>
      <c r="BR95" s="130">
        <f>IF(J95&gt;$C$20,-1*$I$20,(($C$20-J95)*$G$20)-$I$20)</f>
        <v/>
      </c>
      <c r="BS95" s="130">
        <f>E95+BR95</f>
        <v/>
      </c>
      <c r="BT95" s="185">
        <f>BS95/Portfolio!$F$10</f>
        <v/>
      </c>
    </row>
    <row r="96" ht="14.25" customHeight="1" s="116">
      <c r="B96" s="183">
        <f>B95-1</f>
        <v/>
      </c>
      <c r="C96" s="184">
        <f>P96/$I$22</f>
        <v/>
      </c>
      <c r="D96" s="184">
        <f>Q96/$I$22</f>
        <v/>
      </c>
      <c r="E96" s="130">
        <f>(Portfolio!$C$10*B96)-Portfolio!$F$10</f>
        <v/>
      </c>
      <c r="F96" s="185">
        <f>(E96/Portfolio!$F$10)</f>
        <v/>
      </c>
      <c r="N96" s="183">
        <f>N95-1</f>
        <v/>
      </c>
      <c r="O96" s="184">
        <f>'Hedge_Midle(Test)'!C397</f>
        <v/>
      </c>
      <c r="P96" s="130">
        <f>'Hedge_Midle(Test)'!G397</f>
        <v/>
      </c>
      <c r="Q96" s="130">
        <f>Z96+AD96+AH96+AL96+AP96+AT96+AX96+BB96+BF96+BJ96+BN96+BR96</f>
        <v/>
      </c>
      <c r="R96" s="185">
        <f>T96/Portfolio!$F$10</f>
        <v/>
      </c>
      <c r="S96" s="185">
        <f>U96/Portfolio!$F$10</f>
        <v/>
      </c>
      <c r="T96" s="130">
        <f>E96+P96</f>
        <v/>
      </c>
      <c r="U96" s="130">
        <f>E96+Q96</f>
        <v/>
      </c>
      <c r="V96" s="186">
        <f>P97-2*P96+P95</f>
        <v/>
      </c>
      <c r="W96" s="186">
        <f>Q97-2*Q96+Q95</f>
        <v/>
      </c>
      <c r="X96" s="183">
        <f>X95-1</f>
        <v/>
      </c>
      <c r="Y96" s="130">
        <f>'Hedge_Midle(Test)'!G37</f>
        <v/>
      </c>
      <c r="Z96" s="130">
        <f>IF(B96&gt;$C$9,-1*$I$9,(($C$9-B96)*$G$9)-$I$9)</f>
        <v/>
      </c>
      <c r="AA96" s="130">
        <f>E96+Z96</f>
        <v/>
      </c>
      <c r="AB96" s="185">
        <f>AA96/Portfolio!$F$10</f>
        <v/>
      </c>
      <c r="AC96" s="130">
        <f>'Hedge_Midle(Test)'!G66</f>
        <v/>
      </c>
      <c r="AD96" s="130">
        <f>IF(B96&gt;$C$10,-1*$I$10,(($C$10-B96)*$G$10)-$I$10)</f>
        <v/>
      </c>
      <c r="AE96" s="130">
        <f>E96+AD96</f>
        <v/>
      </c>
      <c r="AF96" s="185">
        <f>AE96/Portfolio!$F$10</f>
        <v/>
      </c>
      <c r="AG96" s="130">
        <f>'Hedge_Midle(Test)'!G95</f>
        <v/>
      </c>
      <c r="AH96" s="130">
        <f>IF(B96&gt;$C$11,-1*$I$11,(($C$11-B96)*$G$11)-$I$11)</f>
        <v/>
      </c>
      <c r="AI96" s="130">
        <f>E96+AH96</f>
        <v/>
      </c>
      <c r="AJ96" s="185">
        <f>AI96/Portfolio!$F$10</f>
        <v/>
      </c>
      <c r="AK96" s="130">
        <f>'Hedge_Midle(Test)'!G124</f>
        <v/>
      </c>
      <c r="AL96" s="130">
        <f>IF(B96&gt;$C$12,-1*$I$12,(($C$12-B96)*$G$12)-$I$12)</f>
        <v/>
      </c>
      <c r="AM96" s="130">
        <f>E96+AL96</f>
        <v/>
      </c>
      <c r="AN96" s="185">
        <f>AM96/Portfolio!$F$10</f>
        <v/>
      </c>
      <c r="AO96" s="130">
        <f>'Hedge_Midle(Test)'!G154</f>
        <v/>
      </c>
      <c r="AP96" s="130">
        <f>IF(B96&gt;$C$13,-1*$I$13,(($C$13-B96)*$G$13)-$I$13)</f>
        <v/>
      </c>
      <c r="AQ96" s="130">
        <f>E96+AP96</f>
        <v/>
      </c>
      <c r="AR96" s="185">
        <f>AQ96/Portfolio!$F$10</f>
        <v/>
      </c>
      <c r="AS96" s="130">
        <f>'Hedge_Midle(Test)'!G184</f>
        <v/>
      </c>
      <c r="AT96" s="130">
        <f>IF(B96&gt;$C$14,-1*$I$14,(($C$14-B96)*$G$14)-$I$14)</f>
        <v/>
      </c>
      <c r="AU96" s="130">
        <f>E96+AT96</f>
        <v/>
      </c>
      <c r="AV96" s="185">
        <f>AU96/Portfolio!$F$10</f>
        <v/>
      </c>
      <c r="AW96" s="130">
        <f>'Hedge_Midle(Test)'!G214</f>
        <v/>
      </c>
      <c r="AX96" s="130">
        <f>IF(B96&gt;$C$15,-1*$I$15,(($C$15-B96)*$G$15)-$I$15)</f>
        <v/>
      </c>
      <c r="AY96" s="130">
        <f>E96+AX96</f>
        <v/>
      </c>
      <c r="AZ96" s="185">
        <f>AY96/Portfolio!$F$10</f>
        <v/>
      </c>
      <c r="BA96" s="130">
        <f>'Hedge_Midle(Test)'!G244</f>
        <v/>
      </c>
      <c r="BB96" s="130">
        <f>IF(B96&gt;$C$16,-1*$I$16,(($C$16-B96)*$G$16)-$I$16)</f>
        <v/>
      </c>
      <c r="BC96" s="130">
        <f>E96+BB96</f>
        <v/>
      </c>
      <c r="BD96" s="185">
        <f>BC96/Portfolio!$F$10</f>
        <v/>
      </c>
      <c r="BE96" s="130">
        <f>'Hedge_Midle(Test)'!G274</f>
        <v/>
      </c>
      <c r="BF96" s="130">
        <f>IF(B96&gt;$C$17,-1*$I$17,(($C$17-B96)*$G$17)-$I$17)</f>
        <v/>
      </c>
      <c r="BG96" s="130">
        <f>E96+BF96</f>
        <v/>
      </c>
      <c r="BH96" s="185">
        <f>BG96/Portfolio!$F$10</f>
        <v/>
      </c>
      <c r="BI96" s="130">
        <f>'Hedge_Midle(Test)'!G304</f>
        <v/>
      </c>
      <c r="BJ96" s="130">
        <f>IF(B96&gt;$C$18,-1*$I$18,(($C$18-B96)*$G$18)-$I$18)</f>
        <v/>
      </c>
      <c r="BK96" s="130">
        <f>E96+BJ96</f>
        <v/>
      </c>
      <c r="BL96" s="185">
        <f>BK96/Portfolio!$F$10</f>
        <v/>
      </c>
      <c r="BM96" s="130">
        <f>'Hedge_Midle(Test)'!G334</f>
        <v/>
      </c>
      <c r="BN96" s="130">
        <f>IF(F96&gt;$C$19,-1*$I$19,(($C$19-F96)*$G$19)-$I$19)</f>
        <v/>
      </c>
      <c r="BO96" s="130">
        <f>E96+BN96</f>
        <v/>
      </c>
      <c r="BP96" s="185">
        <f>BO96/Portfolio!$F$10</f>
        <v/>
      </c>
      <c r="BQ96" s="130">
        <f>'Hedge_Midle(Test)'!C364</f>
        <v/>
      </c>
      <c r="BR96" s="130">
        <f>IF(J96&gt;$C$20,-1*$I$20,(($C$20-J96)*$G$20)-$I$20)</f>
        <v/>
      </c>
      <c r="BS96" s="130">
        <f>E96+BR96</f>
        <v/>
      </c>
      <c r="BT96" s="185">
        <f>BS96/Portfolio!$F$10</f>
        <v/>
      </c>
    </row>
    <row r="97" ht="14.25" customHeight="1" s="116">
      <c r="B97" s="183">
        <f>B96-1</f>
        <v/>
      </c>
      <c r="C97" s="184">
        <f>P97/$I$22</f>
        <v/>
      </c>
      <c r="D97" s="184">
        <f>Q97/$I$22</f>
        <v/>
      </c>
      <c r="E97" s="130">
        <f>(Portfolio!$C$10*B97)-Portfolio!$F$10</f>
        <v/>
      </c>
      <c r="F97" s="185">
        <f>(E97/Portfolio!$F$10)</f>
        <v/>
      </c>
      <c r="N97" s="183">
        <f>N96-1</f>
        <v/>
      </c>
      <c r="O97" s="184">
        <f>'Hedge_Midle(Test)'!C398</f>
        <v/>
      </c>
      <c r="P97" s="130">
        <f>'Hedge_Midle(Test)'!G398</f>
        <v/>
      </c>
      <c r="Q97" s="130">
        <f>Z97+AD97+AH97+AL97+AP97+AT97+AX97+BB97+BF97+BJ97+BN97+BR97</f>
        <v/>
      </c>
      <c r="R97" s="185">
        <f>T97/Portfolio!$F$10</f>
        <v/>
      </c>
      <c r="S97" s="185">
        <f>U97/Portfolio!$F$10</f>
        <v/>
      </c>
      <c r="T97" s="130">
        <f>E97+P97</f>
        <v/>
      </c>
      <c r="U97" s="130">
        <f>E97+Q97</f>
        <v/>
      </c>
      <c r="V97" s="186">
        <f>P98-2*P97+P96</f>
        <v/>
      </c>
      <c r="W97" s="186">
        <f>Q98-2*Q97+Q96</f>
        <v/>
      </c>
      <c r="X97" s="183">
        <f>X96-1</f>
        <v/>
      </c>
      <c r="Y97" s="130">
        <f>'Hedge_Midle(Test)'!G38</f>
        <v/>
      </c>
      <c r="Z97" s="130">
        <f>IF(B97&gt;$C$9,-1*$I$9,(($C$9-B97)*$G$9)-$I$9)</f>
        <v/>
      </c>
      <c r="AA97" s="130">
        <f>E97+Z97</f>
        <v/>
      </c>
      <c r="AB97" s="185">
        <f>AA97/Portfolio!$F$10</f>
        <v/>
      </c>
      <c r="AC97" s="130">
        <f>'Hedge_Midle(Test)'!G67</f>
        <v/>
      </c>
      <c r="AD97" s="130">
        <f>IF(B97&gt;$C$10,-1*$I$10,(($C$10-B97)*$G$10)-$I$10)</f>
        <v/>
      </c>
      <c r="AE97" s="130">
        <f>E97+AD97</f>
        <v/>
      </c>
      <c r="AF97" s="185">
        <f>AE97/Portfolio!$F$10</f>
        <v/>
      </c>
      <c r="AG97" s="130">
        <f>'Hedge_Midle(Test)'!G96</f>
        <v/>
      </c>
      <c r="AH97" s="130">
        <f>IF(B97&gt;$C$11,-1*$I$11,(($C$11-B97)*$G$11)-$I$11)</f>
        <v/>
      </c>
      <c r="AI97" s="130">
        <f>E97+AH97</f>
        <v/>
      </c>
      <c r="AJ97" s="185">
        <f>AI97/Portfolio!$F$10</f>
        <v/>
      </c>
      <c r="AK97" s="130">
        <f>'Hedge_Midle(Test)'!G125</f>
        <v/>
      </c>
      <c r="AL97" s="130">
        <f>IF(B97&gt;$C$12,-1*$I$12,(($C$12-B97)*$G$12)-$I$12)</f>
        <v/>
      </c>
      <c r="AM97" s="130">
        <f>E97+AL97</f>
        <v/>
      </c>
      <c r="AN97" s="185">
        <f>AM97/Portfolio!$F$10</f>
        <v/>
      </c>
      <c r="AO97" s="130">
        <f>'Hedge_Midle(Test)'!G155</f>
        <v/>
      </c>
      <c r="AP97" s="130">
        <f>IF(B97&gt;$C$13,-1*$I$13,(($C$13-B97)*$G$13)-$I$13)</f>
        <v/>
      </c>
      <c r="AQ97" s="130">
        <f>E97+AP97</f>
        <v/>
      </c>
      <c r="AR97" s="185">
        <f>AQ97/Portfolio!$F$10</f>
        <v/>
      </c>
      <c r="AS97" s="130">
        <f>'Hedge_Midle(Test)'!G185</f>
        <v/>
      </c>
      <c r="AT97" s="130">
        <f>IF(B97&gt;$C$14,-1*$I$14,(($C$14-B97)*$G$14)-$I$14)</f>
        <v/>
      </c>
      <c r="AU97" s="130">
        <f>E97+AT97</f>
        <v/>
      </c>
      <c r="AV97" s="185">
        <f>AU97/Portfolio!$F$10</f>
        <v/>
      </c>
      <c r="AW97" s="130">
        <f>'Hedge_Midle(Test)'!G215</f>
        <v/>
      </c>
      <c r="AX97" s="130">
        <f>IF(B97&gt;$C$15,-1*$I$15,(($C$15-B97)*$G$15)-$I$15)</f>
        <v/>
      </c>
      <c r="AY97" s="130">
        <f>E97+AX97</f>
        <v/>
      </c>
      <c r="AZ97" s="185">
        <f>AY97/Portfolio!$F$10</f>
        <v/>
      </c>
      <c r="BA97" s="130">
        <f>'Hedge_Midle(Test)'!G245</f>
        <v/>
      </c>
      <c r="BB97" s="130">
        <f>IF(B97&gt;$C$16,-1*$I$16,(($C$16-B97)*$G$16)-$I$16)</f>
        <v/>
      </c>
      <c r="BC97" s="130">
        <f>E97+BB97</f>
        <v/>
      </c>
      <c r="BD97" s="185">
        <f>BC97/Portfolio!$F$10</f>
        <v/>
      </c>
      <c r="BE97" s="130">
        <f>'Hedge_Midle(Test)'!G275</f>
        <v/>
      </c>
      <c r="BF97" s="130">
        <f>IF(B97&gt;$C$17,-1*$I$17,(($C$17-B97)*$G$17)-$I$17)</f>
        <v/>
      </c>
      <c r="BG97" s="130">
        <f>E97+BF97</f>
        <v/>
      </c>
      <c r="BH97" s="185">
        <f>BG97/Portfolio!$F$10</f>
        <v/>
      </c>
      <c r="BI97" s="130">
        <f>'Hedge_Midle(Test)'!G305</f>
        <v/>
      </c>
      <c r="BJ97" s="130">
        <f>IF(B97&gt;$C$18,-1*$I$18,(($C$18-B97)*$G$18)-$I$18)</f>
        <v/>
      </c>
      <c r="BK97" s="130">
        <f>E97+BJ97</f>
        <v/>
      </c>
      <c r="BL97" s="185">
        <f>BK97/Portfolio!$F$10</f>
        <v/>
      </c>
      <c r="BM97" s="130">
        <f>'Hedge_Midle(Test)'!G335</f>
        <v/>
      </c>
      <c r="BN97" s="130">
        <f>IF(F97&gt;$C$19,-1*$I$19,(($C$19-F97)*$G$19)-$I$19)</f>
        <v/>
      </c>
      <c r="BO97" s="130">
        <f>E97+BN97</f>
        <v/>
      </c>
      <c r="BP97" s="185">
        <f>BO97/Portfolio!$F$10</f>
        <v/>
      </c>
      <c r="BQ97" s="130">
        <f>'Hedge_Midle(Test)'!C365</f>
        <v/>
      </c>
      <c r="BR97" s="130">
        <f>IF(J97&gt;$C$20,-1*$I$20,(($C$20-J97)*$G$20)-$I$20)</f>
        <v/>
      </c>
      <c r="BS97" s="130">
        <f>E97+BR97</f>
        <v/>
      </c>
      <c r="BT97" s="185">
        <f>BS97/Portfolio!$F$10</f>
        <v/>
      </c>
    </row>
    <row r="98" ht="14.25" customHeight="1" s="116">
      <c r="B98" s="183">
        <f>B97-1</f>
        <v/>
      </c>
      <c r="C98" s="184">
        <f>P98/$I$22</f>
        <v/>
      </c>
      <c r="D98" s="184">
        <f>Q98/$I$22</f>
        <v/>
      </c>
      <c r="E98" s="130">
        <f>(Portfolio!$C$10*B98)-Portfolio!$F$10</f>
        <v/>
      </c>
      <c r="F98" s="185">
        <f>(E98/Portfolio!$F$10)</f>
        <v/>
      </c>
      <c r="N98" s="183">
        <f>N97-1</f>
        <v/>
      </c>
      <c r="O98" s="184">
        <f>'Hedge_Midle(Test)'!C399</f>
        <v/>
      </c>
      <c r="P98" s="130">
        <f>'Hedge_Midle(Test)'!G399</f>
        <v/>
      </c>
      <c r="Q98" s="130">
        <f>Z98+AD98+AH98+AL98+AP98+AT98+AX98+BB98+BF98+BJ98+BN98+BR98</f>
        <v/>
      </c>
      <c r="R98" s="185">
        <f>T98/Portfolio!$F$10</f>
        <v/>
      </c>
      <c r="S98" s="185">
        <f>U98/Portfolio!$F$10</f>
        <v/>
      </c>
      <c r="T98" s="130">
        <f>E98+P98</f>
        <v/>
      </c>
      <c r="U98" s="130">
        <f>E98+Q98</f>
        <v/>
      </c>
      <c r="V98" s="186">
        <f>P99-2*P98+P97</f>
        <v/>
      </c>
      <c r="W98" s="186">
        <f>Q99-2*Q98+Q97</f>
        <v/>
      </c>
      <c r="X98" s="183">
        <f>X97-1</f>
        <v/>
      </c>
      <c r="Y98" s="130">
        <f>'Hedge_Midle(Test)'!G39</f>
        <v/>
      </c>
      <c r="Z98" s="130">
        <f>IF(B98&gt;$C$9,-1*$I$9,(($C$9-B98)*$G$9)-$I$9)</f>
        <v/>
      </c>
      <c r="AA98" s="130">
        <f>E98+Z98</f>
        <v/>
      </c>
      <c r="AB98" s="185">
        <f>AA98/Portfolio!$F$10</f>
        <v/>
      </c>
      <c r="AC98" s="130">
        <f>'Hedge_Midle(Test)'!G68</f>
        <v/>
      </c>
      <c r="AD98" s="130">
        <f>IF(B98&gt;$C$10,-1*$I$10,(($C$10-B98)*$G$10)-$I$10)</f>
        <v/>
      </c>
      <c r="AE98" s="130">
        <f>E98+AD98</f>
        <v/>
      </c>
      <c r="AF98" s="185">
        <f>AE98/Portfolio!$F$10</f>
        <v/>
      </c>
      <c r="AG98" s="130">
        <f>'Hedge_Midle(Test)'!G97</f>
        <v/>
      </c>
      <c r="AH98" s="130">
        <f>IF(B98&gt;$C$11,-1*$I$11,(($C$11-B98)*$G$11)-$I$11)</f>
        <v/>
      </c>
      <c r="AI98" s="130">
        <f>E98+AH98</f>
        <v/>
      </c>
      <c r="AJ98" s="185">
        <f>AI98/Portfolio!$F$10</f>
        <v/>
      </c>
      <c r="AK98" s="130">
        <f>'Hedge_Midle(Test)'!G126</f>
        <v/>
      </c>
      <c r="AL98" s="130">
        <f>IF(B98&gt;$C$12,-1*$I$12,(($C$12-B98)*$G$12)-$I$12)</f>
        <v/>
      </c>
      <c r="AM98" s="130">
        <f>E98+AL98</f>
        <v/>
      </c>
      <c r="AN98" s="185">
        <f>AM98/Portfolio!$F$10</f>
        <v/>
      </c>
      <c r="AO98" s="130">
        <f>'Hedge_Midle(Test)'!G156</f>
        <v/>
      </c>
      <c r="AP98" s="130">
        <f>IF(B98&gt;$C$13,-1*$I$13,(($C$13-B98)*$G$13)-$I$13)</f>
        <v/>
      </c>
      <c r="AQ98" s="130">
        <f>E98+AP98</f>
        <v/>
      </c>
      <c r="AR98" s="185">
        <f>AQ98/Portfolio!$F$10</f>
        <v/>
      </c>
      <c r="AS98" s="130">
        <f>'Hedge_Midle(Test)'!G186</f>
        <v/>
      </c>
      <c r="AT98" s="130">
        <f>IF(B98&gt;$C$14,-1*$I$14,(($C$14-B98)*$G$14)-$I$14)</f>
        <v/>
      </c>
      <c r="AU98" s="130">
        <f>E98+AT98</f>
        <v/>
      </c>
      <c r="AV98" s="185">
        <f>AU98/Portfolio!$F$10</f>
        <v/>
      </c>
      <c r="AW98" s="130">
        <f>'Hedge_Midle(Test)'!G216</f>
        <v/>
      </c>
      <c r="AX98" s="130">
        <f>IF(B98&gt;$C$15,-1*$I$15,(($C$15-B98)*$G$15)-$I$15)</f>
        <v/>
      </c>
      <c r="AY98" s="130">
        <f>E98+AX98</f>
        <v/>
      </c>
      <c r="AZ98" s="185">
        <f>AY98/Portfolio!$F$10</f>
        <v/>
      </c>
      <c r="BA98" s="130">
        <f>'Hedge_Midle(Test)'!G246</f>
        <v/>
      </c>
      <c r="BB98" s="130">
        <f>IF(B98&gt;$C$16,-1*$I$16,(($C$16-B98)*$G$16)-$I$16)</f>
        <v/>
      </c>
      <c r="BC98" s="130">
        <f>E98+BB98</f>
        <v/>
      </c>
      <c r="BD98" s="185">
        <f>BC98/Portfolio!$F$10</f>
        <v/>
      </c>
      <c r="BE98" s="130">
        <f>'Hedge_Midle(Test)'!G276</f>
        <v/>
      </c>
      <c r="BF98" s="130">
        <f>IF(B98&gt;$C$17,-1*$I$17,(($C$17-B98)*$G$17)-$I$17)</f>
        <v/>
      </c>
      <c r="BG98" s="130">
        <f>E98+BF98</f>
        <v/>
      </c>
      <c r="BH98" s="185">
        <f>BG98/Portfolio!$F$10</f>
        <v/>
      </c>
      <c r="BI98" s="130">
        <f>'Hedge_Midle(Test)'!G306</f>
        <v/>
      </c>
      <c r="BJ98" s="130">
        <f>IF(B98&gt;$C$18,-1*$I$18,(($C$18-B98)*$G$18)-$I$18)</f>
        <v/>
      </c>
      <c r="BK98" s="130">
        <f>E98+BJ98</f>
        <v/>
      </c>
      <c r="BL98" s="185">
        <f>BK98/Portfolio!$F$10</f>
        <v/>
      </c>
      <c r="BM98" s="130">
        <f>'Hedge_Midle(Test)'!G336</f>
        <v/>
      </c>
      <c r="BN98" s="130">
        <f>IF(F98&gt;$C$19,-1*$I$19,(($C$19-F98)*$G$19)-$I$19)</f>
        <v/>
      </c>
      <c r="BO98" s="130">
        <f>E98+BN98</f>
        <v/>
      </c>
      <c r="BP98" s="185">
        <f>BO98/Portfolio!$F$10</f>
        <v/>
      </c>
      <c r="BQ98" s="130">
        <f>'Hedge_Midle(Test)'!C366</f>
        <v/>
      </c>
      <c r="BR98" s="130">
        <f>IF(J98&gt;$C$20,-1*$I$20,(($C$20-J98)*$G$20)-$I$20)</f>
        <v/>
      </c>
      <c r="BS98" s="130">
        <f>E98+BR98</f>
        <v/>
      </c>
      <c r="BT98" s="185">
        <f>BS98/Portfolio!$F$10</f>
        <v/>
      </c>
    </row>
    <row r="99" ht="14.25" customHeight="1" s="116">
      <c r="B99" s="183">
        <f>B98-1</f>
        <v/>
      </c>
      <c r="C99" s="184">
        <f>P99/$I$22</f>
        <v/>
      </c>
      <c r="D99" s="184">
        <f>Q99/$I$22</f>
        <v/>
      </c>
      <c r="E99" s="130">
        <f>(Portfolio!$C$10*B99)-Portfolio!$F$10</f>
        <v/>
      </c>
      <c r="F99" s="185">
        <f>(E99/Portfolio!$F$10)</f>
        <v/>
      </c>
      <c r="N99" s="183">
        <f>N98-1</f>
        <v/>
      </c>
      <c r="O99" s="184">
        <f>'Hedge_Midle(Test)'!C400</f>
        <v/>
      </c>
      <c r="P99" s="130">
        <f>'Hedge_Midle(Test)'!G400</f>
        <v/>
      </c>
      <c r="Q99" s="130">
        <f>Z99+AD99+AH99+AL99+AP99+AT99+AX99+BB99+BF99+BJ99+BN99+BR99</f>
        <v/>
      </c>
      <c r="R99" s="185">
        <f>T99/Portfolio!$F$10</f>
        <v/>
      </c>
      <c r="S99" s="185">
        <f>U99/Portfolio!$F$10</f>
        <v/>
      </c>
      <c r="T99" s="130">
        <f>E99+P99</f>
        <v/>
      </c>
      <c r="U99" s="130">
        <f>E99+Q99</f>
        <v/>
      </c>
      <c r="V99" s="186">
        <f>P100-2*P99+P98</f>
        <v/>
      </c>
      <c r="W99" s="186">
        <f>Q100-2*Q99+Q98</f>
        <v/>
      </c>
      <c r="X99" s="183">
        <f>X98-1</f>
        <v/>
      </c>
      <c r="Y99" s="130">
        <f>'Hedge_Midle(Test)'!G40</f>
        <v/>
      </c>
      <c r="Z99" s="130">
        <f>IF(B99&gt;$C$9,-1*$I$9,(($C$9-B99)*$G$9)-$I$9)</f>
        <v/>
      </c>
      <c r="AA99" s="130">
        <f>E99+Z99</f>
        <v/>
      </c>
      <c r="AB99" s="185">
        <f>AA99/Portfolio!$F$10</f>
        <v/>
      </c>
      <c r="AC99" s="130">
        <f>'Hedge_Midle(Test)'!G69</f>
        <v/>
      </c>
      <c r="AD99" s="130">
        <f>IF(B99&gt;$C$10,-1*$I$10,(($C$10-B99)*$G$10)-$I$10)</f>
        <v/>
      </c>
      <c r="AE99" s="130">
        <f>E99+AD99</f>
        <v/>
      </c>
      <c r="AF99" s="185">
        <f>AE99/Portfolio!$F$10</f>
        <v/>
      </c>
      <c r="AG99" s="130">
        <f>'Hedge_Midle(Test)'!G98</f>
        <v/>
      </c>
      <c r="AH99" s="130">
        <f>IF(B99&gt;$C$11,-1*$I$11,(($C$11-B99)*$G$11)-$I$11)</f>
        <v/>
      </c>
      <c r="AI99" s="130">
        <f>E99+AH99</f>
        <v/>
      </c>
      <c r="AJ99" s="185">
        <f>AI99/Portfolio!$F$10</f>
        <v/>
      </c>
      <c r="AK99" s="130">
        <f>'Hedge_Midle(Test)'!G127</f>
        <v/>
      </c>
      <c r="AL99" s="130">
        <f>IF(B99&gt;$C$12,-1*$I$12,(($C$12-B99)*$G$12)-$I$12)</f>
        <v/>
      </c>
      <c r="AM99" s="130">
        <f>E99+AL99</f>
        <v/>
      </c>
      <c r="AN99" s="185">
        <f>AM99/Portfolio!$F$10</f>
        <v/>
      </c>
      <c r="AO99" s="130">
        <f>'Hedge_Midle(Test)'!G157</f>
        <v/>
      </c>
      <c r="AP99" s="130">
        <f>IF(B99&gt;$C$13,-1*$I$13,(($C$13-B99)*$G$13)-$I$13)</f>
        <v/>
      </c>
      <c r="AQ99" s="130">
        <f>E99+AP99</f>
        <v/>
      </c>
      <c r="AR99" s="185">
        <f>AQ99/Portfolio!$F$10</f>
        <v/>
      </c>
      <c r="AS99" s="130">
        <f>'Hedge_Midle(Test)'!G187</f>
        <v/>
      </c>
      <c r="AT99" s="130">
        <f>IF(B99&gt;$C$14,-1*$I$14,(($C$14-B99)*$G$14)-$I$14)</f>
        <v/>
      </c>
      <c r="AU99" s="130">
        <f>E99+AT99</f>
        <v/>
      </c>
      <c r="AV99" s="185">
        <f>AU99/Portfolio!$F$10</f>
        <v/>
      </c>
      <c r="AW99" s="130">
        <f>'Hedge_Midle(Test)'!G217</f>
        <v/>
      </c>
      <c r="AX99" s="130">
        <f>IF(B99&gt;$C$15,-1*$I$15,(($C$15-B99)*$G$15)-$I$15)</f>
        <v/>
      </c>
      <c r="AY99" s="130">
        <f>E99+AX99</f>
        <v/>
      </c>
      <c r="AZ99" s="185">
        <f>AY99/Portfolio!$F$10</f>
        <v/>
      </c>
      <c r="BA99" s="130">
        <f>'Hedge_Midle(Test)'!G247</f>
        <v/>
      </c>
      <c r="BB99" s="130">
        <f>IF(B99&gt;$C$16,-1*$I$16,(($C$16-B99)*$G$16)-$I$16)</f>
        <v/>
      </c>
      <c r="BC99" s="130">
        <f>E99+BB99</f>
        <v/>
      </c>
      <c r="BD99" s="185">
        <f>BC99/Portfolio!$F$10</f>
        <v/>
      </c>
      <c r="BE99" s="130">
        <f>'Hedge_Midle(Test)'!G277</f>
        <v/>
      </c>
      <c r="BF99" s="130">
        <f>IF(B99&gt;$C$17,-1*$I$17,(($C$17-B99)*$G$17)-$I$17)</f>
        <v/>
      </c>
      <c r="BG99" s="130">
        <f>E99+BF99</f>
        <v/>
      </c>
      <c r="BH99" s="185">
        <f>BG99/Portfolio!$F$10</f>
        <v/>
      </c>
      <c r="BI99" s="130">
        <f>'Hedge_Midle(Test)'!G307</f>
        <v/>
      </c>
      <c r="BJ99" s="130">
        <f>IF(B99&gt;$C$18,-1*$I$18,(($C$18-B99)*$G$18)-$I$18)</f>
        <v/>
      </c>
      <c r="BK99" s="130">
        <f>E99+BJ99</f>
        <v/>
      </c>
      <c r="BL99" s="185">
        <f>BK99/Portfolio!$F$10</f>
        <v/>
      </c>
      <c r="BM99" s="130">
        <f>'Hedge_Midle(Test)'!G337</f>
        <v/>
      </c>
      <c r="BN99" s="130">
        <f>IF(F99&gt;$C$19,-1*$I$19,(($C$19-F99)*$G$19)-$I$19)</f>
        <v/>
      </c>
      <c r="BO99" s="130">
        <f>E99+BN99</f>
        <v/>
      </c>
      <c r="BP99" s="185">
        <f>BO99/Portfolio!$F$10</f>
        <v/>
      </c>
      <c r="BQ99" s="130">
        <f>'Hedge_Midle(Test)'!C367</f>
        <v/>
      </c>
      <c r="BR99" s="130">
        <f>IF(J99&gt;$C$20,-1*$I$20,(($C$20-J99)*$G$20)-$I$20)</f>
        <v/>
      </c>
      <c r="BS99" s="130">
        <f>E99+BR99</f>
        <v/>
      </c>
      <c r="BT99" s="185">
        <f>BS99/Portfolio!$F$10</f>
        <v/>
      </c>
    </row>
    <row r="100" ht="14.25" customHeight="1" s="116">
      <c r="B100" s="183">
        <f>B99-1</f>
        <v/>
      </c>
      <c r="C100" s="184">
        <f>P100/$I$22</f>
        <v/>
      </c>
      <c r="D100" s="184">
        <f>Q100/$I$22</f>
        <v/>
      </c>
      <c r="E100" s="130">
        <f>(Portfolio!$C$10*B100)-Portfolio!$F$10</f>
        <v/>
      </c>
      <c r="F100" s="185">
        <f>(E100/Portfolio!$F$10)</f>
        <v/>
      </c>
      <c r="N100" s="183">
        <f>N99-1</f>
        <v/>
      </c>
      <c r="O100" s="184">
        <f>'Hedge_Midle(Test)'!C401</f>
        <v/>
      </c>
      <c r="P100" s="130">
        <f>'Hedge_Midle(Test)'!G401</f>
        <v/>
      </c>
      <c r="Q100" s="130">
        <f>Z100+AD100+AH100+AL100+AP100+AT100+AX100+BB100+BF100+BJ100+BN100+BR100</f>
        <v/>
      </c>
      <c r="R100" s="185">
        <f>T100/Portfolio!$F$10</f>
        <v/>
      </c>
      <c r="S100" s="185">
        <f>U100/Portfolio!$F$10</f>
        <v/>
      </c>
      <c r="T100" s="130">
        <f>E100+P100</f>
        <v/>
      </c>
      <c r="U100" s="130">
        <f>E100+Q100</f>
        <v/>
      </c>
      <c r="V100" s="186">
        <f>P101-2*P100+P99</f>
        <v/>
      </c>
      <c r="W100" s="186">
        <f>Q101-2*Q100+Q99</f>
        <v/>
      </c>
      <c r="X100" s="183">
        <f>X99-1</f>
        <v/>
      </c>
      <c r="Y100" s="130">
        <f>'Hedge_Midle(Test)'!G41</f>
        <v/>
      </c>
      <c r="Z100" s="130">
        <f>IF(B100&gt;$C$9,-1*$I$9,(($C$9-B100)*$G$9)-$I$9)</f>
        <v/>
      </c>
      <c r="AA100" s="130">
        <f>E100+Z100</f>
        <v/>
      </c>
      <c r="AB100" s="185">
        <f>AA100/Portfolio!$F$10</f>
        <v/>
      </c>
      <c r="AC100" s="130">
        <f>'Hedge_Midle(Test)'!G70</f>
        <v/>
      </c>
      <c r="AD100" s="130">
        <f>IF(B100&gt;$C$10,-1*$I$10,(($C$10-B100)*$G$10)-$I$10)</f>
        <v/>
      </c>
      <c r="AE100" s="130">
        <f>E100+AD100</f>
        <v/>
      </c>
      <c r="AF100" s="185">
        <f>AE100/Portfolio!$F$10</f>
        <v/>
      </c>
      <c r="AG100" s="130">
        <f>'Hedge_Midle(Test)'!G99</f>
        <v/>
      </c>
      <c r="AH100" s="130">
        <f>IF(B100&gt;$C$11,-1*$I$11,(($C$11-B100)*$G$11)-$I$11)</f>
        <v/>
      </c>
      <c r="AI100" s="130">
        <f>E100+AH100</f>
        <v/>
      </c>
      <c r="AJ100" s="185">
        <f>AI100/Portfolio!$F$10</f>
        <v/>
      </c>
      <c r="AK100" s="130">
        <f>'Hedge_Midle(Test)'!G128</f>
        <v/>
      </c>
      <c r="AL100" s="130">
        <f>IF(B100&gt;$C$12,-1*$I$12,(($C$12-B100)*$G$12)-$I$12)</f>
        <v/>
      </c>
      <c r="AM100" s="130">
        <f>E100+AL100</f>
        <v/>
      </c>
      <c r="AN100" s="185">
        <f>AM100/Portfolio!$F$10</f>
        <v/>
      </c>
      <c r="AO100" s="130">
        <f>'Hedge_Midle(Test)'!G158</f>
        <v/>
      </c>
      <c r="AP100" s="130">
        <f>IF(B100&gt;$C$13,-1*$I$13,(($C$13-B100)*$G$13)-$I$13)</f>
        <v/>
      </c>
      <c r="AQ100" s="130">
        <f>E100+AP100</f>
        <v/>
      </c>
      <c r="AR100" s="185">
        <f>AQ100/Portfolio!$F$10</f>
        <v/>
      </c>
      <c r="AS100" s="130">
        <f>'Hedge_Midle(Test)'!G188</f>
        <v/>
      </c>
      <c r="AT100" s="130">
        <f>IF(B100&gt;$C$14,-1*$I$14,(($C$14-B100)*$G$14)-$I$14)</f>
        <v/>
      </c>
      <c r="AU100" s="130">
        <f>E100+AT100</f>
        <v/>
      </c>
      <c r="AV100" s="185">
        <f>AU100/Portfolio!$F$10</f>
        <v/>
      </c>
      <c r="AW100" s="130">
        <f>'Hedge_Midle(Test)'!G218</f>
        <v/>
      </c>
      <c r="AX100" s="130">
        <f>IF(B100&gt;$C$15,-1*$I$15,(($C$15-B100)*$G$15)-$I$15)</f>
        <v/>
      </c>
      <c r="AY100" s="130">
        <f>E100+AX100</f>
        <v/>
      </c>
      <c r="AZ100" s="185">
        <f>AY100/Portfolio!$F$10</f>
        <v/>
      </c>
      <c r="BA100" s="130">
        <f>'Hedge_Midle(Test)'!G248</f>
        <v/>
      </c>
      <c r="BB100" s="130">
        <f>IF(B100&gt;$C$16,-1*$I$16,(($C$16-B100)*$G$16)-$I$16)</f>
        <v/>
      </c>
      <c r="BC100" s="130">
        <f>E100+BB100</f>
        <v/>
      </c>
      <c r="BD100" s="185">
        <f>BC100/Portfolio!$F$10</f>
        <v/>
      </c>
      <c r="BE100" s="130">
        <f>'Hedge_Midle(Test)'!G278</f>
        <v/>
      </c>
      <c r="BF100" s="130">
        <f>IF(B100&gt;$C$17,-1*$I$17,(($C$17-B100)*$G$17)-$I$17)</f>
        <v/>
      </c>
      <c r="BG100" s="130">
        <f>E100+BF100</f>
        <v/>
      </c>
      <c r="BH100" s="185">
        <f>BG100/Portfolio!$F$10</f>
        <v/>
      </c>
      <c r="BI100" s="130">
        <f>'Hedge_Midle(Test)'!G308</f>
        <v/>
      </c>
      <c r="BJ100" s="130">
        <f>IF(B100&gt;$C$18,-1*$I$18,(($C$18-B100)*$G$18)-$I$18)</f>
        <v/>
      </c>
      <c r="BK100" s="130">
        <f>E100+BJ100</f>
        <v/>
      </c>
      <c r="BL100" s="185">
        <f>BK100/Portfolio!$F$10</f>
        <v/>
      </c>
      <c r="BM100" s="130">
        <f>'Hedge_Midle(Test)'!G338</f>
        <v/>
      </c>
      <c r="BN100" s="130">
        <f>IF(F100&gt;$C$19,-1*$I$19,(($C$19-F100)*$G$19)-$I$19)</f>
        <v/>
      </c>
      <c r="BO100" s="130">
        <f>E100+BN100</f>
        <v/>
      </c>
      <c r="BP100" s="185">
        <f>BO100/Portfolio!$F$10</f>
        <v/>
      </c>
      <c r="BQ100" s="130">
        <f>'Hedge_Midle(Test)'!C368</f>
        <v/>
      </c>
      <c r="BR100" s="130">
        <f>IF(J100&gt;$C$20,-1*$I$20,(($C$20-J100)*$G$20)-$I$20)</f>
        <v/>
      </c>
      <c r="BS100" s="130">
        <f>E100+BR100</f>
        <v/>
      </c>
      <c r="BT100" s="185">
        <f>BS100/Portfolio!$F$10</f>
        <v/>
      </c>
    </row>
    <row r="101" ht="14.25" customHeight="1" s="116">
      <c r="B101" s="183">
        <f>B100-1</f>
        <v/>
      </c>
      <c r="C101" s="184">
        <f>P101/$I$22</f>
        <v/>
      </c>
      <c r="D101" s="184">
        <f>Q101/$I$22</f>
        <v/>
      </c>
      <c r="E101" s="130">
        <f>(Portfolio!$C$10*B101)-Portfolio!$F$10</f>
        <v/>
      </c>
      <c r="F101" s="185">
        <f>(E101/Portfolio!$F$10)</f>
        <v/>
      </c>
      <c r="N101" s="183">
        <f>N100-1</f>
        <v/>
      </c>
      <c r="O101" s="184">
        <f>'Hedge_Midle(Test)'!C402</f>
        <v/>
      </c>
      <c r="P101" s="130">
        <f>'Hedge_Midle(Test)'!G402</f>
        <v/>
      </c>
      <c r="Q101" s="130">
        <f>Z101+AD101+AH101+AL101+AP101+AT101+AX101+BB101+BF101+BJ101+BN101+BR101</f>
        <v/>
      </c>
      <c r="R101" s="185">
        <f>T101/Portfolio!$F$10</f>
        <v/>
      </c>
      <c r="S101" s="185">
        <f>U101/Portfolio!$F$10</f>
        <v/>
      </c>
      <c r="T101" s="130">
        <f>E101+P101</f>
        <v/>
      </c>
      <c r="U101" s="130">
        <f>E101+Q101</f>
        <v/>
      </c>
      <c r="V101" s="186">
        <f>P102-2*P101+P100</f>
        <v/>
      </c>
      <c r="W101" s="186">
        <f>Q102-2*Q101+Q100</f>
        <v/>
      </c>
      <c r="X101" s="183">
        <f>X100-1</f>
        <v/>
      </c>
      <c r="Y101" s="130">
        <f>'Hedge_Midle(Test)'!G42</f>
        <v/>
      </c>
      <c r="Z101" s="130">
        <f>IF(B101&gt;$C$9,-1*$I$9,(($C$9-B101)*$G$9)-$I$9)</f>
        <v/>
      </c>
      <c r="AA101" s="130">
        <f>E101+Z101</f>
        <v/>
      </c>
      <c r="AB101" s="185">
        <f>AA101/Portfolio!$F$10</f>
        <v/>
      </c>
      <c r="AC101" s="130">
        <f>'Hedge_Midle(Test)'!G71</f>
        <v/>
      </c>
      <c r="AD101" s="130">
        <f>IF(B101&gt;$C$10,-1*$I$10,(($C$10-B101)*$G$10)-$I$10)</f>
        <v/>
      </c>
      <c r="AE101" s="130">
        <f>E101+AD101</f>
        <v/>
      </c>
      <c r="AF101" s="185">
        <f>AE101/Portfolio!$F$10</f>
        <v/>
      </c>
      <c r="AG101" s="130">
        <f>'Hedge_Midle(Test)'!G100</f>
        <v/>
      </c>
      <c r="AH101" s="130">
        <f>IF(B101&gt;$C$11,-1*$I$11,(($C$11-B101)*$G$11)-$I$11)</f>
        <v/>
      </c>
      <c r="AI101" s="130">
        <f>E101+AH101</f>
        <v/>
      </c>
      <c r="AJ101" s="185">
        <f>AI101/Portfolio!$F$10</f>
        <v/>
      </c>
      <c r="AK101" s="130">
        <f>'Hedge_Midle(Test)'!G129</f>
        <v/>
      </c>
      <c r="AL101" s="130">
        <f>IF(B101&gt;$C$12,-1*$I$12,(($C$12-B101)*$G$12)-$I$12)</f>
        <v/>
      </c>
      <c r="AM101" s="130">
        <f>E101+AL101</f>
        <v/>
      </c>
      <c r="AN101" s="185">
        <f>AM101/Portfolio!$F$10</f>
        <v/>
      </c>
      <c r="AO101" s="130">
        <f>'Hedge_Midle(Test)'!G159</f>
        <v/>
      </c>
      <c r="AP101" s="130">
        <f>IF(B101&gt;$C$13,-1*$I$13,(($C$13-B101)*$G$13)-$I$13)</f>
        <v/>
      </c>
      <c r="AQ101" s="130">
        <f>E101+AP101</f>
        <v/>
      </c>
      <c r="AR101" s="185">
        <f>AQ101/Portfolio!$F$10</f>
        <v/>
      </c>
      <c r="AS101" s="130">
        <f>'Hedge_Midle(Test)'!G189</f>
        <v/>
      </c>
      <c r="AT101" s="130">
        <f>IF(B101&gt;$C$14,-1*$I$14,(($C$14-B101)*$G$14)-$I$14)</f>
        <v/>
      </c>
      <c r="AU101" s="130">
        <f>E101+AT101</f>
        <v/>
      </c>
      <c r="AV101" s="185">
        <f>AU101/Portfolio!$F$10</f>
        <v/>
      </c>
      <c r="AW101" s="130">
        <f>'Hedge_Midle(Test)'!G219</f>
        <v/>
      </c>
      <c r="AX101" s="130">
        <f>IF(B101&gt;$C$15,-1*$I$15,(($C$15-B101)*$G$15)-$I$15)</f>
        <v/>
      </c>
      <c r="AY101" s="130">
        <f>E101+AX101</f>
        <v/>
      </c>
      <c r="AZ101" s="185">
        <f>AY101/Portfolio!$F$10</f>
        <v/>
      </c>
      <c r="BA101" s="130">
        <f>'Hedge_Midle(Test)'!G249</f>
        <v/>
      </c>
      <c r="BB101" s="130">
        <f>IF(B101&gt;$C$16,-1*$I$16,(($C$16-B101)*$G$16)-$I$16)</f>
        <v/>
      </c>
      <c r="BC101" s="130">
        <f>E101+BB101</f>
        <v/>
      </c>
      <c r="BD101" s="185">
        <f>BC101/Portfolio!$F$10</f>
        <v/>
      </c>
      <c r="BE101" s="130">
        <f>'Hedge_Midle(Test)'!G279</f>
        <v/>
      </c>
      <c r="BF101" s="130">
        <f>IF(B101&gt;$C$17,-1*$I$17,(($C$17-B101)*$G$17)-$I$17)</f>
        <v/>
      </c>
      <c r="BG101" s="130">
        <f>E101+BF101</f>
        <v/>
      </c>
      <c r="BH101" s="185">
        <f>BG101/Portfolio!$F$10</f>
        <v/>
      </c>
      <c r="BI101" s="130">
        <f>'Hedge_Midle(Test)'!G309</f>
        <v/>
      </c>
      <c r="BJ101" s="130">
        <f>IF(B101&gt;$C$18,-1*$I$18,(($C$18-B101)*$G$18)-$I$18)</f>
        <v/>
      </c>
      <c r="BK101" s="130">
        <f>E101+BJ101</f>
        <v/>
      </c>
      <c r="BL101" s="185">
        <f>BK101/Portfolio!$F$10</f>
        <v/>
      </c>
      <c r="BM101" s="130">
        <f>'Hedge_Midle(Test)'!G339</f>
        <v/>
      </c>
      <c r="BN101" s="130">
        <f>IF(F101&gt;$C$19,-1*$I$19,(($C$19-F101)*$G$19)-$I$19)</f>
        <v/>
      </c>
      <c r="BO101" s="130">
        <f>E101+BN101</f>
        <v/>
      </c>
      <c r="BP101" s="185">
        <f>BO101/Portfolio!$F$10</f>
        <v/>
      </c>
      <c r="BQ101" s="130">
        <f>'Hedge_Midle(Test)'!C369</f>
        <v/>
      </c>
      <c r="BR101" s="130">
        <f>IF(J101&gt;$C$20,-1*$I$20,(($C$20-J101)*$G$20)-$I$20)</f>
        <v/>
      </c>
      <c r="BS101" s="130">
        <f>E101+BR101</f>
        <v/>
      </c>
      <c r="BT101" s="185">
        <f>BS101/Portfolio!$F$10</f>
        <v/>
      </c>
    </row>
    <row r="102" ht="14.25" customHeight="1" s="116">
      <c r="B102" s="183">
        <f>B101-1</f>
        <v/>
      </c>
      <c r="C102" s="184">
        <f>P102/$I$22</f>
        <v/>
      </c>
      <c r="D102" s="184">
        <f>Q102/$I$22</f>
        <v/>
      </c>
      <c r="E102" s="130">
        <f>(Portfolio!$C$10*B102)-Portfolio!$F$10</f>
        <v/>
      </c>
      <c r="F102" s="185">
        <f>(E102/Portfolio!$F$10)</f>
        <v/>
      </c>
      <c r="N102" s="183">
        <f>N101-1</f>
        <v/>
      </c>
      <c r="O102" s="184">
        <f>'Hedge_Midle(Test)'!C403</f>
        <v/>
      </c>
      <c r="P102" s="130">
        <f>'Hedge_Midle(Test)'!G403</f>
        <v/>
      </c>
      <c r="Q102" s="130">
        <f>Z102+AD102+AH102+AL102+AP102+AT102+AX102+BB102+BF102+BJ102+BN102+BR102</f>
        <v/>
      </c>
      <c r="R102" s="185">
        <f>T102/Portfolio!$F$10</f>
        <v/>
      </c>
      <c r="S102" s="185">
        <f>U102/Portfolio!$F$10</f>
        <v/>
      </c>
      <c r="T102" s="130">
        <f>E102+P102</f>
        <v/>
      </c>
      <c r="U102" s="130">
        <f>E102+Q102</f>
        <v/>
      </c>
      <c r="V102" s="186">
        <f>P103-2*P102+P101</f>
        <v/>
      </c>
      <c r="W102" s="186">
        <f>Q103-2*Q102+Q101</f>
        <v/>
      </c>
      <c r="X102" s="183">
        <f>X101-1</f>
        <v/>
      </c>
      <c r="Y102" s="130">
        <f>'Hedge_Midle(Test)'!G43</f>
        <v/>
      </c>
      <c r="Z102" s="130">
        <f>IF(B102&gt;$C$9,-1*$I$9,(($C$9-B102)*$G$9)-$I$9)</f>
        <v/>
      </c>
      <c r="AA102" s="130">
        <f>E102+Z102</f>
        <v/>
      </c>
      <c r="AB102" s="185">
        <f>AA102/Portfolio!$F$10</f>
        <v/>
      </c>
      <c r="AC102" s="130">
        <f>'Hedge_Midle(Test)'!G72</f>
        <v/>
      </c>
      <c r="AD102" s="130">
        <f>IF(B102&gt;$C$10,-1*$I$10,(($C$10-B102)*$G$10)-$I$10)</f>
        <v/>
      </c>
      <c r="AE102" s="130">
        <f>E102+AD102</f>
        <v/>
      </c>
      <c r="AF102" s="185">
        <f>AE102/Portfolio!$F$10</f>
        <v/>
      </c>
      <c r="AG102" s="130">
        <f>'Hedge_Midle(Test)'!G101</f>
        <v/>
      </c>
      <c r="AH102" s="130">
        <f>IF(B102&gt;$C$11,-1*$I$11,(($C$11-B102)*$G$11)-$I$11)</f>
        <v/>
      </c>
      <c r="AI102" s="130">
        <f>E102+AH102</f>
        <v/>
      </c>
      <c r="AJ102" s="185">
        <f>AI102/Portfolio!$F$10</f>
        <v/>
      </c>
      <c r="AK102" s="130">
        <f>'Hedge_Midle(Test)'!G130</f>
        <v/>
      </c>
      <c r="AL102" s="130">
        <f>IF(B102&gt;$C$12,-1*$I$12,(($C$12-B102)*$G$12)-$I$12)</f>
        <v/>
      </c>
      <c r="AM102" s="130">
        <f>E102+AL102</f>
        <v/>
      </c>
      <c r="AN102" s="185">
        <f>AM102/Portfolio!$F$10</f>
        <v/>
      </c>
      <c r="AO102" s="130">
        <f>'Hedge_Midle(Test)'!G160</f>
        <v/>
      </c>
      <c r="AP102" s="130">
        <f>IF(B102&gt;$C$13,-1*$I$13,(($C$13-B102)*$G$13)-$I$13)</f>
        <v/>
      </c>
      <c r="AQ102" s="130">
        <f>E102+AP102</f>
        <v/>
      </c>
      <c r="AR102" s="185">
        <f>AQ102/Portfolio!$F$10</f>
        <v/>
      </c>
      <c r="AS102" s="130">
        <f>'Hedge_Midle(Test)'!G190</f>
        <v/>
      </c>
      <c r="AT102" s="130">
        <f>IF(B102&gt;$C$14,-1*$I$14,(($C$14-B102)*$G$14)-$I$14)</f>
        <v/>
      </c>
      <c r="AU102" s="130">
        <f>E102+AT102</f>
        <v/>
      </c>
      <c r="AV102" s="185">
        <f>AU102/Portfolio!$F$10</f>
        <v/>
      </c>
      <c r="AW102" s="130">
        <f>'Hedge_Midle(Test)'!G220</f>
        <v/>
      </c>
      <c r="AX102" s="130">
        <f>IF(B102&gt;$C$15,-1*$I$15,(($C$15-B102)*$G$15)-$I$15)</f>
        <v/>
      </c>
      <c r="AY102" s="130">
        <f>E102+AX102</f>
        <v/>
      </c>
      <c r="AZ102" s="185">
        <f>AY102/Portfolio!$F$10</f>
        <v/>
      </c>
      <c r="BA102" s="130">
        <f>'Hedge_Midle(Test)'!G250</f>
        <v/>
      </c>
      <c r="BB102" s="130">
        <f>IF(B102&gt;$C$16,-1*$I$16,(($C$16-B102)*$G$16)-$I$16)</f>
        <v/>
      </c>
      <c r="BC102" s="130">
        <f>E102+BB102</f>
        <v/>
      </c>
      <c r="BD102" s="185">
        <f>BC102/Portfolio!$F$10</f>
        <v/>
      </c>
      <c r="BE102" s="130">
        <f>'Hedge_Midle(Test)'!G280</f>
        <v/>
      </c>
      <c r="BF102" s="130">
        <f>IF(B102&gt;$C$17,-1*$I$17,(($C$17-B102)*$G$17)-$I$17)</f>
        <v/>
      </c>
      <c r="BG102" s="130">
        <f>E102+BF102</f>
        <v/>
      </c>
      <c r="BH102" s="185">
        <f>BG102/Portfolio!$F$10</f>
        <v/>
      </c>
      <c r="BI102" s="130">
        <f>'Hedge_Midle(Test)'!G310</f>
        <v/>
      </c>
      <c r="BJ102" s="130">
        <f>IF(B102&gt;$C$18,-1*$I$18,(($C$18-B102)*$G$18)-$I$18)</f>
        <v/>
      </c>
      <c r="BK102" s="130">
        <f>E102+BJ102</f>
        <v/>
      </c>
      <c r="BL102" s="185">
        <f>BK102/Portfolio!$F$10</f>
        <v/>
      </c>
      <c r="BM102" s="130">
        <f>'Hedge_Midle(Test)'!G340</f>
        <v/>
      </c>
      <c r="BN102" s="130">
        <f>IF(F102&gt;$C$19,-1*$I$19,(($C$19-F102)*$G$19)-$I$19)</f>
        <v/>
      </c>
      <c r="BO102" s="130">
        <f>E102+BN102</f>
        <v/>
      </c>
      <c r="BP102" s="185">
        <f>BO102/Portfolio!$F$10</f>
        <v/>
      </c>
      <c r="BQ102" s="130">
        <f>'Hedge_Midle(Test)'!C370</f>
        <v/>
      </c>
      <c r="BR102" s="130">
        <f>IF(J102&gt;$C$20,-1*$I$20,(($C$20-J102)*$G$20)-$I$20)</f>
        <v/>
      </c>
      <c r="BS102" s="130">
        <f>E102+BR102</f>
        <v/>
      </c>
      <c r="BT102" s="185">
        <f>BS102/Portfolio!$F$10</f>
        <v/>
      </c>
    </row>
    <row r="103" ht="14.25" customHeight="1" s="116">
      <c r="B103" s="183">
        <f>B102-1</f>
        <v/>
      </c>
      <c r="C103" s="184">
        <f>P103/$I$22</f>
        <v/>
      </c>
      <c r="D103" s="184">
        <f>Q103/$I$22</f>
        <v/>
      </c>
      <c r="E103" s="130">
        <f>(Portfolio!$C$10*B103)-Portfolio!$F$10</f>
        <v/>
      </c>
      <c r="F103" s="185">
        <f>(E103/Portfolio!$F$10)</f>
        <v/>
      </c>
      <c r="N103" s="183">
        <f>N102-1</f>
        <v/>
      </c>
      <c r="O103" s="184">
        <f>'Hedge_Midle(Test)'!C404</f>
        <v/>
      </c>
      <c r="P103" s="130">
        <f>'Hedge_Midle(Test)'!G404</f>
        <v/>
      </c>
      <c r="Q103" s="130">
        <f>Z103+AD103+AH103+AL103+AP103+AT103+AX103+BB103+BF103+BJ103+BN103+BR103</f>
        <v/>
      </c>
      <c r="R103" s="185">
        <f>T103/Portfolio!$F$10</f>
        <v/>
      </c>
      <c r="S103" s="185">
        <f>U103/Portfolio!$F$10</f>
        <v/>
      </c>
      <c r="T103" s="130">
        <f>E103+P103</f>
        <v/>
      </c>
      <c r="U103" s="130">
        <f>E103+Q103</f>
        <v/>
      </c>
      <c r="V103" s="186">
        <f>P104-2*P103+P102</f>
        <v/>
      </c>
      <c r="W103" s="186">
        <f>Q104-2*Q103+Q102</f>
        <v/>
      </c>
      <c r="X103" s="183">
        <f>X102-1</f>
        <v/>
      </c>
      <c r="Y103" s="130">
        <f>'Hedge_Midle(Test)'!G44</f>
        <v/>
      </c>
      <c r="Z103" s="130">
        <f>IF(B103&gt;$C$9,-1*$I$9,(($C$9-B103)*$G$9)-$I$9)</f>
        <v/>
      </c>
      <c r="AA103" s="130">
        <f>E103+Z103</f>
        <v/>
      </c>
      <c r="AB103" s="185">
        <f>AA103/Portfolio!$F$10</f>
        <v/>
      </c>
      <c r="AC103" s="130">
        <f>'Hedge_Midle(Test)'!G73</f>
        <v/>
      </c>
      <c r="AD103" s="130">
        <f>IF(B103&gt;$C$10,-1*$I$10,(($C$10-B103)*$G$10)-$I$10)</f>
        <v/>
      </c>
      <c r="AE103" s="130">
        <f>E103+AD103</f>
        <v/>
      </c>
      <c r="AF103" s="185">
        <f>AE103/Portfolio!$F$10</f>
        <v/>
      </c>
      <c r="AG103" s="130">
        <f>'Hedge_Midle(Test)'!G102</f>
        <v/>
      </c>
      <c r="AH103" s="130">
        <f>IF(B103&gt;$C$11,-1*$I$11,(($C$11-B103)*$G$11)-$I$11)</f>
        <v/>
      </c>
      <c r="AI103" s="130">
        <f>E103+AH103</f>
        <v/>
      </c>
      <c r="AJ103" s="185">
        <f>AI103/Portfolio!$F$10</f>
        <v/>
      </c>
      <c r="AK103" s="130">
        <f>'Hedge_Midle(Test)'!G131</f>
        <v/>
      </c>
      <c r="AL103" s="130">
        <f>IF(B103&gt;$C$12,-1*$I$12,(($C$12-B103)*$G$12)-$I$12)</f>
        <v/>
      </c>
      <c r="AM103" s="130">
        <f>E103+AL103</f>
        <v/>
      </c>
      <c r="AN103" s="185">
        <f>AM103/Portfolio!$F$10</f>
        <v/>
      </c>
      <c r="AO103" s="130">
        <f>'Hedge_Midle(Test)'!G161</f>
        <v/>
      </c>
      <c r="AP103" s="130">
        <f>IF(B103&gt;$C$13,-1*$I$13,(($C$13-B103)*$G$13)-$I$13)</f>
        <v/>
      </c>
      <c r="AQ103" s="130">
        <f>E103+AP103</f>
        <v/>
      </c>
      <c r="AR103" s="185">
        <f>AQ103/Portfolio!$F$10</f>
        <v/>
      </c>
      <c r="AS103" s="130">
        <f>'Hedge_Midle(Test)'!G191</f>
        <v/>
      </c>
      <c r="AT103" s="130">
        <f>IF(B103&gt;$C$14,-1*$I$14,(($C$14-B103)*$G$14)-$I$14)</f>
        <v/>
      </c>
      <c r="AU103" s="130">
        <f>E103+AT103</f>
        <v/>
      </c>
      <c r="AV103" s="185">
        <f>AU103/Portfolio!$F$10</f>
        <v/>
      </c>
      <c r="AW103" s="130">
        <f>'Hedge_Midle(Test)'!G221</f>
        <v/>
      </c>
      <c r="AX103" s="130">
        <f>IF(B103&gt;$C$15,-1*$I$15,(($C$15-B103)*$G$15)-$I$15)</f>
        <v/>
      </c>
      <c r="AY103" s="130">
        <f>E103+AX103</f>
        <v/>
      </c>
      <c r="AZ103" s="185">
        <f>AY103/Portfolio!$F$10</f>
        <v/>
      </c>
      <c r="BA103" s="130">
        <f>'Hedge_Midle(Test)'!G251</f>
        <v/>
      </c>
      <c r="BB103" s="130">
        <f>IF(B103&gt;$C$16,-1*$I$16,(($C$16-B103)*$G$16)-$I$16)</f>
        <v/>
      </c>
      <c r="BC103" s="130">
        <f>E103+BB103</f>
        <v/>
      </c>
      <c r="BD103" s="185">
        <f>BC103/Portfolio!$F$10</f>
        <v/>
      </c>
      <c r="BE103" s="130">
        <f>'Hedge_Midle(Test)'!G281</f>
        <v/>
      </c>
      <c r="BF103" s="130">
        <f>IF(B103&gt;$C$17,-1*$I$17,(($C$17-B103)*$G$17)-$I$17)</f>
        <v/>
      </c>
      <c r="BG103" s="130">
        <f>E103+BF103</f>
        <v/>
      </c>
      <c r="BH103" s="185">
        <f>BG103/Portfolio!$F$10</f>
        <v/>
      </c>
      <c r="BI103" s="130">
        <f>'Hedge_Midle(Test)'!G311</f>
        <v/>
      </c>
      <c r="BJ103" s="130">
        <f>IF(B103&gt;$C$18,-1*$I$18,(($C$18-B103)*$G$18)-$I$18)</f>
        <v/>
      </c>
      <c r="BK103" s="130">
        <f>E103+BJ103</f>
        <v/>
      </c>
      <c r="BL103" s="185">
        <f>BK103/Portfolio!$F$10</f>
        <v/>
      </c>
      <c r="BM103" s="130">
        <f>'Hedge_Midle(Test)'!G341</f>
        <v/>
      </c>
      <c r="BN103" s="130">
        <f>IF(F103&gt;$C$19,-1*$I$19,(($C$19-F103)*$G$19)-$I$19)</f>
        <v/>
      </c>
      <c r="BO103" s="130">
        <f>E103+BN103</f>
        <v/>
      </c>
      <c r="BP103" s="185">
        <f>BO103/Portfolio!$F$10</f>
        <v/>
      </c>
      <c r="BQ103" s="130">
        <f>'Hedge_Midle(Test)'!C371</f>
        <v/>
      </c>
      <c r="BR103" s="130">
        <f>IF(J103&gt;$C$20,-1*$I$20,(($C$20-J103)*$G$20)-$I$20)</f>
        <v/>
      </c>
      <c r="BS103" s="130">
        <f>E103+BR103</f>
        <v/>
      </c>
      <c r="BT103" s="185">
        <f>BS103/Portfolio!$F$10</f>
        <v/>
      </c>
    </row>
    <row r="104" ht="14.25" customHeight="1" s="116">
      <c r="B104" s="183">
        <f>B103-1</f>
        <v/>
      </c>
      <c r="C104" s="184">
        <f>P104/$I$22</f>
        <v/>
      </c>
      <c r="D104" s="184">
        <f>Q104/$I$22</f>
        <v/>
      </c>
      <c r="E104" s="130">
        <f>(Portfolio!$C$10*B104)-Portfolio!$F$10</f>
        <v/>
      </c>
      <c r="F104" s="185">
        <f>(E104/Portfolio!$F$10)</f>
        <v/>
      </c>
      <c r="N104" s="183">
        <f>N103-1</f>
        <v/>
      </c>
      <c r="O104" s="184">
        <f>'Hedge_Midle(Test)'!C405</f>
        <v/>
      </c>
      <c r="P104" s="130">
        <f>'Hedge_Midle(Test)'!G405</f>
        <v/>
      </c>
      <c r="Q104" s="130">
        <f>Z104+AD104+AH104+AL104+AP104+AT104+AX104+BB104+BF104+BJ104+BN104+BR104</f>
        <v/>
      </c>
      <c r="R104" s="185">
        <f>T104/Portfolio!$F$10</f>
        <v/>
      </c>
      <c r="S104" s="185">
        <f>U104/Portfolio!$F$10</f>
        <v/>
      </c>
      <c r="T104" s="130">
        <f>E104+P104</f>
        <v/>
      </c>
      <c r="U104" s="130">
        <f>E104+Q104</f>
        <v/>
      </c>
      <c r="V104" s="129" t="n"/>
      <c r="X104" s="183">
        <f>X103-1</f>
        <v/>
      </c>
      <c r="Y104" s="130">
        <f>'Hedge_Midle(Test)'!G45</f>
        <v/>
      </c>
      <c r="Z104" s="130">
        <f>IF(B104&gt;$C$9,-1*$I$9,(($C$9-B104)*$G$9)-$I$9)</f>
        <v/>
      </c>
      <c r="AA104" s="130">
        <f>E104+Z104</f>
        <v/>
      </c>
      <c r="AB104" s="185">
        <f>AA104/Portfolio!$F$10</f>
        <v/>
      </c>
      <c r="AC104" s="130">
        <f>'Hedge_Midle(Test)'!G74</f>
        <v/>
      </c>
      <c r="AD104" s="130">
        <f>IF(B104&gt;$C$10,-1*$I$10,(($C$10-B104)*$G$10)-$I$10)</f>
        <v/>
      </c>
      <c r="AE104" s="130">
        <f>E104+AD104</f>
        <v/>
      </c>
      <c r="AF104" s="185">
        <f>AE104/Portfolio!$F$10</f>
        <v/>
      </c>
      <c r="AG104" s="130">
        <f>'Hedge_Midle(Test)'!G103</f>
        <v/>
      </c>
      <c r="AH104" s="130">
        <f>IF(B104&gt;$C$11,-1*$I$11,(($C$11-B104)*$G$11)-$I$11)</f>
        <v/>
      </c>
      <c r="AI104" s="130">
        <f>E104+AH104</f>
        <v/>
      </c>
      <c r="AJ104" s="185">
        <f>AI104/Portfolio!$F$10</f>
        <v/>
      </c>
      <c r="AK104" s="130">
        <f>'Hedge_Midle(Test)'!G132</f>
        <v/>
      </c>
      <c r="AL104" s="130">
        <f>IF(B104&gt;$C$12,-1*$I$12,(($C$12-B104)*$G$12)-$I$12)</f>
        <v/>
      </c>
      <c r="AM104" s="130">
        <f>E104+AL104</f>
        <v/>
      </c>
      <c r="AN104" s="185">
        <f>AM104/Portfolio!$F$10</f>
        <v/>
      </c>
      <c r="AO104" s="130">
        <f>'Hedge_Midle(Test)'!G162</f>
        <v/>
      </c>
      <c r="AP104" s="130">
        <f>IF(B104&gt;$C$13,-1*$I$13,(($C$13-B104)*$G$13)-$I$13)</f>
        <v/>
      </c>
      <c r="AQ104" s="130">
        <f>E104+AP104</f>
        <v/>
      </c>
      <c r="AR104" s="185">
        <f>AQ104/Portfolio!$F$10</f>
        <v/>
      </c>
      <c r="AS104" s="130">
        <f>'Hedge_Midle(Test)'!G192</f>
        <v/>
      </c>
      <c r="AT104" s="130">
        <f>IF(B104&gt;$C$14,-1*$I$14,(($C$14-B104)*$G$14)-$I$14)</f>
        <v/>
      </c>
      <c r="AU104" s="130">
        <f>E104+AT104</f>
        <v/>
      </c>
      <c r="AV104" s="185">
        <f>AU104/Portfolio!$F$10</f>
        <v/>
      </c>
      <c r="AW104" s="130">
        <f>'Hedge_Midle(Test)'!G222</f>
        <v/>
      </c>
      <c r="AX104" s="130">
        <f>IF(B104&gt;$C$15,-1*$I$15,(($C$15-B104)*$G$15)-$I$15)</f>
        <v/>
      </c>
      <c r="AY104" s="130">
        <f>E104+AX104</f>
        <v/>
      </c>
      <c r="AZ104" s="185">
        <f>AY104/Portfolio!$F$10</f>
        <v/>
      </c>
      <c r="BA104" s="130">
        <f>'Hedge_Midle(Test)'!G252</f>
        <v/>
      </c>
      <c r="BB104" s="130">
        <f>IF(B104&gt;$C$16,-1*$I$16,(($C$16-B104)*$G$16)-$I$16)</f>
        <v/>
      </c>
      <c r="BC104" s="130">
        <f>E104+BB104</f>
        <v/>
      </c>
      <c r="BD104" s="185">
        <f>BC104/Portfolio!$F$10</f>
        <v/>
      </c>
      <c r="BE104" s="130">
        <f>'Hedge_Midle(Test)'!G282</f>
        <v/>
      </c>
      <c r="BF104" s="130">
        <f>IF(B104&gt;$C$17,-1*$I$17,(($C$17-B104)*$G$17)-$I$17)</f>
        <v/>
      </c>
      <c r="BG104" s="130">
        <f>E104+BF104</f>
        <v/>
      </c>
      <c r="BH104" s="185">
        <f>BG104/Portfolio!$F$10</f>
        <v/>
      </c>
      <c r="BI104" s="130">
        <f>'Hedge_Midle(Test)'!G312</f>
        <v/>
      </c>
      <c r="BJ104" s="130">
        <f>IF(B104&gt;$C$18,-1*$I$18,(($C$18-B104)*$G$18)-$I$18)</f>
        <v/>
      </c>
      <c r="BK104" s="130">
        <f>E104+BJ104</f>
        <v/>
      </c>
      <c r="BL104" s="185">
        <f>BK104/Portfolio!$F$10</f>
        <v/>
      </c>
      <c r="BM104" s="130">
        <f>'Hedge_Midle(Test)'!G342</f>
        <v/>
      </c>
      <c r="BN104" s="130">
        <f>IF(F104&gt;$C$19,-1*$I$19,(($C$19-F104)*$G$19)-$I$19)</f>
        <v/>
      </c>
      <c r="BO104" s="130">
        <f>E104+BN104</f>
        <v/>
      </c>
      <c r="BP104" s="185">
        <f>BO104/Portfolio!$F$10</f>
        <v/>
      </c>
      <c r="BQ104" s="130">
        <f>'Hedge_Midle(Test)'!C372</f>
        <v/>
      </c>
      <c r="BR104" s="130">
        <f>IF(J104&gt;$C$20,-1*$I$20,(($C$20-J104)*$G$20)-$I$20)</f>
        <v/>
      </c>
      <c r="BS104" s="130">
        <f>E104+BR104</f>
        <v/>
      </c>
      <c r="BT104" s="185">
        <f>BS104/Portfolio!$F$10</f>
        <v/>
      </c>
    </row>
    <row r="105" ht="14.25" customHeight="1" s="116"/>
    <row r="1048531" ht="12.75" customHeight="1" s="116"/>
    <row r="1048532" ht="12.75" customHeight="1" s="116"/>
    <row r="1048533" ht="12.75" customHeight="1" s="116"/>
    <row r="1048534" ht="12.75" customHeight="1" s="116"/>
    <row r="1048535" ht="12.75" customHeight="1" s="116"/>
    <row r="1048536" ht="12.75" customHeight="1" s="116"/>
    <row r="1048537" ht="12.75" customHeight="1" s="116"/>
    <row r="1048538" ht="12.75" customHeight="1" s="116"/>
    <row r="1048539" ht="12.75" customHeight="1" s="116"/>
    <row r="1048540" ht="12.75" customHeight="1" s="116"/>
    <row r="1048541" ht="12.75" customHeight="1" s="116"/>
    <row r="1048542" ht="12.75" customHeight="1" s="116"/>
    <row r="1048543" ht="12.75" customHeight="1" s="116"/>
    <row r="1048544" ht="12.75" customHeight="1" s="116"/>
    <row r="1048545" ht="12.75" customHeight="1" s="116"/>
    <row r="1048546" ht="12.75" customHeight="1" s="116"/>
    <row r="1048547" ht="12.75" customHeight="1" s="116"/>
    <row r="1048548" ht="12.75" customHeight="1" s="116"/>
    <row r="1048549" ht="12.75" customHeight="1" s="116"/>
    <row r="1048550" ht="12.75" customHeight="1" s="116"/>
    <row r="1048551" ht="12.75" customHeight="1" s="116"/>
    <row r="1048552" ht="12.75" customHeight="1" s="116"/>
    <row r="1048553" ht="12.75" customHeight="1" s="116"/>
    <row r="1048554" ht="12.75" customHeight="1" s="116"/>
    <row r="1048555" ht="12.75" customHeight="1" s="116"/>
    <row r="1048556" ht="12.75" customHeight="1" s="116"/>
    <row r="1048557" ht="12.75" customHeight="1" s="116"/>
    <row r="1048558" ht="12.75" customHeight="1" s="116"/>
    <row r="1048559" ht="12.75" customHeight="1" s="116"/>
    <row r="1048560" ht="12.75" customHeight="1" s="116"/>
    <row r="1048561" ht="12.75" customHeight="1" s="116"/>
    <row r="1048562" ht="12.75" customHeight="1" s="116"/>
    <row r="1048563" ht="12.75" customHeight="1" s="116"/>
    <row r="1048564" ht="12.75" customHeight="1" s="116"/>
    <row r="1048565" ht="12.75" customHeight="1" s="116"/>
    <row r="1048566" ht="12.75" customHeight="1" s="116"/>
    <row r="1048567" ht="12.75" customHeight="1" s="116"/>
    <row r="1048568" ht="12.75" customHeight="1" s="116"/>
    <row r="1048569" ht="12.75" customHeight="1" s="116"/>
    <row r="1048570" ht="12.75" customHeight="1" s="116"/>
    <row r="1048571" ht="12.75" customHeight="1" s="116"/>
    <row r="1048572" ht="12.75" customHeight="1" s="116"/>
    <row r="1048573" ht="12.75" customHeight="1" s="116"/>
    <row r="1048574" ht="12.75" customHeight="1" s="116"/>
    <row r="1048575" ht="12.75" customHeight="1" s="116"/>
    <row r="1048576" ht="12.75" customHeight="1" s="116"/>
  </sheetData>
  <mergeCells count="19">
    <mergeCell ref="AW76:AZ76"/>
    <mergeCell ref="BI76:BL76"/>
    <mergeCell ref="N76:U76"/>
    <mergeCell ref="X8:Y8"/>
    <mergeCell ref="Y76:AB76"/>
    <mergeCell ref="X7:Y7"/>
    <mergeCell ref="AO76:AR76"/>
    <mergeCell ref="AS76:AV76"/>
    <mergeCell ref="BA76:BD76"/>
    <mergeCell ref="BM76:BP76"/>
    <mergeCell ref="BE76:BH76"/>
    <mergeCell ref="AC76:AF76"/>
    <mergeCell ref="L60:M60"/>
    <mergeCell ref="AG76:AJ76"/>
    <mergeCell ref="BQ76:BT76"/>
    <mergeCell ref="Q2:R2"/>
    <mergeCell ref="B76:F76"/>
    <mergeCell ref="AK76:AN76"/>
    <mergeCell ref="X9:Y9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&amp;Kffffff&amp;A</oddHeader>
    <oddFooter>&amp;C&amp;"Times New Roman,Обычный"&amp;12 &amp;KffffffPage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2026-03-06T11:25:03Z</dcterms:created>
  <dcterms:modified xsi:type="dcterms:W3CDTF">2026-06-03T21:07:00Z</dcterms:modified>
  <cp:revision>252</cp:revision>
</cp:coreProperties>
</file>